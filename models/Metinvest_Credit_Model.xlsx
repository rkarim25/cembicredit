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(+$9.0M)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(+$11.0M)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(+$12.4M)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(+$13.8M)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(+$15.2M)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(+$16.3M)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(+$17.1M)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(+$9.0M)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(+$11.0M)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(+$12.4M)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(+$13.8M)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(+$15.2M)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(+$16.3M)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(+$17.1M)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(METINV) — Institutional Credit Model</t>
        </is>
      </c>
    </row>
    <row r="3">
      <c r="B3" s="2" t="inlineStr">
        <is>
          <t>Sector: Materials | Country: Ukraine | Rating: CCC+ | Benchmark: METINV 15.65% 2029 @ $93.27 (14.98% YTM / +1022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High-grade Kryvyi Rih iron ore pellet exporter; Black Sea maritime shipping corridor reopened; 1.79x net leverage.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METINV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475.65</v>
      </c>
      <c r="F26" s="7" t="inlineStr">
        <is>
          <t>14.98%</t>
        </is>
      </c>
      <c r="G26" s="7" t="inlineStr">
        <is>
          <t>$93.27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METINV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317.1</v>
      </c>
      <c r="F27" s="7" t="inlineStr">
        <is>
          <t>14.23%</t>
        </is>
      </c>
      <c r="G27" s="7" t="inlineStr">
        <is>
          <t>$95.77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264.25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10803</v>
      </c>
      <c r="D15" s="8" t="n">
        <v>4972.8</v>
      </c>
      <c r="E15" s="8" t="n">
        <v>4436.4</v>
      </c>
      <c r="F15" s="8" t="n">
        <v>4406.4</v>
      </c>
      <c r="G15" s="8" t="n">
        <v>4980</v>
      </c>
      <c r="H15" s="8" t="n">
        <v>5280</v>
      </c>
      <c r="I15" s="8" t="n">
        <v>5580</v>
      </c>
    </row>
    <row r="16">
      <c r="B16" s="7" t="inlineStr">
        <is>
          <t>High-Margin Value-Added Products</t>
        </is>
      </c>
      <c r="C16" s="8" t="n">
        <v>5041.4</v>
      </c>
      <c r="D16" s="8" t="n">
        <v>2320.6</v>
      </c>
      <c r="E16" s="8" t="n">
        <v>2070.3</v>
      </c>
      <c r="F16" s="8" t="n">
        <v>2056.3</v>
      </c>
      <c r="G16" s="8" t="n">
        <v>2324</v>
      </c>
      <c r="H16" s="8" t="n">
        <v>2464</v>
      </c>
      <c r="I16" s="8" t="n">
        <v>2604</v>
      </c>
    </row>
    <row r="17">
      <c r="B17" s="7" t="inlineStr">
        <is>
          <t>By-Product Processing &amp; Industrial Logistics</t>
        </is>
      </c>
      <c r="C17" s="8" t="n">
        <v>2160.6</v>
      </c>
      <c r="D17" s="8" t="n">
        <v>994.6</v>
      </c>
      <c r="E17" s="8" t="n">
        <v>887.3</v>
      </c>
      <c r="F17" s="8" t="n">
        <v>881.3</v>
      </c>
      <c r="G17" s="8" t="n">
        <v>996</v>
      </c>
      <c r="H17" s="8" t="n">
        <v>1056</v>
      </c>
      <c r="I17" s="8" t="n">
        <v>1116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9</v>
      </c>
      <c r="D35" s="24" t="n">
        <v>11</v>
      </c>
      <c r="E35" s="24" t="n">
        <v>12.4</v>
      </c>
      <c r="F35" s="24" t="n">
        <v>13.8</v>
      </c>
      <c r="G35" s="24" t="n">
        <v>15.2</v>
      </c>
      <c r="H35" s="24" t="n">
        <v>16.3</v>
      </c>
      <c r="I35" s="24" t="n">
        <v>17.1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(+$9.0M)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(+$11.0M)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(+$12.4M)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(+$13.8M)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(+$15.2M)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(+$16.3M)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(+$17.1M)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27007.5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6301.8</v>
      </c>
      <c r="D36" s="8" t="n">
        <v>6301.8</v>
      </c>
      <c r="E36" s="8" t="n">
        <v>6301.8</v>
      </c>
      <c r="F36" s="8" t="n">
        <v>6301.8</v>
      </c>
      <c r="G36" s="8" t="n">
        <v>6301.8</v>
      </c>
      <c r="H36" s="8" t="n">
        <v>6301.8</v>
      </c>
      <c r="I36" s="8" t="n">
        <v>6301.8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-1286</v>
      </c>
      <c r="D16" s="8" t="n">
        <v>-586</v>
      </c>
      <c r="E16" s="8" t="n">
        <v>-465</v>
      </c>
      <c r="F16" s="8" t="n">
        <v>580</v>
      </c>
      <c r="G16" s="8" t="n">
        <v>-450</v>
      </c>
      <c r="H16" s="8" t="n">
        <v>-480</v>
      </c>
      <c r="I16" s="8" t="n">
        <v>-500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379.5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-437.3</v>
      </c>
      <c r="D32" s="8" t="n">
        <v>474.5</v>
      </c>
      <c r="E32" s="8" t="n">
        <v>131.4</v>
      </c>
      <c r="F32" s="8" t="n">
        <v>1275.2</v>
      </c>
      <c r="G32" s="8" t="n">
        <v>-22.6</v>
      </c>
      <c r="H32" s="8" t="n">
        <v>-46.5</v>
      </c>
      <c r="I32" s="8" t="n">
        <v>-68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METINV Benchmark Eurobond Notes</t>
        </is>
      </c>
    </row>
    <row r="7">
      <c r="B7" s="7" t="inlineStr">
        <is>
          <t xml:space="preserve">  Beginning Principal Balance</t>
        </is>
      </c>
      <c r="C7" s="8" t="n">
        <v>893.8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297.9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198.6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0.1498</f>
        <v/>
      </c>
      <c r="D11" s="8">
        <f>D10 * 0.1498</f>
        <v/>
      </c>
      <c r="E11" s="8">
        <f>E10 * 0.1498</f>
        <v/>
      </c>
      <c r="F11" s="8">
        <f>F10 * 0.1498</f>
        <v/>
      </c>
      <c r="G11" s="8">
        <f>G10 * 0.1498</f>
        <v/>
      </c>
      <c r="H11" s="8">
        <f>H10 * 0.1498</f>
        <v/>
      </c>
      <c r="I11" s="8">
        <f>I10 * 0.1498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1092.5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126.8</v>
      </c>
      <c r="C32" s="8" t="n">
        <v>232.5</v>
      </c>
      <c r="D32" s="8" t="n">
        <v>296</v>
      </c>
      <c r="E32" s="8" t="n">
        <v>190.3</v>
      </c>
      <c r="F32" s="8" t="n">
        <v>126.8</v>
      </c>
      <c r="G32" s="8" t="n">
        <v>84.59999999999999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METINV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1051.6</v>
      </c>
      <c r="F37" s="30" t="inlineStr">
        <is>
          <t>15.650%</t>
        </is>
      </c>
      <c r="G37" s="31" t="n">
        <v>76</v>
      </c>
      <c r="H37" s="32" t="n">
        <v>15.65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METINV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701</v>
      </c>
      <c r="F38" s="30" t="inlineStr">
        <is>
          <t>15.000%</t>
        </is>
      </c>
      <c r="G38" s="31" t="n">
        <v>78</v>
      </c>
      <c r="H38" s="32" t="n">
        <v>15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350.5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233.7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METINV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654.3</v>
      </c>
    </row>
    <row r="45">
      <c r="B45" s="7" t="inlineStr">
        <is>
          <t>Drawn Amount ($M)</t>
        </is>
      </c>
      <c r="C45" s="8" t="n">
        <v>233.7</v>
      </c>
    </row>
    <row r="46">
      <c r="B46" s="19" t="inlineStr">
        <is>
          <t>AVAILABLE UNDRAWN HEADROOM ($M)</t>
        </is>
      </c>
      <c r="C46" s="20" t="n">
        <v>420.6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1.79x</t>
        </is>
      </c>
      <c r="E55" s="33" t="inlineStr">
        <is>
          <t>1.96x leverage buffer ($1803.2M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3.83x</t>
        </is>
      </c>
      <c r="E56" s="33" t="inlineStr">
        <is>
          <t>+1.33x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2.6% of Assets</t>
        </is>
      </c>
      <c r="E57" s="33" t="inlineStr">
        <is>
          <t>$1672.0M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14.98%</t>
        </is>
      </c>
      <c r="F6" s="35" t="inlineStr">
        <is>
          <t>4.2x</t>
        </is>
      </c>
      <c r="G6" s="35" t="inlineStr">
        <is>
          <t>$86.00</t>
        </is>
      </c>
      <c r="H6" s="35" t="inlineStr">
        <is>
          <t>-7.8%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16.98%</t>
        </is>
      </c>
      <c r="F7" s="30" t="inlineStr">
        <is>
          <t>3.2x</t>
        </is>
      </c>
      <c r="G7" s="30" t="inlineStr">
        <is>
          <t>$65.50</t>
        </is>
      </c>
      <c r="H7" s="30" t="inlineStr">
        <is>
          <t>-29.8%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$45.00</t>
        </is>
      </c>
      <c r="H8" s="30" t="inlineStr">
        <is>
          <t>-51.8%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13.48%</t>
        </is>
      </c>
      <c r="F9" s="30" t="inlineStr">
        <is>
          <t>5.7x</t>
        </is>
      </c>
      <c r="G9" s="30" t="inlineStr">
        <is>
          <t>$101.48</t>
        </is>
      </c>
      <c r="H9" s="30" t="inlineStr">
        <is>
          <t>+8.8%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264.2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METINV Senior Unsecured Eurobonds</t>
        </is>
      </c>
      <c r="C15" s="8" t="n">
        <v>792.8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45.0%</t>
        </is>
      </c>
      <c r="G15" s="30" t="inlineStr">
        <is>
          <t>86.0%</t>
        </is>
      </c>
    </row>
    <row r="16">
      <c r="B16" s="7" t="inlineStr">
        <is>
          <t>Subordinated Debt &amp; Intercompany Notes</t>
        </is>
      </c>
      <c r="C16" s="8" t="n">
        <v>158.5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422.8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Ukraine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Metinvest (METINV) — Earnings Presentation &amp; Management Guidance</t>
        </is>
      </c>
    </row>
    <row r="3">
      <c r="B3" s="2" t="inlineStr">
        <is>
          <t>Source: Metinvest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$8208.0M (+8.0% YoY growth)</t>
        </is>
      </c>
      <c r="D7" s="36" t="inlineStr">
        <is>
          <t>$8094.0M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$8208.0M (+8.0% YoY growth). With current run-rate at $8094.0M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$1012.0M (12.3% margin)</t>
        </is>
      </c>
      <c r="D8" s="36" t="inlineStr">
        <is>
          <t>$993.6M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$1012.0M (12.3%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1.79x</t>
        </is>
      </c>
      <c r="E9" s="33" t="inlineStr">
        <is>
          <t>Ahead of Target</t>
        </is>
      </c>
      <c r="F9" s="38" t="inlineStr">
        <is>
          <t>Deleveraging on track with 1.96x buffer below covenant limit.
[QUESTION TO CFO TO VERIFY]: You previously committed to a Net Leverage ceiling of &lt; 3.25x Net Debt / EBITDA. Current actual leverage stands at 1.79x.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$338.1M (Maximum growth and sustaining envelope)</t>
        </is>
      </c>
      <c r="D10" s="36" t="inlineStr">
        <is>
          <t>$311.1M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$338.1M (Maximum growth and sustaining envelope). Current commitments stand at $311.1M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$322.0M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$690.0M in liquid bank deposits</t>
        </is>
      </c>
    </row>
    <row r="35">
      <c r="B35" s="9" t="inlineStr">
        <is>
          <t>Undrawn Committed Credit Lines</t>
        </is>
      </c>
      <c r="C35" s="38" t="inlineStr">
        <is>
          <t>$817.9M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2026-11-18</t>
        </is>
      </c>
    </row>
    <row r="47">
      <c r="B47" s="9" t="inlineStr">
        <is>
          <t>Reporting Period</t>
        </is>
      </c>
      <c r="C47" s="38" t="inlineStr">
        <is>
          <t>9M 2026 Production &amp; Financial Report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13:00 London</t>
        </is>
      </c>
    </row>
    <row r="50">
      <c r="B50" s="9" t="inlineStr">
        <is>
          <t>Official IR Portal / Webcast URL</t>
        </is>
      </c>
      <c r="C50" s="38" t="inlineStr">
        <is>
          <t>https://metinvestholding.com/en/investors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2026-10-15T04:19:56Z</dcterms:created>
  <dcterms:modified xmlns:dcterms="http://purl.org/dc/terms/" xmlns:xsi="http://www.w3.org/2001/XMLSchema-instance" xsi:type="dcterms:W3CDTF">2026-10-15T04:19:56Z</dcterms:modified>
</cp:coreProperties>
</file>