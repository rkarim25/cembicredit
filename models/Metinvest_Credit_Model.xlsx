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/ Caa3 | Benchmark: METINV 15.65% 2029 @ $76.00 (15.65% YTM / +1125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1051.56</v>
      </c>
      <c r="F26" s="7" t="inlineStr">
        <is>
          <t>15.65%</t>
        </is>
      </c>
      <c r="G26" s="7" t="inlineStr">
        <is>
          <t>$76.00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701.0400000000001</v>
      </c>
      <c r="F27" s="7" t="inlineStr">
        <is>
          <t>14.90%</t>
        </is>
      </c>
      <c r="G27" s="7" t="inlineStr">
        <is>
          <t>$78.50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584.2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3100.8</v>
      </c>
      <c r="D15" s="8" t="n">
        <v>3739.2</v>
      </c>
      <c r="E15" s="8" t="n">
        <v>4195.2</v>
      </c>
      <c r="F15" s="8" t="n">
        <v>4560</v>
      </c>
      <c r="G15" s="8" t="n">
        <v>4924.8</v>
      </c>
      <c r="H15" s="8" t="n">
        <v>5244</v>
      </c>
      <c r="I15" s="8" t="n">
        <v>5472</v>
      </c>
    </row>
    <row r="16">
      <c r="B16" s="7" t="inlineStr">
        <is>
          <t>High-Margin Value-Added Products</t>
        </is>
      </c>
      <c r="C16" s="8" t="n">
        <v>1447</v>
      </c>
      <c r="D16" s="8" t="n">
        <v>1745</v>
      </c>
      <c r="E16" s="8" t="n">
        <v>1957.8</v>
      </c>
      <c r="F16" s="8" t="n">
        <v>2128</v>
      </c>
      <c r="G16" s="8" t="n">
        <v>2298.2</v>
      </c>
      <c r="H16" s="8" t="n">
        <v>2447.2</v>
      </c>
      <c r="I16" s="8" t="n">
        <v>2553.6</v>
      </c>
    </row>
    <row r="17">
      <c r="B17" s="7" t="inlineStr">
        <is>
          <t>By-Product Processing &amp; Industrial Logistics</t>
        </is>
      </c>
      <c r="C17" s="8" t="n">
        <v>620.2</v>
      </c>
      <c r="D17" s="8" t="n">
        <v>747.8</v>
      </c>
      <c r="E17" s="8" t="n">
        <v>839</v>
      </c>
      <c r="F17" s="8" t="n">
        <v>912</v>
      </c>
      <c r="G17" s="8" t="n">
        <v>985</v>
      </c>
      <c r="H17" s="8" t="n">
        <v>1048.8</v>
      </c>
      <c r="I17" s="8" t="n">
        <v>1094.4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7752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1808.8</v>
      </c>
      <c r="D36" s="8" t="n">
        <v>1808.8</v>
      </c>
      <c r="E36" s="8" t="n">
        <v>1808.8</v>
      </c>
      <c r="F36" s="8" t="n">
        <v>1808.8</v>
      </c>
      <c r="G36" s="8" t="n">
        <v>1808.8</v>
      </c>
      <c r="H36" s="8" t="n">
        <v>1808.8</v>
      </c>
      <c r="I36" s="8" t="n">
        <v>1808.8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0.1565</f>
        <v/>
      </c>
      <c r="D11" s="8">
        <f>D10 * 0.1565</f>
        <v/>
      </c>
      <c r="E11" s="8">
        <f>E10 * 0.1565</f>
        <v/>
      </c>
      <c r="F11" s="8">
        <f>F10 * 0.1565</f>
        <v/>
      </c>
      <c r="G11" s="8">
        <f>G10 * 0.1565</f>
        <v/>
      </c>
      <c r="H11" s="8">
        <f>H10 * 0.1565</f>
        <v/>
      </c>
      <c r="I11" s="8">
        <f>I10 * 0.1565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280.4</v>
      </c>
      <c r="C32" s="8" t="n">
        <v>514.1</v>
      </c>
      <c r="D32" s="8" t="n">
        <v>654.3</v>
      </c>
      <c r="E32" s="8" t="n">
        <v>420.6</v>
      </c>
      <c r="F32" s="8" t="n">
        <v>280.4</v>
      </c>
      <c r="G32" s="8" t="n">
        <v>186.9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1051.6</v>
      </c>
      <c r="F37" s="27" t="inlineStr">
        <is>
          <t>15.650%</t>
        </is>
      </c>
      <c r="G37" s="28" t="n">
        <v>76</v>
      </c>
      <c r="H37" s="29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701</v>
      </c>
      <c r="F38" s="27" t="inlineStr">
        <is>
          <t>15.000%</t>
        </is>
      </c>
      <c r="G38" s="28" t="n">
        <v>78</v>
      </c>
      <c r="H38" s="29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350.5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233.7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1.79x</t>
        </is>
      </c>
      <c r="E55" s="31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3.83x</t>
        </is>
      </c>
      <c r="E56" s="31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2.6% of Assets</t>
        </is>
      </c>
      <c r="E57" s="31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15.65%</t>
        </is>
      </c>
      <c r="F6" s="33" t="inlineStr">
        <is>
          <t>4.2x</t>
        </is>
      </c>
      <c r="G6" s="33" t="inlineStr">
        <is>
          <t>$86.00</t>
        </is>
      </c>
      <c r="H6" s="33" t="inlineStr">
        <is>
          <t>+13.2%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17.65%</t>
        </is>
      </c>
      <c r="F7" s="27" t="inlineStr">
        <is>
          <t>3.2x</t>
        </is>
      </c>
      <c r="G7" s="27" t="inlineStr">
        <is>
          <t>$65.50</t>
        </is>
      </c>
      <c r="H7" s="27" t="inlineStr">
        <is>
          <t>-13.8%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$45.00</t>
        </is>
      </c>
      <c r="H8" s="27" t="inlineStr">
        <is>
          <t>-40.8%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14.15%</t>
        </is>
      </c>
      <c r="F9" s="27" t="inlineStr">
        <is>
          <t>5.7x</t>
        </is>
      </c>
      <c r="G9" s="27" t="inlineStr">
        <is>
          <t>$101.48</t>
        </is>
      </c>
      <c r="H9" s="27" t="inlineStr">
        <is>
          <t>+33.5%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584.2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METINV Senior Unsecured Eurobonds</t>
        </is>
      </c>
      <c r="C15" s="8" t="n">
        <v>1752.6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45.0%</t>
        </is>
      </c>
      <c r="G15" s="27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350.5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934.7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4" t="inlineStr">
        <is>
          <t>$8094.0M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4" t="inlineStr">
        <is>
          <t>$993.6M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1.79x</t>
        </is>
      </c>
      <c r="E9" s="31" t="inlineStr">
        <is>
          <t>Ahead of Target</t>
        </is>
      </c>
      <c r="F9" s="36" t="inlineStr">
        <is>
          <t>Deleveraging on track with 1.96x buffer below covenant limit.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4" t="inlineStr">
        <is>
          <t>$311.1M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$690.0M in liquid bank deposits</t>
        </is>
      </c>
    </row>
    <row r="35">
      <c r="B35" s="9" t="inlineStr">
        <is>
          <t>Undrawn Committed Credit Lines</t>
        </is>
      </c>
      <c r="C35" s="36" t="inlineStr">
        <is>
          <t>$817.9M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2026-09-19T21:22:54Z</dcterms:created>
  <dcterms:modified xmlns:dcterms="http://purl.org/dc/terms/" xmlns:xsi="http://www.w3.org/2001/XMLSchema-instance" xsi:type="dcterms:W3CDTF">2026-09-19T21:22:54Z</dcterms:modified>
</cp:coreProperties>
</file>