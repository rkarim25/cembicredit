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(THYAO) — Institutional Credit Model</t>
        </is>
      </c>
    </row>
    <row r="3">
      <c r="B3" s="2" t="inlineStr">
        <is>
          <t>Sector: Aviation | Country: Turkey | Rating: BB- / BB- | Benchmark: THYAO 7.25% 2029 @ $99.20 (7.45% YTM / +340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Global hub carrier with Istanbul Airport cost advantage; &gt;85% hard currency revenue, excellent cargo yield.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THYAO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5346</v>
      </c>
      <c r="F26" s="7" t="inlineStr">
        <is>
          <t>7.45%</t>
        </is>
      </c>
      <c r="G26" s="7" t="inlineStr">
        <is>
          <t>$99.20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THYAO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3564</v>
      </c>
      <c r="F27" s="7" t="inlineStr">
        <is>
          <t>6.70%</t>
        </is>
      </c>
      <c r="G27" s="7" t="inlineStr">
        <is>
          <t>$101.70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2970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Available Seat Kilometers (ASK) (Billion)</t>
        </is>
      </c>
      <c r="C6" s="13" t="n">
        <v>68.5</v>
      </c>
      <c r="D6" s="13" t="n">
        <v>82</v>
      </c>
      <c r="E6" s="13" t="n">
        <v>94.5</v>
      </c>
      <c r="F6" s="13" t="n">
        <v>106</v>
      </c>
      <c r="G6" s="13" t="n">
        <v>116</v>
      </c>
      <c r="H6" s="13" t="n">
        <v>126</v>
      </c>
      <c r="I6" s="13" t="n">
        <v>136</v>
      </c>
    </row>
    <row r="7">
      <c r="B7" s="7" t="inlineStr">
        <is>
          <t>Revenue Passenger Kilometers (RPK) (Billion)</t>
        </is>
      </c>
      <c r="C7" s="13" t="n">
        <v>54.8</v>
      </c>
      <c r="D7" s="13" t="n">
        <v>68.90000000000001</v>
      </c>
      <c r="E7" s="13" t="n">
        <v>81.3</v>
      </c>
      <c r="F7" s="13" t="n">
        <v>91.2</v>
      </c>
      <c r="G7" s="13" t="n">
        <v>100.9</v>
      </c>
      <c r="H7" s="13" t="n">
        <v>110.2</v>
      </c>
      <c r="I7" s="13" t="n">
        <v>119.7</v>
      </c>
    </row>
    <row r="8">
      <c r="B8" s="7" t="inlineStr">
        <is>
          <t>Passenger Load Factor (%)</t>
        </is>
      </c>
      <c r="C8" s="13" t="n">
        <v>80</v>
      </c>
      <c r="D8" s="13" t="n">
        <v>84</v>
      </c>
      <c r="E8" s="13" t="n">
        <v>86</v>
      </c>
      <c r="F8" s="13" t="n">
        <v>86</v>
      </c>
      <c r="G8" s="13" t="n">
        <v>87</v>
      </c>
      <c r="H8" s="13" t="n">
        <v>87.5</v>
      </c>
      <c r="I8" s="13" t="n">
        <v>88</v>
      </c>
    </row>
    <row r="9">
      <c r="B9" s="7" t="inlineStr">
        <is>
          <t>Passenger Yield per RPK (cents)</t>
        </is>
      </c>
      <c r="C9" s="13" t="n">
        <v>6.8</v>
      </c>
      <c r="D9" s="13" t="n">
        <v>8.4</v>
      </c>
      <c r="E9" s="13" t="n">
        <v>8.1</v>
      </c>
      <c r="F9" s="13" t="n">
        <v>7.9</v>
      </c>
      <c r="G9" s="13" t="n">
        <v>7.8</v>
      </c>
      <c r="H9" s="13" t="n">
        <v>7.7</v>
      </c>
      <c r="I9" s="13" t="n">
        <v>7.6</v>
      </c>
    </row>
    <row r="10">
      <c r="B10" s="7" t="inlineStr">
        <is>
          <t>Active Commercial Aircraft Fleet (Planes)</t>
        </is>
      </c>
      <c r="C10" s="14" t="n">
        <v>180</v>
      </c>
      <c r="D10" s="14" t="n">
        <v>195</v>
      </c>
      <c r="E10" s="14" t="n">
        <v>215</v>
      </c>
      <c r="F10" s="14" t="n">
        <v>235</v>
      </c>
      <c r="G10" s="14" t="n">
        <v>255</v>
      </c>
      <c r="H10" s="14" t="n">
        <v>275</v>
      </c>
      <c r="I10" s="14" t="n">
        <v>295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Scheduled Passenger Flights</t>
        </is>
      </c>
      <c r="C15" s="8" t="n">
        <v>10567.2</v>
      </c>
      <c r="D15" s="8" t="n">
        <v>12742.8</v>
      </c>
      <c r="E15" s="8" t="n">
        <v>14296.8</v>
      </c>
      <c r="F15" s="8" t="n">
        <v>15540</v>
      </c>
      <c r="G15" s="8" t="n">
        <v>16783.2</v>
      </c>
      <c r="H15" s="8" t="n">
        <v>17871</v>
      </c>
      <c r="I15" s="8" t="n">
        <v>18648</v>
      </c>
    </row>
    <row r="16">
      <c r="B16" s="7" t="inlineStr">
        <is>
          <t>Cargo &amp; Freight Air Logistics</t>
        </is>
      </c>
      <c r="C16" s="8" t="n">
        <v>2284.8</v>
      </c>
      <c r="D16" s="8" t="n">
        <v>2755.2</v>
      </c>
      <c r="E16" s="8" t="n">
        <v>3091.2</v>
      </c>
      <c r="F16" s="8" t="n">
        <v>3360</v>
      </c>
      <c r="G16" s="8" t="n">
        <v>3628.8</v>
      </c>
      <c r="H16" s="8" t="n">
        <v>3864</v>
      </c>
      <c r="I16" s="8" t="n">
        <v>4032</v>
      </c>
    </row>
    <row r="17">
      <c r="B17" s="7" t="inlineStr">
        <is>
          <t>Ancillary &amp; Technical Maintenance</t>
        </is>
      </c>
      <c r="C17" s="8" t="n">
        <v>1428</v>
      </c>
      <c r="D17" s="8" t="n">
        <v>1722</v>
      </c>
      <c r="E17" s="8" t="n">
        <v>1932</v>
      </c>
      <c r="F17" s="8" t="n">
        <v>2100</v>
      </c>
      <c r="G17" s="8" t="n">
        <v>2268</v>
      </c>
      <c r="H17" s="8" t="n">
        <v>2415</v>
      </c>
      <c r="I17" s="8" t="n">
        <v>2520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Scheduled Passenger Flights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Cargo &amp; Freight Air Logistics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Ancillary &amp; Technical Maintenance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21420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4998</v>
      </c>
      <c r="D36" s="8" t="n">
        <v>4998</v>
      </c>
      <c r="E36" s="8" t="n">
        <v>4998</v>
      </c>
      <c r="F36" s="8" t="n">
        <v>4998</v>
      </c>
      <c r="G36" s="8" t="n">
        <v>4998</v>
      </c>
      <c r="H36" s="8" t="n">
        <v>4998</v>
      </c>
      <c r="I36" s="8" t="n">
        <v>4998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4">
        <f>C21 - C39</f>
        <v/>
      </c>
      <c r="D41" s="24">
        <f>D21 - D39</f>
        <v/>
      </c>
      <c r="E41" s="24">
        <f>E21 - E39</f>
        <v/>
      </c>
      <c r="F41" s="24">
        <f>F21 - F39</f>
        <v/>
      </c>
      <c r="G41" s="24">
        <f>G21 - G39</f>
        <v/>
      </c>
      <c r="H41" s="24">
        <f>H21 - H39</f>
        <v/>
      </c>
      <c r="I41" s="24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-1078</v>
      </c>
      <c r="D16" s="8" t="n">
        <v>-1309</v>
      </c>
      <c r="E16" s="8" t="n">
        <v>-1463</v>
      </c>
      <c r="F16" s="8" t="n">
        <v>-1540</v>
      </c>
      <c r="G16" s="8" t="n">
        <v>-1617</v>
      </c>
      <c r="H16" s="8" t="n">
        <v>-1570.8</v>
      </c>
      <c r="I16" s="8" t="n">
        <v>-1509.2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1815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THYAO Benchmark Eurobond Notes</t>
        </is>
      </c>
    </row>
    <row r="7">
      <c r="B7" s="7" t="inlineStr">
        <is>
          <t xml:space="preserve">  Beginning Principal Balance</t>
        </is>
      </c>
      <c r="C7" s="8" t="n">
        <v>4544.1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1514.7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1009.8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0.0745</f>
        <v/>
      </c>
      <c r="D11" s="8">
        <f>D10 * 0.0745</f>
        <v/>
      </c>
      <c r="E11" s="8">
        <f>E10 * 0.0745</f>
        <v/>
      </c>
      <c r="F11" s="8">
        <f>F10 * 0.0745</f>
        <v/>
      </c>
      <c r="G11" s="8">
        <f>G10 * 0.0745</f>
        <v/>
      </c>
      <c r="H11" s="8">
        <f>H10 * 0.0745</f>
        <v/>
      </c>
      <c r="I11" s="8">
        <f>I10 * 0.0745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5553.9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5" t="inlineStr">
        <is>
          <t>2025</t>
        </is>
      </c>
      <c r="C31" s="25" t="inlineStr">
        <is>
          <t>2026</t>
        </is>
      </c>
      <c r="D31" s="25" t="inlineStr">
        <is>
          <t>2027</t>
        </is>
      </c>
      <c r="E31" s="25" t="inlineStr">
        <is>
          <t>2028</t>
        </is>
      </c>
      <c r="F31" s="25" t="inlineStr">
        <is>
          <t>2029</t>
        </is>
      </c>
      <c r="G31" s="25" t="inlineStr">
        <is>
          <t>2030+</t>
        </is>
      </c>
    </row>
    <row r="32">
      <c r="B32" s="8" t="n">
        <v>1425.6</v>
      </c>
      <c r="C32" s="8" t="n">
        <v>2613.6</v>
      </c>
      <c r="D32" s="8" t="n">
        <v>3326.4</v>
      </c>
      <c r="E32" s="8" t="n">
        <v>2138.4</v>
      </c>
      <c r="F32" s="8" t="n">
        <v>1425.6</v>
      </c>
      <c r="G32" s="8" t="n">
        <v>950.4</v>
      </c>
    </row>
  </sheetData>
  <mergeCells count="1">
    <mergeCell ref="B2:I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EBITDA)</t>
        </is>
      </c>
      <c r="C8" s="26">
        <f>'Debt Schedule &amp; Tranches'!C26 / 'Income Statement (P&amp;L)'!C22</f>
        <v/>
      </c>
      <c r="D8" s="26">
        <f>'Debt Schedule &amp; Tranches'!D26 / 'Income Statement (P&amp;L)'!D22</f>
        <v/>
      </c>
      <c r="E8" s="26">
        <f>'Debt Schedule &amp; Tranches'!E26 / 'Income Statement (P&amp;L)'!E22</f>
        <v/>
      </c>
      <c r="F8" s="26">
        <f>'Debt Schedule &amp; Tranches'!F26 / 'Income Statement (P&amp;L)'!F22</f>
        <v/>
      </c>
      <c r="G8" s="26">
        <f>'Debt Schedule &amp; Tranches'!G26 / 'Income Statement (P&amp;L)'!G22</f>
        <v/>
      </c>
      <c r="H8" s="26">
        <f>'Debt Schedule &amp; Tranches'!H26 / 'Income Statement (P&amp;L)'!H22</f>
        <v/>
      </c>
      <c r="I8" s="26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9" t="inlineStr">
        <is>
          <t>EBITDA INTEREST COVERAGE</t>
        </is>
      </c>
      <c r="C10" s="26">
        <f>'Income Statement (P&amp;L)'!C22 / 'Debt Schedule &amp; Tranches'!C28</f>
        <v/>
      </c>
      <c r="D10" s="26">
        <f>'Income Statement (P&amp;L)'!D22 / 'Debt Schedule &amp; Tranches'!D28</f>
        <v/>
      </c>
      <c r="E10" s="26">
        <f>'Income Statement (P&amp;L)'!E22 / 'Debt Schedule &amp; Tranches'!E28</f>
        <v/>
      </c>
      <c r="F10" s="26">
        <f>'Income Statement (P&amp;L)'!F22 / 'Debt Schedule &amp; Tranches'!F28</f>
        <v/>
      </c>
      <c r="G10" s="26">
        <f>'Income Statement (P&amp;L)'!G22 / 'Debt Schedule &amp; Tranches'!G28</f>
        <v/>
      </c>
      <c r="H10" s="26">
        <f>'Income Statement (P&amp;L)'!H22 / 'Debt Schedule &amp; Tranches'!H28</f>
        <v/>
      </c>
      <c r="I10" s="26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5" t="inlineStr">
        <is>
          <t>Scenario Name</t>
        </is>
      </c>
      <c r="C5" s="25" t="inlineStr">
        <is>
          <t>Revenue Drop</t>
        </is>
      </c>
      <c r="D5" s="25" t="inlineStr">
        <is>
          <t>Margin Compression</t>
        </is>
      </c>
      <c r="E5" s="25" t="inlineStr">
        <is>
          <t>Refinancing Rate</t>
        </is>
      </c>
      <c r="F5" s="25" t="inlineStr">
        <is>
          <t>Exit EV Multiple</t>
        </is>
      </c>
      <c r="G5" s="25" t="inlineStr">
        <is>
          <t>Implied Recovery Px</t>
        </is>
      </c>
      <c r="H5" s="25" t="inlineStr">
        <is>
          <t>Upside / Downside</t>
        </is>
      </c>
    </row>
    <row r="6">
      <c r="B6" s="19" t="inlineStr">
        <is>
          <t>Base Case (Consensus Forecast)</t>
        </is>
      </c>
      <c r="C6" s="27" t="inlineStr">
        <is>
          <t>0.0%</t>
        </is>
      </c>
      <c r="D6" s="27" t="inlineStr">
        <is>
          <t>0 bp</t>
        </is>
      </c>
      <c r="E6" s="27" t="inlineStr">
        <is>
          <t>7.45%</t>
        </is>
      </c>
      <c r="F6" s="27" t="inlineStr">
        <is>
          <t>4.2x</t>
        </is>
      </c>
      <c r="G6" s="27" t="inlineStr">
        <is>
          <t>$101.00</t>
        </is>
      </c>
      <c r="H6" s="27" t="inlineStr">
        <is>
          <t>+1.8%</t>
        </is>
      </c>
    </row>
    <row r="7">
      <c r="B7" s="7" t="inlineStr">
        <is>
          <t>Downside Stress Case (Recession)</t>
        </is>
      </c>
      <c r="C7" s="28" t="inlineStr">
        <is>
          <t>-15.0%</t>
        </is>
      </c>
      <c r="D7" s="28" t="inlineStr">
        <is>
          <t>-300 bp</t>
        </is>
      </c>
      <c r="E7" s="28" t="inlineStr">
        <is>
          <t>9.45%</t>
        </is>
      </c>
      <c r="F7" s="28" t="inlineStr">
        <is>
          <t>3.2x</t>
        </is>
      </c>
      <c r="G7" s="28" t="inlineStr">
        <is>
          <t>$85.50</t>
        </is>
      </c>
      <c r="H7" s="28" t="inlineStr">
        <is>
          <t>-13.8%</t>
        </is>
      </c>
    </row>
    <row r="8">
      <c r="B8" s="7" t="inlineStr">
        <is>
          <t>Severe Distressed Floor (Liquidation)</t>
        </is>
      </c>
      <c r="C8" s="28" t="inlineStr">
        <is>
          <t>-35.0%</t>
        </is>
      </c>
      <c r="D8" s="28" t="inlineStr">
        <is>
          <t>-650 bp</t>
        </is>
      </c>
      <c r="E8" s="28" t="inlineStr">
        <is>
          <t>+500 bp spread</t>
        </is>
      </c>
      <c r="F8" s="28" t="inlineStr">
        <is>
          <t>Liquidation Value</t>
        </is>
      </c>
      <c r="G8" s="28" t="inlineStr">
        <is>
          <t>$70.00</t>
        </is>
      </c>
      <c r="H8" s="28" t="inlineStr">
        <is>
          <t>-29.4%</t>
        </is>
      </c>
    </row>
    <row r="9">
      <c r="B9" s="7" t="inlineStr">
        <is>
          <t>Bull Case (Cycle Peak / Accretion)</t>
        </is>
      </c>
      <c r="C9" s="28" t="inlineStr">
        <is>
          <t>+12.0%</t>
        </is>
      </c>
      <c r="D9" s="28" t="inlineStr">
        <is>
          <t>+200 bp</t>
        </is>
      </c>
      <c r="E9" s="28" t="inlineStr">
        <is>
          <t>5.95%</t>
        </is>
      </c>
      <c r="F9" s="28" t="inlineStr">
        <is>
          <t>5.7x</t>
        </is>
      </c>
      <c r="G9" s="28" t="inlineStr">
        <is>
          <t>$105.00</t>
        </is>
      </c>
      <c r="H9" s="28" t="inlineStr">
        <is>
          <t>+5.8%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5" t="inlineStr">
        <is>
          <t>Tranche Claim</t>
        </is>
      </c>
      <c r="C13" s="25" t="inlineStr">
        <is>
          <t>Claim Amount ($M)</t>
        </is>
      </c>
      <c r="D13" s="25" t="inlineStr">
        <is>
          <t>Seniority Ranking</t>
        </is>
      </c>
      <c r="E13" s="25" t="inlineStr">
        <is>
          <t>Estimated Collateral</t>
        </is>
      </c>
      <c r="F13" s="25" t="inlineStr">
        <is>
          <t>Recovery Floor (%)</t>
        </is>
      </c>
      <c r="G13" s="25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2970</v>
      </c>
      <c r="D14" s="7" t="inlineStr">
        <is>
          <t>Senior Secured (Pari Passu)</t>
        </is>
      </c>
      <c r="E14" s="7" t="inlineStr">
        <is>
          <t>First Lien Fixed Charges</t>
        </is>
      </c>
      <c r="F14" s="28" t="inlineStr">
        <is>
          <t>100.0%</t>
        </is>
      </c>
      <c r="G14" s="28" t="inlineStr">
        <is>
          <t>100.0%</t>
        </is>
      </c>
    </row>
    <row r="15">
      <c r="B15" s="7" t="inlineStr">
        <is>
          <t>THYAO Senior Unsecured Eurobonds</t>
        </is>
      </c>
      <c r="C15" s="8" t="n">
        <v>8910</v>
      </c>
      <c r="D15" s="7" t="inlineStr">
        <is>
          <t>Senior Unsecured</t>
        </is>
      </c>
      <c r="E15" s="7" t="inlineStr">
        <is>
          <t>General Corporate Guarantee</t>
        </is>
      </c>
      <c r="F15" s="28" t="inlineStr">
        <is>
          <t>70.0%</t>
        </is>
      </c>
      <c r="G15" s="28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1782</v>
      </c>
      <c r="D16" s="7" t="inlineStr">
        <is>
          <t>Subordinated</t>
        </is>
      </c>
      <c r="E16" s="7" t="inlineStr">
        <is>
          <t>Junior Unsecured Claim</t>
        </is>
      </c>
      <c r="F16" s="28" t="inlineStr">
        <is>
          <t>0.0%</t>
        </is>
      </c>
      <c r="G16" s="28" t="inlineStr">
        <is>
          <t>25.0%</t>
        </is>
      </c>
    </row>
    <row r="17">
      <c r="B17" s="7" t="inlineStr">
        <is>
          <t>Equity Shareholders</t>
        </is>
      </c>
      <c r="C17" s="8" t="n">
        <v>4752</v>
      </c>
      <c r="D17" s="7" t="inlineStr">
        <is>
          <t>Residual Equity</t>
        </is>
      </c>
      <c r="E17" s="7" t="inlineStr">
        <is>
          <t>Ordinary Shares</t>
        </is>
      </c>
      <c r="F17" s="28" t="inlineStr">
        <is>
          <t>0.0%</t>
        </is>
      </c>
      <c r="G17" s="28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2026-09-19T21:03:45Z</dcterms:created>
  <dcterms:modified xmlns:dcterms="http://purl.org/dc/terms/" xmlns:xsi="http://www.w3.org/2001/XMLSchema-instance" xsi:type="dcterms:W3CDTF">2026-09-19T21:03:45Z</dcterms:modified>
</cp:coreProperties>
</file>