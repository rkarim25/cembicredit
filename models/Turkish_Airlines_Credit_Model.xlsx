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(+$42.9M)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(+$193.6M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(+$217.8M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(+$242.0M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(+$72.6M)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(+$77.9M)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(+$81.8M)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(+$42.9M)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(+$193.6M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(+$217.8M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(+$242.0M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(+$72.6M)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(+$77.9M)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(+$81.8M)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(THYAO) — Institutional Credit Model</t>
        </is>
      </c>
    </row>
    <row r="3">
      <c r="B3" s="2" t="inlineStr">
        <is>
          <t>Sector: Aviation | Country: Turkey | Rating: BB- / BB- | Benchmark: THYAO 7.25% 2029 @ $99.20 (7.45% YTM / +340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Global hub carrier with Istanbul Airport cost advantage; &gt;85% hard currency revenue, excellent cargo yield.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THYAO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5346</v>
      </c>
      <c r="F26" s="7" t="inlineStr">
        <is>
          <t>7.45%</t>
        </is>
      </c>
      <c r="G26" s="7" t="inlineStr">
        <is>
          <t>$99.20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THYAO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3564</v>
      </c>
      <c r="F27" s="7" t="inlineStr">
        <is>
          <t>6.70%</t>
        </is>
      </c>
      <c r="G27" s="7" t="inlineStr">
        <is>
          <t>$101.70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2970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Available Seat Kilometers (ASK) (Billion)</t>
        </is>
      </c>
      <c r="C6" s="13" t="n">
        <v>68.5</v>
      </c>
      <c r="D6" s="13" t="n">
        <v>82</v>
      </c>
      <c r="E6" s="13" t="n">
        <v>94.5</v>
      </c>
      <c r="F6" s="13" t="n">
        <v>106</v>
      </c>
      <c r="G6" s="13" t="n">
        <v>116</v>
      </c>
      <c r="H6" s="13" t="n">
        <v>126</v>
      </c>
      <c r="I6" s="13" t="n">
        <v>136</v>
      </c>
    </row>
    <row r="7">
      <c r="B7" s="7" t="inlineStr">
        <is>
          <t>Revenue Passenger Kilometers (RPK) (Billion)</t>
        </is>
      </c>
      <c r="C7" s="13" t="n">
        <v>54.8</v>
      </c>
      <c r="D7" s="13" t="n">
        <v>68.90000000000001</v>
      </c>
      <c r="E7" s="13" t="n">
        <v>81.3</v>
      </c>
      <c r="F7" s="13" t="n">
        <v>91.2</v>
      </c>
      <c r="G7" s="13" t="n">
        <v>100.9</v>
      </c>
      <c r="H7" s="13" t="n">
        <v>110.2</v>
      </c>
      <c r="I7" s="13" t="n">
        <v>119.7</v>
      </c>
    </row>
    <row r="8">
      <c r="B8" s="7" t="inlineStr">
        <is>
          <t>Passenger Load Factor (%)</t>
        </is>
      </c>
      <c r="C8" s="13" t="n">
        <v>80</v>
      </c>
      <c r="D8" s="13" t="n">
        <v>84</v>
      </c>
      <c r="E8" s="13" t="n">
        <v>86</v>
      </c>
      <c r="F8" s="13" t="n">
        <v>86</v>
      </c>
      <c r="G8" s="13" t="n">
        <v>87</v>
      </c>
      <c r="H8" s="13" t="n">
        <v>87.5</v>
      </c>
      <c r="I8" s="13" t="n">
        <v>88</v>
      </c>
    </row>
    <row r="9">
      <c r="B9" s="7" t="inlineStr">
        <is>
          <t>Passenger Yield per RPK (cents)</t>
        </is>
      </c>
      <c r="C9" s="13" t="n">
        <v>6.8</v>
      </c>
      <c r="D9" s="13" t="n">
        <v>8.4</v>
      </c>
      <c r="E9" s="13" t="n">
        <v>8.1</v>
      </c>
      <c r="F9" s="13" t="n">
        <v>7.9</v>
      </c>
      <c r="G9" s="13" t="n">
        <v>7.8</v>
      </c>
      <c r="H9" s="13" t="n">
        <v>7.7</v>
      </c>
      <c r="I9" s="13" t="n">
        <v>7.6</v>
      </c>
    </row>
    <row r="10">
      <c r="B10" s="7" t="inlineStr">
        <is>
          <t>Active Commercial Aircraft Fleet (Planes)</t>
        </is>
      </c>
      <c r="C10" s="14" t="n">
        <v>180</v>
      </c>
      <c r="D10" s="14" t="n">
        <v>195</v>
      </c>
      <c r="E10" s="14" t="n">
        <v>215</v>
      </c>
      <c r="F10" s="14" t="n">
        <v>235</v>
      </c>
      <c r="G10" s="14" t="n">
        <v>255</v>
      </c>
      <c r="H10" s="14" t="n">
        <v>275</v>
      </c>
      <c r="I10" s="14" t="n">
        <v>295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Scheduled Passenger Flights</t>
        </is>
      </c>
      <c r="C15" s="8" t="n">
        <v>10567.2</v>
      </c>
      <c r="D15" s="8" t="n">
        <v>12742.8</v>
      </c>
      <c r="E15" s="8" t="n">
        <v>14296.8</v>
      </c>
      <c r="F15" s="8" t="n">
        <v>15540</v>
      </c>
      <c r="G15" s="8" t="n">
        <v>16783.2</v>
      </c>
      <c r="H15" s="8" t="n">
        <v>17871</v>
      </c>
      <c r="I15" s="8" t="n">
        <v>18648</v>
      </c>
    </row>
    <row r="16">
      <c r="B16" s="7" t="inlineStr">
        <is>
          <t>Cargo &amp; Freight Air Logistics</t>
        </is>
      </c>
      <c r="C16" s="8" t="n">
        <v>2284.8</v>
      </c>
      <c r="D16" s="8" t="n">
        <v>2755.2</v>
      </c>
      <c r="E16" s="8" t="n">
        <v>3091.2</v>
      </c>
      <c r="F16" s="8" t="n">
        <v>3360</v>
      </c>
      <c r="G16" s="8" t="n">
        <v>3628.8</v>
      </c>
      <c r="H16" s="8" t="n">
        <v>3864</v>
      </c>
      <c r="I16" s="8" t="n">
        <v>4032</v>
      </c>
    </row>
    <row r="17">
      <c r="B17" s="7" t="inlineStr">
        <is>
          <t>Ancillary &amp; Technical Maintenance</t>
        </is>
      </c>
      <c r="C17" s="8" t="n">
        <v>1428</v>
      </c>
      <c r="D17" s="8" t="n">
        <v>1722</v>
      </c>
      <c r="E17" s="8" t="n">
        <v>1932</v>
      </c>
      <c r="F17" s="8" t="n">
        <v>2100</v>
      </c>
      <c r="G17" s="8" t="n">
        <v>2268</v>
      </c>
      <c r="H17" s="8" t="n">
        <v>2415</v>
      </c>
      <c r="I17" s="8" t="n">
        <v>2520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Scheduled Passenger Flights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Cargo &amp; Freight Air Logistics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Ancillary &amp; Technical Maintenance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42.9</v>
      </c>
      <c r="D35" s="24" t="n">
        <v>193.6</v>
      </c>
      <c r="E35" s="24" t="n">
        <v>217.8</v>
      </c>
      <c r="F35" s="24" t="n">
        <v>242</v>
      </c>
      <c r="G35" s="24" t="n">
        <v>72.59999999999999</v>
      </c>
      <c r="H35" s="24" t="n">
        <v>77.90000000000001</v>
      </c>
      <c r="I35" s="24" t="n">
        <v>81.8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(+$42.9M)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(+$193.6M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(+$217.8M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(+$242.0M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(+$72.6M)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(+$77.9M)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(+$81.8M)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21420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4998</v>
      </c>
      <c r="D36" s="8" t="n">
        <v>4998</v>
      </c>
      <c r="E36" s="8" t="n">
        <v>4998</v>
      </c>
      <c r="F36" s="8" t="n">
        <v>4998</v>
      </c>
      <c r="G36" s="8" t="n">
        <v>4998</v>
      </c>
      <c r="H36" s="8" t="n">
        <v>4998</v>
      </c>
      <c r="I36" s="8" t="n">
        <v>4998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-1141.1</v>
      </c>
      <c r="D16" s="8" t="n">
        <v>-1995.8</v>
      </c>
      <c r="E16" s="8" t="n">
        <v>-2245.3</v>
      </c>
      <c r="F16" s="8" t="n">
        <v>-2125.2</v>
      </c>
      <c r="G16" s="8" t="n">
        <v>-1931.2</v>
      </c>
      <c r="H16" s="8" t="n">
        <v>-2071.6</v>
      </c>
      <c r="I16" s="8" t="n">
        <v>-2176.9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1815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696.6</v>
      </c>
      <c r="D32" s="8" t="n">
        <v>1447.4</v>
      </c>
      <c r="E32" s="8" t="n">
        <v>1632.1</v>
      </c>
      <c r="F32" s="8" t="n">
        <v>1043.5</v>
      </c>
      <c r="G32" s="8" t="n">
        <v>1111.8</v>
      </c>
      <c r="H32" s="8" t="n">
        <v>1170.3</v>
      </c>
      <c r="I32" s="8" t="n">
        <v>1210.9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THYAO Benchmark Eurobond Notes</t>
        </is>
      </c>
    </row>
    <row r="7">
      <c r="B7" s="7" t="inlineStr">
        <is>
          <t xml:space="preserve">  Beginning Principal Balance</t>
        </is>
      </c>
      <c r="C7" s="8" t="n">
        <v>4544.1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1514.7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1009.8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0.0745</f>
        <v/>
      </c>
      <c r="D11" s="8">
        <f>D10 * 0.0745</f>
        <v/>
      </c>
      <c r="E11" s="8">
        <f>E10 * 0.0745</f>
        <v/>
      </c>
      <c r="F11" s="8">
        <f>F10 * 0.0745</f>
        <v/>
      </c>
      <c r="G11" s="8">
        <f>G10 * 0.0745</f>
        <v/>
      </c>
      <c r="H11" s="8">
        <f>H10 * 0.0745</f>
        <v/>
      </c>
      <c r="I11" s="8">
        <f>I10 * 0.0745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5553.9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1425.6</v>
      </c>
      <c r="C32" s="8" t="n">
        <v>2613.6</v>
      </c>
      <c r="D32" s="8" t="n">
        <v>3326.4</v>
      </c>
      <c r="E32" s="8" t="n">
        <v>2138.4</v>
      </c>
      <c r="F32" s="8" t="n">
        <v>1425.6</v>
      </c>
      <c r="G32" s="8" t="n">
        <v>950.4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THYAO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5346</v>
      </c>
      <c r="F37" s="30" t="inlineStr">
        <is>
          <t>7.450%</t>
        </is>
      </c>
      <c r="G37" s="31" t="n">
        <v>99.2</v>
      </c>
      <c r="H37" s="32" t="n">
        <v>7.45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THYAO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3564</v>
      </c>
      <c r="F38" s="30" t="inlineStr">
        <is>
          <t>6.800%</t>
        </is>
      </c>
      <c r="G38" s="31" t="n">
        <v>101.2</v>
      </c>
      <c r="H38" s="32" t="n">
        <v>6.8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1782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1188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THYAO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3326.4</v>
      </c>
    </row>
    <row r="45">
      <c r="B45" s="7" t="inlineStr">
        <is>
          <t>Drawn Amount ($M)</t>
        </is>
      </c>
      <c r="C45" s="8" t="n">
        <v>1188</v>
      </c>
    </row>
    <row r="46">
      <c r="B46" s="19" t="inlineStr">
        <is>
          <t>AVAILABLE UNDRAWN HEADROOM ($M)</t>
        </is>
      </c>
      <c r="C46" s="20" t="n">
        <v>2138.4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1.95x</t>
        </is>
      </c>
      <c r="E55" s="33" t="inlineStr">
        <is>
          <t>1.80x leverage buffer ($7920.0M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4.80x</t>
        </is>
      </c>
      <c r="E56" s="33" t="inlineStr">
        <is>
          <t>+2.30x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4.7% of Assets</t>
        </is>
      </c>
      <c r="E57" s="33" t="inlineStr">
        <is>
          <t>$4620.0M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7.45%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+1.8%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9.45%</t>
        </is>
      </c>
      <c r="F7" s="30" t="inlineStr">
        <is>
          <t>3.2x</t>
        </is>
      </c>
      <c r="G7" s="30" t="inlineStr">
        <is>
          <t>$85.50</t>
        </is>
      </c>
      <c r="H7" s="30" t="inlineStr">
        <is>
          <t>-13.8%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$70.00</t>
        </is>
      </c>
      <c r="H8" s="30" t="inlineStr">
        <is>
          <t>-29.4%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5.95%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+5.8%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2970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THYAO Senior Unsecured Eurobonds</t>
        </is>
      </c>
      <c r="C15" s="8" t="n">
        <v>8910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70.0%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1782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4752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Turkish Airlines (THY) (THYAO) — Earnings Presentation &amp; Management Guidance</t>
        </is>
      </c>
    </row>
    <row r="3">
      <c r="B3" s="2" t="inlineStr">
        <is>
          <t>Source: Turkish Airlines (THY)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$22680.0M (+8.0% YoY growth)</t>
        </is>
      </c>
      <c r="D7" s="36" t="inlineStr">
        <is>
          <t>$22365.0M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$22680.0M (+8.0% YoY growth). With current run-rate at $22365.0M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$4840.0M (21.3% margin)</t>
        </is>
      </c>
      <c r="D8" s="36" t="inlineStr">
        <is>
          <t>$4752.0M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$4840.0M (21.3%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1.95x</t>
        </is>
      </c>
      <c r="E9" s="33" t="inlineStr">
        <is>
          <t>Ahead of Target</t>
        </is>
      </c>
      <c r="F9" s="38" t="inlineStr">
        <is>
          <t>Deleveraging on track with 1.80x buffer below covenant limit.
[QUESTION TO CFO TO VERIFY]: You previously committed to a Net Leverage ceiling of &lt; 3.25x Net Debt / EBITDA. Current actual leverage stands at 1.95x.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$1617.0M (Maximum growth and sustaining envelope)</t>
        </is>
      </c>
      <c r="D10" s="36" t="inlineStr">
        <is>
          <t>$1487.6M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$1617.0M (Maximum growth and sustaining envelope). Current commitments stand at $1487.6M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$3850.0M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$13650.0M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Turkey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$3300.0M</t>
        </is>
      </c>
    </row>
    <row r="32">
      <c r="B32" s="9" t="inlineStr">
        <is>
          <t>Undrawn Committed Bank Rcfs</t>
        </is>
      </c>
      <c r="C32" s="38" t="inlineStr">
        <is>
          <t>$4158.0M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2026-11-03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Confirmed</t>
        </is>
      </c>
    </row>
    <row r="46">
      <c r="B46" s="9" t="inlineStr">
        <is>
          <t>Conference Call &amp; Webcast Schedule</t>
        </is>
      </c>
      <c r="C46" s="38" t="inlineStr">
        <is>
          <t>18:00 Istanbul</t>
        </is>
      </c>
    </row>
    <row r="47">
      <c r="B47" s="9" t="inlineStr">
        <is>
          <t>Official IR Portal / Webcast URL</t>
        </is>
      </c>
      <c r="C47" s="38" t="inlineStr">
        <is>
          <t>https://investor.turkishairlines.com/en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2026-10-30T05:17:14Z</dcterms:created>
  <dcterms:modified xmlns:dcterms="http://purl.org/dc/terms/" xmlns:xsi="http://www.w3.org/2001/XMLSchema-instance" xsi:type="dcterms:W3CDTF">2026-10-30T05:17:14Z</dcterms:modified>
</cp:coreProperties>
</file>