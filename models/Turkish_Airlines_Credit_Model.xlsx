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(+$42.9M)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(+$77.9M)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(+$42.9M)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(+$77.9M)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Institutional Credit Model</t>
        </is>
      </c>
    </row>
    <row r="3">
      <c r="B3" s="2" t="inlineStr">
        <is>
          <t>Sector: Aviation | Country: Turkey | Rating: BB- / BB- | Benchmark: THYAO 7.25% 2029 @ $99.20 (7.45% YTM / +340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hub carrier with Istanbul Airport cost advantage; &gt;85% hard currency revenue, excellent cargo yield.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THYAO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5346</v>
      </c>
      <c r="F26" s="7" t="inlineStr">
        <is>
          <t>7.45%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THYAO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3564</v>
      </c>
      <c r="F27" s="7" t="inlineStr">
        <is>
          <t>6.70%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2970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10567.2</v>
      </c>
      <c r="D15" s="8" t="n">
        <v>12742.8</v>
      </c>
      <c r="E15" s="8" t="n">
        <v>14296.8</v>
      </c>
      <c r="F15" s="8" t="n">
        <v>15540</v>
      </c>
      <c r="G15" s="8" t="n">
        <v>16783.2</v>
      </c>
      <c r="H15" s="8" t="n">
        <v>17871</v>
      </c>
      <c r="I15" s="8" t="n">
        <v>18648</v>
      </c>
    </row>
    <row r="16">
      <c r="B16" s="7" t="inlineStr">
        <is>
          <t>Cargo &amp; Freight Air Logistics</t>
        </is>
      </c>
      <c r="C16" s="8" t="n">
        <v>2284.8</v>
      </c>
      <c r="D16" s="8" t="n">
        <v>2755.2</v>
      </c>
      <c r="E16" s="8" t="n">
        <v>3091.2</v>
      </c>
      <c r="F16" s="8" t="n">
        <v>3360</v>
      </c>
      <c r="G16" s="8" t="n">
        <v>3628.8</v>
      </c>
      <c r="H16" s="8" t="n">
        <v>3864</v>
      </c>
      <c r="I16" s="8" t="n">
        <v>4032</v>
      </c>
    </row>
    <row r="17">
      <c r="B17" s="7" t="inlineStr">
        <is>
          <t>Ancillary &amp; Technical Maintenance</t>
        </is>
      </c>
      <c r="C17" s="8" t="n">
        <v>1428</v>
      </c>
      <c r="D17" s="8" t="n">
        <v>1722</v>
      </c>
      <c r="E17" s="8" t="n">
        <v>1932</v>
      </c>
      <c r="F17" s="8" t="n">
        <v>2100</v>
      </c>
      <c r="G17" s="8" t="n">
        <v>2268</v>
      </c>
      <c r="H17" s="8" t="n">
        <v>2415</v>
      </c>
      <c r="I17" s="8" t="n">
        <v>2520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42.9</v>
      </c>
      <c r="D35" s="24" t="n">
        <v>193.6</v>
      </c>
      <c r="E35" s="24" t="n">
        <v>217.8</v>
      </c>
      <c r="F35" s="24" t="n">
        <v>242</v>
      </c>
      <c r="G35" s="24" t="n">
        <v>72.59999999999999</v>
      </c>
      <c r="H35" s="24" t="n">
        <v>77.90000000000001</v>
      </c>
      <c r="I35" s="24" t="n">
        <v>81.8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(+$42.9M)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(+$193.6M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(+$217.8M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(+$242.0M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(+$77.9M)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4998</v>
      </c>
      <c r="D36" s="8" t="n">
        <v>4998</v>
      </c>
      <c r="E36" s="8" t="n">
        <v>4998</v>
      </c>
      <c r="F36" s="8" t="n">
        <v>4998</v>
      </c>
      <c r="G36" s="8" t="n">
        <v>4998</v>
      </c>
      <c r="H36" s="8" t="n">
        <v>4998</v>
      </c>
      <c r="I36" s="8" t="n">
        <v>4998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-1078</v>
      </c>
      <c r="D16" s="8" t="n">
        <v>-1309</v>
      </c>
      <c r="E16" s="8" t="n">
        <v>-1463</v>
      </c>
      <c r="F16" s="8" t="n">
        <v>-1540</v>
      </c>
      <c r="G16" s="8" t="n">
        <v>-1617</v>
      </c>
      <c r="H16" s="8" t="n">
        <v>-1570.8</v>
      </c>
      <c r="I16" s="8" t="n">
        <v>-1509.2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1815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-226.6</v>
      </c>
      <c r="D32" s="8" t="n">
        <v>-351.2</v>
      </c>
      <c r="E32" s="8" t="n">
        <v>-448.3</v>
      </c>
      <c r="F32" s="8" t="n">
        <v>-581.2</v>
      </c>
      <c r="G32" s="8" t="n">
        <v>-530.2</v>
      </c>
      <c r="H32" s="8" t="n">
        <v>-482.8</v>
      </c>
      <c r="I32" s="8" t="n">
        <v>-477.9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THYAO Benchmark Eurobond Notes</t>
        </is>
      </c>
    </row>
    <row r="7">
      <c r="B7" s="7" t="inlineStr">
        <is>
          <t xml:space="preserve">  Beginning Principal Balance</t>
        </is>
      </c>
      <c r="C7" s="8" t="n">
        <v>4544.1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1514.7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1009.8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0.0745</f>
        <v/>
      </c>
      <c r="D11" s="8">
        <f>D10 * 0.0745</f>
        <v/>
      </c>
      <c r="E11" s="8">
        <f>E10 * 0.0745</f>
        <v/>
      </c>
      <c r="F11" s="8">
        <f>F10 * 0.0745</f>
        <v/>
      </c>
      <c r="G11" s="8">
        <f>G10 * 0.0745</f>
        <v/>
      </c>
      <c r="H11" s="8">
        <f>H10 * 0.0745</f>
        <v/>
      </c>
      <c r="I11" s="8">
        <f>I10 * 0.0745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5553.9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1425.6</v>
      </c>
      <c r="C32" s="8" t="n">
        <v>2613.6</v>
      </c>
      <c r="D32" s="8" t="n">
        <v>3326.4</v>
      </c>
      <c r="E32" s="8" t="n">
        <v>2138.4</v>
      </c>
      <c r="F32" s="8" t="n">
        <v>1425.6</v>
      </c>
      <c r="G32" s="8" t="n">
        <v>950.4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THYAO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5346</v>
      </c>
      <c r="F37" s="30" t="inlineStr">
        <is>
          <t>7.450%</t>
        </is>
      </c>
      <c r="G37" s="31" t="n">
        <v>99.2</v>
      </c>
      <c r="H37" s="32" t="n">
        <v>7.45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THYAO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3564</v>
      </c>
      <c r="F38" s="30" t="inlineStr">
        <is>
          <t>6.800%</t>
        </is>
      </c>
      <c r="G38" s="31" t="n">
        <v>101.2</v>
      </c>
      <c r="H38" s="32" t="n">
        <v>6.8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1782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1188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THYAO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3326.4</v>
      </c>
    </row>
    <row r="45">
      <c r="B45" s="7" t="inlineStr">
        <is>
          <t>Drawn Amount ($M)</t>
        </is>
      </c>
      <c r="C45" s="8" t="n">
        <v>1188</v>
      </c>
    </row>
    <row r="46">
      <c r="B46" s="19" t="inlineStr">
        <is>
          <t>AVAILABLE UNDRAWN HEADROOM ($M)</t>
        </is>
      </c>
      <c r="C46" s="20" t="n">
        <v>2138.4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1.95x</t>
        </is>
      </c>
      <c r="E55" s="33" t="inlineStr">
        <is>
          <t>1.80x leverage buffer ($7920.0M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4.7% of Assets</t>
        </is>
      </c>
      <c r="E57" s="33" t="inlineStr">
        <is>
          <t>$4620.0M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7.45%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9.45%</t>
        </is>
      </c>
      <c r="F7" s="30" t="inlineStr">
        <is>
          <t>3.2x</t>
        </is>
      </c>
      <c r="G7" s="30" t="inlineStr">
        <is>
          <t>$85.50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2970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THYAO Senior Unsecured Eurobonds</t>
        </is>
      </c>
      <c r="C15" s="8" t="n">
        <v>8910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1782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4752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Earnings Presentation &amp; Management Guidance</t>
        </is>
      </c>
    </row>
    <row r="3">
      <c r="B3" s="2" t="inlineStr">
        <is>
          <t>Source: Turkish Airlines (THY)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$22680.0M (+8.0% YoY growth)</t>
        </is>
      </c>
      <c r="D7" s="36" t="inlineStr">
        <is>
          <t>$22365.0M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$4840.0M (21.3% margin)</t>
        </is>
      </c>
      <c r="D8" s="36" t="inlineStr">
        <is>
          <t>$4752.0M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1.95x</t>
        </is>
      </c>
      <c r="E9" s="33" t="inlineStr">
        <is>
          <t>Ahead of Target</t>
        </is>
      </c>
      <c r="F9" s="38" t="inlineStr">
        <is>
          <t>Deleveraging on track with 1.80x buffer below covenant limit.</t>
        </is>
      </c>
    </row>
    <row r="10">
      <c r="B10" s="9" t="inlineStr">
        <is>
          <t>2025E Strategic Capex Envelope</t>
        </is>
      </c>
      <c r="C10" s="9" t="inlineStr">
        <is>
          <t>$1617.0M (Maximum growth and sustaining envelope)</t>
        </is>
      </c>
      <c r="D10" s="36" t="inlineStr">
        <is>
          <t>$1487.6M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$3850.0M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$13650.0M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$3300.0M</t>
        </is>
      </c>
    </row>
    <row r="32">
      <c r="B32" s="9" t="inlineStr">
        <is>
          <t>Undrawn Committed Bank Rcfs</t>
        </is>
      </c>
      <c r="C32" s="38" t="inlineStr">
        <is>
          <t>$4158.0M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2026-11-03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https://investor.turkishairlines.com/en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2026-09-20T17:49:58Z</dcterms:created>
  <dcterms:modified xmlns:dcterms="http://purl.org/dc/terms/" xmlns:xsi="http://www.w3.org/2001/XMLSchema-instance" xsi:type="dcterms:W3CDTF">2026-09-20T17:49:58Z</dcterms:modified>
</cp:coreProperties>
</file>