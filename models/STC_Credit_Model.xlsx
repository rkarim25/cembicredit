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(STC) — Institutional Credit Model</t>
        </is>
      </c>
    </row>
    <row r="3">
      <c r="B3" s="2" t="inlineStr">
        <is>
          <t>Sector: Technology | Country: Saudi Arabia | Rating: A1 / A+ | Benchmark: STC 3.922% 2029 @ $97.50 (4.85% YTM / +80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PIF sovereign telecom champion; rock-solid A+ balance sheet, negligible net debt, dominant Saudi market share.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STC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4536</v>
      </c>
      <c r="F26" s="7" t="inlineStr">
        <is>
          <t>4.85%</t>
        </is>
      </c>
      <c r="G26" s="7" t="inlineStr">
        <is>
          <t>$97.50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STC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3024</v>
      </c>
      <c r="F27" s="7" t="inlineStr">
        <is>
          <t>4.10%</t>
        </is>
      </c>
      <c r="G27" s="7" t="inlineStr">
        <is>
          <t>$100.00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2520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8085.2</v>
      </c>
      <c r="D16" s="8" t="n">
        <v>9749.799999999999</v>
      </c>
      <c r="E16" s="8" t="n">
        <v>10938.8</v>
      </c>
      <c r="F16" s="8" t="n">
        <v>11890</v>
      </c>
      <c r="G16" s="8" t="n">
        <v>12841.2</v>
      </c>
      <c r="H16" s="8" t="n">
        <v>13673.5</v>
      </c>
      <c r="I16" s="8" t="n">
        <v>14268</v>
      </c>
    </row>
    <row r="17">
      <c r="B17" s="7" t="inlineStr">
        <is>
          <t>Fixed Broadband &amp; Enterprise ICT</t>
        </is>
      </c>
      <c r="C17" s="8" t="n">
        <v>3624.4</v>
      </c>
      <c r="D17" s="8" t="n">
        <v>4370.6</v>
      </c>
      <c r="E17" s="8" t="n">
        <v>4903.6</v>
      </c>
      <c r="F17" s="8" t="n">
        <v>5330</v>
      </c>
      <c r="G17" s="8" t="n">
        <v>5756.4</v>
      </c>
      <c r="H17" s="8" t="n">
        <v>6129.5</v>
      </c>
      <c r="I17" s="8" t="n">
        <v>6396</v>
      </c>
    </row>
    <row r="18">
      <c r="B18" s="7" t="inlineStr">
        <is>
          <t>Fintech, Media &amp; Digital Services</t>
        </is>
      </c>
      <c r="C18" s="8" t="n">
        <v>2230.4</v>
      </c>
      <c r="D18" s="8" t="n">
        <v>2689.6</v>
      </c>
      <c r="E18" s="8" t="n">
        <v>3017.6</v>
      </c>
      <c r="F18" s="8" t="n">
        <v>3280</v>
      </c>
      <c r="G18" s="8" t="n">
        <v>3542.4</v>
      </c>
      <c r="H18" s="8" t="n">
        <v>3772</v>
      </c>
      <c r="I18" s="8" t="n">
        <v>3936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20910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4879</v>
      </c>
      <c r="D36" s="8" t="n">
        <v>4879</v>
      </c>
      <c r="E36" s="8" t="n">
        <v>4879</v>
      </c>
      <c r="F36" s="8" t="n">
        <v>4879</v>
      </c>
      <c r="G36" s="8" t="n">
        <v>4879</v>
      </c>
      <c r="H36" s="8" t="n">
        <v>4879</v>
      </c>
      <c r="I36" s="8" t="n">
        <v>4879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-1764</v>
      </c>
      <c r="D16" s="8" t="n">
        <v>-2142</v>
      </c>
      <c r="E16" s="8" t="n">
        <v>-2394</v>
      </c>
      <c r="F16" s="8" t="n">
        <v>-2520</v>
      </c>
      <c r="G16" s="8" t="n">
        <v>-2646</v>
      </c>
      <c r="H16" s="8" t="n">
        <v>-2570.4</v>
      </c>
      <c r="I16" s="8" t="n">
        <v>-2469.6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2970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STC Benchmark Eurobond Notes</t>
        </is>
      </c>
    </row>
    <row r="7">
      <c r="B7" s="7" t="inlineStr">
        <is>
          <t xml:space="preserve">  Beginning Principal Balance</t>
        </is>
      </c>
      <c r="C7" s="8" t="n">
        <v>3855.6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1285.2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856.8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0.0485</f>
        <v/>
      </c>
      <c r="D11" s="8">
        <f>D10 * 0.0485</f>
        <v/>
      </c>
      <c r="E11" s="8">
        <f>E10 * 0.0485</f>
        <v/>
      </c>
      <c r="F11" s="8">
        <f>F10 * 0.0485</f>
        <v/>
      </c>
      <c r="G11" s="8">
        <f>G10 * 0.0485</f>
        <v/>
      </c>
      <c r="H11" s="8">
        <f>H10 * 0.0485</f>
        <v/>
      </c>
      <c r="I11" s="8">
        <f>I10 * 0.0485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4712.4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1209.6</v>
      </c>
      <c r="C32" s="8" t="n">
        <v>2217.6</v>
      </c>
      <c r="D32" s="8" t="n">
        <v>2822.4</v>
      </c>
      <c r="E32" s="8" t="n">
        <v>1814.4</v>
      </c>
      <c r="F32" s="8" t="n">
        <v>1209.6</v>
      </c>
      <c r="G32" s="8" t="n">
        <v>806.4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25">
        <f>'Debt Schedule &amp; Tranches'!C26 / 'Income Statement (P&amp;L)'!C22</f>
        <v/>
      </c>
      <c r="D8" s="25">
        <f>'Debt Schedule &amp; Tranches'!D26 / 'Income Statement (P&amp;L)'!D22</f>
        <v/>
      </c>
      <c r="E8" s="25">
        <f>'Debt Schedule &amp; Tranches'!E26 / 'Income Statement (P&amp;L)'!E22</f>
        <v/>
      </c>
      <c r="F8" s="25">
        <f>'Debt Schedule &amp; Tranches'!F26 / 'Income Statement (P&amp;L)'!F22</f>
        <v/>
      </c>
      <c r="G8" s="25">
        <f>'Debt Schedule &amp; Tranches'!G26 / 'Income Statement (P&amp;L)'!G22</f>
        <v/>
      </c>
      <c r="H8" s="25">
        <f>'Debt Schedule &amp; Tranches'!H26 / 'Income Statement (P&amp;L)'!H22</f>
        <v/>
      </c>
      <c r="I8" s="25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25">
        <f>'Income Statement (P&amp;L)'!C22 / 'Debt Schedule &amp; Tranches'!C28</f>
        <v/>
      </c>
      <c r="D10" s="25">
        <f>'Income Statement (P&amp;L)'!D22 / 'Debt Schedule &amp; Tranches'!D28</f>
        <v/>
      </c>
      <c r="E10" s="25">
        <f>'Income Statement (P&amp;L)'!E22 / 'Debt Schedule &amp; Tranches'!E28</f>
        <v/>
      </c>
      <c r="F10" s="25">
        <f>'Income Statement (P&amp;L)'!F22 / 'Debt Schedule &amp; Tranches'!F28</f>
        <v/>
      </c>
      <c r="G10" s="25">
        <f>'Income Statement (P&amp;L)'!G22 / 'Debt Schedule &amp; Tranches'!G28</f>
        <v/>
      </c>
      <c r="H10" s="25">
        <f>'Income Statement (P&amp;L)'!H22 / 'Debt Schedule &amp; Tranches'!H28</f>
        <v/>
      </c>
      <c r="I10" s="25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26" t="inlineStr">
        <is>
          <t>0.0%</t>
        </is>
      </c>
      <c r="D6" s="26" t="inlineStr">
        <is>
          <t>0 bp</t>
        </is>
      </c>
      <c r="E6" s="26" t="inlineStr">
        <is>
          <t>4.85%</t>
        </is>
      </c>
      <c r="F6" s="26" t="inlineStr">
        <is>
          <t>4.2x</t>
        </is>
      </c>
      <c r="G6" s="26" t="inlineStr">
        <is>
          <t>$100.50</t>
        </is>
      </c>
      <c r="H6" s="26" t="inlineStr">
        <is>
          <t>+3.1%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6.85%</t>
        </is>
      </c>
      <c r="F7" s="27" t="inlineStr">
        <is>
          <t>3.2x</t>
        </is>
      </c>
      <c r="G7" s="27" t="inlineStr">
        <is>
          <t>$92.75</t>
        </is>
      </c>
      <c r="H7" s="27" t="inlineStr">
        <is>
          <t>-4.9%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$85.00</t>
        </is>
      </c>
      <c r="H8" s="27" t="inlineStr">
        <is>
          <t>-12.8%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3.50%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+7.7%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2520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STC Senior Unsecured Eurobonds</t>
        </is>
      </c>
      <c r="C15" s="8" t="n">
        <v>7560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85.0%</t>
        </is>
      </c>
      <c r="G15" s="27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1512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4032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2026-09-19T21:03:45Z</dcterms:created>
  <dcterms:modified xmlns:dcterms="http://purl.org/dc/terms/" xmlns:xsi="http://www.w3.org/2001/XMLSchema-instance" xsi:type="dcterms:W3CDTF">2026-09-19T21:03:45Z</dcterms:modified>
</cp:coreProperties>
</file>