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Saudi Telecom Company (STC)</t>
        </is>
      </c>
    </row>
    <row r="3">
      <c r="B3" s="2" t="inlineStr">
        <is>
          <t>CEMBI CEEMEA Institutional Credit Assessment | Country: Saudi Arabia (GCC) | Sector: Technology | Benchmark: STC 3.922%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STC 3.922% 2029</t>
        </is>
      </c>
      <c r="C6" s="5" t="inlineStr">
        <is>
          <t>4.85% (+80 bp)</t>
        </is>
      </c>
      <c r="D6" s="4" t="inlineStr">
        <is>
          <t>A1 / A+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$85.00</t>
        </is>
      </c>
      <c r="D7" s="4" t="inlineStr">
        <is>
          <t>Base Case Fair Value</t>
        </is>
      </c>
      <c r="E7" s="5" t="inlineStr">
        <is>
          <t>$100.50</t>
        </is>
      </c>
    </row>
    <row r="9">
      <c r="B9" s="6" t="inlineStr">
        <is>
          <t>INSTITUTIONAL INVESTMENT THESIS</t>
        </is>
      </c>
    </row>
    <row r="10">
      <c r="B10" s="7" t="inlineStr">
        <is>
          <t>PIF sovereign telecom champion; rock-solid A+ balance sheet, negligible net debt, dominant Saudi market share.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Saudi Telecom Company (STC)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13940</v>
      </c>
      <c r="D7" s="13" t="n">
        <v>16810</v>
      </c>
      <c r="E7" s="13" t="n">
        <v>18860</v>
      </c>
      <c r="F7" s="13" t="n">
        <v>20500</v>
      </c>
      <c r="G7" s="14" t="n">
        <v>22140</v>
      </c>
      <c r="H7" s="14" t="n">
        <v>23575</v>
      </c>
      <c r="I7" s="14" t="n">
        <v>24600</v>
      </c>
    </row>
    <row r="8">
      <c r="B8" s="12" t="inlineStr">
        <is>
          <t>EBITDA</t>
        </is>
      </c>
      <c r="C8" s="13" t="n">
        <v>4680</v>
      </c>
      <c r="D8" s="13" t="n">
        <v>5760</v>
      </c>
      <c r="E8" s="13" t="n">
        <v>6480</v>
      </c>
      <c r="F8" s="13" t="n">
        <v>7200</v>
      </c>
      <c r="G8" s="14" t="n">
        <v>7920</v>
      </c>
      <c r="H8" s="14" t="n">
        <v>8496</v>
      </c>
      <c r="I8" s="14" t="n">
        <v>8928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233.5</v>
      </c>
      <c r="D10" s="17" t="n">
        <v>291.9</v>
      </c>
      <c r="E10" s="17" t="n">
        <v>350.3</v>
      </c>
      <c r="F10" s="17" t="n">
        <v>389.2</v>
      </c>
      <c r="G10" s="18" t="n">
        <v>373.6</v>
      </c>
      <c r="H10" s="18" t="n">
        <v>358.1</v>
      </c>
      <c r="I10" s="18" t="n">
        <v>342.5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3794.4</v>
      </c>
      <c r="D12" s="13" t="n">
        <v>4773.6</v>
      </c>
      <c r="E12" s="13" t="n">
        <v>5385.6</v>
      </c>
      <c r="F12" s="13" t="n">
        <v>6120</v>
      </c>
      <c r="G12" s="14" t="n">
        <v>6732</v>
      </c>
      <c r="H12" s="14" t="n">
        <v>7221.6</v>
      </c>
      <c r="I12" s="14" t="n">
        <v>7650</v>
      </c>
    </row>
    <row r="13">
      <c r="B13" s="5" t="inlineStr">
        <is>
          <t>Capital Expenditures (Capex)</t>
        </is>
      </c>
      <c r="C13" s="17" t="n">
        <v>1764</v>
      </c>
      <c r="D13" s="17" t="n">
        <v>2142</v>
      </c>
      <c r="E13" s="17" t="n">
        <v>2394</v>
      </c>
      <c r="F13" s="17" t="n">
        <v>2520</v>
      </c>
      <c r="G13" s="18" t="n">
        <v>2646</v>
      </c>
      <c r="H13" s="18" t="n">
        <v>2570.4</v>
      </c>
      <c r="I13" s="18" t="n">
        <v>2469.6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2970</v>
      </c>
      <c r="D16" s="13" t="n">
        <v>3780</v>
      </c>
      <c r="E16" s="13" t="n">
        <v>4590</v>
      </c>
      <c r="F16" s="13" t="n">
        <v>5400</v>
      </c>
      <c r="G16" s="14" t="n">
        <v>6372</v>
      </c>
      <c r="H16" s="14" t="n">
        <v>7290</v>
      </c>
      <c r="I16" s="14" t="n">
        <v>8100</v>
      </c>
    </row>
    <row r="17">
      <c r="B17" s="12" t="inlineStr">
        <is>
          <t>Gross Total Debt</t>
        </is>
      </c>
      <c r="C17" s="13" t="n">
        <v>8568</v>
      </c>
      <c r="D17" s="13" t="n">
        <v>9273.6</v>
      </c>
      <c r="E17" s="13" t="n">
        <v>9878.4</v>
      </c>
      <c r="F17" s="13" t="n">
        <v>10080</v>
      </c>
      <c r="G17" s="14" t="n">
        <v>9878.4</v>
      </c>
      <c r="H17" s="14" t="n">
        <v>9576</v>
      </c>
      <c r="I17" s="14" t="n">
        <v>9072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Saudi Telecom Company (STC)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4.85%</t>
        </is>
      </c>
      <c r="F6" s="21" t="inlineStr">
        <is>
          <t>2028 / 2029</t>
        </is>
      </c>
      <c r="G6" s="17" t="n">
        <v>4536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2520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1512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1008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504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4590</v>
      </c>
    </row>
    <row r="15">
      <c r="B15" t="inlineStr">
        <is>
          <t>Committed Undrawn RCF Capacity</t>
        </is>
      </c>
      <c r="C15" s="22" t="n">
        <v>2880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1598.8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Saudi Telecom Company (STC)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7200</v>
      </c>
      <c r="D6" s="17" t="n">
        <v>6120</v>
      </c>
      <c r="E6" s="25" t="n">
        <v>4680</v>
      </c>
    </row>
    <row r="7">
      <c r="B7" s="5" t="inlineStr">
        <is>
          <t>Free Cash Flow ($M)</t>
        </is>
      </c>
      <c r="C7" s="17" t="n">
        <v>3600</v>
      </c>
      <c r="D7" s="17" t="n">
        <v>2160</v>
      </c>
      <c r="E7" s="25" t="n">
        <v>540</v>
      </c>
    </row>
    <row r="8">
      <c r="B8" s="12" t="inlineStr">
        <is>
          <t>Net Leverage Ratio (x)</t>
        </is>
      </c>
      <c r="C8" s="26" t="n">
        <v>0.65</v>
      </c>
      <c r="D8" s="26" t="n">
        <v>0.8100000000000001</v>
      </c>
      <c r="E8" s="27" t="n">
        <v>1.2</v>
      </c>
    </row>
    <row r="9">
      <c r="B9" s="5" t="inlineStr">
        <is>
          <t>Interest Coverage Ratio (x)</t>
        </is>
      </c>
      <c r="C9" s="26" t="n">
        <v>18.5</v>
      </c>
      <c r="D9" s="26" t="n">
        <v>14.43</v>
      </c>
      <c r="E9" s="27" t="n">
        <v>8.33</v>
      </c>
    </row>
    <row r="10">
      <c r="B10" s="12" t="inlineStr">
        <is>
          <t>Implied Senior Paper Trading / Recovery ($)</t>
        </is>
      </c>
      <c r="C10" s="12" t="inlineStr">
        <is>
          <t>$100.50</t>
        </is>
      </c>
      <c r="D10" s="12" t="inlineStr">
        <is>
          <t>$97.00</t>
        </is>
      </c>
      <c r="E10" s="28" t="inlineStr">
        <is>
          <t>$85.00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