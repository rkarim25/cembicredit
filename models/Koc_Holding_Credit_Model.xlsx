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(+$46.8M)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(+$211.2M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(+$237.6M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(+$264.0M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(+$79.2M)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(+$89.3M)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(+$46.8M)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(+$211.2M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(+$237.6M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(+$264.0M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(+$79.2M)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(+$89.3M)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(KCHOL) — Institutional Credit Model</t>
        </is>
      </c>
    </row>
    <row r="3">
      <c r="B3" s="2" t="inlineStr">
        <is>
          <t>Sector: Industrials | Country: Turkey | Rating: BB / BB+ | Benchmark: KCHOL 6.50% 2030 @ $98.50 (6.85% YTM / +280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Turkey's premier industrial conglomerate (Tüpraş, Ford Otosan, Arçelik, Yapı Kredi); net cash at holdco.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Statement'!C26</f>
        <v/>
      </c>
      <c r="D17" s="8">
        <f>'Cash Flow Statement'!D26</f>
        <v/>
      </c>
      <c r="E17" s="8">
        <f>'Cash Flow Statement'!E26</f>
        <v/>
      </c>
      <c r="F17" s="8">
        <f>'Cash Flow Statement'!F26</f>
        <v/>
      </c>
      <c r="G17" s="8">
        <f>'Cash Flow Statement'!G26</f>
        <v/>
      </c>
      <c r="H17" s="8">
        <f>'Cash Flow Statement'!H26</f>
        <v/>
      </c>
      <c r="I17" s="8">
        <f>'Cash Flow Statement'!I26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KCHOL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4320</v>
      </c>
      <c r="F26" s="7" t="inlineStr">
        <is>
          <t>6.85%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KCHOL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2880</v>
      </c>
      <c r="F27" s="7" t="inlineStr">
        <is>
          <t>6.10%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Order Backlog ($M)</t>
        </is>
      </c>
      <c r="C6" s="13" t="n">
        <v>3200</v>
      </c>
      <c r="D6" s="13" t="n">
        <v>3650</v>
      </c>
      <c r="E6" s="13" t="n">
        <v>4200</v>
      </c>
      <c r="F6" s="13" t="n">
        <v>4800</v>
      </c>
      <c r="G6" s="13" t="n">
        <v>5400</v>
      </c>
      <c r="H6" s="13" t="n">
        <v>6000</v>
      </c>
      <c r="I6" s="13" t="n">
        <v>6600</v>
      </c>
    </row>
    <row r="7">
      <c r="B7" s="7" t="inlineStr">
        <is>
          <t>Industrial Export Revenue Ratio (%)</t>
        </is>
      </c>
      <c r="C7" s="14" t="n">
        <v>48</v>
      </c>
      <c r="D7" s="14" t="n">
        <v>52.5</v>
      </c>
      <c r="E7" s="14" t="n">
        <v>55</v>
      </c>
      <c r="F7" s="14" t="n">
        <v>57.5</v>
      </c>
      <c r="G7" s="14" t="n">
        <v>60</v>
      </c>
      <c r="H7" s="14" t="n">
        <v>62</v>
      </c>
      <c r="I7" s="14" t="n">
        <v>64</v>
      </c>
    </row>
    <row r="8">
      <c r="B8" s="7" t="inlineStr">
        <is>
          <t>Capacity Utilization Rate (%)</t>
        </is>
      </c>
      <c r="C8" s="14" t="n">
        <v>81.5</v>
      </c>
      <c r="D8" s="14" t="n">
        <v>84</v>
      </c>
      <c r="E8" s="14" t="n">
        <v>86.5</v>
      </c>
      <c r="F8" s="14" t="n">
        <v>88</v>
      </c>
      <c r="G8" s="14" t="n">
        <v>89.5</v>
      </c>
      <c r="H8" s="14" t="n">
        <v>91</v>
      </c>
      <c r="I8" s="14" t="n">
        <v>92</v>
      </c>
    </row>
    <row r="9">
      <c r="B9" s="7" t="inlineStr">
        <is>
          <t>Blended Raw Material Cost Index (Index)</t>
        </is>
      </c>
      <c r="C9" s="14" t="n">
        <v>100</v>
      </c>
      <c r="D9" s="14" t="n">
        <v>118.5</v>
      </c>
      <c r="E9" s="14" t="n">
        <v>112</v>
      </c>
      <c r="F9" s="14" t="n">
        <v>108.5</v>
      </c>
      <c r="G9" s="14" t="n">
        <v>106</v>
      </c>
      <c r="H9" s="14" t="n">
        <v>104.5</v>
      </c>
      <c r="I9" s="14" t="n">
        <v>103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Automotive &amp; Heavy Manufacturing</t>
        </is>
      </c>
      <c r="C14" s="8" t="n">
        <v>13708.8</v>
      </c>
      <c r="D14" s="8" t="n">
        <v>16531.2</v>
      </c>
      <c r="E14" s="8" t="n">
        <v>18547.2</v>
      </c>
      <c r="F14" s="8" t="n">
        <v>20160</v>
      </c>
      <c r="G14" s="8" t="n">
        <v>21772.8</v>
      </c>
      <c r="H14" s="8" t="n">
        <v>23184</v>
      </c>
      <c r="I14" s="8" t="n">
        <v>24192</v>
      </c>
    </row>
    <row r="15">
      <c r="B15" s="7" t="inlineStr">
        <is>
          <t>Consumer Durables &amp; Electronics</t>
        </is>
      </c>
      <c r="C15" s="8" t="n">
        <v>9139.200000000001</v>
      </c>
      <c r="D15" s="8" t="n">
        <v>11020.8</v>
      </c>
      <c r="E15" s="8" t="n">
        <v>12364.8</v>
      </c>
      <c r="F15" s="8" t="n">
        <v>13440</v>
      </c>
      <c r="G15" s="8" t="n">
        <v>14515.2</v>
      </c>
      <c r="H15" s="8" t="n">
        <v>15456</v>
      </c>
      <c r="I15" s="8" t="n">
        <v>16128</v>
      </c>
    </row>
    <row r="16">
      <c r="B16" s="7" t="inlineStr">
        <is>
          <t>Energy &amp; Industrial Engineering</t>
        </is>
      </c>
      <c r="C16" s="8" t="n">
        <v>5712</v>
      </c>
      <c r="D16" s="8" t="n">
        <v>6888</v>
      </c>
      <c r="E16" s="8" t="n">
        <v>7728</v>
      </c>
      <c r="F16" s="8" t="n">
        <v>8400</v>
      </c>
      <c r="G16" s="8" t="n">
        <v>9072</v>
      </c>
      <c r="H16" s="8" t="n">
        <v>9660</v>
      </c>
      <c r="I16" s="8" t="n">
        <v>10080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Automotive &amp; Heavy Manufacturing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Consumer Durables &amp; Electronics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Energy &amp; Industrial Engineering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46.8</v>
      </c>
      <c r="D35" s="24" t="n">
        <v>211.2</v>
      </c>
      <c r="E35" s="24" t="n">
        <v>237.6</v>
      </c>
      <c r="F35" s="24" t="n">
        <v>264</v>
      </c>
      <c r="G35" s="24" t="n">
        <v>79.2</v>
      </c>
      <c r="H35" s="24" t="n">
        <v>85</v>
      </c>
      <c r="I35" s="24" t="n">
        <v>89.3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(+$46.8M)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(+$211.2M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(+$237.6M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(+$264.0M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(+$79.2M)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(+$85.0M)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(+$89.3M)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9996</v>
      </c>
      <c r="D36" s="8" t="n">
        <v>9996</v>
      </c>
      <c r="E36" s="8" t="n">
        <v>9996</v>
      </c>
      <c r="F36" s="8" t="n">
        <v>9996</v>
      </c>
      <c r="G36" s="8" t="n">
        <v>9996</v>
      </c>
      <c r="H36" s="8" t="n">
        <v>9996</v>
      </c>
      <c r="I36" s="8" t="n">
        <v>9996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-1176</v>
      </c>
      <c r="D16" s="8" t="n">
        <v>-1428</v>
      </c>
      <c r="E16" s="8" t="n">
        <v>-1596</v>
      </c>
      <c r="F16" s="8" t="n">
        <v>-1680</v>
      </c>
      <c r="G16" s="8" t="n">
        <v>-1764</v>
      </c>
      <c r="H16" s="8" t="n">
        <v>-1713.6</v>
      </c>
      <c r="I16" s="8" t="n">
        <v>-1646.4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1980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KCHOL Benchmark Eurobond Notes</t>
        </is>
      </c>
    </row>
    <row r="7">
      <c r="B7" s="7" t="inlineStr">
        <is>
          <t xml:space="preserve">  Beginning Principal Balance</t>
        </is>
      </c>
      <c r="C7" s="8" t="n">
        <v>3672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1224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816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4488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1152</v>
      </c>
      <c r="C32" s="8" t="n">
        <v>2112</v>
      </c>
      <c r="D32" s="8" t="n">
        <v>2688</v>
      </c>
      <c r="E32" s="8" t="n">
        <v>1728</v>
      </c>
      <c r="F32" s="8" t="n">
        <v>1152</v>
      </c>
      <c r="G32" s="8" t="n">
        <v>768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KCHOL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4320</v>
      </c>
      <c r="F37" s="30" t="inlineStr">
        <is>
          <t>6.850%</t>
        </is>
      </c>
      <c r="G37" s="31" t="n">
        <v>98.5</v>
      </c>
      <c r="H37" s="32" t="n">
        <v>6.85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KCHOL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2880</v>
      </c>
      <c r="F38" s="30" t="inlineStr">
        <is>
          <t>6.200%</t>
        </is>
      </c>
      <c r="G38" s="31" t="n">
        <v>100.5</v>
      </c>
      <c r="H38" s="32" t="n">
        <v>6.199999999999999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1440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960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KCHOL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2688</v>
      </c>
    </row>
    <row r="45">
      <c r="B45" s="7" t="inlineStr">
        <is>
          <t>Drawn Amount ($M)</t>
        </is>
      </c>
      <c r="C45" s="8" t="n">
        <v>960</v>
      </c>
    </row>
    <row r="46">
      <c r="B46" s="19" t="inlineStr">
        <is>
          <t>AVAILABLE UNDRAWN HEADROOM ($M)</t>
        </is>
      </c>
      <c r="C46" s="20" t="n">
        <v>1728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1.25x</t>
        </is>
      </c>
      <c r="E55" s="33" t="inlineStr">
        <is>
          <t>2.50x leverage buffer ($12000.0M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6.50x</t>
        </is>
      </c>
      <c r="E56" s="33" t="inlineStr">
        <is>
          <t>+4.00x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1.9% of Assets</t>
        </is>
      </c>
      <c r="E57" s="33" t="inlineStr">
        <is>
          <t>$9240.0M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6.85%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+3.0%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8.85%</t>
        </is>
      </c>
      <c r="F7" s="30" t="inlineStr">
        <is>
          <t>3.2x</t>
        </is>
      </c>
      <c r="G7" s="30" t="inlineStr">
        <is>
          <t>$89.75</t>
        </is>
      </c>
      <c r="H7" s="30" t="inlineStr">
        <is>
          <t>-8.9%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-20.8%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5.35%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2400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KCHOL Senior Unsecured Eurobonds</t>
        </is>
      </c>
      <c r="C15" s="8" t="n">
        <v>7200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1440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3840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2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(KCHOL) — Earnings Presentation &amp; Management Guidance</t>
        </is>
      </c>
    </row>
    <row r="3">
      <c r="B3" s="2" t="inlineStr">
        <is>
          <t>Source: Koç Holding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$45360.0M (+8.0% YoY growth)</t>
        </is>
      </c>
      <c r="D7" s="36" t="inlineStr">
        <is>
          <t>$44730.0M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$5280.0M (11.6% margin)</t>
        </is>
      </c>
      <c r="D8" s="36" t="inlineStr">
        <is>
          <t>$5184.0M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1.25x</t>
        </is>
      </c>
      <c r="E9" s="33" t="inlineStr">
        <is>
          <t>Ahead of Target</t>
        </is>
      </c>
      <c r="F9" s="38" t="inlineStr">
        <is>
          <t>Deleveraging on track with 2.50x buffer below covenant limit.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6" t="inlineStr">
        <is>
          <t>$1622.9M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$4200.0M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$27300.0M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$3600.0M</t>
        </is>
      </c>
    </row>
    <row r="32">
      <c r="B32" s="9" t="inlineStr">
        <is>
          <t>Undrawn Committed Bank Rcfs</t>
        </is>
      </c>
      <c r="C32" s="38" t="inlineStr">
        <is>
          <t>$3360.0M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</sheetData>
  <mergeCells count="21">
    <mergeCell ref="F9:I9"/>
    <mergeCell ref="C17:I17"/>
    <mergeCell ref="B3:I3"/>
    <mergeCell ref="C32:I32"/>
    <mergeCell ref="B2:I2"/>
    <mergeCell ref="F11:I11"/>
    <mergeCell ref="C30:I30"/>
    <mergeCell ref="C15:I15"/>
    <mergeCell ref="C33:I33"/>
    <mergeCell ref="F10:I10"/>
    <mergeCell ref="C14:I14"/>
    <mergeCell ref="F7:I7"/>
    <mergeCell ref="C26:I26"/>
    <mergeCell ref="C20:I20"/>
    <mergeCell ref="C16:I16"/>
    <mergeCell ref="C25:I25"/>
    <mergeCell ref="C31:I31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2026-09-19T21:53:36Z</dcterms:created>
  <dcterms:modified xmlns:dcterms="http://purl.org/dc/terms/" xmlns:xsi="http://www.w3.org/2001/XMLSchema-instance" xsi:type="dcterms:W3CDTF">2026-09-19T21:53:36Z</dcterms:modified>
</cp:coreProperties>
</file>