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Koç Holding</t>
        </is>
      </c>
    </row>
    <row r="3">
      <c r="B3" s="2" t="inlineStr">
        <is>
          <t>CEMBI CEEMEA Institutional Credit Assessment | Country: Turkey (Turkey) | Sector: Industrials | Benchmark: KCHOL 6.50% 2030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KCHOL 6.50% 2030</t>
        </is>
      </c>
      <c r="C6" s="5" t="inlineStr">
        <is>
          <t>6.85% (+280 bp)</t>
        </is>
      </c>
      <c r="D6" s="4" t="inlineStr">
        <is>
          <t>BB / BB+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$78.00</t>
        </is>
      </c>
      <c r="D7" s="4" t="inlineStr">
        <is>
          <t>Base Case Fair Value</t>
        </is>
      </c>
      <c r="E7" s="5" t="inlineStr">
        <is>
          <t>$101.50</t>
        </is>
      </c>
    </row>
    <row r="9">
      <c r="B9" s="6" t="inlineStr">
        <is>
          <t>INSTITUTIONAL INVESTMENT THESIS</t>
        </is>
      </c>
    </row>
    <row r="10">
      <c r="B10" s="7" t="inlineStr">
        <is>
          <t>Turkey's premier industrial conglomerate (Tüpraş, Ford Otosan, Arçelik, Yapı Kredi); net cash at holdco.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Koç Holding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28560</v>
      </c>
      <c r="D7" s="13" t="n">
        <v>34440</v>
      </c>
      <c r="E7" s="13" t="n">
        <v>38640</v>
      </c>
      <c r="F7" s="13" t="n">
        <v>42000</v>
      </c>
      <c r="G7" s="14" t="n">
        <v>45360</v>
      </c>
      <c r="H7" s="14" t="n">
        <v>48300</v>
      </c>
      <c r="I7" s="14" t="n">
        <v>50400</v>
      </c>
    </row>
    <row r="8">
      <c r="B8" s="12" t="inlineStr">
        <is>
          <t>EBITDA</t>
        </is>
      </c>
      <c r="C8" s="13" t="n">
        <v>3120</v>
      </c>
      <c r="D8" s="13" t="n">
        <v>3840</v>
      </c>
      <c r="E8" s="13" t="n">
        <v>4320</v>
      </c>
      <c r="F8" s="13" t="n">
        <v>4800</v>
      </c>
      <c r="G8" s="14" t="n">
        <v>5280</v>
      </c>
      <c r="H8" s="14" t="n">
        <v>5664</v>
      </c>
      <c r="I8" s="14" t="n">
        <v>5952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443.1</v>
      </c>
      <c r="D10" s="17" t="n">
        <v>553.8</v>
      </c>
      <c r="E10" s="17" t="n">
        <v>664.6</v>
      </c>
      <c r="F10" s="17" t="n">
        <v>738.5</v>
      </c>
      <c r="G10" s="18" t="n">
        <v>708.9</v>
      </c>
      <c r="H10" s="18" t="n">
        <v>679.4</v>
      </c>
      <c r="I10" s="18" t="n">
        <v>649.8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2529.6</v>
      </c>
      <c r="D12" s="13" t="n">
        <v>3182.4</v>
      </c>
      <c r="E12" s="13" t="n">
        <v>3590.4</v>
      </c>
      <c r="F12" s="13" t="n">
        <v>4080</v>
      </c>
      <c r="G12" s="14" t="n">
        <v>4488</v>
      </c>
      <c r="H12" s="14" t="n">
        <v>4814.4</v>
      </c>
      <c r="I12" s="14" t="n">
        <v>5100</v>
      </c>
    </row>
    <row r="13">
      <c r="B13" s="5" t="inlineStr">
        <is>
          <t>Capital Expenditures (Capex)</t>
        </is>
      </c>
      <c r="C13" s="17" t="n">
        <v>1176</v>
      </c>
      <c r="D13" s="17" t="n">
        <v>1428</v>
      </c>
      <c r="E13" s="17" t="n">
        <v>1596</v>
      </c>
      <c r="F13" s="17" t="n">
        <v>1680</v>
      </c>
      <c r="G13" s="18" t="n">
        <v>1764</v>
      </c>
      <c r="H13" s="18" t="n">
        <v>1713.6</v>
      </c>
      <c r="I13" s="18" t="n">
        <v>1646.4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1980</v>
      </c>
      <c r="D16" s="13" t="n">
        <v>2520</v>
      </c>
      <c r="E16" s="13" t="n">
        <v>3060</v>
      </c>
      <c r="F16" s="13" t="n">
        <v>3600</v>
      </c>
      <c r="G16" s="14" t="n">
        <v>4248</v>
      </c>
      <c r="H16" s="14" t="n">
        <v>4860</v>
      </c>
      <c r="I16" s="14" t="n">
        <v>5400</v>
      </c>
    </row>
    <row r="17">
      <c r="B17" s="12" t="inlineStr">
        <is>
          <t>Gross Total Debt</t>
        </is>
      </c>
      <c r="C17" s="13" t="n">
        <v>8160</v>
      </c>
      <c r="D17" s="13" t="n">
        <v>8832</v>
      </c>
      <c r="E17" s="13" t="n">
        <v>9408</v>
      </c>
      <c r="F17" s="13" t="n">
        <v>9600</v>
      </c>
      <c r="G17" s="14" t="n">
        <v>9408</v>
      </c>
      <c r="H17" s="14" t="n">
        <v>9120</v>
      </c>
      <c r="I17" s="14" t="n">
        <v>8640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Koç Holding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6.85%</t>
        </is>
      </c>
      <c r="F6" s="21" t="inlineStr">
        <is>
          <t>2028 / 2029</t>
        </is>
      </c>
      <c r="G6" s="17" t="n">
        <v>4320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2400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1440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960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480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3060</v>
      </c>
    </row>
    <row r="15">
      <c r="B15" t="inlineStr">
        <is>
          <t>Committed Undrawn RCF Capacity</t>
        </is>
      </c>
      <c r="C15" s="22" t="n">
        <v>1920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1890.5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Koç Holding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4800</v>
      </c>
      <c r="D6" s="17" t="n">
        <v>4080</v>
      </c>
      <c r="E6" s="25" t="n">
        <v>3120</v>
      </c>
    </row>
    <row r="7">
      <c r="B7" s="5" t="inlineStr">
        <is>
          <t>Free Cash Flow ($M)</t>
        </is>
      </c>
      <c r="C7" s="17" t="n">
        <v>2400</v>
      </c>
      <c r="D7" s="17" t="n">
        <v>1440</v>
      </c>
      <c r="E7" s="25" t="n">
        <v>360</v>
      </c>
    </row>
    <row r="8">
      <c r="B8" s="12" t="inlineStr">
        <is>
          <t>Net Leverage Ratio (x)</t>
        </is>
      </c>
      <c r="C8" s="26" t="n">
        <v>1.25</v>
      </c>
      <c r="D8" s="26" t="n">
        <v>1.56</v>
      </c>
      <c r="E8" s="27" t="n">
        <v>2.31</v>
      </c>
    </row>
    <row r="9">
      <c r="B9" s="5" t="inlineStr">
        <is>
          <t>Interest Coverage Ratio (x)</t>
        </is>
      </c>
      <c r="C9" s="26" t="n">
        <v>6.5</v>
      </c>
      <c r="D9" s="26" t="n">
        <v>5.07</v>
      </c>
      <c r="E9" s="27" t="n">
        <v>2.93</v>
      </c>
    </row>
    <row r="10">
      <c r="B10" s="12" t="inlineStr">
        <is>
          <t>Implied Senior Paper Trading / Recovery ($)</t>
        </is>
      </c>
      <c r="C10" s="12" t="inlineStr">
        <is>
          <t>$101.50</t>
        </is>
      </c>
      <c r="D10" s="12" t="inlineStr">
        <is>
          <t>$90.00</t>
        </is>
      </c>
      <c r="E10" s="28" t="inlineStr">
        <is>
          <t>$78.00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