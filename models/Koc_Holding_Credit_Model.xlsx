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(KCHOL) — Institutional Credit Model</t>
        </is>
      </c>
    </row>
    <row r="3">
      <c r="B3" s="2" t="inlineStr">
        <is>
          <t>Sector: Industrials | Country: Turkey | Rating: BB / BB+ | Benchmark: KCHOL 6.50% 2030 @ $98.50 (6.85% YTM / +280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Turkey's premier industrial conglomerate (Tüpraş, Ford Otosan, Arçelik, Yapı Kredi); net cash at holdco.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KCHOL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4320</v>
      </c>
      <c r="F26" s="7" t="inlineStr">
        <is>
          <t>6.85%</t>
        </is>
      </c>
      <c r="G26" s="7" t="inlineStr">
        <is>
          <t>$98.50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KCHOL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2880</v>
      </c>
      <c r="F27" s="7" t="inlineStr">
        <is>
          <t>6.10%</t>
        </is>
      </c>
      <c r="G27" s="7" t="inlineStr">
        <is>
          <t>$101.00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2400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Consolidated Order Backlog ($M)</t>
        </is>
      </c>
      <c r="C6" s="13" t="n">
        <v>3200</v>
      </c>
      <c r="D6" s="13" t="n">
        <v>3650</v>
      </c>
      <c r="E6" s="13" t="n">
        <v>4200</v>
      </c>
      <c r="F6" s="13" t="n">
        <v>4800</v>
      </c>
      <c r="G6" s="13" t="n">
        <v>5400</v>
      </c>
      <c r="H6" s="13" t="n">
        <v>6000</v>
      </c>
      <c r="I6" s="13" t="n">
        <v>6600</v>
      </c>
    </row>
    <row r="7">
      <c r="B7" s="7" t="inlineStr">
        <is>
          <t>Industrial Export Revenue Ratio (%)</t>
        </is>
      </c>
      <c r="C7" s="14" t="n">
        <v>48</v>
      </c>
      <c r="D7" s="14" t="n">
        <v>52.5</v>
      </c>
      <c r="E7" s="14" t="n">
        <v>55</v>
      </c>
      <c r="F7" s="14" t="n">
        <v>57.5</v>
      </c>
      <c r="G7" s="14" t="n">
        <v>60</v>
      </c>
      <c r="H7" s="14" t="n">
        <v>62</v>
      </c>
      <c r="I7" s="14" t="n">
        <v>64</v>
      </c>
    </row>
    <row r="8">
      <c r="B8" s="7" t="inlineStr">
        <is>
          <t>Capacity Utilization Rate (%)</t>
        </is>
      </c>
      <c r="C8" s="14" t="n">
        <v>81.5</v>
      </c>
      <c r="D8" s="14" t="n">
        <v>84</v>
      </c>
      <c r="E8" s="14" t="n">
        <v>86.5</v>
      </c>
      <c r="F8" s="14" t="n">
        <v>88</v>
      </c>
      <c r="G8" s="14" t="n">
        <v>89.5</v>
      </c>
      <c r="H8" s="14" t="n">
        <v>91</v>
      </c>
      <c r="I8" s="14" t="n">
        <v>92</v>
      </c>
    </row>
    <row r="9">
      <c r="B9" s="7" t="inlineStr">
        <is>
          <t>Blended Raw Material Cost Index (Index)</t>
        </is>
      </c>
      <c r="C9" s="14" t="n">
        <v>100</v>
      </c>
      <c r="D9" s="14" t="n">
        <v>118.5</v>
      </c>
      <c r="E9" s="14" t="n">
        <v>112</v>
      </c>
      <c r="F9" s="14" t="n">
        <v>108.5</v>
      </c>
      <c r="G9" s="14" t="n">
        <v>106</v>
      </c>
      <c r="H9" s="14" t="n">
        <v>104.5</v>
      </c>
      <c r="I9" s="14" t="n">
        <v>103</v>
      </c>
    </row>
    <row r="10"/>
    <row r="11"/>
    <row r="12">
      <c r="B12" s="3" t="inlineStr">
        <is>
          <t>II. BUSINESS SEGMENT REVENUE BREAKDOWN (USD M)</t>
        </is>
      </c>
    </row>
    <row r="13">
      <c r="B13" s="5" t="inlineStr">
        <is>
          <t>Business Segment</t>
        </is>
      </c>
      <c r="C13" s="6" t="inlineStr">
        <is>
          <t>2021A</t>
        </is>
      </c>
      <c r="D13" s="6" t="inlineStr">
        <is>
          <t>2022A</t>
        </is>
      </c>
      <c r="E13" s="6" t="inlineStr">
        <is>
          <t>2023A</t>
        </is>
      </c>
      <c r="F13" s="6" t="inlineStr">
        <is>
          <t>2024A</t>
        </is>
      </c>
      <c r="G13" s="6" t="inlineStr">
        <is>
          <t>2025E</t>
        </is>
      </c>
      <c r="H13" s="6" t="inlineStr">
        <is>
          <t>2026E</t>
        </is>
      </c>
      <c r="I13" s="6" t="inlineStr">
        <is>
          <t>2027E</t>
        </is>
      </c>
    </row>
    <row r="14">
      <c r="B14" s="7" t="inlineStr">
        <is>
          <t>Automotive &amp; Heavy Manufacturing</t>
        </is>
      </c>
      <c r="C14" s="8" t="n">
        <v>13708.8</v>
      </c>
      <c r="D14" s="8" t="n">
        <v>16531.2</v>
      </c>
      <c r="E14" s="8" t="n">
        <v>18547.2</v>
      </c>
      <c r="F14" s="8" t="n">
        <v>20160</v>
      </c>
      <c r="G14" s="8" t="n">
        <v>21772.8</v>
      </c>
      <c r="H14" s="8" t="n">
        <v>23184</v>
      </c>
      <c r="I14" s="8" t="n">
        <v>24192</v>
      </c>
    </row>
    <row r="15">
      <c r="B15" s="7" t="inlineStr">
        <is>
          <t>Consumer Durables &amp; Electronics</t>
        </is>
      </c>
      <c r="C15" s="8" t="n">
        <v>9139.200000000001</v>
      </c>
      <c r="D15" s="8" t="n">
        <v>11020.8</v>
      </c>
      <c r="E15" s="8" t="n">
        <v>12364.8</v>
      </c>
      <c r="F15" s="8" t="n">
        <v>13440</v>
      </c>
      <c r="G15" s="8" t="n">
        <v>14515.2</v>
      </c>
      <c r="H15" s="8" t="n">
        <v>15456</v>
      </c>
      <c r="I15" s="8" t="n">
        <v>16128</v>
      </c>
    </row>
    <row r="16">
      <c r="B16" s="7" t="inlineStr">
        <is>
          <t>Energy &amp; Industrial Engineering</t>
        </is>
      </c>
      <c r="C16" s="8" t="n">
        <v>5712</v>
      </c>
      <c r="D16" s="8" t="n">
        <v>6888</v>
      </c>
      <c r="E16" s="8" t="n">
        <v>7728</v>
      </c>
      <c r="F16" s="8" t="n">
        <v>8400</v>
      </c>
      <c r="G16" s="8" t="n">
        <v>9072</v>
      </c>
      <c r="H16" s="8" t="n">
        <v>9660</v>
      </c>
      <c r="I16" s="8" t="n">
        <v>10080</v>
      </c>
    </row>
    <row r="17">
      <c r="B17" s="15" t="inlineStr">
        <is>
          <t>Total Consolidated Revenue (Feeds P&amp;L)</t>
        </is>
      </c>
      <c r="C17" s="16">
        <f>SUM(C14:C16)</f>
        <v/>
      </c>
      <c r="D17" s="16">
        <f>SUM(D14:D16)</f>
        <v/>
      </c>
      <c r="E17" s="16">
        <f>SUM(E14:E16)</f>
        <v/>
      </c>
      <c r="F17" s="16">
        <f>SUM(F14:F16)</f>
        <v/>
      </c>
      <c r="G17" s="16">
        <f>SUM(G14:G16)</f>
        <v/>
      </c>
      <c r="H17" s="16">
        <f>SUM(H14:H16)</f>
        <v/>
      </c>
      <c r="I17" s="16">
        <f>SUM(I14:I16)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Automotive &amp; Heavy Manufacturing</t>
        </is>
      </c>
      <c r="C7" s="8">
        <f>'Operational Drivers &amp; Segments'!C14</f>
        <v/>
      </c>
      <c r="D7" s="8">
        <f>'Operational Drivers &amp; Segments'!D14</f>
        <v/>
      </c>
      <c r="E7" s="8">
        <f>'Operational Drivers &amp; Segments'!E14</f>
        <v/>
      </c>
      <c r="F7" s="8">
        <f>'Operational Drivers &amp; Segments'!F14</f>
        <v/>
      </c>
      <c r="G7" s="8">
        <f>'Operational Drivers &amp; Segments'!G14</f>
        <v/>
      </c>
      <c r="H7" s="8">
        <f>'Operational Drivers &amp; Segments'!H14</f>
        <v/>
      </c>
      <c r="I7" s="8">
        <f>'Operational Drivers &amp; Segments'!I14</f>
        <v/>
      </c>
    </row>
    <row r="8">
      <c r="B8" s="7" t="inlineStr">
        <is>
          <t xml:space="preserve">  Consumer Durables &amp; Electronics</t>
        </is>
      </c>
      <c r="C8" s="8">
        <f>'Operational Drivers &amp; Segments'!C15</f>
        <v/>
      </c>
      <c r="D8" s="8">
        <f>'Operational Drivers &amp; Segments'!D15</f>
        <v/>
      </c>
      <c r="E8" s="8">
        <f>'Operational Drivers &amp; Segments'!E15</f>
        <v/>
      </c>
      <c r="F8" s="8">
        <f>'Operational Drivers &amp; Segments'!F15</f>
        <v/>
      </c>
      <c r="G8" s="8">
        <f>'Operational Drivers &amp; Segments'!G15</f>
        <v/>
      </c>
      <c r="H8" s="8">
        <f>'Operational Drivers &amp; Segments'!H15</f>
        <v/>
      </c>
      <c r="I8" s="8">
        <f>'Operational Drivers &amp; Segments'!I15</f>
        <v/>
      </c>
    </row>
    <row r="9">
      <c r="B9" s="7" t="inlineStr">
        <is>
          <t xml:space="preserve">  Energy &amp; Industrial Engineering</t>
        </is>
      </c>
      <c r="C9" s="8">
        <f>'Operational Drivers &amp; Segments'!C16</f>
        <v/>
      </c>
      <c r="D9" s="8">
        <f>'Operational Drivers &amp; Segments'!D16</f>
        <v/>
      </c>
      <c r="E9" s="8">
        <f>'Operational Drivers &amp; Segments'!E16</f>
        <v/>
      </c>
      <c r="F9" s="8">
        <f>'Operational Drivers &amp; Segments'!F16</f>
        <v/>
      </c>
      <c r="G9" s="8">
        <f>'Operational Drivers &amp; Segments'!G16</f>
        <v/>
      </c>
      <c r="H9" s="8">
        <f>'Operational Drivers &amp; Segments'!H16</f>
        <v/>
      </c>
      <c r="I9" s="8">
        <f>'Operational Drivers &amp; Segments'!I16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42840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9996</v>
      </c>
      <c r="D36" s="8" t="n">
        <v>9996</v>
      </c>
      <c r="E36" s="8" t="n">
        <v>9996</v>
      </c>
      <c r="F36" s="8" t="n">
        <v>9996</v>
      </c>
      <c r="G36" s="8" t="n">
        <v>9996</v>
      </c>
      <c r="H36" s="8" t="n">
        <v>9996</v>
      </c>
      <c r="I36" s="8" t="n">
        <v>9996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4">
        <f>C21 - C39</f>
        <v/>
      </c>
      <c r="D41" s="24">
        <f>D21 - D39</f>
        <v/>
      </c>
      <c r="E41" s="24">
        <f>E21 - E39</f>
        <v/>
      </c>
      <c r="F41" s="24">
        <f>F21 - F39</f>
        <v/>
      </c>
      <c r="G41" s="24">
        <f>G21 - G39</f>
        <v/>
      </c>
      <c r="H41" s="24">
        <f>H21 - H39</f>
        <v/>
      </c>
      <c r="I41" s="24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-1176</v>
      </c>
      <c r="D16" s="8" t="n">
        <v>-1428</v>
      </c>
      <c r="E16" s="8" t="n">
        <v>-1596</v>
      </c>
      <c r="F16" s="8" t="n">
        <v>-1680</v>
      </c>
      <c r="G16" s="8" t="n">
        <v>-1764</v>
      </c>
      <c r="H16" s="8" t="n">
        <v>-1713.6</v>
      </c>
      <c r="I16" s="8" t="n">
        <v>-1646.4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1980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15" t="inlineStr">
        <is>
          <t>FREE CASH FLOW (FCF = CFO + Capex)</t>
        </is>
      </c>
      <c r="C28" s="16">
        <f>C14 + C16</f>
        <v/>
      </c>
      <c r="D28" s="16">
        <f>D14 + D16</f>
        <v/>
      </c>
      <c r="E28" s="16">
        <f>E14 + E16</f>
        <v/>
      </c>
      <c r="F28" s="16">
        <f>F14 + F16</f>
        <v/>
      </c>
      <c r="G28" s="16">
        <f>G14 + G16</f>
        <v/>
      </c>
      <c r="H28" s="16">
        <f>H14 + H16</f>
        <v/>
      </c>
      <c r="I28" s="16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KCHOL Benchmark Eurobond Notes</t>
        </is>
      </c>
    </row>
    <row r="7">
      <c r="B7" s="7" t="inlineStr">
        <is>
          <t xml:space="preserve">  Beginning Principal Balance</t>
        </is>
      </c>
      <c r="C7" s="8" t="n">
        <v>3672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1224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816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0.0685</f>
        <v/>
      </c>
      <c r="D11" s="8">
        <f>D10 * 0.0685</f>
        <v/>
      </c>
      <c r="E11" s="8">
        <f>E10 * 0.0685</f>
        <v/>
      </c>
      <c r="F11" s="8">
        <f>F10 * 0.0685</f>
        <v/>
      </c>
      <c r="G11" s="8">
        <f>G10 * 0.0685</f>
        <v/>
      </c>
      <c r="H11" s="8">
        <f>H10 * 0.0685</f>
        <v/>
      </c>
      <c r="I11" s="8">
        <f>I10 * 0.0685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4488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5" t="inlineStr">
        <is>
          <t>2025</t>
        </is>
      </c>
      <c r="C31" s="25" t="inlineStr">
        <is>
          <t>2026</t>
        </is>
      </c>
      <c r="D31" s="25" t="inlineStr">
        <is>
          <t>2027</t>
        </is>
      </c>
      <c r="E31" s="25" t="inlineStr">
        <is>
          <t>2028</t>
        </is>
      </c>
      <c r="F31" s="25" t="inlineStr">
        <is>
          <t>2029</t>
        </is>
      </c>
      <c r="G31" s="25" t="inlineStr">
        <is>
          <t>2030+</t>
        </is>
      </c>
    </row>
    <row r="32">
      <c r="B32" s="8" t="n">
        <v>1152</v>
      </c>
      <c r="C32" s="8" t="n">
        <v>2112</v>
      </c>
      <c r="D32" s="8" t="n">
        <v>2688</v>
      </c>
      <c r="E32" s="8" t="n">
        <v>1728</v>
      </c>
      <c r="F32" s="8" t="n">
        <v>1152</v>
      </c>
      <c r="G32" s="8" t="n">
        <v>768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KCHOL Benchmark Senior Notes</t>
        </is>
      </c>
      <c r="C37" s="7" t="inlineStr">
        <is>
          <t>Senior Unsecured RegS/144A Eurobond</t>
        </is>
      </c>
      <c r="D37" s="26" t="inlineStr">
        <is>
          <t>USD</t>
        </is>
      </c>
      <c r="E37" s="21" t="n">
        <v>4320</v>
      </c>
      <c r="F37" s="27" t="inlineStr">
        <is>
          <t>6.850%</t>
        </is>
      </c>
      <c r="G37" s="28" t="n">
        <v>98.5</v>
      </c>
      <c r="H37" s="29" t="n">
        <v>6.85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KCHOL Secondary Eurobond / Sukuk Tranche 2</t>
        </is>
      </c>
      <c r="C38" s="7" t="inlineStr">
        <is>
          <t>Senior Unsecured Notes</t>
        </is>
      </c>
      <c r="D38" s="26" t="inlineStr">
        <is>
          <t>USD</t>
        </is>
      </c>
      <c r="E38" s="21" t="n">
        <v>2880</v>
      </c>
      <c r="F38" s="27" t="inlineStr">
        <is>
          <t>6.200%</t>
        </is>
      </c>
      <c r="G38" s="28" t="n">
        <v>100.5</v>
      </c>
      <c r="H38" s="29" t="n">
        <v>6.199999999999999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6" t="inlineStr">
        <is>
          <t>USD / EUR</t>
        </is>
      </c>
      <c r="E39" s="21" t="n">
        <v>1440</v>
      </c>
      <c r="F39" s="27" t="inlineStr">
        <is>
          <t>SOFR + 185 bps</t>
        </is>
      </c>
      <c r="G39" s="28" t="n">
        <v>100</v>
      </c>
      <c r="H39" s="29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6" t="inlineStr">
        <is>
          <t>USD</t>
        </is>
      </c>
      <c r="E40" s="21" t="n">
        <v>960</v>
      </c>
      <c r="F40" s="27" t="inlineStr">
        <is>
          <t>SOFR + 150 bps</t>
        </is>
      </c>
      <c r="G40" s="28" t="n">
        <v>100</v>
      </c>
      <c r="H40" s="29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KCHOL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2688</v>
      </c>
    </row>
    <row r="45">
      <c r="B45" s="7" t="inlineStr">
        <is>
          <t>Drawn Amount ($M)</t>
        </is>
      </c>
      <c r="C45" s="8" t="n">
        <v>960</v>
      </c>
    </row>
    <row r="46">
      <c r="B46" s="19" t="inlineStr">
        <is>
          <t>AVAILABLE UNDRAWN HEADROOM ($M)</t>
        </is>
      </c>
      <c r="C46" s="20" t="n">
        <v>1728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6" t="inlineStr">
        <is>
          <t>3.75x</t>
        </is>
      </c>
      <c r="D55" s="30" t="inlineStr">
        <is>
          <t>1.25x</t>
        </is>
      </c>
      <c r="E55" s="31" t="inlineStr">
        <is>
          <t>2.50x leverage buffer ($12000.0M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6" t="inlineStr">
        <is>
          <t>2.50x</t>
        </is>
      </c>
      <c r="D56" s="30" t="inlineStr">
        <is>
          <t>6.50x</t>
        </is>
      </c>
      <c r="E56" s="31" t="inlineStr">
        <is>
          <t>+4.00x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6" t="inlineStr">
        <is>
          <t>15.0% of Consolidated Total Tangible Assets</t>
        </is>
      </c>
      <c r="D57" s="30" t="inlineStr">
        <is>
          <t>1.9% of Assets</t>
        </is>
      </c>
      <c r="E57" s="31" t="inlineStr">
        <is>
          <t>$9240.0M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6" t="inlineStr">
        <is>
          <t>101.00% Redemption</t>
        </is>
      </c>
      <c r="D58" s="30" t="inlineStr">
        <is>
          <t>N/A (Inactive)</t>
        </is>
      </c>
      <c r="E58" s="31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6" t="inlineStr">
        <is>
          <t>Builder Basket</t>
        </is>
      </c>
      <c r="D59" s="30" t="inlineStr">
        <is>
          <t>Within Capacity</t>
        </is>
      </c>
      <c r="E59" s="31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6" t="inlineStr">
        <is>
          <t>$50.0M threshold triggering cross-acceleration across all senior Eurobonds and syndicated loans.</t>
        </is>
      </c>
      <c r="D60" s="30" t="inlineStr">
        <is>
          <t>Zero Defaults</t>
        </is>
      </c>
      <c r="E60" s="31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EBITDA)</t>
        </is>
      </c>
      <c r="C8" s="32">
        <f>'Debt Schedule &amp; Tranches'!C26 / 'Income Statement (P&amp;L)'!C22</f>
        <v/>
      </c>
      <c r="D8" s="32">
        <f>'Debt Schedule &amp; Tranches'!D26 / 'Income Statement (P&amp;L)'!D22</f>
        <v/>
      </c>
      <c r="E8" s="32">
        <f>'Debt Schedule &amp; Tranches'!E26 / 'Income Statement (P&amp;L)'!E22</f>
        <v/>
      </c>
      <c r="F8" s="32">
        <f>'Debt Schedule &amp; Tranches'!F26 / 'Income Statement (P&amp;L)'!F22</f>
        <v/>
      </c>
      <c r="G8" s="32">
        <f>'Debt Schedule &amp; Tranches'!G26 / 'Income Statement (P&amp;L)'!G22</f>
        <v/>
      </c>
      <c r="H8" s="32">
        <f>'Debt Schedule &amp; Tranches'!H26 / 'Income Statement (P&amp;L)'!H22</f>
        <v/>
      </c>
      <c r="I8" s="32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9" t="inlineStr">
        <is>
          <t>EBITDA INTEREST COVERAGE</t>
        </is>
      </c>
      <c r="C10" s="32">
        <f>'Income Statement (P&amp;L)'!C22 / 'Debt Schedule &amp; Tranches'!C28</f>
        <v/>
      </c>
      <c r="D10" s="32">
        <f>'Income Statement (P&amp;L)'!D22 / 'Debt Schedule &amp; Tranches'!D28</f>
        <v/>
      </c>
      <c r="E10" s="32">
        <f>'Income Statement (P&amp;L)'!E22 / 'Debt Schedule &amp; Tranches'!E28</f>
        <v/>
      </c>
      <c r="F10" s="32">
        <f>'Income Statement (P&amp;L)'!F22 / 'Debt Schedule &amp; Tranches'!F28</f>
        <v/>
      </c>
      <c r="G10" s="32">
        <f>'Income Statement (P&amp;L)'!G22 / 'Debt Schedule &amp; Tranches'!G28</f>
        <v/>
      </c>
      <c r="H10" s="32">
        <f>'Income Statement (P&amp;L)'!H22 / 'Debt Schedule &amp; Tranches'!H28</f>
        <v/>
      </c>
      <c r="I10" s="32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5" t="inlineStr">
        <is>
          <t>Scenario Name</t>
        </is>
      </c>
      <c r="C5" s="25" t="inlineStr">
        <is>
          <t>Revenue Drop</t>
        </is>
      </c>
      <c r="D5" s="25" t="inlineStr">
        <is>
          <t>Margin Compression</t>
        </is>
      </c>
      <c r="E5" s="25" t="inlineStr">
        <is>
          <t>Refinancing Rate</t>
        </is>
      </c>
      <c r="F5" s="25" t="inlineStr">
        <is>
          <t>Exit EV Multiple</t>
        </is>
      </c>
      <c r="G5" s="25" t="inlineStr">
        <is>
          <t>Implied Recovery Px</t>
        </is>
      </c>
      <c r="H5" s="25" t="inlineStr">
        <is>
          <t>Upside / Downside</t>
        </is>
      </c>
    </row>
    <row r="6">
      <c r="B6" s="19" t="inlineStr">
        <is>
          <t>Base Case (Consensus Forecast)</t>
        </is>
      </c>
      <c r="C6" s="33" t="inlineStr">
        <is>
          <t>0.0%</t>
        </is>
      </c>
      <c r="D6" s="33" t="inlineStr">
        <is>
          <t>0 bp</t>
        </is>
      </c>
      <c r="E6" s="33" t="inlineStr">
        <is>
          <t>6.85%</t>
        </is>
      </c>
      <c r="F6" s="33" t="inlineStr">
        <is>
          <t>4.2x</t>
        </is>
      </c>
      <c r="G6" s="33" t="inlineStr">
        <is>
          <t>$101.50</t>
        </is>
      </c>
      <c r="H6" s="33" t="inlineStr">
        <is>
          <t>+3.0%</t>
        </is>
      </c>
    </row>
    <row r="7">
      <c r="B7" s="7" t="inlineStr">
        <is>
          <t>Downside Stress Case (Recession)</t>
        </is>
      </c>
      <c r="C7" s="27" t="inlineStr">
        <is>
          <t>-15.0%</t>
        </is>
      </c>
      <c r="D7" s="27" t="inlineStr">
        <is>
          <t>-300 bp</t>
        </is>
      </c>
      <c r="E7" s="27" t="inlineStr">
        <is>
          <t>8.85%</t>
        </is>
      </c>
      <c r="F7" s="27" t="inlineStr">
        <is>
          <t>3.2x</t>
        </is>
      </c>
      <c r="G7" s="27" t="inlineStr">
        <is>
          <t>$89.75</t>
        </is>
      </c>
      <c r="H7" s="27" t="inlineStr">
        <is>
          <t>-8.9%</t>
        </is>
      </c>
    </row>
    <row r="8">
      <c r="B8" s="7" t="inlineStr">
        <is>
          <t>Severe Distressed Floor (Liquidation)</t>
        </is>
      </c>
      <c r="C8" s="27" t="inlineStr">
        <is>
          <t>-35.0%</t>
        </is>
      </c>
      <c r="D8" s="27" t="inlineStr">
        <is>
          <t>-650 bp</t>
        </is>
      </c>
      <c r="E8" s="27" t="inlineStr">
        <is>
          <t>+500 bp spread</t>
        </is>
      </c>
      <c r="F8" s="27" t="inlineStr">
        <is>
          <t>Liquidation Value</t>
        </is>
      </c>
      <c r="G8" s="27" t="inlineStr">
        <is>
          <t>$78.00</t>
        </is>
      </c>
      <c r="H8" s="27" t="inlineStr">
        <is>
          <t>-20.8%</t>
        </is>
      </c>
    </row>
    <row r="9">
      <c r="B9" s="7" t="inlineStr">
        <is>
          <t>Bull Case (Cycle Peak / Accretion)</t>
        </is>
      </c>
      <c r="C9" s="27" t="inlineStr">
        <is>
          <t>+12.0%</t>
        </is>
      </c>
      <c r="D9" s="27" t="inlineStr">
        <is>
          <t>+200 bp</t>
        </is>
      </c>
      <c r="E9" s="27" t="inlineStr">
        <is>
          <t>5.35%</t>
        </is>
      </c>
      <c r="F9" s="27" t="inlineStr">
        <is>
          <t>5.7x</t>
        </is>
      </c>
      <c r="G9" s="27" t="inlineStr">
        <is>
          <t>$105.00</t>
        </is>
      </c>
      <c r="H9" s="27" t="inlineStr">
        <is>
          <t>+6.6%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5" t="inlineStr">
        <is>
          <t>Tranche Claim</t>
        </is>
      </c>
      <c r="C13" s="25" t="inlineStr">
        <is>
          <t>Claim Amount ($M)</t>
        </is>
      </c>
      <c r="D13" s="25" t="inlineStr">
        <is>
          <t>Seniority Ranking</t>
        </is>
      </c>
      <c r="E13" s="25" t="inlineStr">
        <is>
          <t>Estimated Collateral</t>
        </is>
      </c>
      <c r="F13" s="25" t="inlineStr">
        <is>
          <t>Recovery Floor (%)</t>
        </is>
      </c>
      <c r="G13" s="25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2400</v>
      </c>
      <c r="D14" s="7" t="inlineStr">
        <is>
          <t>Senior Secured (Pari Passu)</t>
        </is>
      </c>
      <c r="E14" s="7" t="inlineStr">
        <is>
          <t>First Lien Fixed Charges</t>
        </is>
      </c>
      <c r="F14" s="27" t="inlineStr">
        <is>
          <t>100.0%</t>
        </is>
      </c>
      <c r="G14" s="27" t="inlineStr">
        <is>
          <t>100.0%</t>
        </is>
      </c>
    </row>
    <row r="15">
      <c r="B15" s="7" t="inlineStr">
        <is>
          <t>KCHOL Senior Unsecured Eurobonds</t>
        </is>
      </c>
      <c r="C15" s="8" t="n">
        <v>7200</v>
      </c>
      <c r="D15" s="7" t="inlineStr">
        <is>
          <t>Senior Unsecured</t>
        </is>
      </c>
      <c r="E15" s="7" t="inlineStr">
        <is>
          <t>General Corporate Guarantee</t>
        </is>
      </c>
      <c r="F15" s="27" t="inlineStr">
        <is>
          <t>78.0%</t>
        </is>
      </c>
      <c r="G15" s="27" t="inlineStr">
        <is>
          <t>101.5%</t>
        </is>
      </c>
    </row>
    <row r="16">
      <c r="B16" s="7" t="inlineStr">
        <is>
          <t>Subordinated Debt &amp; Intercompany Notes</t>
        </is>
      </c>
      <c r="C16" s="8" t="n">
        <v>1440</v>
      </c>
      <c r="D16" s="7" t="inlineStr">
        <is>
          <t>Subordinated</t>
        </is>
      </c>
      <c r="E16" s="7" t="inlineStr">
        <is>
          <t>Junior Unsecured Claim</t>
        </is>
      </c>
      <c r="F16" s="27" t="inlineStr">
        <is>
          <t>0.0%</t>
        </is>
      </c>
      <c r="G16" s="27" t="inlineStr">
        <is>
          <t>25.0%</t>
        </is>
      </c>
    </row>
    <row r="17">
      <c r="B17" s="7" t="inlineStr">
        <is>
          <t>Equity Shareholders</t>
        </is>
      </c>
      <c r="C17" s="8" t="n">
        <v>3840</v>
      </c>
      <c r="D17" s="7" t="inlineStr">
        <is>
          <t>Residual Equity</t>
        </is>
      </c>
      <c r="E17" s="7" t="inlineStr">
        <is>
          <t>Ordinary Shares</t>
        </is>
      </c>
      <c r="F17" s="27" t="inlineStr">
        <is>
          <t>0.0%</t>
        </is>
      </c>
      <c r="G17" s="27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02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(KCHOL) — Earnings Presentation &amp; Management Guidance</t>
        </is>
      </c>
    </row>
    <row r="3">
      <c r="B3" s="2" t="inlineStr">
        <is>
          <t>Source: Koç Holding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$45360.0M (+8.0% YoY growth)</t>
        </is>
      </c>
      <c r="D7" s="34" t="inlineStr">
        <is>
          <t>$44730.0M (+6.5% YoY)</t>
        </is>
      </c>
      <c r="E7" s="35" t="inlineStr">
        <is>
          <t>On Track</t>
        </is>
      </c>
      <c r="F7" s="36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$5280.0M (11.6% margin)</t>
        </is>
      </c>
      <c r="D8" s="34" t="inlineStr">
        <is>
          <t>$5184.0M</t>
        </is>
      </c>
      <c r="E8" s="35" t="inlineStr">
        <is>
          <t>On Track</t>
        </is>
      </c>
      <c r="F8" s="36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4" t="inlineStr">
        <is>
          <t>1.25x</t>
        </is>
      </c>
      <c r="E9" s="31" t="inlineStr">
        <is>
          <t>Ahead of Target</t>
        </is>
      </c>
      <c r="F9" s="36" t="inlineStr">
        <is>
          <t>Deleveraging on track with 2.50x buffer below covenant limit.</t>
        </is>
      </c>
    </row>
    <row r="10">
      <c r="B10" s="9" t="inlineStr">
        <is>
          <t>2025E Strategic Capex Envelope</t>
        </is>
      </c>
      <c r="C10" s="9" t="inlineStr">
        <is>
          <t>$1764.0M (Maximum growth and sustaining envelope)</t>
        </is>
      </c>
      <c r="D10" s="34" t="inlineStr">
        <is>
          <t>$1622.9M committed</t>
        </is>
      </c>
      <c r="E10" s="35" t="inlineStr">
        <is>
          <t>On Track</t>
        </is>
      </c>
      <c r="F10" s="36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4" t="inlineStr">
        <is>
          <t>35% payout policy maintained</t>
        </is>
      </c>
      <c r="E11" s="35" t="inlineStr">
        <is>
          <t>On Track</t>
        </is>
      </c>
      <c r="F11" s="36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6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6" t="inlineStr">
        <is>
          <t>$4200.0M capital expenditure program</t>
        </is>
      </c>
    </row>
    <row r="17">
      <c r="B17" s="9" t="inlineStr">
        <is>
          <t>Capacity Additions</t>
        </is>
      </c>
      <c r="C17" s="36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6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6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6" t="inlineStr">
        <is>
          <t>$27300.0M in confirmed industrial delivery contracts</t>
        </is>
      </c>
    </row>
    <row r="27">
      <c r="B27" s="9" t="inlineStr">
        <is>
          <t>Market Share Leadership</t>
        </is>
      </c>
      <c r="C27" s="36" t="inlineStr">
        <is>
          <t>Top 2 market position in core operating markets in Turkey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6" t="inlineStr">
        <is>
          <t>$3600.0M</t>
        </is>
      </c>
    </row>
    <row r="32">
      <c r="B32" s="9" t="inlineStr">
        <is>
          <t>Undrawn Committed Bank Rcfs</t>
        </is>
      </c>
      <c r="C32" s="36" t="inlineStr">
        <is>
          <t>$3360.0M in multi-currency revolving credit facilities</t>
        </is>
      </c>
    </row>
    <row r="33">
      <c r="B33" s="9" t="inlineStr">
        <is>
          <t>Liquidity Runway</t>
        </is>
      </c>
      <c r="C33" s="36" t="inlineStr">
        <is>
          <t>Over 28 months of scheduled debt amortizations pre-funded</t>
        </is>
      </c>
    </row>
  </sheetData>
  <mergeCells count="21">
    <mergeCell ref="F9:I9"/>
    <mergeCell ref="C17:I17"/>
    <mergeCell ref="B3:I3"/>
    <mergeCell ref="C32:I32"/>
    <mergeCell ref="B2:I2"/>
    <mergeCell ref="F11:I11"/>
    <mergeCell ref="C30:I30"/>
    <mergeCell ref="C15:I15"/>
    <mergeCell ref="C33:I33"/>
    <mergeCell ref="F10:I10"/>
    <mergeCell ref="C14:I14"/>
    <mergeCell ref="F7:I7"/>
    <mergeCell ref="C26:I26"/>
    <mergeCell ref="C20:I20"/>
    <mergeCell ref="C16:I16"/>
    <mergeCell ref="C25:I25"/>
    <mergeCell ref="C31:I31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2026-09-19T21:22:52Z</dcterms:created>
  <dcterms:modified xmlns:dcterms="http://purl.org/dc/terms/" xmlns:xsi="http://www.w3.org/2001/XMLSchema-instance" xsi:type="dcterms:W3CDTF">2026-09-19T21:22:52Z</dcterms:modified>
</cp:coreProperties>
</file>