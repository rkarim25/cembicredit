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nnual" sheetId="1" r:id="rId2"/>
  </sheets>
  <calcPr calcId="0" iterate="1" iterateCount="24" iterateDelta="0.1"/>
</workbook>
</file>

<file path=xl/sharedStrings.xml><?xml version="1.0" encoding="utf-8"?>
<sst xmlns="http://schemas.openxmlformats.org/spreadsheetml/2006/main" count="179" uniqueCount="175">
  <si>
    <t>$mm, Dec year-end</t>
  </si>
  <si>
    <t>FY22</t>
  </si>
  <si>
    <t>FY23</t>
  </si>
  <si>
    <t>FY24</t>
  </si>
  <si>
    <t>FY25</t>
  </si>
  <si>
    <t>LTM</t>
  </si>
  <si>
    <t>FY26 (F)</t>
  </si>
  <si>
    <t>FY27 (F)</t>
  </si>
  <si>
    <t>FY28 (F)</t>
  </si>
  <si>
    <t>FY29 (F)</t>
  </si>
  <si>
    <t>FY30 (F)</t>
  </si>
  <si>
    <t>FY31 (F)</t>
  </si>
  <si>
    <t>FY32 (F)</t>
  </si>
  <si>
    <t>FY33 (F)</t>
  </si>
  <si>
    <t>FY34 (F)</t>
  </si>
  <si>
    <t>FY35 (F)</t>
  </si>
  <si>
    <t xml:space="preserve"> Model Drivers</t>
  </si>
  <si>
    <t>Y/o/Y Revenue Change</t>
  </si>
  <si>
    <t>Operating costs and commissions / Revenues</t>
  </si>
  <si>
    <t>Administrative, marketing and selling expenses / Revenues</t>
  </si>
  <si>
    <t>Days in Period</t>
  </si>
  <si>
    <t>Accounts Receivable Days</t>
  </si>
  <si>
    <t>Accounts Payable Days</t>
  </si>
  <si>
    <t>PPE Growth Rate</t>
  </si>
  <si>
    <t>Intangibles Growth Rate</t>
  </si>
  <si>
    <t>Depreciation Rate</t>
  </si>
  <si>
    <t>Amortisation Rate</t>
  </si>
  <si>
    <t>Lease Renewal Rate</t>
  </si>
  <si>
    <t>Corporate Tax Rate</t>
  </si>
  <si>
    <t xml:space="preserve"> Income Statement</t>
  </si>
  <si>
    <t>Revenues</t>
  </si>
  <si>
    <t>Operating costs and commissions</t>
  </si>
  <si>
    <t>Administrative, marketing and selling expenses</t>
  </si>
  <si>
    <t>Other Operating Expense</t>
  </si>
  <si>
    <t>OPERATING PROFIT</t>
  </si>
  <si>
    <t>Finance Income Cost</t>
  </si>
  <si>
    <t>Other Non Operating Expense</t>
  </si>
  <si>
    <t>LOSS BEFORE INCOME TAX FROM CONTINUING OPERATIONS</t>
  </si>
  <si>
    <t>Income tax expense</t>
  </si>
  <si>
    <t>Other Expense After Tax</t>
  </si>
  <si>
    <t>LOSS FOR THE PERIOD</t>
  </si>
  <si>
    <t xml:space="preserve"> Cash Flow Statement</t>
  </si>
  <si>
    <t>Depreciation on property, equipment and right-of-use assets</t>
  </si>
  <si>
    <t>Amortization of intangible assets</t>
  </si>
  <si>
    <t>Change In Receivables</t>
  </si>
  <si>
    <t>Change In Inventories</t>
  </si>
  <si>
    <t>Change In Payables</t>
  </si>
  <si>
    <t>Cash Spent On Other Non Operating Expense</t>
  </si>
  <si>
    <t>Finance costs paid</t>
  </si>
  <si>
    <t>Income tax paid</t>
  </si>
  <si>
    <t>Other Operating Cash Flows</t>
  </si>
  <si>
    <t>Net cash used in operating activities</t>
  </si>
  <si>
    <t>Acquisition of property and equipment</t>
  </si>
  <si>
    <t>Acquisition of intangible assets</t>
  </si>
  <si>
    <t>Other Investing Cash Flows</t>
  </si>
  <si>
    <t>Net cash used in investing activities</t>
  </si>
  <si>
    <t>Required Additional Borrowings Repayments</t>
  </si>
  <si>
    <t>Repayments Of Borrowings</t>
  </si>
  <si>
    <t>Proceeds From Borrowings</t>
  </si>
  <si>
    <t>Lease liabilities paid</t>
  </si>
  <si>
    <t>Interest paid</t>
  </si>
  <si>
    <t>Other Financing Cash Flows</t>
  </si>
  <si>
    <t>Net cash from/(used in) financing activities</t>
  </si>
  <si>
    <t>INCREASE /(DECREASE) IN CASH AND CASH EQUIVALENTS</t>
  </si>
  <si>
    <t>Exchange Rate Changes And Other Cash Flows</t>
  </si>
  <si>
    <t>Cash and cash equivalents at 1 January</t>
  </si>
  <si>
    <t>CASH AND CASH EQUIVALENTS AT 31 MARCH</t>
  </si>
  <si>
    <t xml:space="preserve"> Balance Sheet</t>
  </si>
  <si>
    <t>Property and equipment</t>
  </si>
  <si>
    <t>Right-of-use assets</t>
  </si>
  <si>
    <t>Goodwill</t>
  </si>
  <si>
    <t>Intangible assets</t>
  </si>
  <si>
    <t>Other Noncurrent Assets</t>
  </si>
  <si>
    <t>Non-current assets</t>
  </si>
  <si>
    <t>Cash as reported on Cash Flow Statement</t>
  </si>
  <si>
    <t>Other Cash (not reported on Cash Flow Statement)</t>
  </si>
  <si>
    <t>Bank balances and cash</t>
  </si>
  <si>
    <t>Accounts Receivable</t>
  </si>
  <si>
    <t>Other Receivables</t>
  </si>
  <si>
    <t>Inventories</t>
  </si>
  <si>
    <t>Other Current Assets</t>
  </si>
  <si>
    <t>Current assets</t>
  </si>
  <si>
    <t>TOTAL ASSETS</t>
  </si>
  <si>
    <t>Current Borrowings And Current Portion Of Noncurrent Borrowings</t>
  </si>
  <si>
    <t>Accounts Payable</t>
  </si>
  <si>
    <t>Other Payables</t>
  </si>
  <si>
    <t>Short-term lease liabilities</t>
  </si>
  <si>
    <t>Other Current Liabilities</t>
  </si>
  <si>
    <t>Current liabilities</t>
  </si>
  <si>
    <t>Term loans</t>
  </si>
  <si>
    <t>Senior Secured Notes</t>
  </si>
  <si>
    <t>Lease liabilities</t>
  </si>
  <si>
    <t>Other Noncurrent Liabilities</t>
  </si>
  <si>
    <t>Liabilities Non-current liabilities</t>
  </si>
  <si>
    <t>Total liabilities</t>
  </si>
  <si>
    <t>Net Assets Liabilities</t>
  </si>
  <si>
    <t>Total equity</t>
  </si>
  <si>
    <t>Balance Sheet Error</t>
  </si>
  <si>
    <t xml:space="preserve"> Debt Note</t>
  </si>
  <si>
    <t>Required Additional Borrowings</t>
  </si>
  <si>
    <t>Africell Holding Term loan Sep-2027</t>
  </si>
  <si>
    <t>Limited Africell Holding Syndicated term loan Sep-2026</t>
  </si>
  <si>
    <t>Limited Africell Holding Term loan Mar-2032</t>
  </si>
  <si>
    <t>Limited Africell Gambia Limited Bank loan May-2025</t>
  </si>
  <si>
    <t>Africell Gambia Limited Bank loan Dec-2024</t>
  </si>
  <si>
    <t>Africell RDC SA Africell Bank loan Feb-2026</t>
  </si>
  <si>
    <t>Sierra Leone Limited Bank loan Apr-2027</t>
  </si>
  <si>
    <t>Bank overdrafts</t>
  </si>
  <si>
    <t>Leases Liabilities (Balance Sheet)</t>
  </si>
  <si>
    <t>Total Gross Debt</t>
  </si>
  <si>
    <t>Gross Leverage</t>
  </si>
  <si>
    <t>Adjusted Gross Leverage</t>
  </si>
  <si>
    <t>Total Net Debt</t>
  </si>
  <si>
    <t>Net Leverage</t>
  </si>
  <si>
    <t>Adjusted Net Leverage</t>
  </si>
  <si>
    <t xml:space="preserve"> Debt Interest</t>
  </si>
  <si>
    <t>Effective Interest Rate</t>
  </si>
  <si>
    <t>Total Interest</t>
  </si>
  <si>
    <t xml:space="preserve"> EBITDA Analysis</t>
  </si>
  <si>
    <t>Derived EBITDA</t>
  </si>
  <si>
    <t>Implied Adjustments to Derived EBITDA</t>
  </si>
  <si>
    <t>Company Reported Adjusted EBITDA</t>
  </si>
  <si>
    <t>Adjustments / Derived EBITDA</t>
  </si>
  <si>
    <t xml:space="preserve"> Metrics</t>
  </si>
  <si>
    <t>EBITDA Margin</t>
  </si>
  <si>
    <t>Adjusted EBITDA Margin</t>
  </si>
  <si>
    <t>EBIT Margin</t>
  </si>
  <si>
    <t>EBT Margin</t>
  </si>
  <si>
    <t>Net Profit Margin</t>
  </si>
  <si>
    <t>Depreciation and Amortisation</t>
  </si>
  <si>
    <t>Total Impairment</t>
  </si>
  <si>
    <t>Gross Capex</t>
  </si>
  <si>
    <t>Net Capex</t>
  </si>
  <si>
    <t>Gross Capex / Sales</t>
  </si>
  <si>
    <t>Gross Capex / D&amp;A</t>
  </si>
  <si>
    <t>Funds From Operations (FFO)</t>
  </si>
  <si>
    <t>Free Cash Flow (FCF)</t>
  </si>
  <si>
    <t>Free Cash Flow to the Firm (FCFF)</t>
  </si>
  <si>
    <t>LTM FFO / Total Net Debt</t>
  </si>
  <si>
    <t>LTM FCF / Total Net Debt</t>
  </si>
  <si>
    <t>LTM FCFF / Total Net Debt</t>
  </si>
  <si>
    <t>Net Working Capital</t>
  </si>
  <si>
    <t>Change In Net Working Capital</t>
  </si>
  <si>
    <t>Net Cash Interest</t>
  </si>
  <si>
    <t>Interest Coverage Ratio (EBITDA)</t>
  </si>
  <si>
    <t>Interest Coverage Ratio (Adjusted EBITDA)</t>
  </si>
  <si>
    <t>Net Cash Tax</t>
  </si>
  <si>
    <t>LTM Fixed Charges</t>
  </si>
  <si>
    <t>Fixed Charge Coverage Ratio (EBITDA)</t>
  </si>
  <si>
    <t>Fixed Charge Coverage Ratio (Adjusted EBITDA)</t>
  </si>
  <si>
    <t xml:space="preserve"> Year-over-year Changes</t>
  </si>
  <si>
    <t>Y/o/Y EBITDA Change</t>
  </si>
  <si>
    <t>Y/o/Y Adjusted EBITDA Change</t>
  </si>
  <si>
    <t>Y/o/Y EBIT Change</t>
  </si>
  <si>
    <t>Y/o/Y EBT Change</t>
  </si>
  <si>
    <t>Y/o/Y Net Income Change</t>
  </si>
  <si>
    <t>Y/o/Y CFO Change</t>
  </si>
  <si>
    <t>Y/o/Y Gross Capex Change</t>
  </si>
  <si>
    <t>Y/o/Y FFO Change</t>
  </si>
  <si>
    <t>Y/o/Y FCF Change</t>
  </si>
  <si>
    <t>Y/o/Y FCFF Change</t>
  </si>
  <si>
    <t>Y/o/Y Total Net Cash Flow Change</t>
  </si>
  <si>
    <t>NM</t>
  </si>
  <si>
    <t>Y/o/Y Gross Debt Change</t>
  </si>
  <si>
    <t>Y/o/Y Gross Leverage Change</t>
  </si>
  <si>
    <t>Y/o/Y Adjusted Gross Leverage Change</t>
  </si>
  <si>
    <t>Y/o/Y Net Debt Change</t>
  </si>
  <si>
    <t>Y/o/Y Net Leverage Change</t>
  </si>
  <si>
    <t>Y/o/Y Adjusted Net Leverage Change</t>
  </si>
  <si>
    <t>Y/o/Y EBITDA Margin Change</t>
  </si>
  <si>
    <t>Y/o/Y Adjusted EBITDA Margin Change</t>
  </si>
  <si>
    <t>Y/o/Y EBIT Margin Change</t>
  </si>
  <si>
    <t>Please note that the download and usage of data is subject to the Terms &amp; Conditions of your Cognitive Credit Licence.</t>
  </si>
  <si>
    <t>Downloaded by Reza Karim at 23 Sep 2026, 14:14</t>
  </si>
  <si>
    <t>https://app.cognitivecredit.com/company/africell/forecasting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</si>
</sst>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71" formatCode="_(#,##0.0_);(#,##0.0);_(&quot;-&quot;??_);@"/>
    <numFmt numFmtId="172" formatCode="#,##0.0%"/>
    <numFmt numFmtId="173" formatCode="#,##0&quot;d&quot;"/>
    <numFmt numFmtId="174" formatCode="_(#,##0.0_);(#,##0.0);_(#,##0.0_);@"/>
    <numFmt numFmtId="175" formatCode="#,##0.0&quot;x&quot;"/>
    <numFmt numFmtId="176" formatCode="#,##0.000%"/>
    <numFmt numFmtId="177" formatCode="#,##0&quot;bp&quot;"/>
  </numFmts>
  <fonts count="5">
    <font>
      <b val="0"/>
      <i val="0"/>
      <sz val="9"/>
      <color rgb="FF041C2C"/>
      <name val="Open Sans"/>
    </font>
    <font>
      <b/>
      <i val="0"/>
      <sz val="9"/>
      <color rgb="FF041C2C"/>
      <name val="Open Sans"/>
    </font>
    <font>
      <b val="0"/>
      <i val="0"/>
      <sz val="9"/>
      <color rgb="FFFCFDFD"/>
      <name val="Open Sans"/>
    </font>
    <font>
      <b val="0"/>
      <i val="0"/>
      <sz val="9"/>
      <color rgb="FF1E4294"/>
      <name val="Open Sans"/>
    </font>
    <font>
      <b val="0"/>
      <i val="0"/>
      <u/>
      <sz val="9"/>
      <color rgb="FF007DA0"/>
      <name val="Open Sans"/>
    </font>
  </fonts>
  <fills count="4">
    <fill>
      <patternFill patternType="none"/>
    </fill>
    <fill>
      <patternFill patternType="gray125"/>
    </fill>
    <fill>
      <patternFill patternType="solid">
        <fgColor rgb="FF041C2C"/>
      </patternFill>
    </fill>
    <fill>
      <patternFill patternType="solid">
        <fgColor rgb="FF95CAC3"/>
      </patternFill>
    </fill>
  </fills>
  <borders count="3">
    <border>
      <left/>
      <right/>
      <top/>
      <bottom/>
    </border>
    <border>
      <left/>
      <right/>
      <top/>
      <bottom style="thin">
        <color rgb="FF041C2C"/>
      </bottom>
    </border>
    <border>
      <left/>
      <right/>
      <top style="thin">
        <color rgb="FF041C2C"/>
      </top>
      <bottom/>
    </border>
  </borders>
  <cellStyleXfs count="1">
    <xf numFmtId="171" fontId="0" fillId="0" borderId="0">
      <alignment horizontal="right" vertical="top" wrapText="1"/>
      <protection locked="0"/>
    </xf>
  </cellStyleXfs>
  <cellXfs count="37">
    <xf numFmtId="171" fontId="0" fillId="0" borderId="0" xfId="0" applyFont="1" applyNumberFormat="1">
      <alignment horizontal="right" vertical="top" wrapText="1"/>
      <protection locked="0"/>
    </xf>
    <xf numFmtId="171" fontId="1" fillId="0" borderId="0" xfId="0" applyFont="1" applyNumberFormat="1">
      <alignment horizontal="center" vertical="top" wrapText="1"/>
      <protection locked="0"/>
    </xf>
    <xf numFmtId="171" fontId="2" fillId="2" borderId="1" xfId="0" applyFont="1" applyFill="1" applyBorder="1" applyNumberFormat="1">
      <alignment horizontal="left" vertical="top" wrapText="1"/>
      <protection locked="0"/>
    </xf>
    <xf numFmtId="171" fontId="0" fillId="0" borderId="1" xfId="0" applyFont="1" applyBorder="1" applyNumberFormat="1">
      <alignment horizontal="right" vertical="top" wrapText="1"/>
      <protection locked="0"/>
    </xf>
    <xf numFmtId="171" fontId="0" fillId="0" borderId="0" xfId="0" applyFont="1" applyNumberFormat="1">
      <alignment horizontal="right" vertical="top"/>
      <protection locked="0"/>
    </xf>
    <xf numFmtId="172" fontId="0" fillId="0" borderId="0" xfId="0" applyFont="1" applyNumberFormat="1">
      <alignment horizontal="right" vertical="top"/>
    </xf>
    <xf numFmtId="172" fontId="0" fillId="3" borderId="0" xfId="0" applyFont="1" applyFill="1" applyNumberFormat="1">
      <alignment horizontal="right" vertical="top"/>
      <protection locked="0"/>
    </xf>
    <xf numFmtId="172" fontId="3" fillId="0" borderId="0" xfId="0" applyFont="1" applyNumberFormat="1">
      <alignment horizontal="right" vertical="top"/>
    </xf>
    <xf numFmtId="172" fontId="0" fillId="3" borderId="0" xfId="0" applyFont="1" applyFill="1" applyNumberFormat="1">
      <alignment horizontal="right" vertical="top"/>
    </xf>
    <xf numFmtId="173" fontId="0" fillId="0" borderId="0" xfId="0" applyFont="1" applyNumberFormat="1">
      <alignment horizontal="right" vertical="top"/>
      <protection locked="0"/>
    </xf>
    <xf numFmtId="173" fontId="0" fillId="3" borderId="0" xfId="0" applyFont="1" applyFill="1" applyNumberFormat="1">
      <alignment horizontal="right" vertical="top"/>
      <protection locked="0"/>
    </xf>
    <xf numFmtId="3" fontId="3" fillId="0" borderId="0" xfId="0" applyFont="1" applyNumberFormat="1">
      <alignment horizontal="right" vertical="top"/>
    </xf>
    <xf numFmtId="173" fontId="0" fillId="0" borderId="0" xfId="0" applyFont="1" applyNumberFormat="1">
      <alignment horizontal="right" vertical="top"/>
    </xf>
    <xf numFmtId="172" fontId="0" fillId="0" borderId="0" xfId="0" applyFont="1" applyNumberFormat="1">
      <alignment horizontal="right" vertical="top"/>
      <protection locked="0"/>
    </xf>
    <xf numFmtId="171" fontId="0" fillId="0" borderId="2" xfId="0" applyFont="1" applyBorder="1" applyNumberFormat="1">
      <alignment horizontal="right" vertical="top" wrapText="1"/>
      <protection locked="0"/>
    </xf>
    <xf numFmtId="171" fontId="1" fillId="0" borderId="0" xfId="0" applyFont="1" applyNumberFormat="1">
      <alignment horizontal="right" vertical="top"/>
      <protection locked="0"/>
    </xf>
    <xf numFmtId="171" fontId="1" fillId="0" borderId="0" xfId="0" applyFont="1" applyNumberFormat="1">
      <alignment horizontal="right" vertical="top" wrapText="1"/>
      <protection locked="0"/>
    </xf>
    <xf numFmtId="171" fontId="1" fillId="3" borderId="0" xfId="0" applyFont="1" applyFill="1" applyNumberFormat="1">
      <alignment horizontal="right" vertical="top" wrapText="1"/>
      <protection locked="0"/>
    </xf>
    <xf numFmtId="171" fontId="1" fillId="0" borderId="0" xfId="0" applyFont="1" applyNumberFormat="1">
      <alignment horizontal="right" vertical="top" wrapText="1"/>
    </xf>
    <xf numFmtId="171" fontId="0" fillId="3" borderId="0" xfId="0" applyFont="1" applyFill="1" applyNumberFormat="1">
      <alignment horizontal="right" vertical="top" wrapText="1"/>
      <protection locked="0"/>
    </xf>
    <xf numFmtId="171" fontId="0" fillId="0" borderId="0" xfId="0" applyFont="1" applyNumberFormat="1">
      <alignment horizontal="right" vertical="top" wrapText="1"/>
    </xf>
    <xf numFmtId="174" fontId="3" fillId="0" borderId="0" xfId="0" applyFont="1" applyNumberFormat="1">
      <alignment horizontal="right" vertical="top"/>
    </xf>
    <xf numFmtId="171" fontId="1" fillId="3" borderId="0" xfId="0" applyFont="1" applyFill="1" applyNumberFormat="1">
      <alignment horizontal="right" vertical="top" wrapText="1"/>
    </xf>
    <xf numFmtId="171" fontId="0" fillId="3" borderId="0" xfId="0" applyFont="1" applyFill="1" applyNumberFormat="1">
      <alignment horizontal="right" vertical="top" wrapText="1"/>
    </xf>
    <xf numFmtId="174" fontId="3" fillId="0" borderId="0" xfId="0" applyFont="1" applyNumberFormat="1">
      <alignment horizontal="right" vertical="top"/>
      <protection locked="0"/>
    </xf>
    <xf numFmtId="175" fontId="0" fillId="0" borderId="0" xfId="0" applyFont="1" applyNumberFormat="1">
      <alignment horizontal="right" vertical="top"/>
    </xf>
    <xf numFmtId="175" fontId="0" fillId="3" borderId="0" xfId="0" applyFont="1" applyFill="1" applyNumberFormat="1">
      <alignment horizontal="right" vertical="top"/>
    </xf>
    <xf numFmtId="175" fontId="1" fillId="0" borderId="0" xfId="0" applyFont="1" applyNumberFormat="1">
      <alignment horizontal="right" vertical="top" wrapText="1"/>
    </xf>
    <xf numFmtId="175" fontId="1" fillId="3" borderId="0" xfId="0" applyFont="1" applyFill="1" applyNumberFormat="1">
      <alignment horizontal="right" vertical="top" wrapText="1"/>
    </xf>
    <xf numFmtId="176" fontId="0" fillId="0" borderId="0" xfId="0" applyFont="1" applyNumberFormat="1">
      <alignment horizontal="right" vertical="top"/>
    </xf>
    <xf numFmtId="176" fontId="0" fillId="3" borderId="0" xfId="0" applyFont="1" applyFill="1" applyNumberFormat="1">
      <alignment horizontal="right" vertical="top"/>
      <protection locked="0"/>
    </xf>
    <xf numFmtId="176" fontId="3" fillId="0" borderId="0" xfId="0" applyFont="1" applyNumberFormat="1">
      <alignment horizontal="right" vertical="top"/>
    </xf>
    <xf numFmtId="175" fontId="0" fillId="3" borderId="0" xfId="0" applyFont="1" applyFill="1" applyNumberFormat="1">
      <alignment horizontal="right" vertical="top"/>
      <protection locked="0"/>
    </xf>
    <xf numFmtId="177" fontId="0" fillId="0" borderId="0" xfId="0" applyFont="1" applyNumberFormat="1">
      <alignment horizontal="right" vertical="top"/>
    </xf>
    <xf numFmtId="177" fontId="0" fillId="3" borderId="0" xfId="0" applyFont="1" applyFill="1" applyNumberFormat="1">
      <alignment horizontal="right" vertical="top"/>
      <protection locked="0"/>
    </xf>
    <xf numFmtId="171" fontId="0" fillId="0" borderId="0" xfId="0" applyFont="1" applyNumberFormat="1">
      <alignment horizontal="left" vertical="top" wrapText="1"/>
      <protection locked="0"/>
    </xf>
    <xf numFmtId="171" fontId="4" fillId="0" borderId="0" xfId="0" applyFont="1" applyNumberFormat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p.cognitivecredit.com/company/africell/forecast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07B8AA6-2375-7DB9-1917-9E80BA335484}" mc:Ignorable="x14ac xr xr2 xr3">
  <dimension ref="A1:P177"/>
  <sheetViews>
    <sheetView defaultGridColor="0" colorId="9" showGridLines="0" workbookViewId="0" tabSelected="1">
      <pane xSplit="1" ySplit="1" topLeftCell="B2" activePane="bottomRight" state="frozen"/>
      <selection pane="bottomLeft" activeCell="A2" sqref="A2"/>
      <selection pane="topRight" activeCell="B1" sqref="B1"/>
      <selection pane="bottomRight" activeCell="A1" sqref="A1"/>
    </sheetView>
  </sheetViews>
  <sheetFormatPr defaultColWidth="8.8515625" customHeight="1" defaultRowHeight="15"/>
  <cols>
    <col min="1" max="1" width="60.00390625" customWidth="1"/>
    <col min="2" max="16" width="10.7109375" customWidth="1"/>
  </cols>
  <sheetData>
    <row customHeight="1" ht="15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customHeight="1" ht="15">
      <c r="A2" s="2" t="s">
        <v>16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customHeight="1" ht="15">
      <c r="A3" s="4" t="s">
        <v>17</v>
      </c>
      <c r="C3" s="5">
        <f t="shared" si="0" ref="C3:E3">IF(AND(C17=0,B17=0),0,IF(OR(B17=0,B17="NM",C17="NM"),"NM",IF(B17&lt;0,-(C17/B17-1),C17/B17-1)))</f>
        <v>0.156075795585702</v>
      </c>
      <c r="D3" s="5">
        <f t="shared" si="0"/>
        <v>-0.000571029384713095</v>
      </c>
      <c r="E3" s="5">
        <f t="shared" si="0"/>
        <v>0.147910181170013</v>
      </c>
      <c r="F3" s="6">
        <v>0.1878202567</v>
      </c>
      <c r="G3" s="7">
        <f>0</f>
        <v>0</v>
      </c>
      <c r="H3" s="7">
        <f t="shared" si="1" ref="H3:P26">G3</f>
        <v>0</v>
      </c>
      <c r="I3" s="7">
        <f t="shared" si="1"/>
        <v>0</v>
      </c>
      <c r="J3" s="7">
        <f t="shared" si="1"/>
        <v>0</v>
      </c>
      <c r="K3" s="7">
        <f t="shared" si="1"/>
        <v>0</v>
      </c>
      <c r="L3" s="7">
        <f t="shared" si="1"/>
        <v>0</v>
      </c>
      <c r="M3" s="7">
        <f t="shared" si="1"/>
        <v>0</v>
      </c>
      <c r="N3" s="7">
        <f t="shared" si="1"/>
        <v>0</v>
      </c>
      <c r="O3" s="7">
        <f t="shared" si="1"/>
        <v>0</v>
      </c>
      <c r="P3" s="7">
        <f t="shared" si="1"/>
        <v>0</v>
      </c>
    </row>
    <row customHeight="1" ht="15">
      <c r="A4" s="4" t="s">
        <v>18</v>
      </c>
      <c r="B4" s="5">
        <f t="shared" si="2" ref="B4:F4">-B18/B17</f>
        <v>0.441678933628246</v>
      </c>
      <c r="C4" s="5">
        <f t="shared" si="2"/>
        <v>0.392016272587029</v>
      </c>
      <c r="D4" s="5">
        <f t="shared" si="2"/>
        <v>0.409739061043224</v>
      </c>
      <c r="E4" s="5">
        <f t="shared" si="2"/>
        <v>0.352672690767317</v>
      </c>
      <c r="F4" s="8">
        <f t="shared" si="2"/>
        <v>0.33511428974935</v>
      </c>
      <c r="G4" s="7">
        <f t="shared" si="4" ref="G4:G82">E4</f>
        <v>0.352672690767317</v>
      </c>
      <c r="H4" s="7">
        <f t="shared" si="1"/>
        <v>0.352672690767317</v>
      </c>
      <c r="I4" s="7">
        <f t="shared" si="1"/>
        <v>0.352672690767317</v>
      </c>
      <c r="J4" s="7">
        <f t="shared" si="1"/>
        <v>0.352672690767317</v>
      </c>
      <c r="K4" s="7">
        <f t="shared" si="1"/>
        <v>0.352672690767317</v>
      </c>
      <c r="L4" s="7">
        <f t="shared" si="1"/>
        <v>0.352672690767317</v>
      </c>
      <c r="M4" s="7">
        <f t="shared" si="1"/>
        <v>0.352672690767317</v>
      </c>
      <c r="N4" s="7">
        <f t="shared" si="1"/>
        <v>0.352672690767317</v>
      </c>
      <c r="O4" s="7">
        <f t="shared" si="1"/>
        <v>0.352672690767317</v>
      </c>
      <c r="P4" s="7">
        <f t="shared" si="1"/>
        <v>0.352672690767317</v>
      </c>
    </row>
    <row customHeight="1" ht="15">
      <c r="A5" s="4" t="s">
        <v>19</v>
      </c>
      <c r="B5" s="5">
        <f t="shared" si="3" ref="B5:F5">-B19/B17</f>
        <v>0.350930803295139</v>
      </c>
      <c r="C5" s="5">
        <f t="shared" si="3"/>
        <v>0.32369191425238</v>
      </c>
      <c r="D5" s="5">
        <f t="shared" si="3"/>
        <v>0.367865815101741</v>
      </c>
      <c r="E5" s="5">
        <f t="shared" si="3"/>
        <v>0.318319811321983</v>
      </c>
      <c r="F5" s="8">
        <f t="shared" si="3"/>
        <v>0.319444885819344</v>
      </c>
      <c r="G5" s="7">
        <f t="shared" si="4"/>
        <v>0.318319811321983</v>
      </c>
      <c r="H5" s="7">
        <f t="shared" si="1"/>
        <v>0.318319811321983</v>
      </c>
      <c r="I5" s="7">
        <f t="shared" si="1"/>
        <v>0.318319811321983</v>
      </c>
      <c r="J5" s="7">
        <f t="shared" si="1"/>
        <v>0.318319811321983</v>
      </c>
      <c r="K5" s="7">
        <f t="shared" si="1"/>
        <v>0.318319811321983</v>
      </c>
      <c r="L5" s="7">
        <f t="shared" si="1"/>
        <v>0.318319811321983</v>
      </c>
      <c r="M5" s="7">
        <f t="shared" si="1"/>
        <v>0.318319811321983</v>
      </c>
      <c r="N5" s="7">
        <f t="shared" si="1"/>
        <v>0.318319811321983</v>
      </c>
      <c r="O5" s="7">
        <f t="shared" si="1"/>
        <v>0.318319811321983</v>
      </c>
      <c r="P5" s="7">
        <f t="shared" si="1"/>
        <v>0.318319811321983</v>
      </c>
    </row>
    <row customHeight="1" ht="15">
      <c r="A6" s="4" t="s">
        <v>20</v>
      </c>
      <c r="B6" s="9">
        <v>365</v>
      </c>
      <c r="C6" s="9">
        <v>365</v>
      </c>
      <c r="D6" s="9">
        <v>366</v>
      </c>
      <c r="E6" s="9">
        <v>364</v>
      </c>
      <c r="F6" s="10">
        <v>365</v>
      </c>
      <c r="G6" s="11">
        <f>MIN(730,MAX(14,E6))</f>
        <v>364</v>
      </c>
      <c r="H6" s="11">
        <f t="shared" si="5" ref="H6:P6">MIN(730,MAX(14,G6))</f>
        <v>364</v>
      </c>
      <c r="I6" s="11">
        <f t="shared" si="5"/>
        <v>364</v>
      </c>
      <c r="J6" s="11">
        <f t="shared" si="5"/>
        <v>364</v>
      </c>
      <c r="K6" s="11">
        <f t="shared" si="5"/>
        <v>364</v>
      </c>
      <c r="L6" s="11">
        <f t="shared" si="5"/>
        <v>364</v>
      </c>
      <c r="M6" s="11">
        <f t="shared" si="5"/>
        <v>364</v>
      </c>
      <c r="N6" s="11">
        <f t="shared" si="5"/>
        <v>364</v>
      </c>
      <c r="O6" s="11">
        <f t="shared" si="5"/>
        <v>364</v>
      </c>
      <c r="P6" s="11">
        <f t="shared" si="5"/>
        <v>364</v>
      </c>
    </row>
    <row customHeight="1" ht="15">
      <c r="A7" s="4" t="s">
        <v>21</v>
      </c>
      <c r="C7" s="12">
        <f t="shared" si="6" ref="C7:E7">IF(C17&lt;0.05,"NM",(B67+C67)/2/C17*C6)</f>
        <v>21.5357457056196</v>
      </c>
      <c r="D7" s="12">
        <f t="shared" si="6"/>
        <v>12.0373912647135</v>
      </c>
      <c r="E7" s="12">
        <f t="shared" si="6"/>
        <v>11.367976845407</v>
      </c>
      <c r="F7" s="10">
        <v>10.3688948812</v>
      </c>
      <c r="G7" s="11">
        <f t="shared" si="8" ref="G7:G8">MIN(730,MAX(1,E7))</f>
        <v>11.367976845407</v>
      </c>
      <c r="H7" s="11">
        <f t="shared" si="7" ref="H7:P8">MIN(730,MAX(1,G7))</f>
        <v>11.367976845407</v>
      </c>
      <c r="I7" s="11">
        <f t="shared" si="7"/>
        <v>11.367976845407</v>
      </c>
      <c r="J7" s="11">
        <f t="shared" si="7"/>
        <v>11.367976845407</v>
      </c>
      <c r="K7" s="11">
        <f t="shared" si="7"/>
        <v>11.367976845407</v>
      </c>
      <c r="L7" s="11">
        <f t="shared" si="7"/>
        <v>11.367976845407</v>
      </c>
      <c r="M7" s="11">
        <f t="shared" si="7"/>
        <v>11.367976845407</v>
      </c>
      <c r="N7" s="11">
        <f t="shared" si="7"/>
        <v>11.367976845407</v>
      </c>
      <c r="O7" s="11">
        <f t="shared" si="7"/>
        <v>11.367976845407</v>
      </c>
      <c r="P7" s="11">
        <f t="shared" si="7"/>
        <v>11.367976845407</v>
      </c>
    </row>
    <row customHeight="1" ht="15">
      <c r="A8" s="4" t="s">
        <v>22</v>
      </c>
      <c r="C8" s="9">
        <v>137.0982959232</v>
      </c>
      <c r="D8" s="9">
        <v>158.4853913774</v>
      </c>
      <c r="E8" s="9">
        <v>133.0995382718</v>
      </c>
      <c r="F8" s="10">
        <v>118.8261342121</v>
      </c>
      <c r="G8" s="11">
        <f t="shared" si="8"/>
        <v>133.0995382718</v>
      </c>
      <c r="H8" s="11">
        <f t="shared" si="7"/>
        <v>133.0995382718</v>
      </c>
      <c r="I8" s="11">
        <f t="shared" si="7"/>
        <v>133.0995382718</v>
      </c>
      <c r="J8" s="11">
        <f t="shared" si="7"/>
        <v>133.0995382718</v>
      </c>
      <c r="K8" s="11">
        <f t="shared" si="7"/>
        <v>133.0995382718</v>
      </c>
      <c r="L8" s="11">
        <f t="shared" si="7"/>
        <v>133.0995382718</v>
      </c>
      <c r="M8" s="11">
        <f t="shared" si="7"/>
        <v>133.0995382718</v>
      </c>
      <c r="N8" s="11">
        <f t="shared" si="7"/>
        <v>133.0995382718</v>
      </c>
      <c r="O8" s="11">
        <f t="shared" si="7"/>
        <v>133.0995382718</v>
      </c>
      <c r="P8" s="11">
        <f t="shared" si="7"/>
        <v>133.0995382718</v>
      </c>
    </row>
    <row customHeight="1" ht="15">
      <c r="A9" s="4" t="s">
        <v>23</v>
      </c>
      <c r="C9" s="13">
        <v>0.3727547571</v>
      </c>
      <c r="D9" s="13">
        <v>0.1464564613</v>
      </c>
      <c r="E9" s="13">
        <v>0.2512262805</v>
      </c>
      <c r="F9" s="6">
        <v>0.3224355568</v>
      </c>
      <c r="G9" s="7">
        <f t="shared" si="11" ref="G9:G10">MIN(10,MAX(0,E9))</f>
        <v>0.2512262805</v>
      </c>
      <c r="H9" s="7">
        <f t="shared" si="9" ref="H9:P10">MIN(10,MAX(0,G9))</f>
        <v>0.2512262805</v>
      </c>
      <c r="I9" s="7">
        <f t="shared" si="9"/>
        <v>0.2512262805</v>
      </c>
      <c r="J9" s="7">
        <f t="shared" si="9"/>
        <v>0.2512262805</v>
      </c>
      <c r="K9" s="7">
        <f t="shared" si="9"/>
        <v>0.2512262805</v>
      </c>
      <c r="L9" s="7">
        <f t="shared" si="9"/>
        <v>0.2512262805</v>
      </c>
      <c r="M9" s="7">
        <f t="shared" si="9"/>
        <v>0.2512262805</v>
      </c>
      <c r="N9" s="7">
        <f t="shared" si="9"/>
        <v>0.2512262805</v>
      </c>
      <c r="O9" s="7">
        <f t="shared" si="9"/>
        <v>0.2512262805</v>
      </c>
      <c r="P9" s="7">
        <f t="shared" si="9"/>
        <v>0.2512262805</v>
      </c>
    </row>
    <row customHeight="1" ht="15">
      <c r="A10" s="4" t="s">
        <v>24</v>
      </c>
      <c r="C10" s="5">
        <f t="shared" si="10" ref="C10:E10">-C42/B61</f>
        <v>0.335211300396149</v>
      </c>
      <c r="D10" s="5">
        <f t="shared" si="10"/>
        <v>0.264437647048795</v>
      </c>
      <c r="E10" s="5">
        <f t="shared" si="10"/>
        <v>0.104516288658941</v>
      </c>
      <c r="F10" s="6">
        <v>0.1210283142</v>
      </c>
      <c r="G10" s="7">
        <f t="shared" si="11"/>
        <v>0.104516288658941</v>
      </c>
      <c r="H10" s="7">
        <f t="shared" si="9"/>
        <v>0.104516288658941</v>
      </c>
      <c r="I10" s="7">
        <f t="shared" si="9"/>
        <v>0.104516288658941</v>
      </c>
      <c r="J10" s="7">
        <f t="shared" si="9"/>
        <v>0.104516288658941</v>
      </c>
      <c r="K10" s="7">
        <f t="shared" si="9"/>
        <v>0.104516288658941</v>
      </c>
      <c r="L10" s="7">
        <f t="shared" si="9"/>
        <v>0.104516288658941</v>
      </c>
      <c r="M10" s="7">
        <f t="shared" si="9"/>
        <v>0.104516288658941</v>
      </c>
      <c r="N10" s="7">
        <f t="shared" si="9"/>
        <v>0.104516288658941</v>
      </c>
      <c r="O10" s="7">
        <f t="shared" si="9"/>
        <v>0.104516288658941</v>
      </c>
      <c r="P10" s="7">
        <f t="shared" si="9"/>
        <v>0.104516288658941</v>
      </c>
    </row>
    <row customHeight="1" ht="15">
      <c r="A11" s="4" t="s">
        <v>25</v>
      </c>
      <c r="C11" s="5">
        <f t="shared" si="12" ref="C11:E11">C31/(((B58+B59)+(C58+C59))/2)</f>
        <v>0.136821571481476</v>
      </c>
      <c r="D11" s="5">
        <f t="shared" si="12"/>
        <v>0.160840271272475</v>
      </c>
      <c r="E11" s="5">
        <f t="shared" si="12"/>
        <v>0.170395248938904</v>
      </c>
      <c r="F11" s="6">
        <v>0.1913332898</v>
      </c>
      <c r="G11" s="7">
        <f t="shared" si="15" ref="G11:G12">MIN(0.99,MAX(0.01,E11))</f>
        <v>0.170395248938904</v>
      </c>
      <c r="H11" s="7">
        <f t="shared" si="13" ref="H11:P12">MIN(0.99,MAX(0.01,G11))</f>
        <v>0.170395248938904</v>
      </c>
      <c r="I11" s="7">
        <f t="shared" si="13"/>
        <v>0.170395248938904</v>
      </c>
      <c r="J11" s="7">
        <f t="shared" si="13"/>
        <v>0.170395248938904</v>
      </c>
      <c r="K11" s="7">
        <f t="shared" si="13"/>
        <v>0.170395248938904</v>
      </c>
      <c r="L11" s="7">
        <f t="shared" si="13"/>
        <v>0.170395248938904</v>
      </c>
      <c r="M11" s="7">
        <f t="shared" si="13"/>
        <v>0.170395248938904</v>
      </c>
      <c r="N11" s="7">
        <f t="shared" si="13"/>
        <v>0.170395248938904</v>
      </c>
      <c r="O11" s="7">
        <f t="shared" si="13"/>
        <v>0.170395248938904</v>
      </c>
      <c r="P11" s="7">
        <f t="shared" si="13"/>
        <v>0.170395248938904</v>
      </c>
    </row>
    <row customHeight="1" ht="15">
      <c r="A12" s="4" t="s">
        <v>26</v>
      </c>
      <c r="C12" s="5">
        <f t="shared" si="14" ref="C12:E12">C32/((B61+C61)/2)</f>
        <v>0.211524956250517</v>
      </c>
      <c r="D12" s="5">
        <f t="shared" si="14"/>
        <v>0.262244093195977</v>
      </c>
      <c r="E12" s="5">
        <f t="shared" si="14"/>
        <v>0.249809862998592</v>
      </c>
      <c r="F12" s="6">
        <v>0.2585294537</v>
      </c>
      <c r="G12" s="7">
        <f t="shared" si="15"/>
        <v>0.249809862998592</v>
      </c>
      <c r="H12" s="7">
        <f t="shared" si="13"/>
        <v>0.249809862998592</v>
      </c>
      <c r="I12" s="7">
        <f t="shared" si="13"/>
        <v>0.249809862998592</v>
      </c>
      <c r="J12" s="7">
        <f t="shared" si="13"/>
        <v>0.249809862998592</v>
      </c>
      <c r="K12" s="7">
        <f t="shared" si="13"/>
        <v>0.249809862998592</v>
      </c>
      <c r="L12" s="7">
        <f t="shared" si="13"/>
        <v>0.249809862998592</v>
      </c>
      <c r="M12" s="7">
        <f t="shared" si="13"/>
        <v>0.249809862998592</v>
      </c>
      <c r="N12" s="7">
        <f t="shared" si="13"/>
        <v>0.249809862998592</v>
      </c>
      <c r="O12" s="7">
        <f t="shared" si="13"/>
        <v>0.249809862998592</v>
      </c>
      <c r="P12" s="7">
        <f t="shared" si="13"/>
        <v>0.249809862998592</v>
      </c>
    </row>
    <row customHeight="1" ht="15">
      <c r="A13" s="4" t="s">
        <v>27</v>
      </c>
      <c r="B13" s="13"/>
      <c r="C13" s="13"/>
      <c r="D13" s="13"/>
      <c r="E13" s="13"/>
      <c r="F13" s="6"/>
      <c r="G13" s="7">
        <f t="shared" si="16" ref="G13:P13">MIN(10,MAX(0,G11))</f>
        <v>0.170395248938904</v>
      </c>
      <c r="H13" s="7">
        <f t="shared" si="16"/>
        <v>0.170395248938904</v>
      </c>
      <c r="I13" s="7">
        <f t="shared" si="16"/>
        <v>0.170395248938904</v>
      </c>
      <c r="J13" s="7">
        <f t="shared" si="16"/>
        <v>0.170395248938904</v>
      </c>
      <c r="K13" s="7">
        <f t="shared" si="16"/>
        <v>0.170395248938904</v>
      </c>
      <c r="L13" s="7">
        <f t="shared" si="16"/>
        <v>0.170395248938904</v>
      </c>
      <c r="M13" s="7">
        <f t="shared" si="16"/>
        <v>0.170395248938904</v>
      </c>
      <c r="N13" s="7">
        <f t="shared" si="16"/>
        <v>0.170395248938904</v>
      </c>
      <c r="O13" s="7">
        <f t="shared" si="16"/>
        <v>0.170395248938904</v>
      </c>
      <c r="P13" s="7">
        <f t="shared" si="16"/>
        <v>0.170395248938904</v>
      </c>
    </row>
    <row customHeight="1" ht="15">
      <c r="A14" s="4" t="s">
        <v>28</v>
      </c>
      <c r="B14" s="13"/>
      <c r="C14" s="13"/>
      <c r="D14" s="13"/>
      <c r="E14" s="13"/>
      <c r="F14" s="6"/>
      <c r="G14" s="7">
        <f>0.1</f>
        <v>0.1</v>
      </c>
      <c r="H14" s="7">
        <f t="shared" si="1"/>
        <v>0.1</v>
      </c>
      <c r="I14" s="7">
        <f t="shared" si="1"/>
        <v>0.1</v>
      </c>
      <c r="J14" s="7">
        <f t="shared" si="1"/>
        <v>0.1</v>
      </c>
      <c r="K14" s="7">
        <f t="shared" si="1"/>
        <v>0.1</v>
      </c>
      <c r="L14" s="7">
        <f t="shared" si="1"/>
        <v>0.1</v>
      </c>
      <c r="M14" s="7">
        <f t="shared" si="1"/>
        <v>0.1</v>
      </c>
      <c r="N14" s="7">
        <f t="shared" si="1"/>
        <v>0.1</v>
      </c>
      <c r="O14" s="7">
        <f t="shared" si="1"/>
        <v>0.1</v>
      </c>
      <c r="P14" s="7">
        <f t="shared" si="1"/>
        <v>0.1</v>
      </c>
    </row>
    <row customHeight="1" ht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</row>
    <row customHeight="1" ht="15">
      <c r="A16" s="2" t="s">
        <v>29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customHeight="1" ht="15">
      <c r="A17" s="15" t="s">
        <v>30</v>
      </c>
      <c r="B17" s="16">
        <v>308.108761</v>
      </c>
      <c r="C17" s="16">
        <v>356.197081</v>
      </c>
      <c r="D17" s="16">
        <v>355.993682</v>
      </c>
      <c r="E17" s="16">
        <v>408.648772</v>
      </c>
      <c r="F17" s="17">
        <v>445.671771</v>
      </c>
      <c r="G17" s="18">
        <f>MAX(E17*(1+G3),0.01*E17,1)</f>
        <v>408.648772</v>
      </c>
      <c r="H17" s="18">
        <f t="shared" si="17" ref="H17:P17">MAX(G17*(1+H3),0.01*G17,1)</f>
        <v>408.648772</v>
      </c>
      <c r="I17" s="18">
        <f t="shared" si="17"/>
        <v>408.648772</v>
      </c>
      <c r="J17" s="18">
        <f t="shared" si="17"/>
        <v>408.648772</v>
      </c>
      <c r="K17" s="18">
        <f t="shared" si="17"/>
        <v>408.648772</v>
      </c>
      <c r="L17" s="18">
        <f t="shared" si="17"/>
        <v>408.648772</v>
      </c>
      <c r="M17" s="18">
        <f t="shared" si="17"/>
        <v>408.648772</v>
      </c>
      <c r="N17" s="18">
        <f t="shared" si="17"/>
        <v>408.648772</v>
      </c>
      <c r="O17" s="18">
        <f t="shared" si="17"/>
        <v>408.648772</v>
      </c>
      <c r="P17" s="18">
        <f t="shared" si="17"/>
        <v>408.648772</v>
      </c>
    </row>
    <row customHeight="1" ht="15">
      <c r="A18" s="4" t="s">
        <v>31</v>
      </c>
      <c r="B18" s="0">
        <v>-136.085149</v>
      </c>
      <c r="C18" s="0">
        <v>-139.635052</v>
      </c>
      <c r="D18" s="0">
        <v>-145.864517</v>
      </c>
      <c r="E18" s="0">
        <v>-144.119262</v>
      </c>
      <c r="F18" s="19">
        <v>-149.350979</v>
      </c>
      <c r="G18" s="20">
        <f t="shared" si="18" ref="G18:P18">-G17*G4</f>
        <v>-144.119262</v>
      </c>
      <c r="H18" s="20">
        <f t="shared" si="18"/>
        <v>-144.119262</v>
      </c>
      <c r="I18" s="20">
        <f t="shared" si="18"/>
        <v>-144.119262</v>
      </c>
      <c r="J18" s="20">
        <f t="shared" si="18"/>
        <v>-144.119262</v>
      </c>
      <c r="K18" s="20">
        <f t="shared" si="18"/>
        <v>-144.119262</v>
      </c>
      <c r="L18" s="20">
        <f t="shared" si="18"/>
        <v>-144.119262</v>
      </c>
      <c r="M18" s="20">
        <f t="shared" si="18"/>
        <v>-144.119262</v>
      </c>
      <c r="N18" s="20">
        <f t="shared" si="18"/>
        <v>-144.119262</v>
      </c>
      <c r="O18" s="20">
        <f t="shared" si="18"/>
        <v>-144.119262</v>
      </c>
      <c r="P18" s="20">
        <f t="shared" si="18"/>
        <v>-144.119262</v>
      </c>
    </row>
    <row customHeight="1" ht="15">
      <c r="A19" s="4" t="s">
        <v>32</v>
      </c>
      <c r="B19" s="0">
        <v>-108.124855</v>
      </c>
      <c r="C19" s="0">
        <v>-115.298115</v>
      </c>
      <c r="D19" s="0">
        <v>-130.957906</v>
      </c>
      <c r="E19" s="0">
        <v>-130.081</v>
      </c>
      <c r="F19" s="19">
        <v>-142.367568</v>
      </c>
      <c r="G19" s="20">
        <f t="shared" si="19" ref="G19:P19">-G17*G5</f>
        <v>-130.081</v>
      </c>
      <c r="H19" s="20">
        <f t="shared" si="19"/>
        <v>-130.081</v>
      </c>
      <c r="I19" s="20">
        <f t="shared" si="19"/>
        <v>-130.081</v>
      </c>
      <c r="J19" s="20">
        <f t="shared" si="19"/>
        <v>-130.081</v>
      </c>
      <c r="K19" s="20">
        <f t="shared" si="19"/>
        <v>-130.081</v>
      </c>
      <c r="L19" s="20">
        <f t="shared" si="19"/>
        <v>-130.081</v>
      </c>
      <c r="M19" s="20">
        <f t="shared" si="19"/>
        <v>-130.081</v>
      </c>
      <c r="N19" s="20">
        <f t="shared" si="19"/>
        <v>-130.081</v>
      </c>
      <c r="O19" s="20">
        <f t="shared" si="19"/>
        <v>-130.081</v>
      </c>
      <c r="P19" s="20">
        <f t="shared" si="19"/>
        <v>-130.081</v>
      </c>
    </row>
    <row customHeight="1" ht="15">
      <c r="A20" s="4" t="s">
        <v>33</v>
      </c>
      <c r="B20" s="0">
        <v>-47.991228</v>
      </c>
      <c r="C20" s="0">
        <v>-50.233412</v>
      </c>
      <c r="D20" s="0">
        <v>-68.885947</v>
      </c>
      <c r="E20" s="0">
        <v>-65.945501</v>
      </c>
      <c r="F20" s="19">
        <v>-70.096632</v>
      </c>
      <c r="G20" s="21">
        <f t="shared" si="4"/>
        <v>-65.945501</v>
      </c>
      <c r="H20" s="21">
        <f t="shared" si="1"/>
        <v>-65.945501</v>
      </c>
      <c r="I20" s="21">
        <f t="shared" si="1"/>
        <v>-65.945501</v>
      </c>
      <c r="J20" s="21">
        <f t="shared" si="1"/>
        <v>-65.945501</v>
      </c>
      <c r="K20" s="21">
        <f t="shared" si="1"/>
        <v>-65.945501</v>
      </c>
      <c r="L20" s="21">
        <f t="shared" si="1"/>
        <v>-65.945501</v>
      </c>
      <c r="M20" s="21">
        <f t="shared" si="1"/>
        <v>-65.945501</v>
      </c>
      <c r="N20" s="21">
        <f t="shared" si="1"/>
        <v>-65.945501</v>
      </c>
      <c r="O20" s="21">
        <f t="shared" si="1"/>
        <v>-65.945501</v>
      </c>
      <c r="P20" s="21">
        <f t="shared" si="1"/>
        <v>-65.945501</v>
      </c>
    </row>
    <row customHeight="1" ht="15">
      <c r="A21" s="15" t="s">
        <v>34</v>
      </c>
      <c r="B21" s="18">
        <f t="shared" si="20" ref="B21:P83">SUM(B17:B20)</f>
        <v>15.907529</v>
      </c>
      <c r="C21" s="18">
        <f t="shared" si="20"/>
        <v>51.030502</v>
      </c>
      <c r="D21" s="18">
        <f t="shared" si="20"/>
        <v>10.285312</v>
      </c>
      <c r="E21" s="18">
        <f t="shared" si="20"/>
        <v>68.503009</v>
      </c>
      <c r="F21" s="22">
        <f t="shared" si="20"/>
        <v>83.856592</v>
      </c>
      <c r="G21" s="18">
        <f t="shared" si="20"/>
        <v>68.503009</v>
      </c>
      <c r="H21" s="18">
        <f t="shared" si="20"/>
        <v>68.503009</v>
      </c>
      <c r="I21" s="18">
        <f t="shared" si="20"/>
        <v>68.503009</v>
      </c>
      <c r="J21" s="18">
        <f t="shared" si="20"/>
        <v>68.503009</v>
      </c>
      <c r="K21" s="18">
        <f t="shared" si="20"/>
        <v>68.503009</v>
      </c>
      <c r="L21" s="18">
        <f t="shared" si="20"/>
        <v>68.503009</v>
      </c>
      <c r="M21" s="18">
        <f t="shared" si="20"/>
        <v>68.503009</v>
      </c>
      <c r="N21" s="18">
        <f t="shared" si="20"/>
        <v>68.503009</v>
      </c>
      <c r="O21" s="18">
        <f t="shared" si="20"/>
        <v>68.503009</v>
      </c>
      <c r="P21" s="18">
        <f t="shared" si="20"/>
        <v>68.503009</v>
      </c>
    </row>
    <row customHeight="1" ht="15">
      <c r="A22" s="4" t="s">
        <v>35</v>
      </c>
      <c r="B22" s="0">
        <v>-53.092564</v>
      </c>
      <c r="C22" s="0">
        <v>-62.455499</v>
      </c>
      <c r="D22" s="0">
        <v>-71.608587</v>
      </c>
      <c r="E22" s="0">
        <v>-68.19643</v>
      </c>
      <c r="F22" s="19">
        <v>-74.581339</v>
      </c>
      <c r="G22" s="20">
        <f t="shared" si="21" ref="G22:P22">-G110</f>
        <v>-50.765547503724</v>
      </c>
      <c r="H22" s="20">
        <f t="shared" si="21"/>
        <v>-54.4318861480078</v>
      </c>
      <c r="I22" s="20">
        <f t="shared" si="21"/>
        <v>-51.3447707635372</v>
      </c>
      <c r="J22" s="20">
        <f t="shared" si="21"/>
        <v>-48.2764027005693</v>
      </c>
      <c r="K22" s="20">
        <f t="shared" si="21"/>
        <v>-45.2215936766606</v>
      </c>
      <c r="L22" s="20">
        <f t="shared" si="21"/>
        <v>-42.1782552255161</v>
      </c>
      <c r="M22" s="20">
        <f t="shared" si="21"/>
        <v>-39.3261919171663</v>
      </c>
      <c r="N22" s="20">
        <f t="shared" si="21"/>
        <v>-37.9930002920154</v>
      </c>
      <c r="O22" s="20">
        <f t="shared" si="21"/>
        <v>-37.9930002920154</v>
      </c>
      <c r="P22" s="20">
        <f t="shared" si="21"/>
        <v>-37.9930002920154</v>
      </c>
    </row>
    <row customHeight="1" ht="15">
      <c r="A23" s="4" t="s">
        <v>36</v>
      </c>
      <c r="B23" s="0">
        <v>-24.108535</v>
      </c>
      <c r="C23" s="0">
        <v>-92.608371</v>
      </c>
      <c r="D23" s="0">
        <v>-35.713072</v>
      </c>
      <c r="E23" s="0">
        <v>36.081006</v>
      </c>
      <c r="F23" s="19">
        <v>35.086379</v>
      </c>
      <c r="G23" s="21">
        <f t="shared" si="4"/>
        <v>36.081006</v>
      </c>
      <c r="H23" s="21">
        <f t="shared" si="1"/>
        <v>36.081006</v>
      </c>
      <c r="I23" s="21">
        <f t="shared" si="1"/>
        <v>36.081006</v>
      </c>
      <c r="J23" s="21">
        <f t="shared" si="1"/>
        <v>36.081006</v>
      </c>
      <c r="K23" s="21">
        <f t="shared" si="1"/>
        <v>36.081006</v>
      </c>
      <c r="L23" s="21">
        <f t="shared" si="1"/>
        <v>36.081006</v>
      </c>
      <c r="M23" s="21">
        <f t="shared" si="1"/>
        <v>36.081006</v>
      </c>
      <c r="N23" s="21">
        <f t="shared" si="1"/>
        <v>36.081006</v>
      </c>
      <c r="O23" s="21">
        <f t="shared" si="1"/>
        <v>36.081006</v>
      </c>
      <c r="P23" s="21">
        <f t="shared" si="1"/>
        <v>36.081006</v>
      </c>
    </row>
    <row customHeight="1" ht="15">
      <c r="A24" s="4" t="s">
        <v>37</v>
      </c>
      <c r="B24" s="20">
        <f t="shared" si="22" ref="B24:P55">SUM(B21:B23)</f>
        <v>-61.29357</v>
      </c>
      <c r="C24" s="20">
        <f t="shared" si="22"/>
        <v>-104.033368</v>
      </c>
      <c r="D24" s="20">
        <f t="shared" si="22"/>
        <v>-97.036347</v>
      </c>
      <c r="E24" s="20">
        <f t="shared" si="22"/>
        <v>36.387585</v>
      </c>
      <c r="F24" s="23">
        <f t="shared" si="22"/>
        <v>44.361632</v>
      </c>
      <c r="G24" s="20">
        <f t="shared" si="22"/>
        <v>53.818467496276</v>
      </c>
      <c r="H24" s="20">
        <f t="shared" si="22"/>
        <v>50.1521288519922</v>
      </c>
      <c r="I24" s="20">
        <f t="shared" si="22"/>
        <v>53.2392442364628</v>
      </c>
      <c r="J24" s="20">
        <f t="shared" si="22"/>
        <v>56.3076122994307</v>
      </c>
      <c r="K24" s="20">
        <f t="shared" si="22"/>
        <v>59.3624213233394</v>
      </c>
      <c r="L24" s="20">
        <f t="shared" si="22"/>
        <v>62.4057597744839</v>
      </c>
      <c r="M24" s="20">
        <f t="shared" si="22"/>
        <v>65.2578230828337</v>
      </c>
      <c r="N24" s="20">
        <f t="shared" si="22"/>
        <v>66.5910147079846</v>
      </c>
      <c r="O24" s="20">
        <f t="shared" si="22"/>
        <v>66.5910147079846</v>
      </c>
      <c r="P24" s="20">
        <f t="shared" si="22"/>
        <v>66.5910147079846</v>
      </c>
    </row>
    <row customHeight="1" ht="15">
      <c r="A25" s="4" t="s">
        <v>38</v>
      </c>
      <c r="B25" s="0">
        <v>-0.891378</v>
      </c>
      <c r="C25" s="0">
        <v>-11.454357</v>
      </c>
      <c r="D25" s="0">
        <v>-6.737506</v>
      </c>
      <c r="E25" s="0">
        <v>-6.007564</v>
      </c>
      <c r="F25" s="19">
        <v>-9.937987</v>
      </c>
      <c r="G25" s="20">
        <f t="shared" si="23" ref="G25:P25">MIN(-(G24*G14),0)</f>
        <v>-5.3818467496276</v>
      </c>
      <c r="H25" s="20">
        <f t="shared" si="23"/>
        <v>-5.01521288519922</v>
      </c>
      <c r="I25" s="20">
        <f t="shared" si="23"/>
        <v>-5.32392442364628</v>
      </c>
      <c r="J25" s="20">
        <f t="shared" si="23"/>
        <v>-5.63076122994307</v>
      </c>
      <c r="K25" s="20">
        <f t="shared" si="23"/>
        <v>-5.93624213233394</v>
      </c>
      <c r="L25" s="20">
        <f t="shared" si="23"/>
        <v>-6.24057597744839</v>
      </c>
      <c r="M25" s="20">
        <f t="shared" si="23"/>
        <v>-6.52578230828337</v>
      </c>
      <c r="N25" s="20">
        <f t="shared" si="23"/>
        <v>-6.65910147079846</v>
      </c>
      <c r="O25" s="20">
        <f t="shared" si="23"/>
        <v>-6.65910147079846</v>
      </c>
      <c r="P25" s="20">
        <f t="shared" si="23"/>
        <v>-6.65910147079846</v>
      </c>
    </row>
    <row customHeight="1" ht="15">
      <c r="A26" s="4" t="s">
        <v>39</v>
      </c>
      <c r="B26" s="0">
        <v>0.397799</v>
      </c>
      <c r="C26" s="0">
        <v>0.001763</v>
      </c>
      <c r="D26" s="0">
        <v>0.042832</v>
      </c>
      <c r="E26" s="0">
        <v>0.042544</v>
      </c>
      <c r="F26" s="19">
        <v>0.003499</v>
      </c>
      <c r="G26" s="21">
        <f t="shared" si="4"/>
        <v>0.042544</v>
      </c>
      <c r="H26" s="21">
        <f t="shared" si="1"/>
        <v>0.042544</v>
      </c>
      <c r="I26" s="21">
        <f t="shared" si="1"/>
        <v>0.042544</v>
      </c>
      <c r="J26" s="21">
        <f t="shared" si="1"/>
        <v>0.042544</v>
      </c>
      <c r="K26" s="21">
        <f t="shared" si="1"/>
        <v>0.042544</v>
      </c>
      <c r="L26" s="21">
        <f t="shared" si="1"/>
        <v>0.042544</v>
      </c>
      <c r="M26" s="21">
        <f t="shared" si="1"/>
        <v>0.042544</v>
      </c>
      <c r="N26" s="21">
        <f t="shared" si="1"/>
        <v>0.042544</v>
      </c>
      <c r="O26" s="21">
        <f t="shared" si="1"/>
        <v>0.042544</v>
      </c>
      <c r="P26" s="21">
        <f t="shared" si="1"/>
        <v>0.042544</v>
      </c>
    </row>
    <row customHeight="1" ht="15">
      <c r="A27" s="15" t="s">
        <v>40</v>
      </c>
      <c r="B27" s="18">
        <f t="shared" si="22"/>
        <v>-61.787149</v>
      </c>
      <c r="C27" s="18">
        <f t="shared" si="22"/>
        <v>-115.485962</v>
      </c>
      <c r="D27" s="18">
        <f t="shared" si="22"/>
        <v>-103.731021</v>
      </c>
      <c r="E27" s="18">
        <f t="shared" si="22"/>
        <v>30.422565</v>
      </c>
      <c r="F27" s="22">
        <f t="shared" si="22"/>
        <v>34.427144</v>
      </c>
      <c r="G27" s="18">
        <f t="shared" si="22"/>
        <v>48.4791647466484</v>
      </c>
      <c r="H27" s="18">
        <f t="shared" si="22"/>
        <v>45.179459966793</v>
      </c>
      <c r="I27" s="18">
        <f t="shared" si="22"/>
        <v>47.9578638128165</v>
      </c>
      <c r="J27" s="18">
        <f t="shared" si="22"/>
        <v>50.7193950694876</v>
      </c>
      <c r="K27" s="18">
        <f t="shared" si="22"/>
        <v>53.4687231910055</v>
      </c>
      <c r="L27" s="18">
        <f t="shared" si="22"/>
        <v>56.2077277970355</v>
      </c>
      <c r="M27" s="18">
        <f t="shared" si="22"/>
        <v>58.7745847745503</v>
      </c>
      <c r="N27" s="18">
        <f t="shared" si="22"/>
        <v>59.9744572371861</v>
      </c>
      <c r="O27" s="18">
        <f t="shared" si="22"/>
        <v>59.9744572371861</v>
      </c>
      <c r="P27" s="18">
        <f t="shared" si="22"/>
        <v>59.9744572371861</v>
      </c>
    </row>
    <row customHeight="1" ht="1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</row>
    <row customHeight="1" ht="15">
      <c r="A29" s="2" t="s">
        <v>41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customHeight="1" ht="15">
      <c r="A30" s="4" t="s">
        <v>34</v>
      </c>
      <c r="B30" s="20">
        <f t="shared" si="24" ref="B30:P64">B21</f>
        <v>15.907529</v>
      </c>
      <c r="C30" s="20">
        <f t="shared" si="24"/>
        <v>51.030502</v>
      </c>
      <c r="D30" s="20">
        <f t="shared" si="24"/>
        <v>10.285312</v>
      </c>
      <c r="E30" s="20">
        <f t="shared" si="24"/>
        <v>68.503009</v>
      </c>
      <c r="F30" s="23">
        <f t="shared" si="24"/>
        <v>83.856592</v>
      </c>
      <c r="G30" s="20">
        <f t="shared" si="24"/>
        <v>68.503009</v>
      </c>
      <c r="H30" s="20">
        <f t="shared" si="24"/>
        <v>68.503009</v>
      </c>
      <c r="I30" s="20">
        <f t="shared" si="24"/>
        <v>68.503009</v>
      </c>
      <c r="J30" s="20">
        <f t="shared" si="24"/>
        <v>68.503009</v>
      </c>
      <c r="K30" s="20">
        <f t="shared" si="24"/>
        <v>68.503009</v>
      </c>
      <c r="L30" s="20">
        <f t="shared" si="24"/>
        <v>68.503009</v>
      </c>
      <c r="M30" s="20">
        <f t="shared" si="24"/>
        <v>68.503009</v>
      </c>
      <c r="N30" s="20">
        <f t="shared" si="24"/>
        <v>68.503009</v>
      </c>
      <c r="O30" s="20">
        <f t="shared" si="24"/>
        <v>68.503009</v>
      </c>
      <c r="P30" s="20">
        <f t="shared" si="24"/>
        <v>68.503009</v>
      </c>
    </row>
    <row customHeight="1" ht="15">
      <c r="A31" s="4" t="s">
        <v>42</v>
      </c>
      <c r="B31" s="0">
        <v>42.745142</v>
      </c>
      <c r="C31" s="0">
        <v>47.380285</v>
      </c>
      <c r="D31" s="0">
        <v>48.614609</v>
      </c>
      <c r="E31" s="0">
        <v>50.741037</v>
      </c>
      <c r="F31" s="19">
        <v>56.226568</v>
      </c>
      <c r="G31" s="20">
        <f>(E58*G11)+(E59*G11)</f>
        <v>52.9398581019698</v>
      </c>
      <c r="H31" s="20">
        <f t="shared" si="25" ref="H31:P31">(G58*H11)+(G59*H11)</f>
        <v>55.7513681945347</v>
      </c>
      <c r="I31" s="20">
        <f t="shared" si="25"/>
        <v>58.7901355481261</v>
      </c>
      <c r="J31" s="20">
        <f t="shared" si="25"/>
        <v>62.0745296015824</v>
      </c>
      <c r="K31" s="20">
        <f t="shared" si="25"/>
        <v>65.6244046144327</v>
      </c>
      <c r="L31" s="20">
        <f t="shared" si="25"/>
        <v>69.4612196864848</v>
      </c>
      <c r="M31" s="20">
        <f t="shared" si="25"/>
        <v>73.60816847872</v>
      </c>
      <c r="N31" s="20">
        <f t="shared" si="25"/>
        <v>78.0903194196626</v>
      </c>
      <c r="O31" s="20">
        <f t="shared" si="25"/>
        <v>82.934767244774</v>
      </c>
      <c r="P31" s="20">
        <f t="shared" si="25"/>
        <v>88.1707967849332</v>
      </c>
    </row>
    <row customHeight="1" ht="15">
      <c r="A32" s="4" t="s">
        <v>43</v>
      </c>
      <c r="B32" s="0">
        <v>11.955373</v>
      </c>
      <c r="C32" s="0">
        <v>15.925177</v>
      </c>
      <c r="D32" s="0">
        <v>20.609792</v>
      </c>
      <c r="E32" s="0">
        <v>19.385894</v>
      </c>
      <c r="F32" s="19">
        <v>18.961141</v>
      </c>
      <c r="G32" s="20">
        <f>E61*G12</f>
        <v>18.9664231455424</v>
      </c>
      <c r="H32" s="20">
        <f t="shared" si="26" ref="H32:P32">G61*H12</f>
        <v>16.2107237342882</v>
      </c>
      <c r="I32" s="20">
        <f t="shared" si="26"/>
        <v>13.8554097403009</v>
      </c>
      <c r="J32" s="20">
        <f t="shared" si="26"/>
        <v>11.8423077351922</v>
      </c>
      <c r="K32" s="20">
        <f t="shared" si="26"/>
        <v>10.121696515916</v>
      </c>
      <c r="L32" s="20">
        <f t="shared" si="26"/>
        <v>8.65107905073735</v>
      </c>
      <c r="M32" s="20">
        <f t="shared" si="26"/>
        <v>7.39413285356086</v>
      </c>
      <c r="N32" s="20">
        <f t="shared" si="26"/>
        <v>6.31981286212476</v>
      </c>
      <c r="O32" s="20">
        <f t="shared" si="26"/>
        <v>5.40158466222896</v>
      </c>
      <c r="P32" s="20">
        <f t="shared" si="26"/>
        <v>4.61676911955547</v>
      </c>
    </row>
    <row customHeight="1" ht="15">
      <c r="A33" s="4" t="s">
        <v>44</v>
      </c>
      <c r="C33" s="20">
        <f t="shared" si="27" ref="C33:E33">B67-C67</f>
        <v>19.688489</v>
      </c>
      <c r="D33" s="20">
        <f t="shared" si="27"/>
        <v>-1.072364</v>
      </c>
      <c r="E33" s="20">
        <f t="shared" si="27"/>
        <v>-1.035829</v>
      </c>
      <c r="F33" s="19">
        <v>2.010664</v>
      </c>
      <c r="G33" s="20">
        <f>(E67-G67)+(E68-G68)</f>
        <v>0.5179145</v>
      </c>
      <c r="H33" s="20">
        <f t="shared" si="28" ref="H33:P33">(G67-H67)+(G68-H68)</f>
        <v>0</v>
      </c>
      <c r="I33" s="20">
        <f t="shared" si="28"/>
        <v>0</v>
      </c>
      <c r="J33" s="20">
        <f t="shared" si="28"/>
        <v>0</v>
      </c>
      <c r="K33" s="20">
        <f t="shared" si="28"/>
        <v>0</v>
      </c>
      <c r="L33" s="20">
        <f t="shared" si="28"/>
        <v>0</v>
      </c>
      <c r="M33" s="20">
        <f t="shared" si="28"/>
        <v>0</v>
      </c>
      <c r="N33" s="20">
        <f t="shared" si="28"/>
        <v>0</v>
      </c>
      <c r="O33" s="20">
        <f t="shared" si="28"/>
        <v>0</v>
      </c>
      <c r="P33" s="20">
        <f t="shared" si="28"/>
        <v>0</v>
      </c>
    </row>
    <row customHeight="1" ht="15">
      <c r="A34" s="4" t="s">
        <v>45</v>
      </c>
      <c r="C34" s="20">
        <f t="shared" si="29" ref="C34:P34">B69-C69</f>
        <v>-3.70284</v>
      </c>
      <c r="D34" s="20">
        <f t="shared" si="29"/>
        <v>4.717523</v>
      </c>
      <c r="E34" s="20">
        <f t="shared" si="29"/>
        <v>1.272403</v>
      </c>
      <c r="F34" s="19">
        <v>0.023657</v>
      </c>
      <c r="G34" s="20">
        <f>E69-G69</f>
        <v>0</v>
      </c>
      <c r="H34" s="20">
        <f t="shared" si="29"/>
        <v>0</v>
      </c>
      <c r="I34" s="20">
        <f t="shared" si="29"/>
        <v>0</v>
      </c>
      <c r="J34" s="20">
        <f t="shared" si="29"/>
        <v>0</v>
      </c>
      <c r="K34" s="20">
        <f t="shared" si="29"/>
        <v>0</v>
      </c>
      <c r="L34" s="20">
        <f t="shared" si="29"/>
        <v>0</v>
      </c>
      <c r="M34" s="20">
        <f t="shared" si="29"/>
        <v>0</v>
      </c>
      <c r="N34" s="20">
        <f t="shared" si="29"/>
        <v>0</v>
      </c>
      <c r="O34" s="20">
        <f t="shared" si="29"/>
        <v>0</v>
      </c>
      <c r="P34" s="20">
        <f t="shared" si="29"/>
        <v>0</v>
      </c>
    </row>
    <row customHeight="1" ht="15">
      <c r="A35" s="4" t="s">
        <v>46</v>
      </c>
      <c r="C35" s="20">
        <f t="shared" si="30" ref="C35:E35">C74-B74</f>
        <v>65.775196</v>
      </c>
      <c r="D35" s="20">
        <f t="shared" si="30"/>
        <v>-17.48483</v>
      </c>
      <c r="E35" s="20">
        <f t="shared" si="30"/>
        <v>-21.739237</v>
      </c>
      <c r="F35" s="19">
        <v>-14.847416</v>
      </c>
      <c r="G35" s="20">
        <f>-((E74-G74)+(E75-G75))</f>
        <v>8.66450277890951</v>
      </c>
      <c r="H35" s="20">
        <f t="shared" si="31" ref="H35:P35">-((G74-H74)+(G75-H75))</f>
        <v>-0.0204076261348973</v>
      </c>
      <c r="I35" s="20">
        <f t="shared" si="31"/>
        <v>-0.249910237894511</v>
      </c>
      <c r="J35" s="20">
        <f t="shared" si="31"/>
        <v>-0.464858199570699</v>
      </c>
      <c r="K35" s="20">
        <f t="shared" si="31"/>
        <v>-0.668885072258291</v>
      </c>
      <c r="L35" s="20">
        <f t="shared" si="31"/>
        <v>-0.865219255314997</v>
      </c>
      <c r="M35" s="20">
        <f t="shared" si="31"/>
        <v>-1.0567527774908</v>
      </c>
      <c r="N35" s="20">
        <f t="shared" si="31"/>
        <v>-1.24610089529561</v>
      </c>
      <c r="O35" s="20">
        <f t="shared" si="31"/>
        <v>-1.4356538990932</v>
      </c>
      <c r="P35" s="20">
        <f t="shared" si="31"/>
        <v>-1.6276223291603</v>
      </c>
    </row>
    <row customHeight="1" ht="15">
      <c r="A36" s="4" t="s">
        <v>47</v>
      </c>
      <c r="B36" s="20">
        <f t="shared" si="32" ref="B36:P36">B23+B26</f>
        <v>-23.710736</v>
      </c>
      <c r="C36" s="20">
        <f t="shared" si="32"/>
        <v>-92.606608</v>
      </c>
      <c r="D36" s="20">
        <f t="shared" si="32"/>
        <v>-35.67024</v>
      </c>
      <c r="E36" s="20">
        <f t="shared" si="32"/>
        <v>36.12355</v>
      </c>
      <c r="F36" s="23">
        <f t="shared" si="32"/>
        <v>35.089878</v>
      </c>
      <c r="G36" s="20">
        <f t="shared" si="32"/>
        <v>36.12355</v>
      </c>
      <c r="H36" s="20">
        <f t="shared" si="32"/>
        <v>36.12355</v>
      </c>
      <c r="I36" s="20">
        <f t="shared" si="32"/>
        <v>36.12355</v>
      </c>
      <c r="J36" s="20">
        <f t="shared" si="32"/>
        <v>36.12355</v>
      </c>
      <c r="K36" s="20">
        <f t="shared" si="32"/>
        <v>36.12355</v>
      </c>
      <c r="L36" s="20">
        <f t="shared" si="32"/>
        <v>36.12355</v>
      </c>
      <c r="M36" s="20">
        <f t="shared" si="32"/>
        <v>36.12355</v>
      </c>
      <c r="N36" s="20">
        <f t="shared" si="32"/>
        <v>36.12355</v>
      </c>
      <c r="O36" s="20">
        <f t="shared" si="32"/>
        <v>36.12355</v>
      </c>
      <c r="P36" s="20">
        <f t="shared" si="32"/>
        <v>36.12355</v>
      </c>
    </row>
    <row customHeight="1" ht="15">
      <c r="A37" s="4" t="s">
        <v>48</v>
      </c>
      <c r="B37" s="0">
        <v>-4.512994</v>
      </c>
      <c r="C37" s="0">
        <v>-7.191377</v>
      </c>
      <c r="D37" s="0">
        <v>-16.33502</v>
      </c>
      <c r="E37" s="0">
        <v>-45.285543</v>
      </c>
      <c r="F37" s="19">
        <v>-49.73991</v>
      </c>
      <c r="G37" s="20">
        <f>IF((E37+E49)&lt;&gt;0,G22*E37/(E37+E49),G22/2)</f>
        <v>-50.765547503724</v>
      </c>
      <c r="H37" s="20">
        <f t="shared" si="33" ref="H37:P37">IF((G37+G49)&lt;&gt;0,H22*G37/(G37+G49),H22/2)</f>
        <v>-54.4318861480078</v>
      </c>
      <c r="I37" s="20">
        <f t="shared" si="33"/>
        <v>-51.3447707635372</v>
      </c>
      <c r="J37" s="20">
        <f t="shared" si="33"/>
        <v>-48.2764027005693</v>
      </c>
      <c r="K37" s="20">
        <f t="shared" si="33"/>
        <v>-45.2215936766606</v>
      </c>
      <c r="L37" s="20">
        <f t="shared" si="33"/>
        <v>-42.1782552255161</v>
      </c>
      <c r="M37" s="20">
        <f t="shared" si="33"/>
        <v>-39.3261919171663</v>
      </c>
      <c r="N37" s="20">
        <f t="shared" si="33"/>
        <v>-37.9930002920154</v>
      </c>
      <c r="O37" s="20">
        <f t="shared" si="33"/>
        <v>-37.9930002920154</v>
      </c>
      <c r="P37" s="20">
        <f t="shared" si="33"/>
        <v>-37.9930002920154</v>
      </c>
    </row>
    <row customHeight="1" ht="15">
      <c r="A38" s="4" t="s">
        <v>49</v>
      </c>
      <c r="B38" s="0">
        <v>-3.350279</v>
      </c>
      <c r="C38" s="0">
        <v>-5.782459</v>
      </c>
      <c r="D38" s="0">
        <v>-7.184522</v>
      </c>
      <c r="E38" s="0">
        <v>-6.091108</v>
      </c>
      <c r="F38" s="19">
        <v>-6.512825</v>
      </c>
      <c r="G38" s="20">
        <f t="shared" si="34" ref="G38:P38">G25</f>
        <v>-5.3818467496276</v>
      </c>
      <c r="H38" s="20">
        <f t="shared" si="34"/>
        <v>-5.01521288519922</v>
      </c>
      <c r="I38" s="20">
        <f t="shared" si="34"/>
        <v>-5.32392442364628</v>
      </c>
      <c r="J38" s="20">
        <f t="shared" si="34"/>
        <v>-5.63076122994307</v>
      </c>
      <c r="K38" s="20">
        <f t="shared" si="34"/>
        <v>-5.93624213233394</v>
      </c>
      <c r="L38" s="20">
        <f t="shared" si="34"/>
        <v>-6.24057597744839</v>
      </c>
      <c r="M38" s="20">
        <f t="shared" si="34"/>
        <v>-6.52578230828337</v>
      </c>
      <c r="N38" s="20">
        <f t="shared" si="34"/>
        <v>-6.65910147079846</v>
      </c>
      <c r="O38" s="20">
        <f t="shared" si="34"/>
        <v>-6.65910147079846</v>
      </c>
      <c r="P38" s="20">
        <f t="shared" si="34"/>
        <v>-6.65910147079846</v>
      </c>
    </row>
    <row customHeight="1" ht="15">
      <c r="A39" s="4" t="s">
        <v>50</v>
      </c>
      <c r="B39" s="0">
        <v>73.492225</v>
      </c>
      <c r="C39" s="0">
        <v>41.631384</v>
      </c>
      <c r="D39" s="0">
        <v>33.246005</v>
      </c>
      <c r="E39" s="0">
        <v>-53.001736</v>
      </c>
      <c r="F39" s="19">
        <v>-80.926105</v>
      </c>
      <c r="G39" s="20">
        <f>((E70-G70)+(E65-G65))-(E77-G77)</f>
        <v>0</v>
      </c>
      <c r="H39" s="20">
        <f t="shared" si="35" ref="H39:P39">((G70-H70)+(G65-H65))-(G77-H77)</f>
        <v>0</v>
      </c>
      <c r="I39" s="20">
        <f t="shared" si="35"/>
        <v>0</v>
      </c>
      <c r="J39" s="20">
        <f t="shared" si="35"/>
        <v>0</v>
      </c>
      <c r="K39" s="20">
        <f t="shared" si="35"/>
        <v>0</v>
      </c>
      <c r="L39" s="20">
        <f t="shared" si="35"/>
        <v>0</v>
      </c>
      <c r="M39" s="20">
        <f t="shared" si="35"/>
        <v>0</v>
      </c>
      <c r="N39" s="20">
        <f t="shared" si="35"/>
        <v>0</v>
      </c>
      <c r="O39" s="20">
        <f t="shared" si="35"/>
        <v>0</v>
      </c>
      <c r="P39" s="20">
        <f t="shared" si="35"/>
        <v>0</v>
      </c>
    </row>
    <row customHeight="1" ht="15">
      <c r="A40" s="15" t="s">
        <v>51</v>
      </c>
      <c r="B40" s="18">
        <f t="shared" si="36" ref="B40:P100">SUM(B30:B39)</f>
        <v>112.52626</v>
      </c>
      <c r="C40" s="18">
        <f t="shared" si="36"/>
        <v>132.147749</v>
      </c>
      <c r="D40" s="18">
        <f t="shared" si="36"/>
        <v>39.726265</v>
      </c>
      <c r="E40" s="18">
        <f t="shared" si="36"/>
        <v>48.87244</v>
      </c>
      <c r="F40" s="22">
        <f t="shared" si="36"/>
        <v>44.142244</v>
      </c>
      <c r="G40" s="18">
        <f t="shared" si="36"/>
        <v>129.56786327307</v>
      </c>
      <c r="H40" s="18">
        <f t="shared" si="36"/>
        <v>117.121144269481</v>
      </c>
      <c r="I40" s="18">
        <f t="shared" si="36"/>
        <v>120.353498863349</v>
      </c>
      <c r="J40" s="18">
        <f t="shared" si="36"/>
        <v>124.171374206692</v>
      </c>
      <c r="K40" s="18">
        <f t="shared" si="36"/>
        <v>128.545939249096</v>
      </c>
      <c r="L40" s="18">
        <f t="shared" si="36"/>
        <v>133.454807278943</v>
      </c>
      <c r="M40" s="18">
        <f t="shared" si="36"/>
        <v>138.72013332934</v>
      </c>
      <c r="N40" s="18">
        <f t="shared" si="36"/>
        <v>143.138488623678</v>
      </c>
      <c r="O40" s="18">
        <f t="shared" si="36"/>
        <v>146.875155245096</v>
      </c>
      <c r="P40" s="18">
        <f t="shared" si="36"/>
        <v>151.134400812515</v>
      </c>
    </row>
    <row customHeight="1" ht="15">
      <c r="A41" s="4" t="s">
        <v>52</v>
      </c>
      <c r="B41" s="0">
        <v>-84.254415</v>
      </c>
      <c r="C41" s="0">
        <v>-74.376186</v>
      </c>
      <c r="D41" s="0">
        <v>-29.126253</v>
      </c>
      <c r="E41" s="0">
        <v>-47.541704</v>
      </c>
      <c r="F41" s="19">
        <v>-59.743655</v>
      </c>
      <c r="G41" s="20">
        <f>-(E58*G9)</f>
        <v>-51.282491029585</v>
      </c>
      <c r="H41" s="20">
        <f t="shared" si="37" ref="H41:P41">-(G58*H9)</f>
        <v>-55.427707680529</v>
      </c>
      <c r="I41" s="20">
        <f t="shared" si="37"/>
        <v>-59.907986469413</v>
      </c>
      <c r="J41" s="20">
        <f t="shared" si="37"/>
        <v>-64.7504108144838</v>
      </c>
      <c r="K41" s="20">
        <f t="shared" si="37"/>
        <v>-69.9842533146232</v>
      </c>
      <c r="L41" s="20">
        <f t="shared" si="37"/>
        <v>-75.6411527030774</v>
      </c>
      <c r="M41" s="20">
        <f t="shared" si="37"/>
        <v>-81.7553051045376</v>
      </c>
      <c r="N41" s="20">
        <f t="shared" si="37"/>
        <v>-88.3636707517296</v>
      </c>
      <c r="O41" s="20">
        <f t="shared" si="37"/>
        <v>-95.506197411117</v>
      </c>
      <c r="P41" s="20">
        <f t="shared" si="37"/>
        <v>-103.226061868335</v>
      </c>
    </row>
    <row customHeight="1" ht="15">
      <c r="A42" s="4" t="s">
        <v>53</v>
      </c>
      <c r="B42" s="0">
        <v>-15.165416</v>
      </c>
      <c r="C42" s="0">
        <v>-24.361971</v>
      </c>
      <c r="D42" s="0">
        <v>-20.599286</v>
      </c>
      <c r="E42" s="0">
        <v>-8.286235</v>
      </c>
      <c r="F42" s="23">
        <f t="shared" si="44" ref="F42:P98">E42</f>
        <v>-8.286235</v>
      </c>
      <c r="G42" s="20">
        <f>-(E61*G10)</f>
        <v>-7.93523575295463</v>
      </c>
      <c r="H42" s="20">
        <f t="shared" si="38" ref="H42:P42">-(G61*H10)</f>
        <v>-6.78229698718007</v>
      </c>
      <c r="I42" s="20">
        <f t="shared" si="38"/>
        <v>-5.79687281567963</v>
      </c>
      <c r="J42" s="20">
        <f t="shared" si="38"/>
        <v>-4.95462444429718</v>
      </c>
      <c r="K42" s="20">
        <f t="shared" si="38"/>
        <v>-4.23474934927463</v>
      </c>
      <c r="L42" s="20">
        <f t="shared" si="38"/>
        <v>-3.61946747988601</v>
      </c>
      <c r="M42" s="20">
        <f t="shared" si="38"/>
        <v>-3.09358211252725</v>
      </c>
      <c r="N42" s="20">
        <f t="shared" si="38"/>
        <v>-2.64410450988495</v>
      </c>
      <c r="O42" s="20">
        <f t="shared" si="38"/>
        <v>-2.25993311471618</v>
      </c>
      <c r="P42" s="20">
        <f t="shared" si="38"/>
        <v>-1.93157935471052</v>
      </c>
    </row>
    <row customHeight="1" ht="15">
      <c r="A43" s="4" t="s">
        <v>54</v>
      </c>
      <c r="B43" s="0">
        <v>10.07241</v>
      </c>
      <c r="C43" s="0">
        <v>0.002504</v>
      </c>
      <c r="D43" s="0">
        <v>0.808603</v>
      </c>
      <c r="E43" s="0">
        <v>-4.879047</v>
      </c>
      <c r="F43" s="19">
        <v>-17.549582</v>
      </c>
      <c r="G43" s="20">
        <f>(E62-G62)-(E82-G82)</f>
        <v>0</v>
      </c>
      <c r="H43" s="20">
        <f t="shared" si="39" ref="H43:P43">(G62-H62)-(G82-H82)</f>
        <v>0</v>
      </c>
      <c r="I43" s="20">
        <f t="shared" si="39"/>
        <v>0</v>
      </c>
      <c r="J43" s="20">
        <f t="shared" si="39"/>
        <v>0</v>
      </c>
      <c r="K43" s="20">
        <f t="shared" si="39"/>
        <v>0</v>
      </c>
      <c r="L43" s="20">
        <f t="shared" si="39"/>
        <v>0</v>
      </c>
      <c r="M43" s="20">
        <f t="shared" si="39"/>
        <v>0</v>
      </c>
      <c r="N43" s="20">
        <f t="shared" si="39"/>
        <v>0</v>
      </c>
      <c r="O43" s="20">
        <f t="shared" si="39"/>
        <v>0</v>
      </c>
      <c r="P43" s="20">
        <f t="shared" si="39"/>
        <v>0</v>
      </c>
    </row>
    <row customHeight="1" ht="15">
      <c r="A44" s="15" t="s">
        <v>55</v>
      </c>
      <c r="B44" s="18">
        <f t="shared" si="22"/>
        <v>-89.347421</v>
      </c>
      <c r="C44" s="18">
        <f t="shared" si="22"/>
        <v>-98.735653</v>
      </c>
      <c r="D44" s="18">
        <f t="shared" si="22"/>
        <v>-48.916936</v>
      </c>
      <c r="E44" s="18">
        <f t="shared" si="22"/>
        <v>-60.706986</v>
      </c>
      <c r="F44" s="22">
        <f t="shared" si="22"/>
        <v>-85.579472</v>
      </c>
      <c r="G44" s="18">
        <f t="shared" si="22"/>
        <v>-59.2177267825396</v>
      </c>
      <c r="H44" s="18">
        <f t="shared" si="22"/>
        <v>-62.2100046677091</v>
      </c>
      <c r="I44" s="18">
        <f t="shared" si="22"/>
        <v>-65.7048592850926</v>
      </c>
      <c r="J44" s="18">
        <f t="shared" si="22"/>
        <v>-69.705035258781</v>
      </c>
      <c r="K44" s="18">
        <f t="shared" si="22"/>
        <v>-74.2190026638978</v>
      </c>
      <c r="L44" s="18">
        <f t="shared" si="22"/>
        <v>-79.2606201829634</v>
      </c>
      <c r="M44" s="18">
        <f t="shared" si="22"/>
        <v>-84.8488872170648</v>
      </c>
      <c r="N44" s="18">
        <f t="shared" si="22"/>
        <v>-91.0077752616146</v>
      </c>
      <c r="O44" s="18">
        <f t="shared" si="22"/>
        <v>-97.7661305258332</v>
      </c>
      <c r="P44" s="18">
        <f t="shared" si="22"/>
        <v>-105.157641223046</v>
      </c>
    </row>
    <row customHeight="1" ht="15">
      <c r="A45" s="4" t="s">
        <v>56</v>
      </c>
      <c r="F45" s="19"/>
      <c r="G45" s="20">
        <f>-(E90-G90)</f>
        <v>213.392170004108</v>
      </c>
      <c r="H45" s="20">
        <f t="shared" si="40" ref="H45:P45">-(G90-H90)</f>
        <v>-36.753840107134</v>
      </c>
      <c r="I45" s="20">
        <f t="shared" si="40"/>
        <v>-36.491340083619</v>
      </c>
      <c r="J45" s="20">
        <f t="shared" si="40"/>
        <v>-36.309039453273</v>
      </c>
      <c r="K45" s="20">
        <f t="shared" si="40"/>
        <v>-36.16963709056</v>
      </c>
      <c r="L45" s="20">
        <f t="shared" si="40"/>
        <v>-36.0368876013416</v>
      </c>
      <c r="M45" s="20">
        <f t="shared" si="40"/>
        <v>-31.6314256681804</v>
      </c>
      <c r="N45" s="20">
        <f t="shared" si="40"/>
        <v>0</v>
      </c>
      <c r="O45" s="20">
        <f t="shared" si="40"/>
        <v>0</v>
      </c>
      <c r="P45" s="20">
        <f t="shared" si="40"/>
        <v>0</v>
      </c>
    </row>
    <row customHeight="1" ht="15">
      <c r="A46" s="4" t="s">
        <v>57</v>
      </c>
      <c r="B46" s="0">
        <v>-37.974252</v>
      </c>
      <c r="C46" s="0">
        <v>-47.519074</v>
      </c>
      <c r="D46" s="0">
        <v>-253.918159</v>
      </c>
      <c r="E46" s="0">
        <v>-6.611861</v>
      </c>
      <c r="F46" s="19">
        <v>-9.555588</v>
      </c>
      <c r="G46" s="20">
        <f>MIN((SUM(G91:G98))-(E100-E90-E99),0)</f>
        <v>-290.554694</v>
      </c>
      <c r="H46" s="20">
        <f t="shared" si="41" ref="H46:P46">MIN((SUM(H91:H98))-(G100-G90-G99),0)</f>
        <v>0</v>
      </c>
      <c r="I46" s="20">
        <f t="shared" si="41"/>
        <v>0</v>
      </c>
      <c r="J46" s="20">
        <f t="shared" si="41"/>
        <v>0</v>
      </c>
      <c r="K46" s="20">
        <f t="shared" si="41"/>
        <v>0</v>
      </c>
      <c r="L46" s="20">
        <f t="shared" si="41"/>
        <v>0</v>
      </c>
      <c r="M46" s="20">
        <f t="shared" si="41"/>
        <v>0</v>
      </c>
      <c r="N46" s="20">
        <f t="shared" si="41"/>
        <v>0</v>
      </c>
      <c r="O46" s="20">
        <f t="shared" si="41"/>
        <v>0</v>
      </c>
      <c r="P46" s="20">
        <f t="shared" si="41"/>
        <v>0</v>
      </c>
    </row>
    <row customHeight="1" ht="15">
      <c r="A47" s="4" t="s">
        <v>58</v>
      </c>
      <c r="B47" s="0">
        <v>10.230431</v>
      </c>
      <c r="C47" s="0">
        <v>43.919974</v>
      </c>
      <c r="D47" s="0">
        <v>300.674215</v>
      </c>
      <c r="E47" s="0">
        <v>17.005817</v>
      </c>
      <c r="F47" s="19">
        <v>79.258752</v>
      </c>
      <c r="G47" s="20">
        <f>MAX((SUM(G91:G98))-(E100-E90-E99),0)</f>
        <v>0</v>
      </c>
      <c r="H47" s="20">
        <f t="shared" si="42" ref="H47:P47">MAX((SUM(H91:H98))-(G100-G90-G99),0)</f>
        <v>0</v>
      </c>
      <c r="I47" s="20">
        <f t="shared" si="42"/>
        <v>0</v>
      </c>
      <c r="J47" s="20">
        <f t="shared" si="42"/>
        <v>0</v>
      </c>
      <c r="K47" s="20">
        <f t="shared" si="42"/>
        <v>0</v>
      </c>
      <c r="L47" s="20">
        <f t="shared" si="42"/>
        <v>0</v>
      </c>
      <c r="M47" s="20">
        <f t="shared" si="42"/>
        <v>0</v>
      </c>
      <c r="N47" s="20">
        <f t="shared" si="42"/>
        <v>0</v>
      </c>
      <c r="O47" s="20">
        <f t="shared" si="42"/>
        <v>0</v>
      </c>
      <c r="P47" s="20">
        <f t="shared" si="42"/>
        <v>0</v>
      </c>
    </row>
    <row customHeight="1" ht="15">
      <c r="A48" s="4" t="s">
        <v>59</v>
      </c>
      <c r="B48" s="0">
        <v>-25.358133</v>
      </c>
      <c r="C48" s="0">
        <v>-22.91447</v>
      </c>
      <c r="D48" s="0">
        <v>-23.943408</v>
      </c>
      <c r="E48" s="0">
        <v>-31.839486</v>
      </c>
      <c r="F48" s="19">
        <v>-38.581958</v>
      </c>
      <c r="G48" s="20">
        <f>-(E59*G11)</f>
        <v>-18.157299494638</v>
      </c>
      <c r="H48" s="20">
        <f t="shared" si="43" ref="H48:P48">-(G59*H11)</f>
        <v>-18.157299494638</v>
      </c>
      <c r="I48" s="20">
        <f t="shared" si="43"/>
        <v>-18.157299494638</v>
      </c>
      <c r="J48" s="20">
        <f t="shared" si="43"/>
        <v>-18.157299494638</v>
      </c>
      <c r="K48" s="20">
        <f t="shared" si="43"/>
        <v>-18.157299494638</v>
      </c>
      <c r="L48" s="20">
        <f t="shared" si="43"/>
        <v>-18.157299494638</v>
      </c>
      <c r="M48" s="20">
        <f t="shared" si="43"/>
        <v>-18.157299494638</v>
      </c>
      <c r="N48" s="20">
        <f t="shared" si="43"/>
        <v>-18.157299494638</v>
      </c>
      <c r="O48" s="20">
        <f t="shared" si="43"/>
        <v>-18.157299494638</v>
      </c>
      <c r="P48" s="20">
        <f t="shared" si="43"/>
        <v>-18.157299494638</v>
      </c>
    </row>
    <row customHeight="1" ht="15">
      <c r="A49" s="4" t="s">
        <v>60</v>
      </c>
      <c r="B49" s="0">
        <v>0</v>
      </c>
      <c r="C49" s="0">
        <v>0</v>
      </c>
      <c r="D49" s="0">
        <v>0</v>
      </c>
      <c r="E49" s="0">
        <v>0</v>
      </c>
      <c r="F49" s="23">
        <f t="shared" si="44"/>
        <v>0</v>
      </c>
      <c r="G49" s="20">
        <f>IF((E37+E49)&lt;&gt;0,G22*E49/(E37+E49),G22/2)</f>
        <v>0</v>
      </c>
      <c r="H49" s="20">
        <f t="shared" si="45" ref="H49:P49">IF((G37+G49)&lt;&gt;0,H22*G49/(G37+G49),H22/2)</f>
        <v>0</v>
      </c>
      <c r="I49" s="20">
        <f t="shared" si="45"/>
        <v>0</v>
      </c>
      <c r="J49" s="20">
        <f t="shared" si="45"/>
        <v>0</v>
      </c>
      <c r="K49" s="20">
        <f t="shared" si="45"/>
        <v>0</v>
      </c>
      <c r="L49" s="20">
        <f t="shared" si="45"/>
        <v>0</v>
      </c>
      <c r="M49" s="20">
        <f t="shared" si="45"/>
        <v>0</v>
      </c>
      <c r="N49" s="20">
        <f t="shared" si="45"/>
        <v>0</v>
      </c>
      <c r="O49" s="20">
        <f t="shared" si="45"/>
        <v>0</v>
      </c>
      <c r="P49" s="20">
        <f t="shared" si="45"/>
        <v>0</v>
      </c>
    </row>
    <row customHeight="1" ht="15">
      <c r="A50" s="4" t="s">
        <v>61</v>
      </c>
      <c r="B50" s="0">
        <v>-6.559526</v>
      </c>
      <c r="C50" s="0">
        <v>-0.143868</v>
      </c>
      <c r="D50" s="0">
        <v>0</v>
      </c>
      <c r="E50" s="0">
        <v>0</v>
      </c>
      <c r="F50" s="19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</row>
    <row customHeight="1" ht="15">
      <c r="A51" s="15" t="s">
        <v>62</v>
      </c>
      <c r="B51" s="18">
        <f t="shared" si="46" ref="B51:P51">SUM(B45:B50)</f>
        <v>-59.66148</v>
      </c>
      <c r="C51" s="18">
        <f t="shared" si="46"/>
        <v>-26.657438</v>
      </c>
      <c r="D51" s="18">
        <f t="shared" si="46"/>
        <v>22.812648</v>
      </c>
      <c r="E51" s="18">
        <f t="shared" si="46"/>
        <v>-21.44553</v>
      </c>
      <c r="F51" s="22">
        <f t="shared" si="46"/>
        <v>31.121206</v>
      </c>
      <c r="G51" s="18">
        <f t="shared" si="46"/>
        <v>-95.31982349053</v>
      </c>
      <c r="H51" s="18">
        <f t="shared" si="46"/>
        <v>-54.911139601772</v>
      </c>
      <c r="I51" s="18">
        <f t="shared" si="46"/>
        <v>-54.648639578257</v>
      </c>
      <c r="J51" s="18">
        <f t="shared" si="46"/>
        <v>-54.466338947911</v>
      </c>
      <c r="K51" s="18">
        <f t="shared" si="46"/>
        <v>-54.326936585198</v>
      </c>
      <c r="L51" s="18">
        <f t="shared" si="46"/>
        <v>-54.1941870959796</v>
      </c>
      <c r="M51" s="18">
        <f t="shared" si="46"/>
        <v>-49.7887251628184</v>
      </c>
      <c r="N51" s="18">
        <f t="shared" si="46"/>
        <v>-18.157299494638</v>
      </c>
      <c r="O51" s="18">
        <f t="shared" si="46"/>
        <v>-18.157299494638</v>
      </c>
      <c r="P51" s="18">
        <f t="shared" si="46"/>
        <v>-18.157299494638</v>
      </c>
    </row>
    <row customHeight="1" ht="15">
      <c r="A52" s="4" t="s">
        <v>63</v>
      </c>
      <c r="B52" s="20">
        <f t="shared" si="47" ref="B52:P52">B40+B44+B51</f>
        <v>-36.482641</v>
      </c>
      <c r="C52" s="20">
        <f t="shared" si="47"/>
        <v>6.75465800000001</v>
      </c>
      <c r="D52" s="20">
        <f t="shared" si="47"/>
        <v>13.621977</v>
      </c>
      <c r="E52" s="20">
        <f t="shared" si="47"/>
        <v>-33.280076</v>
      </c>
      <c r="F52" s="23">
        <f t="shared" si="47"/>
        <v>-10.316022</v>
      </c>
      <c r="G52" s="20">
        <f t="shared" si="47"/>
        <v>-24.9696869999996</v>
      </c>
      <c r="H52" s="20">
        <f t="shared" si="47"/>
        <v>0</v>
      </c>
      <c r="I52" s="20">
        <f t="shared" si="47"/>
        <v>-5.89750470680883e-13</v>
      </c>
      <c r="J52" s="20">
        <f t="shared" si="47"/>
        <v>0</v>
      </c>
      <c r="K52" s="20">
        <f t="shared" si="47"/>
        <v>1.98951966012828e-13</v>
      </c>
      <c r="L52" s="20">
        <f t="shared" si="47"/>
        <v>0</v>
      </c>
      <c r="M52" s="20">
        <f t="shared" si="47"/>
        <v>4.0825209494568</v>
      </c>
      <c r="N52" s="20">
        <f t="shared" si="47"/>
        <v>33.9734138674254</v>
      </c>
      <c r="O52" s="20">
        <f t="shared" si="47"/>
        <v>30.9517252246248</v>
      </c>
      <c r="P52" s="20">
        <f t="shared" si="47"/>
        <v>27.819460094831</v>
      </c>
    </row>
    <row customHeight="1" ht="15">
      <c r="A53" s="4" t="s">
        <v>64</v>
      </c>
      <c r="B53" s="0">
        <v>-0.432477</v>
      </c>
      <c r="C53" s="0">
        <v>-0.533686</v>
      </c>
      <c r="D53" s="0">
        <v>7.427334</v>
      </c>
      <c r="E53" s="0">
        <v>9.581113</v>
      </c>
      <c r="F53" s="19">
        <v>9.360146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</row>
    <row customHeight="1" ht="15">
      <c r="A54" s="4" t="s">
        <v>65</v>
      </c>
      <c r="B54" s="0">
        <v>23.60309</v>
      </c>
      <c r="C54" s="0">
        <v>-13.312028</v>
      </c>
      <c r="D54" s="0">
        <v>-7.091056</v>
      </c>
      <c r="E54" s="20">
        <f t="shared" si="48" ref="E54:P54">D55</f>
        <v>13.958255</v>
      </c>
      <c r="F54" s="19">
        <v>-5.870339</v>
      </c>
      <c r="G54" s="20">
        <f>E66</f>
        <v>24.969687</v>
      </c>
      <c r="H54" s="20">
        <f t="shared" si="48"/>
        <v>4.01456645704457e-13</v>
      </c>
      <c r="I54" s="20">
        <f t="shared" si="48"/>
        <v>4.01456645704457e-13</v>
      </c>
      <c r="J54" s="20">
        <f t="shared" si="48"/>
        <v>-1.88293824976426e-13</v>
      </c>
      <c r="K54" s="20">
        <f t="shared" si="48"/>
        <v>-1.88293824976426e-13</v>
      </c>
      <c r="L54" s="20">
        <f t="shared" si="48"/>
        <v>1.0658141036402e-14</v>
      </c>
      <c r="M54" s="20">
        <f t="shared" si="48"/>
        <v>1.0658141036402e-14</v>
      </c>
      <c r="N54" s="20">
        <f t="shared" si="48"/>
        <v>4.08252094945681</v>
      </c>
      <c r="O54" s="20">
        <f t="shared" si="48"/>
        <v>38.0559348168822</v>
      </c>
      <c r="P54" s="20">
        <f t="shared" si="48"/>
        <v>69.00766004151</v>
      </c>
    </row>
    <row customHeight="1" ht="15">
      <c r="A55" s="15" t="s">
        <v>66</v>
      </c>
      <c r="B55" s="18">
        <f t="shared" si="22"/>
        <v>-13.312028</v>
      </c>
      <c r="C55" s="18">
        <f t="shared" si="22"/>
        <v>-7.09105599999999</v>
      </c>
      <c r="D55" s="18">
        <f t="shared" si="22"/>
        <v>13.958255</v>
      </c>
      <c r="E55" s="18">
        <f t="shared" si="22"/>
        <v>-9.740708</v>
      </c>
      <c r="F55" s="22">
        <f t="shared" si="22"/>
        <v>-6.826215</v>
      </c>
      <c r="G55" s="18">
        <f t="shared" si="22"/>
        <v>4.01456645704457e-13</v>
      </c>
      <c r="H55" s="18">
        <f t="shared" si="22"/>
        <v>4.01456645704457e-13</v>
      </c>
      <c r="I55" s="18">
        <f t="shared" si="22"/>
        <v>-1.88293824976426e-13</v>
      </c>
      <c r="J55" s="18">
        <f t="shared" si="22"/>
        <v>-1.88293824976426e-13</v>
      </c>
      <c r="K55" s="18">
        <f t="shared" si="22"/>
        <v>1.0658141036402e-14</v>
      </c>
      <c r="L55" s="18">
        <f t="shared" si="22"/>
        <v>1.0658141036402e-14</v>
      </c>
      <c r="M55" s="18">
        <f t="shared" si="22"/>
        <v>4.08252094945681</v>
      </c>
      <c r="N55" s="18">
        <f t="shared" si="22"/>
        <v>38.0559348168822</v>
      </c>
      <c r="O55" s="18">
        <f t="shared" si="22"/>
        <v>69.007660041507</v>
      </c>
      <c r="P55" s="18">
        <f t="shared" si="22"/>
        <v>96.827120136341</v>
      </c>
    </row>
    <row customHeight="1" ht="1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</row>
    <row customHeight="1" ht="15">
      <c r="A57" s="2" t="s">
        <v>67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customHeight="1" ht="15">
      <c r="A58" s="4" t="s">
        <v>68</v>
      </c>
      <c r="B58" s="0">
        <v>199.429927</v>
      </c>
      <c r="C58" s="0">
        <v>198.454358</v>
      </c>
      <c r="D58" s="0">
        <v>188.230992</v>
      </c>
      <c r="E58" s="0">
        <v>204.128688</v>
      </c>
      <c r="F58" s="19">
        <v>213.705984</v>
      </c>
      <c r="G58" s="20">
        <f>(E58-G41)-(E58*G11)</f>
        <v>220.628620422253</v>
      </c>
      <c r="H58" s="20">
        <f t="shared" si="49" ref="H58:P58">(G58-H41)-(G58*H11)</f>
        <v>238.462259402885</v>
      </c>
      <c r="I58" s="20">
        <f t="shared" si="49"/>
        <v>257.73740981881</v>
      </c>
      <c r="J58" s="20">
        <f t="shared" si="49"/>
        <v>278.570590526349</v>
      </c>
      <c r="K58" s="20">
        <f t="shared" si="49"/>
        <v>301.087738721178</v>
      </c>
      <c r="L58" s="20">
        <f t="shared" si="49"/>
        <v>325.424971232409</v>
      </c>
      <c r="M58" s="20">
        <f t="shared" si="49"/>
        <v>351.729407352865</v>
      </c>
      <c r="N58" s="20">
        <f t="shared" si="49"/>
        <v>380.16005817957</v>
      </c>
      <c r="O58" s="20">
        <f t="shared" si="49"/>
        <v>410.888787840551</v>
      </c>
      <c r="P58" s="20">
        <f t="shared" si="49"/>
        <v>444.101352418591</v>
      </c>
    </row>
    <row customHeight="1" ht="15">
      <c r="A59" s="4" t="s">
        <v>69</v>
      </c>
      <c r="B59" s="0">
        <v>173.527268</v>
      </c>
      <c r="C59" s="0">
        <v>121.173461</v>
      </c>
      <c r="D59" s="0">
        <v>96.64911</v>
      </c>
      <c r="E59" s="0">
        <v>106.559893</v>
      </c>
      <c r="F59" s="19">
        <v>97.262678</v>
      </c>
      <c r="G59" s="20">
        <f>E59*(1+(G13-G11))</f>
        <v>106.559893</v>
      </c>
      <c r="H59" s="20">
        <f t="shared" si="50" ref="H59:P59">G59*(1+(H13-H11))</f>
        <v>106.559893</v>
      </c>
      <c r="I59" s="20">
        <f t="shared" si="50"/>
        <v>106.559893</v>
      </c>
      <c r="J59" s="20">
        <f t="shared" si="50"/>
        <v>106.559893</v>
      </c>
      <c r="K59" s="20">
        <f t="shared" si="50"/>
        <v>106.559893</v>
      </c>
      <c r="L59" s="20">
        <f t="shared" si="50"/>
        <v>106.559893</v>
      </c>
      <c r="M59" s="20">
        <f t="shared" si="50"/>
        <v>106.559893</v>
      </c>
      <c r="N59" s="20">
        <f t="shared" si="50"/>
        <v>106.559893</v>
      </c>
      <c r="O59" s="20">
        <f t="shared" si="50"/>
        <v>106.559893</v>
      </c>
      <c r="P59" s="20">
        <f t="shared" si="50"/>
        <v>106.559893</v>
      </c>
    </row>
    <row customHeight="1" ht="15">
      <c r="A60" s="4" t="s">
        <v>70</v>
      </c>
      <c r="B60" s="0">
        <v>12.743364</v>
      </c>
      <c r="C60" s="0">
        <v>58.270178</v>
      </c>
      <c r="D60" s="0">
        <v>65.66836</v>
      </c>
      <c r="E60" s="0">
        <v>68.02026</v>
      </c>
      <c r="F60" s="19">
        <v>72.283156</v>
      </c>
      <c r="G60" s="20">
        <f t="shared" si="4"/>
        <v>68.02026</v>
      </c>
      <c r="H60" s="20">
        <f t="shared" si="44"/>
        <v>68.02026</v>
      </c>
      <c r="I60" s="20">
        <f t="shared" si="44"/>
        <v>68.02026</v>
      </c>
      <c r="J60" s="20">
        <f t="shared" si="44"/>
        <v>68.02026</v>
      </c>
      <c r="K60" s="20">
        <f t="shared" si="44"/>
        <v>68.02026</v>
      </c>
      <c r="L60" s="20">
        <f t="shared" si="44"/>
        <v>68.02026</v>
      </c>
      <c r="M60" s="20">
        <f t="shared" si="44"/>
        <v>68.02026</v>
      </c>
      <c r="N60" s="20">
        <f t="shared" si="44"/>
        <v>68.02026</v>
      </c>
      <c r="O60" s="20">
        <f t="shared" si="44"/>
        <v>68.02026</v>
      </c>
      <c r="P60" s="20">
        <f t="shared" si="44"/>
        <v>68.02026</v>
      </c>
    </row>
    <row customHeight="1" ht="15">
      <c r="A61" s="4" t="s">
        <v>71</v>
      </c>
      <c r="B61" s="0">
        <v>72.676461</v>
      </c>
      <c r="C61" s="0">
        <v>77.898462</v>
      </c>
      <c r="D61" s="0">
        <v>79.281757</v>
      </c>
      <c r="E61" s="0">
        <v>75.923436</v>
      </c>
      <c r="F61" s="19">
        <v>78.219311</v>
      </c>
      <c r="G61" s="20">
        <f>E61+(-((E61*G12)+G42))</f>
        <v>64.8922486074123</v>
      </c>
      <c r="H61" s="20">
        <f t="shared" si="51" ref="H61:P61">G61+(-((G61*H12)+H42))</f>
        <v>55.4638218603041</v>
      </c>
      <c r="I61" s="20">
        <f t="shared" si="51"/>
        <v>47.4052849356829</v>
      </c>
      <c r="J61" s="20">
        <f t="shared" si="51"/>
        <v>40.5176016447879</v>
      </c>
      <c r="K61" s="20">
        <f t="shared" si="51"/>
        <v>34.6306544781465</v>
      </c>
      <c r="L61" s="20">
        <f t="shared" si="51"/>
        <v>29.5990429072952</v>
      </c>
      <c r="M61" s="20">
        <f t="shared" si="51"/>
        <v>25.2984921662616</v>
      </c>
      <c r="N61" s="20">
        <f t="shared" si="51"/>
        <v>21.6227838140218</v>
      </c>
      <c r="O61" s="20">
        <f t="shared" si="51"/>
        <v>18.481132266509</v>
      </c>
      <c r="P61" s="20">
        <f t="shared" si="51"/>
        <v>15.795942501664</v>
      </c>
    </row>
    <row customHeight="1" ht="15">
      <c r="A62" s="4" t="s">
        <v>72</v>
      </c>
      <c r="B62" s="0">
        <v>30.111303</v>
      </c>
      <c r="C62" s="0">
        <v>31.826043</v>
      </c>
      <c r="D62" s="0">
        <v>37.343686</v>
      </c>
      <c r="E62" s="0">
        <v>50.354457</v>
      </c>
      <c r="F62" s="19">
        <v>71.110871</v>
      </c>
      <c r="G62" s="21">
        <f t="shared" si="4"/>
        <v>50.354457</v>
      </c>
      <c r="H62" s="21">
        <f t="shared" si="44"/>
        <v>50.354457</v>
      </c>
      <c r="I62" s="21">
        <f t="shared" si="44"/>
        <v>50.354457</v>
      </c>
      <c r="J62" s="21">
        <f t="shared" si="44"/>
        <v>50.354457</v>
      </c>
      <c r="K62" s="21">
        <f t="shared" si="44"/>
        <v>50.354457</v>
      </c>
      <c r="L62" s="21">
        <f t="shared" si="44"/>
        <v>50.354457</v>
      </c>
      <c r="M62" s="21">
        <f t="shared" si="44"/>
        <v>50.354457</v>
      </c>
      <c r="N62" s="21">
        <f t="shared" si="44"/>
        <v>50.354457</v>
      </c>
      <c r="O62" s="21">
        <f t="shared" si="44"/>
        <v>50.354457</v>
      </c>
      <c r="P62" s="21">
        <f t="shared" si="44"/>
        <v>50.354457</v>
      </c>
    </row>
    <row customHeight="1" ht="15">
      <c r="A63" s="15" t="s">
        <v>73</v>
      </c>
      <c r="B63" s="18">
        <f t="shared" si="52" ref="B63:P78">SUM(B58:B62)</f>
        <v>488.488323</v>
      </c>
      <c r="C63" s="18">
        <f t="shared" si="52"/>
        <v>487.622502</v>
      </c>
      <c r="D63" s="18">
        <f t="shared" si="52"/>
        <v>467.173905</v>
      </c>
      <c r="E63" s="18">
        <f t="shared" si="52"/>
        <v>504.986734</v>
      </c>
      <c r="F63" s="22">
        <f t="shared" si="52"/>
        <v>532.582</v>
      </c>
      <c r="G63" s="18">
        <f t="shared" si="52"/>
        <v>510.455479029665</v>
      </c>
      <c r="H63" s="18">
        <f t="shared" si="52"/>
        <v>518.860691263189</v>
      </c>
      <c r="I63" s="18">
        <f t="shared" si="52"/>
        <v>530.077304754493</v>
      </c>
      <c r="J63" s="18">
        <f t="shared" si="52"/>
        <v>544.022802171137</v>
      </c>
      <c r="K63" s="18">
        <f t="shared" si="52"/>
        <v>560.653003199325</v>
      </c>
      <c r="L63" s="18">
        <f t="shared" si="52"/>
        <v>579.958624139704</v>
      </c>
      <c r="M63" s="18">
        <f t="shared" si="52"/>
        <v>601.962509519127</v>
      </c>
      <c r="N63" s="18">
        <f t="shared" si="52"/>
        <v>626.717451993592</v>
      </c>
      <c r="O63" s="18">
        <f t="shared" si="52"/>
        <v>654.30453010706</v>
      </c>
      <c r="P63" s="18">
        <f t="shared" si="52"/>
        <v>684.831904920255</v>
      </c>
    </row>
    <row customHeight="1" ht="15">
      <c r="A64" s="4" t="s">
        <v>74</v>
      </c>
      <c r="D64" s="20">
        <f t="shared" si="24"/>
        <v>13.958255</v>
      </c>
      <c r="F64" s="19"/>
      <c r="G64" s="20">
        <f t="shared" si="24"/>
        <v>4.01456645704457e-13</v>
      </c>
      <c r="H64" s="20">
        <f t="shared" si="24"/>
        <v>4.01456645704457e-13</v>
      </c>
      <c r="I64" s="20">
        <f t="shared" si="24"/>
        <v>-1.88293824976426e-13</v>
      </c>
      <c r="J64" s="20">
        <f t="shared" si="24"/>
        <v>-1.88293824976426e-13</v>
      </c>
      <c r="K64" s="20">
        <f t="shared" si="24"/>
        <v>1.0658141036402e-14</v>
      </c>
      <c r="L64" s="20">
        <f t="shared" si="24"/>
        <v>1.0658141036402e-14</v>
      </c>
      <c r="M64" s="20">
        <f t="shared" si="24"/>
        <v>4.08252094945681</v>
      </c>
      <c r="N64" s="20">
        <f t="shared" si="24"/>
        <v>38.0559348168822</v>
      </c>
      <c r="O64" s="20">
        <f t="shared" si="24"/>
        <v>69.007660041507</v>
      </c>
      <c r="P64" s="20">
        <f t="shared" si="24"/>
        <v>96.827120136341</v>
      </c>
    </row>
    <row customHeight="1" ht="15">
      <c r="A65" s="4" t="s">
        <v>75</v>
      </c>
      <c r="D65" s="0">
        <v>30.099664</v>
      </c>
      <c r="F65" s="19"/>
      <c r="G65" s="21">
        <f t="shared" si="4"/>
        <v>0</v>
      </c>
      <c r="H65" s="21">
        <f t="shared" si="44"/>
        <v>0</v>
      </c>
      <c r="I65" s="21">
        <f t="shared" si="44"/>
        <v>0</v>
      </c>
      <c r="J65" s="21">
        <f t="shared" si="44"/>
        <v>0</v>
      </c>
      <c r="K65" s="21">
        <f t="shared" si="44"/>
        <v>0</v>
      </c>
      <c r="L65" s="21">
        <f t="shared" si="44"/>
        <v>0</v>
      </c>
      <c r="M65" s="21">
        <f t="shared" si="44"/>
        <v>0</v>
      </c>
      <c r="N65" s="21">
        <f t="shared" si="44"/>
        <v>0</v>
      </c>
      <c r="O65" s="21">
        <f t="shared" si="44"/>
        <v>0</v>
      </c>
      <c r="P65" s="21">
        <f t="shared" si="44"/>
        <v>0</v>
      </c>
    </row>
    <row customHeight="1" ht="15">
      <c r="A66" s="4" t="s">
        <v>76</v>
      </c>
      <c r="B66" s="0">
        <v>24.929057</v>
      </c>
      <c r="C66" s="0">
        <v>33.308627</v>
      </c>
      <c r="D66" s="20">
        <f t="shared" si="53" ref="D66:P66">SUM(D64:D65)</f>
        <v>44.057919</v>
      </c>
      <c r="E66" s="0">
        <v>24.969687</v>
      </c>
      <c r="F66" s="19">
        <v>35.369198</v>
      </c>
      <c r="G66" s="20">
        <f t="shared" si="53"/>
        <v>4.01456645704457e-13</v>
      </c>
      <c r="H66" s="20">
        <f t="shared" si="53"/>
        <v>4.01456645704457e-13</v>
      </c>
      <c r="I66" s="20">
        <f t="shared" si="53"/>
        <v>-1.88293824976426e-13</v>
      </c>
      <c r="J66" s="20">
        <f t="shared" si="53"/>
        <v>-1.88293824976426e-13</v>
      </c>
      <c r="K66" s="20">
        <f t="shared" si="53"/>
        <v>1.0658141036402e-14</v>
      </c>
      <c r="L66" s="20">
        <f t="shared" si="53"/>
        <v>1.0658141036402e-14</v>
      </c>
      <c r="M66" s="20">
        <f t="shared" si="53"/>
        <v>4.08252094945681</v>
      </c>
      <c r="N66" s="20">
        <f t="shared" si="53"/>
        <v>38.0559348168822</v>
      </c>
      <c r="O66" s="20">
        <f t="shared" si="53"/>
        <v>69.007660041507</v>
      </c>
      <c r="P66" s="20">
        <f t="shared" si="53"/>
        <v>96.827120136341</v>
      </c>
    </row>
    <row customHeight="1" ht="15">
      <c r="A67" s="4" t="s">
        <v>77</v>
      </c>
      <c r="B67" s="0">
        <v>30.8606</v>
      </c>
      <c r="C67" s="0">
        <v>11.172111</v>
      </c>
      <c r="D67" s="0">
        <v>12.244475</v>
      </c>
      <c r="E67" s="0">
        <v>13.280304</v>
      </c>
      <c r="F67" s="19">
        <v>11.655281</v>
      </c>
      <c r="G67" s="20">
        <f t="shared" si="54" ref="G67:P67">MAX((G7/G6)*G17,0)</f>
        <v>12.7623895</v>
      </c>
      <c r="H67" s="20">
        <f t="shared" si="54"/>
        <v>12.7623895</v>
      </c>
      <c r="I67" s="20">
        <f t="shared" si="54"/>
        <v>12.7623895</v>
      </c>
      <c r="J67" s="20">
        <f t="shared" si="54"/>
        <v>12.7623895</v>
      </c>
      <c r="K67" s="20">
        <f t="shared" si="54"/>
        <v>12.7623895</v>
      </c>
      <c r="L67" s="20">
        <f t="shared" si="54"/>
        <v>12.7623895</v>
      </c>
      <c r="M67" s="20">
        <f t="shared" si="54"/>
        <v>12.7623895</v>
      </c>
      <c r="N67" s="20">
        <f t="shared" si="54"/>
        <v>12.7623895</v>
      </c>
      <c r="O67" s="20">
        <f t="shared" si="54"/>
        <v>12.7623895</v>
      </c>
      <c r="P67" s="20">
        <f t="shared" si="54"/>
        <v>12.7623895</v>
      </c>
    </row>
    <row customHeight="1" ht="15">
      <c r="A68" s="4" t="s">
        <v>78</v>
      </c>
      <c r="B68" s="0">
        <v>1.849877</v>
      </c>
      <c r="C68" s="0">
        <v>1.732034</v>
      </c>
      <c r="D68" s="0">
        <v>1.372195</v>
      </c>
      <c r="E68" s="0">
        <v>1.551668</v>
      </c>
      <c r="F68" s="19">
        <v>1.515745</v>
      </c>
      <c r="G68" s="21">
        <f t="shared" si="4"/>
        <v>1.551668</v>
      </c>
      <c r="H68" s="21">
        <f t="shared" si="44"/>
        <v>1.551668</v>
      </c>
      <c r="I68" s="21">
        <f t="shared" si="44"/>
        <v>1.551668</v>
      </c>
      <c r="J68" s="21">
        <f t="shared" si="44"/>
        <v>1.551668</v>
      </c>
      <c r="K68" s="21">
        <f t="shared" si="44"/>
        <v>1.551668</v>
      </c>
      <c r="L68" s="21">
        <f t="shared" si="44"/>
        <v>1.551668</v>
      </c>
      <c r="M68" s="21">
        <f t="shared" si="44"/>
        <v>1.551668</v>
      </c>
      <c r="N68" s="21">
        <f t="shared" si="44"/>
        <v>1.551668</v>
      </c>
      <c r="O68" s="21">
        <f t="shared" si="44"/>
        <v>1.551668</v>
      </c>
      <c r="P68" s="21">
        <f t="shared" si="44"/>
        <v>1.551668</v>
      </c>
    </row>
    <row customHeight="1" ht="15">
      <c r="A69" s="4" t="s">
        <v>79</v>
      </c>
      <c r="B69" s="0">
        <v>5.008999</v>
      </c>
      <c r="C69" s="0">
        <v>8.711839</v>
      </c>
      <c r="D69" s="0">
        <v>3.994316</v>
      </c>
      <c r="E69" s="0">
        <v>2.721913</v>
      </c>
      <c r="F69" s="19">
        <v>3.273109</v>
      </c>
      <c r="G69" s="20">
        <f t="shared" si="4"/>
        <v>2.721913</v>
      </c>
      <c r="H69" s="20">
        <f t="shared" si="44"/>
        <v>2.721913</v>
      </c>
      <c r="I69" s="20">
        <f t="shared" si="44"/>
        <v>2.721913</v>
      </c>
      <c r="J69" s="20">
        <f t="shared" si="44"/>
        <v>2.721913</v>
      </c>
      <c r="K69" s="20">
        <f t="shared" si="44"/>
        <v>2.721913</v>
      </c>
      <c r="L69" s="20">
        <f t="shared" si="44"/>
        <v>2.721913</v>
      </c>
      <c r="M69" s="20">
        <f t="shared" si="44"/>
        <v>2.721913</v>
      </c>
      <c r="N69" s="20">
        <f t="shared" si="44"/>
        <v>2.721913</v>
      </c>
      <c r="O69" s="20">
        <f t="shared" si="44"/>
        <v>2.721913</v>
      </c>
      <c r="P69" s="20">
        <f t="shared" si="44"/>
        <v>2.721913</v>
      </c>
    </row>
    <row customHeight="1" ht="15">
      <c r="A70" s="4" t="s">
        <v>80</v>
      </c>
      <c r="B70" s="0">
        <v>26.504855</v>
      </c>
      <c r="C70" s="0">
        <v>31.520558</v>
      </c>
      <c r="D70" s="0">
        <v>44.909836</v>
      </c>
      <c r="E70" s="0">
        <v>36.072733</v>
      </c>
      <c r="F70" s="19">
        <v>42.110862</v>
      </c>
      <c r="G70" s="21">
        <f t="shared" si="4"/>
        <v>36.072733</v>
      </c>
      <c r="H70" s="21">
        <f t="shared" si="44"/>
        <v>36.072733</v>
      </c>
      <c r="I70" s="21">
        <f t="shared" si="44"/>
        <v>36.072733</v>
      </c>
      <c r="J70" s="21">
        <f t="shared" si="44"/>
        <v>36.072733</v>
      </c>
      <c r="K70" s="21">
        <f t="shared" si="44"/>
        <v>36.072733</v>
      </c>
      <c r="L70" s="21">
        <f t="shared" si="44"/>
        <v>36.072733</v>
      </c>
      <c r="M70" s="21">
        <f t="shared" si="44"/>
        <v>36.072733</v>
      </c>
      <c r="N70" s="21">
        <f t="shared" si="44"/>
        <v>36.072733</v>
      </c>
      <c r="O70" s="21">
        <f t="shared" si="44"/>
        <v>36.072733</v>
      </c>
      <c r="P70" s="21">
        <f t="shared" si="44"/>
        <v>36.072733</v>
      </c>
    </row>
    <row customHeight="1" ht="15">
      <c r="A71" s="15" t="s">
        <v>81</v>
      </c>
      <c r="B71" s="18">
        <f t="shared" si="52"/>
        <v>89.153388</v>
      </c>
      <c r="C71" s="18">
        <f t="shared" si="52"/>
        <v>86.445169</v>
      </c>
      <c r="D71" s="18">
        <f t="shared" si="52"/>
        <v>106.578741</v>
      </c>
      <c r="E71" s="18">
        <f t="shared" si="52"/>
        <v>78.596305</v>
      </c>
      <c r="F71" s="22">
        <f t="shared" si="52"/>
        <v>93.924195</v>
      </c>
      <c r="G71" s="18">
        <f t="shared" si="52"/>
        <v>53.1087035000004</v>
      </c>
      <c r="H71" s="18">
        <f t="shared" si="52"/>
        <v>53.1087035000004</v>
      </c>
      <c r="I71" s="18">
        <f t="shared" si="52"/>
        <v>53.1087034999998</v>
      </c>
      <c r="J71" s="18">
        <f t="shared" si="52"/>
        <v>53.1087034999998</v>
      </c>
      <c r="K71" s="18">
        <f t="shared" si="52"/>
        <v>53.1087035</v>
      </c>
      <c r="L71" s="18">
        <f t="shared" si="52"/>
        <v>53.1087035</v>
      </c>
      <c r="M71" s="18">
        <f t="shared" si="52"/>
        <v>57.1912244494568</v>
      </c>
      <c r="N71" s="18">
        <f t="shared" si="52"/>
        <v>91.1646383168822</v>
      </c>
      <c r="O71" s="18">
        <f t="shared" si="52"/>
        <v>122.116363541507</v>
      </c>
      <c r="P71" s="18">
        <f t="shared" si="52"/>
        <v>149.935823636341</v>
      </c>
    </row>
    <row customHeight="1" ht="15">
      <c r="A72" s="15" t="s">
        <v>82</v>
      </c>
      <c r="B72" s="18">
        <f t="shared" si="55" ref="B72:F72">B63+B71</f>
        <v>577.641711</v>
      </c>
      <c r="C72" s="18">
        <f t="shared" si="55"/>
        <v>574.067671</v>
      </c>
      <c r="D72" s="18">
        <f t="shared" si="55"/>
        <v>573.752646</v>
      </c>
      <c r="E72" s="18">
        <f t="shared" si="55"/>
        <v>583.583039</v>
      </c>
      <c r="F72" s="22">
        <f t="shared" si="55"/>
        <v>626.506195</v>
      </c>
      <c r="G72" s="18">
        <f t="shared" si="56" ref="G72:P72">G71+G63</f>
        <v>563.564182529665</v>
      </c>
      <c r="H72" s="18">
        <f t="shared" si="56"/>
        <v>571.969394763189</v>
      </c>
      <c r="I72" s="18">
        <f t="shared" si="56"/>
        <v>583.186008254493</v>
      </c>
      <c r="J72" s="18">
        <f t="shared" si="56"/>
        <v>597.131505671137</v>
      </c>
      <c r="K72" s="18">
        <f t="shared" si="56"/>
        <v>613.761706699325</v>
      </c>
      <c r="L72" s="18">
        <f t="shared" si="56"/>
        <v>633.067327639704</v>
      </c>
      <c r="M72" s="18">
        <f t="shared" si="56"/>
        <v>659.153733968584</v>
      </c>
      <c r="N72" s="18">
        <f t="shared" si="56"/>
        <v>717.882090310474</v>
      </c>
      <c r="O72" s="18">
        <f t="shared" si="56"/>
        <v>776.420893648567</v>
      </c>
      <c r="P72" s="18">
        <f t="shared" si="56"/>
        <v>834.767728556596</v>
      </c>
    </row>
    <row customHeight="1" ht="15">
      <c r="A73" s="4" t="s">
        <v>83</v>
      </c>
      <c r="B73" s="0">
        <v>226.838994</v>
      </c>
      <c r="C73" s="0">
        <v>58.549066</v>
      </c>
      <c r="D73" s="0">
        <v>28.268072</v>
      </c>
      <c r="E73" s="0">
        <v>33.002972</v>
      </c>
      <c r="F73" s="19">
        <v>44.954677</v>
      </c>
      <c r="G73" s="20">
        <f>E73+G45+(IF((SUM(E79:E80)+E73)&lt;&gt;0,(G46+G47)*E73/(SUM(E79:E80)+E73),(G46+G47)/3))</f>
        <v>218.146747875158</v>
      </c>
      <c r="H73" s="20">
        <f t="shared" si="57" ref="H73:P73">G73+H45+(IF((SUM(G79:G80)+G73)&lt;&gt;0,(H46+H47)*G73/(SUM(G79:G80)+G73),(H46+H47)/3))</f>
        <v>181.392907768024</v>
      </c>
      <c r="I73" s="20">
        <f t="shared" si="57"/>
        <v>144.901567684405</v>
      </c>
      <c r="J73" s="20">
        <f t="shared" si="57"/>
        <v>108.592528231132</v>
      </c>
      <c r="K73" s="20">
        <f t="shared" si="57"/>
        <v>72.422891140572</v>
      </c>
      <c r="L73" s="20">
        <f t="shared" si="57"/>
        <v>36.3860035392304</v>
      </c>
      <c r="M73" s="20">
        <f t="shared" si="57"/>
        <v>4.75457787105</v>
      </c>
      <c r="N73" s="20">
        <f t="shared" si="57"/>
        <v>4.75457787105</v>
      </c>
      <c r="O73" s="20">
        <f t="shared" si="57"/>
        <v>4.75457787105</v>
      </c>
      <c r="P73" s="20">
        <f t="shared" si="57"/>
        <v>4.75457787105</v>
      </c>
    </row>
    <row customHeight="1" ht="15">
      <c r="A74" s="4" t="s">
        <v>84</v>
      </c>
      <c r="B74" s="0">
        <v>62.8683</v>
      </c>
      <c r="C74" s="0">
        <v>128.643496</v>
      </c>
      <c r="D74" s="0">
        <v>111.158666</v>
      </c>
      <c r="E74" s="0">
        <v>89.419429</v>
      </c>
      <c r="F74" s="19">
        <v>87.667864</v>
      </c>
      <c r="G74" s="20">
        <f t="shared" si="58" ref="G74:P74">MAX((G8/G6)*(G17-G113),0)</f>
        <v>98.0839317789095</v>
      </c>
      <c r="H74" s="20">
        <f t="shared" si="58"/>
        <v>98.0635241527746</v>
      </c>
      <c r="I74" s="20">
        <f t="shared" si="58"/>
        <v>97.8136139148801</v>
      </c>
      <c r="J74" s="20">
        <f t="shared" si="58"/>
        <v>97.3487557153094</v>
      </c>
      <c r="K74" s="20">
        <f t="shared" si="58"/>
        <v>96.6798706430511</v>
      </c>
      <c r="L74" s="20">
        <f t="shared" si="58"/>
        <v>95.8146513877361</v>
      </c>
      <c r="M74" s="20">
        <f t="shared" si="58"/>
        <v>94.7578986102453</v>
      </c>
      <c r="N74" s="20">
        <f t="shared" si="58"/>
        <v>93.5117977149497</v>
      </c>
      <c r="O74" s="20">
        <f t="shared" si="58"/>
        <v>92.0761438158565</v>
      </c>
      <c r="P74" s="20">
        <f t="shared" si="58"/>
        <v>90.4485214866962</v>
      </c>
    </row>
    <row customHeight="1" ht="15">
      <c r="A75" s="4" t="s">
        <v>85</v>
      </c>
      <c r="B75" s="0">
        <v>41.303953</v>
      </c>
      <c r="C75" s="0">
        <v>33.592938</v>
      </c>
      <c r="D75" s="0">
        <v>45.13479</v>
      </c>
      <c r="E75" s="0">
        <v>42.017393</v>
      </c>
      <c r="F75" s="19">
        <v>40.553972</v>
      </c>
      <c r="G75" s="21">
        <f t="shared" si="4"/>
        <v>42.017393</v>
      </c>
      <c r="H75" s="21">
        <f t="shared" si="44"/>
        <v>42.017393</v>
      </c>
      <c r="I75" s="21">
        <f t="shared" si="44"/>
        <v>42.017393</v>
      </c>
      <c r="J75" s="21">
        <f t="shared" si="44"/>
        <v>42.017393</v>
      </c>
      <c r="K75" s="21">
        <f t="shared" si="44"/>
        <v>42.017393</v>
      </c>
      <c r="L75" s="21">
        <f t="shared" si="44"/>
        <v>42.017393</v>
      </c>
      <c r="M75" s="21">
        <f t="shared" si="44"/>
        <v>42.017393</v>
      </c>
      <c r="N75" s="21">
        <f t="shared" si="44"/>
        <v>42.017393</v>
      </c>
      <c r="O75" s="21">
        <f t="shared" si="44"/>
        <v>42.017393</v>
      </c>
      <c r="P75" s="21">
        <f t="shared" si="44"/>
        <v>42.017393</v>
      </c>
    </row>
    <row customHeight="1" ht="15">
      <c r="A76" s="4" t="s">
        <v>86</v>
      </c>
      <c r="B76" s="0">
        <v>26.130051</v>
      </c>
      <c r="C76" s="0">
        <v>31.016973</v>
      </c>
      <c r="D76" s="0">
        <v>44.339334</v>
      </c>
      <c r="E76" s="0">
        <v>55.870229</v>
      </c>
      <c r="F76" s="19">
        <v>57.350883</v>
      </c>
      <c r="G76" s="20">
        <f>IF((E76+E81)&lt;&gt;0,((-(E59-G59))+(E76+E81))*E76/(E76+E81),((-(E59-G59))+(E76+E81))/2)</f>
        <v>55.870229</v>
      </c>
      <c r="H76" s="20">
        <f t="shared" si="59" ref="H76:P76">IF((G76+G81)&lt;&gt;0,((-(G59-H59))+(G76+G81))*G76/(G76+G81),((-(G59-H59))+(G76+G81))/2)</f>
        <v>55.870229</v>
      </c>
      <c r="I76" s="20">
        <f t="shared" si="59"/>
        <v>55.870229</v>
      </c>
      <c r="J76" s="20">
        <f t="shared" si="59"/>
        <v>55.870229</v>
      </c>
      <c r="K76" s="20">
        <f t="shared" si="59"/>
        <v>55.870229</v>
      </c>
      <c r="L76" s="20">
        <f t="shared" si="59"/>
        <v>55.870229</v>
      </c>
      <c r="M76" s="20">
        <f t="shared" si="59"/>
        <v>55.870229</v>
      </c>
      <c r="N76" s="20">
        <f t="shared" si="59"/>
        <v>55.870229</v>
      </c>
      <c r="O76" s="20">
        <f t="shared" si="59"/>
        <v>55.870229</v>
      </c>
      <c r="P76" s="20">
        <f t="shared" si="59"/>
        <v>55.870229</v>
      </c>
    </row>
    <row customHeight="1" ht="15">
      <c r="A77" s="4" t="s">
        <v>87</v>
      </c>
      <c r="B77" s="0">
        <v>58.434633</v>
      </c>
      <c r="C77" s="0">
        <v>52.536051</v>
      </c>
      <c r="D77" s="0">
        <v>51.410791</v>
      </c>
      <c r="E77" s="0">
        <v>62.08985</v>
      </c>
      <c r="F77" s="19">
        <v>62.920701</v>
      </c>
      <c r="G77" s="21">
        <f t="shared" si="4"/>
        <v>62.08985</v>
      </c>
      <c r="H77" s="21">
        <f t="shared" si="44"/>
        <v>62.08985</v>
      </c>
      <c r="I77" s="21">
        <f t="shared" si="44"/>
        <v>62.08985</v>
      </c>
      <c r="J77" s="21">
        <f t="shared" si="44"/>
        <v>62.08985</v>
      </c>
      <c r="K77" s="21">
        <f t="shared" si="44"/>
        <v>62.08985</v>
      </c>
      <c r="L77" s="21">
        <f t="shared" si="44"/>
        <v>62.08985</v>
      </c>
      <c r="M77" s="21">
        <f t="shared" si="44"/>
        <v>62.08985</v>
      </c>
      <c r="N77" s="21">
        <f t="shared" si="44"/>
        <v>62.08985</v>
      </c>
      <c r="O77" s="21">
        <f t="shared" si="44"/>
        <v>62.08985</v>
      </c>
      <c r="P77" s="21">
        <f t="shared" si="44"/>
        <v>62.08985</v>
      </c>
    </row>
    <row customHeight="1" ht="15">
      <c r="A78" s="15" t="s">
        <v>88</v>
      </c>
      <c r="B78" s="18">
        <f t="shared" si="52"/>
        <v>415.575931</v>
      </c>
      <c r="C78" s="18">
        <f t="shared" si="52"/>
        <v>304.338524</v>
      </c>
      <c r="D78" s="18">
        <f t="shared" si="52"/>
        <v>280.311653</v>
      </c>
      <c r="E78" s="18">
        <f t="shared" si="52"/>
        <v>282.399873</v>
      </c>
      <c r="F78" s="22">
        <f t="shared" si="52"/>
        <v>293.448097</v>
      </c>
      <c r="G78" s="18">
        <f t="shared" si="52"/>
        <v>476.208151654068</v>
      </c>
      <c r="H78" s="18">
        <f t="shared" si="52"/>
        <v>439.433903920799</v>
      </c>
      <c r="I78" s="18">
        <f t="shared" si="52"/>
        <v>402.692653599285</v>
      </c>
      <c r="J78" s="18">
        <f t="shared" si="52"/>
        <v>365.918755946441</v>
      </c>
      <c r="K78" s="18">
        <f t="shared" si="52"/>
        <v>329.080233783623</v>
      </c>
      <c r="L78" s="18">
        <f t="shared" si="52"/>
        <v>292.178126926967</v>
      </c>
      <c r="M78" s="18">
        <f t="shared" si="52"/>
        <v>259.489948481295</v>
      </c>
      <c r="N78" s="18">
        <f t="shared" si="52"/>
        <v>258.243847586</v>
      </c>
      <c r="O78" s="18">
        <f t="shared" si="52"/>
        <v>256.808193686907</v>
      </c>
      <c r="P78" s="18">
        <f t="shared" si="52"/>
        <v>255.180571357746</v>
      </c>
    </row>
    <row customHeight="1" ht="15">
      <c r="A79" s="4" t="s">
        <v>89</v>
      </c>
      <c r="B79" s="0">
        <v>0</v>
      </c>
      <c r="C79" s="0">
        <v>180.972286</v>
      </c>
      <c r="D79" s="0">
        <v>0.86771</v>
      </c>
      <c r="E79" s="0">
        <v>6.455915</v>
      </c>
      <c r="F79" s="19">
        <v>7.46783</v>
      </c>
      <c r="G79" s="20">
        <f>E79+(IF((SUM(E79:E80)+E73)&lt;&gt;0,(G46+G47)*E79/(SUM(E79:E80)+E73),(G46+G47)/3))</f>
        <v>0.93007231580181</v>
      </c>
      <c r="H79" s="20">
        <f t="shared" si="60" ref="H79:P79">G79+(IF((SUM(G79:G80)+G73)&lt;&gt;0,(H46+H47)*G79/(SUM(G79:G80)+G73),(H46+H47)/3))</f>
        <v>0.93007231580181</v>
      </c>
      <c r="I79" s="20">
        <f t="shared" si="60"/>
        <v>0.93007231580181</v>
      </c>
      <c r="J79" s="20">
        <f t="shared" si="60"/>
        <v>0.93007231580181</v>
      </c>
      <c r="K79" s="20">
        <f t="shared" si="60"/>
        <v>0.93007231580181</v>
      </c>
      <c r="L79" s="20">
        <f t="shared" si="60"/>
        <v>0.93007231580181</v>
      </c>
      <c r="M79" s="20">
        <f t="shared" si="60"/>
        <v>0.93007231580181</v>
      </c>
      <c r="N79" s="20">
        <f t="shared" si="60"/>
        <v>0.93007231580181</v>
      </c>
      <c r="O79" s="20">
        <f t="shared" si="60"/>
        <v>0.93007231580181</v>
      </c>
      <c r="P79" s="20">
        <f t="shared" si="60"/>
        <v>0.93007231580181</v>
      </c>
    </row>
    <row customHeight="1" ht="15">
      <c r="A80" s="4" t="s">
        <v>90</v>
      </c>
      <c r="B80" s="0">
        <v>0</v>
      </c>
      <c r="C80" s="0">
        <v>0</v>
      </c>
      <c r="D80" s="0">
        <v>300</v>
      </c>
      <c r="E80" s="0">
        <v>300</v>
      </c>
      <c r="F80" s="19">
        <v>347.491419</v>
      </c>
      <c r="G80" s="20">
        <f>E80+(IF((SUM(E79:E80)+E73)&lt;&gt;0,(G46+G47)*E80/(SUM(E79:E80)+E73),(G46+G47)/3))</f>
        <v>43.2195428131478</v>
      </c>
      <c r="H80" s="20">
        <f t="shared" si="61" ref="H80:P80">G80+(IF((SUM(G79:G80)+G73)&lt;&gt;0,(H46+H47)*G80/(SUM(G79:G80)+G73),(H46+H47)/3))</f>
        <v>43.2195428131478</v>
      </c>
      <c r="I80" s="20">
        <f t="shared" si="61"/>
        <v>43.2195428131478</v>
      </c>
      <c r="J80" s="20">
        <f t="shared" si="61"/>
        <v>43.2195428131478</v>
      </c>
      <c r="K80" s="20">
        <f t="shared" si="61"/>
        <v>43.2195428131478</v>
      </c>
      <c r="L80" s="20">
        <f t="shared" si="61"/>
        <v>43.2195428131478</v>
      </c>
      <c r="M80" s="20">
        <f t="shared" si="61"/>
        <v>43.2195428131478</v>
      </c>
      <c r="N80" s="20">
        <f t="shared" si="61"/>
        <v>43.2195428131478</v>
      </c>
      <c r="O80" s="20">
        <f t="shared" si="61"/>
        <v>43.2195428131478</v>
      </c>
      <c r="P80" s="20">
        <f t="shared" si="61"/>
        <v>43.2195428131478</v>
      </c>
    </row>
    <row customHeight="1" ht="15">
      <c r="A81" s="4" t="s">
        <v>91</v>
      </c>
      <c r="B81" s="0">
        <v>181.997108</v>
      </c>
      <c r="C81" s="0">
        <v>173.51927</v>
      </c>
      <c r="D81" s="0">
        <v>154.204661</v>
      </c>
      <c r="E81" s="0">
        <v>145.034019</v>
      </c>
      <c r="F81" s="19">
        <v>138.525401</v>
      </c>
      <c r="G81" s="20">
        <f>IF((E76+E81)&lt;&gt;0,((-(E59-G59))+(E76+E81))*E81/(E76+E81),((-(E59-G59))+(E76+E81))/2)</f>
        <v>145.034019</v>
      </c>
      <c r="H81" s="20">
        <f t="shared" si="62" ref="H81:P81">IF((G76+G81)&lt;&gt;0,((-(G59-H59))+(G76+G81))*G81/(G76+G81),((-(G59-H59))+(G76+G81))/2)</f>
        <v>145.034019</v>
      </c>
      <c r="I81" s="20">
        <f t="shared" si="62"/>
        <v>145.034019</v>
      </c>
      <c r="J81" s="20">
        <f t="shared" si="62"/>
        <v>145.034019</v>
      </c>
      <c r="K81" s="20">
        <f t="shared" si="62"/>
        <v>145.034019</v>
      </c>
      <c r="L81" s="20">
        <f t="shared" si="62"/>
        <v>145.034019</v>
      </c>
      <c r="M81" s="20">
        <f t="shared" si="62"/>
        <v>145.034019</v>
      </c>
      <c r="N81" s="20">
        <f t="shared" si="62"/>
        <v>145.034019</v>
      </c>
      <c r="O81" s="20">
        <f t="shared" si="62"/>
        <v>145.034019</v>
      </c>
      <c r="P81" s="20">
        <f t="shared" si="62"/>
        <v>145.034019</v>
      </c>
    </row>
    <row customHeight="1" ht="15">
      <c r="A82" s="4" t="s">
        <v>92</v>
      </c>
      <c r="B82" s="0">
        <v>29.008628</v>
      </c>
      <c r="C82" s="0">
        <v>27.097433</v>
      </c>
      <c r="D82" s="0">
        <v>42.896917</v>
      </c>
      <c r="E82" s="0">
        <v>44.118373</v>
      </c>
      <c r="F82" s="19">
        <v>44.859328</v>
      </c>
      <c r="G82" s="21">
        <f t="shared" si="4"/>
        <v>44.118373</v>
      </c>
      <c r="H82" s="21">
        <f t="shared" si="44"/>
        <v>44.118373</v>
      </c>
      <c r="I82" s="21">
        <f t="shared" si="44"/>
        <v>44.118373</v>
      </c>
      <c r="J82" s="21">
        <f t="shared" si="44"/>
        <v>44.118373</v>
      </c>
      <c r="K82" s="21">
        <f t="shared" si="44"/>
        <v>44.118373</v>
      </c>
      <c r="L82" s="21">
        <f t="shared" si="44"/>
        <v>44.118373</v>
      </c>
      <c r="M82" s="21">
        <f t="shared" si="44"/>
        <v>44.118373</v>
      </c>
      <c r="N82" s="21">
        <f t="shared" si="44"/>
        <v>44.118373</v>
      </c>
      <c r="O82" s="21">
        <f t="shared" si="44"/>
        <v>44.118373</v>
      </c>
      <c r="P82" s="21">
        <f t="shared" si="44"/>
        <v>44.118373</v>
      </c>
    </row>
    <row customHeight="1" ht="15">
      <c r="A83" s="15" t="s">
        <v>93</v>
      </c>
      <c r="B83" s="18">
        <f t="shared" si="20"/>
        <v>211.005736</v>
      </c>
      <c r="C83" s="18">
        <f t="shared" si="20"/>
        <v>381.588989</v>
      </c>
      <c r="D83" s="18">
        <f t="shared" si="20"/>
        <v>497.969288</v>
      </c>
      <c r="E83" s="18">
        <f t="shared" si="20"/>
        <v>495.608307</v>
      </c>
      <c r="F83" s="22">
        <f t="shared" si="20"/>
        <v>538.343978</v>
      </c>
      <c r="G83" s="18">
        <f t="shared" si="20"/>
        <v>233.30200712895</v>
      </c>
      <c r="H83" s="18">
        <f t="shared" si="20"/>
        <v>233.30200712895</v>
      </c>
      <c r="I83" s="18">
        <f t="shared" si="20"/>
        <v>233.30200712895</v>
      </c>
      <c r="J83" s="18">
        <f t="shared" si="20"/>
        <v>233.30200712895</v>
      </c>
      <c r="K83" s="18">
        <f t="shared" si="20"/>
        <v>233.30200712895</v>
      </c>
      <c r="L83" s="18">
        <f t="shared" si="20"/>
        <v>233.30200712895</v>
      </c>
      <c r="M83" s="18">
        <f t="shared" si="20"/>
        <v>233.30200712895</v>
      </c>
      <c r="N83" s="18">
        <f t="shared" si="20"/>
        <v>233.30200712895</v>
      </c>
      <c r="O83" s="18">
        <f t="shared" si="20"/>
        <v>233.30200712895</v>
      </c>
      <c r="P83" s="18">
        <f t="shared" si="20"/>
        <v>233.30200712895</v>
      </c>
    </row>
    <row customHeight="1" ht="15">
      <c r="A84" s="15" t="s">
        <v>94</v>
      </c>
      <c r="B84" s="18">
        <f t="shared" si="63" ref="B84:P84">B78+B83</f>
        <v>626.581667</v>
      </c>
      <c r="C84" s="18">
        <f t="shared" si="63"/>
        <v>685.927513</v>
      </c>
      <c r="D84" s="18">
        <f t="shared" si="63"/>
        <v>778.280941</v>
      </c>
      <c r="E84" s="18">
        <f t="shared" si="63"/>
        <v>778.00818</v>
      </c>
      <c r="F84" s="22">
        <f t="shared" si="63"/>
        <v>831.792075</v>
      </c>
      <c r="G84" s="18">
        <f t="shared" si="63"/>
        <v>709.510158783018</v>
      </c>
      <c r="H84" s="18">
        <f t="shared" si="63"/>
        <v>672.735911049749</v>
      </c>
      <c r="I84" s="18">
        <f t="shared" si="63"/>
        <v>635.994660728235</v>
      </c>
      <c r="J84" s="18">
        <f t="shared" si="63"/>
        <v>599.220763075391</v>
      </c>
      <c r="K84" s="18">
        <f t="shared" si="63"/>
        <v>562.382240912573</v>
      </c>
      <c r="L84" s="18">
        <f t="shared" si="63"/>
        <v>525.480134055917</v>
      </c>
      <c r="M84" s="18">
        <f t="shared" si="63"/>
        <v>492.791955610245</v>
      </c>
      <c r="N84" s="18">
        <f t="shared" si="63"/>
        <v>491.54585471495</v>
      </c>
      <c r="O84" s="18">
        <f t="shared" si="63"/>
        <v>490.110200815857</v>
      </c>
      <c r="P84" s="18">
        <f t="shared" si="63"/>
        <v>488.482578486696</v>
      </c>
    </row>
    <row customHeight="1" ht="15">
      <c r="A85" s="4" t="s">
        <v>95</v>
      </c>
      <c r="B85" s="20">
        <f t="shared" si="64" ref="B85:P85">B72-B84</f>
        <v>-48.9399560000001</v>
      </c>
      <c r="C85" s="20">
        <f t="shared" si="64"/>
        <v>-111.859842</v>
      </c>
      <c r="D85" s="20">
        <f t="shared" si="64"/>
        <v>-204.528295</v>
      </c>
      <c r="E85" s="20">
        <f t="shared" si="64"/>
        <v>-194.425141</v>
      </c>
      <c r="F85" s="23">
        <f t="shared" si="64"/>
        <v>-205.28588</v>
      </c>
      <c r="G85" s="20">
        <f t="shared" si="64"/>
        <v>-145.945976253353</v>
      </c>
      <c r="H85" s="20">
        <f t="shared" si="64"/>
        <v>-100.76651628656</v>
      </c>
      <c r="I85" s="20">
        <f t="shared" si="64"/>
        <v>-52.808652473742</v>
      </c>
      <c r="J85" s="20">
        <f t="shared" si="64"/>
        <v>-2.089257404254</v>
      </c>
      <c r="K85" s="20">
        <f t="shared" si="64"/>
        <v>51.379465786752</v>
      </c>
      <c r="L85" s="20">
        <f t="shared" si="64"/>
        <v>107.587193583787</v>
      </c>
      <c r="M85" s="20">
        <f t="shared" si="64"/>
        <v>166.361778358339</v>
      </c>
      <c r="N85" s="20">
        <f t="shared" si="64"/>
        <v>226.336235595524</v>
      </c>
      <c r="O85" s="20">
        <f t="shared" si="64"/>
        <v>286.31069283271</v>
      </c>
      <c r="P85" s="20">
        <f t="shared" si="64"/>
        <v>346.2851500699</v>
      </c>
    </row>
    <row customHeight="1" ht="15">
      <c r="A86" s="15" t="s">
        <v>96</v>
      </c>
      <c r="B86" s="18">
        <f t="shared" si="65" ref="B86:E86">B72-B84</f>
        <v>-48.9399560000001</v>
      </c>
      <c r="C86" s="18">
        <f t="shared" si="65"/>
        <v>-111.859842</v>
      </c>
      <c r="D86" s="18">
        <f t="shared" si="65"/>
        <v>-204.528295</v>
      </c>
      <c r="E86" s="18">
        <f t="shared" si="65"/>
        <v>-194.425141</v>
      </c>
      <c r="F86" s="17">
        <v>-205.28588</v>
      </c>
      <c r="G86" s="18">
        <f>(E86+G27)+(G50+G53)</f>
        <v>-145.945976253352</v>
      </c>
      <c r="H86" s="18">
        <f t="shared" si="66" ref="H86:P86">(G86+H27)+(H50+H53)</f>
        <v>-100.766516286559</v>
      </c>
      <c r="I86" s="18">
        <f t="shared" si="66"/>
        <v>-52.8086524737425</v>
      </c>
      <c r="J86" s="18">
        <f t="shared" si="66"/>
        <v>-2.0892574042549</v>
      </c>
      <c r="K86" s="18">
        <f t="shared" si="66"/>
        <v>51.3794657867506</v>
      </c>
      <c r="L86" s="18">
        <f t="shared" si="66"/>
        <v>107.587193583786</v>
      </c>
      <c r="M86" s="18">
        <f t="shared" si="66"/>
        <v>166.361778358336</v>
      </c>
      <c r="N86" s="18">
        <f t="shared" si="66"/>
        <v>226.336235595522</v>
      </c>
      <c r="O86" s="18">
        <f t="shared" si="66"/>
        <v>286.310692832708</v>
      </c>
      <c r="P86" s="18">
        <f t="shared" si="66"/>
        <v>346.285150069894</v>
      </c>
    </row>
    <row customHeight="1" ht="15">
      <c r="A87" s="4" t="s">
        <v>97</v>
      </c>
      <c r="B87" s="20">
        <f t="shared" si="67" ref="B87:P87">(ABS(B85-B86))+(ABS(MIN(0,B58:B84)))</f>
        <v>0</v>
      </c>
      <c r="C87" s="20">
        <f t="shared" si="67"/>
        <v>0</v>
      </c>
      <c r="D87" s="20">
        <f t="shared" si="67"/>
        <v>0</v>
      </c>
      <c r="E87" s="20">
        <f t="shared" si="67"/>
        <v>0</v>
      </c>
      <c r="F87" s="23">
        <f t="shared" si="67"/>
        <v>0</v>
      </c>
      <c r="G87" s="20">
        <f t="shared" si="67"/>
        <v>9.9475983006414e-13</v>
      </c>
      <c r="H87" s="20">
        <f t="shared" si="67"/>
        <v>1.00897068477934e-12</v>
      </c>
      <c r="I87" s="20">
        <f t="shared" si="67"/>
        <v>6.85673740008496e-13</v>
      </c>
      <c r="J87" s="20">
        <f t="shared" si="67"/>
        <v>1.0884626533425e-12</v>
      </c>
      <c r="K87" s="20">
        <f t="shared" si="67"/>
        <v>1.3997691894474e-12</v>
      </c>
      <c r="L87" s="20">
        <f t="shared" si="67"/>
        <v>9.9475983006414e-13</v>
      </c>
      <c r="M87" s="20">
        <f t="shared" si="67"/>
        <v>2.98427949019242e-12</v>
      </c>
      <c r="N87" s="20">
        <f t="shared" si="67"/>
        <v>1.98951966012828e-12</v>
      </c>
      <c r="O87" s="20">
        <f t="shared" si="67"/>
        <v>1.98951966012828e-12</v>
      </c>
      <c r="P87" s="20">
        <f t="shared" si="67"/>
        <v>6.02540239924565e-12</v>
      </c>
    </row>
    <row customHeight="1" ht="1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</row>
    <row customHeight="1" ht="15">
      <c r="A89" s="2" t="s">
        <v>98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</row>
    <row customHeight="1" ht="15">
      <c r="A90" s="4" t="s">
        <v>99</v>
      </c>
      <c r="B90" s="0">
        <v>0</v>
      </c>
      <c r="C90" s="0">
        <v>0</v>
      </c>
      <c r="D90" s="0">
        <v>0</v>
      </c>
      <c r="E90" s="0">
        <v>0</v>
      </c>
      <c r="F90" s="19">
        <v>0</v>
      </c>
      <c r="G90" s="20">
        <f>MAX(E90-(G40+G44+G49+SUM(G46:G48)+G50+G54),0)</f>
        <v>213.392170004108</v>
      </c>
      <c r="H90" s="20">
        <f t="shared" si="68" ref="H90:P90">MAX(G90-(H40+H44+H49+SUM(H46:H48)+H50+H54),0)</f>
        <v>176.638329896974</v>
      </c>
      <c r="I90" s="20">
        <f t="shared" si="68"/>
        <v>140.146989813355</v>
      </c>
      <c r="J90" s="20">
        <f t="shared" si="68"/>
        <v>103.837950360082</v>
      </c>
      <c r="K90" s="20">
        <f t="shared" si="68"/>
        <v>67.668313269522</v>
      </c>
      <c r="L90" s="20">
        <f t="shared" si="68"/>
        <v>31.6314256681804</v>
      </c>
      <c r="M90" s="20">
        <f t="shared" si="68"/>
        <v>0</v>
      </c>
      <c r="N90" s="20">
        <f t="shared" si="68"/>
        <v>0</v>
      </c>
      <c r="O90" s="20">
        <f t="shared" si="68"/>
        <v>0</v>
      </c>
      <c r="P90" s="20">
        <f t="shared" si="68"/>
        <v>0</v>
      </c>
    </row>
    <row customHeight="1" ht="15">
      <c r="A91" s="4" t="s">
        <v>100</v>
      </c>
      <c r="B91" s="0">
        <v>90.954301</v>
      </c>
      <c r="C91" s="0">
        <v>81.818184</v>
      </c>
      <c r="F91" s="19"/>
      <c r="G91" s="21">
        <f t="shared" si="69" ref="G91:G98">C91</f>
        <v>81.818184</v>
      </c>
      <c r="H91" s="21">
        <f t="shared" si="44"/>
        <v>81.818184</v>
      </c>
      <c r="I91" s="21">
        <f t="shared" si="44"/>
        <v>81.818184</v>
      </c>
      <c r="J91" s="21">
        <f t="shared" si="44"/>
        <v>81.818184</v>
      </c>
      <c r="K91" s="21">
        <f t="shared" si="44"/>
        <v>81.818184</v>
      </c>
      <c r="L91" s="21">
        <f t="shared" si="44"/>
        <v>81.818184</v>
      </c>
      <c r="M91" s="21">
        <f t="shared" si="44"/>
        <v>81.818184</v>
      </c>
      <c r="N91" s="21">
        <f t="shared" si="44"/>
        <v>81.818184</v>
      </c>
      <c r="O91" s="21">
        <f t="shared" si="44"/>
        <v>81.818184</v>
      </c>
      <c r="P91" s="21">
        <f t="shared" si="44"/>
        <v>81.818184</v>
      </c>
    </row>
    <row customHeight="1" ht="15">
      <c r="A92" s="4" t="s">
        <v>101</v>
      </c>
      <c r="B92" s="0">
        <v>101.85</v>
      </c>
      <c r="C92" s="0">
        <v>98.7</v>
      </c>
      <c r="F92" s="19"/>
      <c r="G92" s="21">
        <f t="shared" si="69"/>
        <v>98.7</v>
      </c>
      <c r="H92" s="21">
        <f t="shared" si="44"/>
        <v>98.7</v>
      </c>
      <c r="I92" s="21">
        <f t="shared" si="44"/>
        <v>98.7</v>
      </c>
      <c r="J92" s="21">
        <f t="shared" si="44"/>
        <v>98.7</v>
      </c>
      <c r="K92" s="21">
        <f t="shared" si="44"/>
        <v>98.7</v>
      </c>
      <c r="L92" s="21">
        <f t="shared" si="44"/>
        <v>98.7</v>
      </c>
      <c r="M92" s="21">
        <f t="shared" si="44"/>
        <v>98.7</v>
      </c>
      <c r="N92" s="21">
        <f t="shared" si="44"/>
        <v>98.7</v>
      </c>
      <c r="O92" s="21">
        <f t="shared" si="44"/>
        <v>98.7</v>
      </c>
      <c r="P92" s="21">
        <f t="shared" si="44"/>
        <v>98.7</v>
      </c>
    </row>
    <row customHeight="1" ht="15">
      <c r="A93" s="4" t="s">
        <v>102</v>
      </c>
      <c r="B93" s="0">
        <v>0</v>
      </c>
      <c r="C93" s="0">
        <v>41.447836</v>
      </c>
      <c r="F93" s="19"/>
      <c r="G93" s="21">
        <f t="shared" si="69"/>
        <v>41.447836</v>
      </c>
      <c r="H93" s="21">
        <f t="shared" si="44"/>
        <v>41.447836</v>
      </c>
      <c r="I93" s="21">
        <f t="shared" si="44"/>
        <v>41.447836</v>
      </c>
      <c r="J93" s="21">
        <f t="shared" si="44"/>
        <v>41.447836</v>
      </c>
      <c r="K93" s="21">
        <f t="shared" si="44"/>
        <v>41.447836</v>
      </c>
      <c r="L93" s="21">
        <f t="shared" si="44"/>
        <v>41.447836</v>
      </c>
      <c r="M93" s="21">
        <f t="shared" si="44"/>
        <v>41.447836</v>
      </c>
      <c r="N93" s="21">
        <f t="shared" si="44"/>
        <v>41.447836</v>
      </c>
      <c r="O93" s="21">
        <f t="shared" si="44"/>
        <v>41.447836</v>
      </c>
      <c r="P93" s="21">
        <f t="shared" si="44"/>
        <v>41.447836</v>
      </c>
    </row>
    <row customHeight="1" ht="15">
      <c r="A94" s="4" t="s">
        <v>103</v>
      </c>
      <c r="B94" s="0">
        <v>0</v>
      </c>
      <c r="C94" s="0">
        <v>0.031467</v>
      </c>
      <c r="F94" s="19"/>
      <c r="G94" s="21">
        <f t="shared" si="69"/>
        <v>0.031467</v>
      </c>
      <c r="H94" s="21">
        <f t="shared" si="44"/>
        <v>0.031467</v>
      </c>
      <c r="I94" s="21">
        <f t="shared" si="44"/>
        <v>0.031467</v>
      </c>
      <c r="J94" s="21">
        <f t="shared" si="44"/>
        <v>0.031467</v>
      </c>
      <c r="K94" s="21">
        <f t="shared" si="44"/>
        <v>0.031467</v>
      </c>
      <c r="L94" s="21">
        <f t="shared" si="44"/>
        <v>0.031467</v>
      </c>
      <c r="M94" s="21">
        <f t="shared" si="44"/>
        <v>0.031467</v>
      </c>
      <c r="N94" s="21">
        <f t="shared" si="44"/>
        <v>0.031467</v>
      </c>
      <c r="O94" s="21">
        <f t="shared" si="44"/>
        <v>0.031467</v>
      </c>
      <c r="P94" s="21">
        <f t="shared" si="44"/>
        <v>0.031467</v>
      </c>
    </row>
    <row customHeight="1" ht="15">
      <c r="A95" s="4" t="s">
        <v>104</v>
      </c>
      <c r="B95" s="0">
        <v>0</v>
      </c>
      <c r="C95" s="0">
        <v>1.261631</v>
      </c>
      <c r="F95" s="19"/>
      <c r="G95" s="21">
        <f t="shared" si="69"/>
        <v>1.261631</v>
      </c>
      <c r="H95" s="21">
        <f t="shared" si="44"/>
        <v>1.261631</v>
      </c>
      <c r="I95" s="21">
        <f t="shared" si="44"/>
        <v>1.261631</v>
      </c>
      <c r="J95" s="21">
        <f t="shared" si="44"/>
        <v>1.261631</v>
      </c>
      <c r="K95" s="21">
        <f t="shared" si="44"/>
        <v>1.261631</v>
      </c>
      <c r="L95" s="21">
        <f t="shared" si="44"/>
        <v>1.261631</v>
      </c>
      <c r="M95" s="21">
        <f t="shared" si="44"/>
        <v>1.261631</v>
      </c>
      <c r="N95" s="21">
        <f t="shared" si="44"/>
        <v>1.261631</v>
      </c>
      <c r="O95" s="21">
        <f t="shared" si="44"/>
        <v>1.261631</v>
      </c>
      <c r="P95" s="21">
        <f t="shared" si="44"/>
        <v>1.261631</v>
      </c>
    </row>
    <row customHeight="1" ht="15">
      <c r="A96" s="4" t="s">
        <v>105</v>
      </c>
      <c r="B96" s="0">
        <v>10</v>
      </c>
      <c r="C96" s="0">
        <v>7.499998</v>
      </c>
      <c r="F96" s="19"/>
      <c r="G96" s="21">
        <f t="shared" si="69"/>
        <v>7.499998</v>
      </c>
      <c r="H96" s="21">
        <f t="shared" si="44"/>
        <v>7.499998</v>
      </c>
      <c r="I96" s="21">
        <f t="shared" si="44"/>
        <v>7.499998</v>
      </c>
      <c r="J96" s="21">
        <f t="shared" si="44"/>
        <v>7.499998</v>
      </c>
      <c r="K96" s="21">
        <f t="shared" si="44"/>
        <v>7.499998</v>
      </c>
      <c r="L96" s="21">
        <f t="shared" si="44"/>
        <v>7.499998</v>
      </c>
      <c r="M96" s="21">
        <f t="shared" si="44"/>
        <v>7.499998</v>
      </c>
      <c r="N96" s="21">
        <f t="shared" si="44"/>
        <v>7.499998</v>
      </c>
      <c r="O96" s="21">
        <f t="shared" si="44"/>
        <v>7.499998</v>
      </c>
      <c r="P96" s="21">
        <f t="shared" si="44"/>
        <v>7.499998</v>
      </c>
    </row>
    <row customHeight="1" ht="15">
      <c r="A97" s="4" t="s">
        <v>106</v>
      </c>
      <c r="B97" s="0">
        <v>0</v>
      </c>
      <c r="C97" s="0">
        <v>0</v>
      </c>
      <c r="F97" s="19"/>
      <c r="G97" s="21">
        <f t="shared" si="69"/>
        <v>0</v>
      </c>
      <c r="H97" s="21">
        <f t="shared" si="44"/>
        <v>0</v>
      </c>
      <c r="I97" s="21">
        <f t="shared" si="44"/>
        <v>0</v>
      </c>
      <c r="J97" s="21">
        <f t="shared" si="44"/>
        <v>0</v>
      </c>
      <c r="K97" s="21">
        <f t="shared" si="44"/>
        <v>0</v>
      </c>
      <c r="L97" s="21">
        <f t="shared" si="44"/>
        <v>0</v>
      </c>
      <c r="M97" s="21">
        <f t="shared" si="44"/>
        <v>0</v>
      </c>
      <c r="N97" s="21">
        <f t="shared" si="44"/>
        <v>0</v>
      </c>
      <c r="O97" s="21">
        <f t="shared" si="44"/>
        <v>0</v>
      </c>
      <c r="P97" s="21">
        <f t="shared" si="44"/>
        <v>0</v>
      </c>
    </row>
    <row customHeight="1" ht="15">
      <c r="A98" s="4" t="s">
        <v>107</v>
      </c>
      <c r="B98" s="0">
        <v>26.32074</v>
      </c>
      <c r="C98" s="0">
        <v>19.049325</v>
      </c>
      <c r="F98" s="19"/>
      <c r="G98" s="21">
        <f t="shared" si="69"/>
        <v>19.049325</v>
      </c>
      <c r="H98" s="21">
        <f t="shared" si="44"/>
        <v>19.049325</v>
      </c>
      <c r="I98" s="21">
        <f t="shared" si="44"/>
        <v>19.049325</v>
      </c>
      <c r="J98" s="21">
        <f t="shared" si="44"/>
        <v>19.049325</v>
      </c>
      <c r="K98" s="21">
        <f t="shared" si="44"/>
        <v>19.049325</v>
      </c>
      <c r="L98" s="21">
        <f t="shared" si="44"/>
        <v>19.049325</v>
      </c>
      <c r="M98" s="21">
        <f t="shared" si="44"/>
        <v>19.049325</v>
      </c>
      <c r="N98" s="21">
        <f t="shared" si="44"/>
        <v>19.049325</v>
      </c>
      <c r="O98" s="21">
        <f t="shared" si="44"/>
        <v>19.049325</v>
      </c>
      <c r="P98" s="21">
        <f t="shared" si="44"/>
        <v>19.049325</v>
      </c>
    </row>
    <row customHeight="1" ht="15">
      <c r="A99" s="4" t="s">
        <v>108</v>
      </c>
      <c r="B99" s="20">
        <f t="shared" si="70" ref="B99:C99">B81+B76</f>
        <v>208.127159</v>
      </c>
      <c r="C99" s="20">
        <f t="shared" si="70"/>
        <v>204.536243</v>
      </c>
      <c r="F99" s="19"/>
      <c r="G99" s="20">
        <f t="shared" si="71" ref="G99:P99">G76+G81</f>
        <v>200.904248</v>
      </c>
      <c r="H99" s="20">
        <f t="shared" si="71"/>
        <v>200.904248</v>
      </c>
      <c r="I99" s="20">
        <f t="shared" si="71"/>
        <v>200.904248</v>
      </c>
      <c r="J99" s="20">
        <f t="shared" si="71"/>
        <v>200.904248</v>
      </c>
      <c r="K99" s="20">
        <f t="shared" si="71"/>
        <v>200.904248</v>
      </c>
      <c r="L99" s="20">
        <f t="shared" si="71"/>
        <v>200.904248</v>
      </c>
      <c r="M99" s="20">
        <f t="shared" si="71"/>
        <v>200.904248</v>
      </c>
      <c r="N99" s="20">
        <f t="shared" si="71"/>
        <v>200.904248</v>
      </c>
      <c r="O99" s="20">
        <f t="shared" si="71"/>
        <v>200.904248</v>
      </c>
      <c r="P99" s="20">
        <f t="shared" si="71"/>
        <v>200.904248</v>
      </c>
    </row>
    <row customHeight="1" ht="15">
      <c r="A100" s="4" t="s">
        <v>109</v>
      </c>
      <c r="B100" s="20">
        <f t="shared" si="36"/>
        <v>437.2522</v>
      </c>
      <c r="C100" s="20">
        <f t="shared" si="36"/>
        <v>454.344684</v>
      </c>
      <c r="D100" s="20">
        <f t="shared" si="72" ref="D100:F100">D79+D81+D80+D73+D76</f>
        <v>527.679777</v>
      </c>
      <c r="E100" s="20">
        <f t="shared" si="72"/>
        <v>540.363135</v>
      </c>
      <c r="F100" s="23">
        <f t="shared" si="72"/>
        <v>595.79021</v>
      </c>
      <c r="G100" s="20">
        <f t="shared" si="36"/>
        <v>664.104859004108</v>
      </c>
      <c r="H100" s="20">
        <f t="shared" si="36"/>
        <v>627.351018896974</v>
      </c>
      <c r="I100" s="20">
        <f t="shared" si="36"/>
        <v>590.859678813355</v>
      </c>
      <c r="J100" s="20">
        <f t="shared" si="36"/>
        <v>554.550639360082</v>
      </c>
      <c r="K100" s="20">
        <f t="shared" si="36"/>
        <v>518.381002269522</v>
      </c>
      <c r="L100" s="20">
        <f t="shared" si="36"/>
        <v>482.34411466818</v>
      </c>
      <c r="M100" s="20">
        <f t="shared" si="36"/>
        <v>450.712689</v>
      </c>
      <c r="N100" s="20">
        <f t="shared" si="36"/>
        <v>450.712689</v>
      </c>
      <c r="O100" s="20">
        <f t="shared" si="36"/>
        <v>450.712689</v>
      </c>
      <c r="P100" s="20">
        <f t="shared" si="36"/>
        <v>450.712689</v>
      </c>
    </row>
    <row customHeight="1" ht="15">
      <c r="A101" s="4" t="s">
        <v>110</v>
      </c>
      <c r="B101" s="25">
        <f t="shared" si="73" ref="B101:P101">IF(B113&lt;=0,"NM",B100/B113)</f>
        <v>6.19266835942942</v>
      </c>
      <c r="C101" s="25">
        <f t="shared" si="73"/>
        <v>3.97376877847464</v>
      </c>
      <c r="D101" s="25">
        <f t="shared" si="73"/>
        <v>6.63667062915948</v>
      </c>
      <c r="E101" s="25">
        <f t="shared" si="73"/>
        <v>3.89788190776105</v>
      </c>
      <c r="F101" s="26">
        <f t="shared" si="73"/>
        <v>3.75292534408696</v>
      </c>
      <c r="G101" s="25">
        <f t="shared" si="73"/>
        <v>4.72977861958729</v>
      </c>
      <c r="H101" s="25">
        <f t="shared" si="73"/>
        <v>4.46624118552314</v>
      </c>
      <c r="I101" s="25">
        <f t="shared" si="73"/>
        <v>4.18608381638805</v>
      </c>
      <c r="J101" s="25">
        <f t="shared" si="73"/>
        <v>3.89377361107915</v>
      </c>
      <c r="K101" s="25">
        <f t="shared" si="73"/>
        <v>3.59365130087176</v>
      </c>
      <c r="L101" s="25">
        <f t="shared" si="73"/>
        <v>3.2898618985453</v>
      </c>
      <c r="M101" s="25">
        <f t="shared" si="73"/>
        <v>3.01469351154333</v>
      </c>
      <c r="N101" s="25">
        <f t="shared" si="73"/>
        <v>2.94750788076108</v>
      </c>
      <c r="O101" s="25">
        <f t="shared" si="73"/>
        <v>2.87372179020321</v>
      </c>
      <c r="P101" s="25">
        <f t="shared" si="73"/>
        <v>2.79441430019638</v>
      </c>
    </row>
    <row customHeight="1" ht="15">
      <c r="A102" s="4" t="s">
        <v>111</v>
      </c>
      <c r="B102" s="25">
        <f t="shared" si="74" ref="B102:P102">IF(B115&lt;=0,"NM",B100/B115)</f>
        <v>6.19266835942942</v>
      </c>
      <c r="C102" s="25">
        <f t="shared" si="74"/>
        <v>3.97376877847464</v>
      </c>
      <c r="D102" s="25">
        <f t="shared" si="74"/>
        <v>6.63667062915948</v>
      </c>
      <c r="E102" s="25">
        <f t="shared" si="74"/>
        <v>3.89788190776105</v>
      </c>
      <c r="F102" s="26">
        <f t="shared" si="74"/>
        <v>3.74606450060729</v>
      </c>
      <c r="G102" s="25">
        <f t="shared" si="74"/>
        <v>4.72977861958729</v>
      </c>
      <c r="H102" s="25">
        <f t="shared" si="74"/>
        <v>4.46624118552314</v>
      </c>
      <c r="I102" s="25">
        <f t="shared" si="74"/>
        <v>4.18608381638805</v>
      </c>
      <c r="J102" s="25">
        <f t="shared" si="74"/>
        <v>3.89377361107915</v>
      </c>
      <c r="K102" s="25">
        <f t="shared" si="74"/>
        <v>3.59365130087176</v>
      </c>
      <c r="L102" s="25">
        <f t="shared" si="74"/>
        <v>3.2898618985453</v>
      </c>
      <c r="M102" s="25">
        <f t="shared" si="74"/>
        <v>3.01469351154333</v>
      </c>
      <c r="N102" s="25">
        <f t="shared" si="74"/>
        <v>2.94750788076108</v>
      </c>
      <c r="O102" s="25">
        <f t="shared" si="74"/>
        <v>2.87372179020321</v>
      </c>
      <c r="P102" s="25">
        <f t="shared" si="74"/>
        <v>2.79441430019638</v>
      </c>
    </row>
    <row customHeight="1" ht="15">
      <c r="A103" s="4" t="s">
        <v>112</v>
      </c>
      <c r="B103" s="20">
        <f t="shared" si="75" ref="B103:F103">B100-B66</f>
        <v>412.323143</v>
      </c>
      <c r="C103" s="20">
        <f t="shared" si="75"/>
        <v>421.036057</v>
      </c>
      <c r="D103" s="20">
        <f t="shared" si="75"/>
        <v>483.621858</v>
      </c>
      <c r="E103" s="20">
        <f t="shared" si="75"/>
        <v>515.393448</v>
      </c>
      <c r="F103" s="23">
        <f t="shared" si="75"/>
        <v>560.421012</v>
      </c>
      <c r="G103" s="20">
        <f t="shared" si="76" ref="G103:P103">G100-G55</f>
        <v>664.104859004108</v>
      </c>
      <c r="H103" s="20">
        <f t="shared" si="76"/>
        <v>627.351018896974</v>
      </c>
      <c r="I103" s="20">
        <f t="shared" si="76"/>
        <v>590.859678813355</v>
      </c>
      <c r="J103" s="20">
        <f t="shared" si="76"/>
        <v>554.550639360082</v>
      </c>
      <c r="K103" s="20">
        <f t="shared" si="76"/>
        <v>518.381002269522</v>
      </c>
      <c r="L103" s="20">
        <f t="shared" si="76"/>
        <v>482.34411466818</v>
      </c>
      <c r="M103" s="20">
        <f t="shared" si="76"/>
        <v>446.630168050543</v>
      </c>
      <c r="N103" s="20">
        <f t="shared" si="76"/>
        <v>412.656754183118</v>
      </c>
      <c r="O103" s="20">
        <f t="shared" si="76"/>
        <v>381.705028958493</v>
      </c>
      <c r="P103" s="20">
        <f t="shared" si="76"/>
        <v>353.885568863659</v>
      </c>
    </row>
    <row customHeight="1" ht="15">
      <c r="A104" s="15" t="s">
        <v>113</v>
      </c>
      <c r="B104" s="27">
        <f t="shared" si="77" ref="B104:P104">IF(B113&lt;=0,"NM",B103/B113)</f>
        <v>5.83960579618945</v>
      </c>
      <c r="C104" s="27">
        <f t="shared" si="77"/>
        <v>3.68244638231239</v>
      </c>
      <c r="D104" s="27">
        <f t="shared" si="77"/>
        <v>6.08255066899814</v>
      </c>
      <c r="E104" s="27">
        <f t="shared" si="77"/>
        <v>3.71776434441218</v>
      </c>
      <c r="F104" s="28">
        <f t="shared" si="77"/>
        <v>3.53013222438425</v>
      </c>
      <c r="G104" s="27">
        <f t="shared" si="77"/>
        <v>4.72977861958729</v>
      </c>
      <c r="H104" s="27">
        <f t="shared" si="77"/>
        <v>4.46624118552314</v>
      </c>
      <c r="I104" s="27">
        <f t="shared" si="77"/>
        <v>4.18608381638805</v>
      </c>
      <c r="J104" s="27">
        <f t="shared" si="77"/>
        <v>3.89377361107915</v>
      </c>
      <c r="K104" s="27">
        <f t="shared" si="77"/>
        <v>3.59365130087176</v>
      </c>
      <c r="L104" s="27">
        <f t="shared" si="77"/>
        <v>3.2898618985453</v>
      </c>
      <c r="M104" s="27">
        <f t="shared" si="77"/>
        <v>2.9873866490621</v>
      </c>
      <c r="N104" s="27">
        <f t="shared" si="77"/>
        <v>2.69863499450762</v>
      </c>
      <c r="O104" s="27">
        <f t="shared" si="77"/>
        <v>2.43373236635938</v>
      </c>
      <c r="P104" s="27">
        <f t="shared" si="77"/>
        <v>2.19408709450765</v>
      </c>
    </row>
    <row customHeight="1" ht="15">
      <c r="A105" s="4" t="s">
        <v>114</v>
      </c>
      <c r="B105" s="25">
        <f t="shared" si="78" ref="B105:P105">IF(B115&lt;=0,"NM",B103/B115)</f>
        <v>5.83960579618945</v>
      </c>
      <c r="C105" s="25">
        <f t="shared" si="78"/>
        <v>3.68244638231239</v>
      </c>
      <c r="D105" s="25">
        <f t="shared" si="78"/>
        <v>6.08255066899814</v>
      </c>
      <c r="E105" s="25">
        <f t="shared" si="78"/>
        <v>3.71776434441218</v>
      </c>
      <c r="F105" s="26">
        <f t="shared" si="78"/>
        <v>3.5236786761696</v>
      </c>
      <c r="G105" s="25">
        <f t="shared" si="78"/>
        <v>4.72977861958729</v>
      </c>
      <c r="H105" s="25">
        <f t="shared" si="78"/>
        <v>4.46624118552314</v>
      </c>
      <c r="I105" s="25">
        <f t="shared" si="78"/>
        <v>4.18608381638805</v>
      </c>
      <c r="J105" s="25">
        <f t="shared" si="78"/>
        <v>3.89377361107915</v>
      </c>
      <c r="K105" s="25">
        <f t="shared" si="78"/>
        <v>3.59365130087176</v>
      </c>
      <c r="L105" s="25">
        <f t="shared" si="78"/>
        <v>3.2898618985453</v>
      </c>
      <c r="M105" s="25">
        <f t="shared" si="78"/>
        <v>2.9873866490621</v>
      </c>
      <c r="N105" s="25">
        <f t="shared" si="78"/>
        <v>2.69863499450762</v>
      </c>
      <c r="O105" s="25">
        <f t="shared" si="78"/>
        <v>2.43373236635938</v>
      </c>
      <c r="P105" s="25">
        <f t="shared" si="78"/>
        <v>2.19408709450765</v>
      </c>
    </row>
    <row customHeight="1" ht="1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</row>
    <row customHeight="1" ht="15">
      <c r="A107" s="2" t="s">
        <v>115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</row>
    <row customHeight="1" ht="15">
      <c r="A108" s="4" t="s">
        <v>109</v>
      </c>
      <c r="B108" s="20">
        <f t="shared" si="79" ref="B108:P108">B100</f>
        <v>437.2522</v>
      </c>
      <c r="C108" s="20">
        <f t="shared" si="79"/>
        <v>454.344684</v>
      </c>
      <c r="D108" s="20">
        <f t="shared" si="79"/>
        <v>527.679777</v>
      </c>
      <c r="E108" s="20">
        <f t="shared" si="79"/>
        <v>540.363135</v>
      </c>
      <c r="F108" s="23">
        <f t="shared" si="79"/>
        <v>595.79021</v>
      </c>
      <c r="G108" s="20">
        <f t="shared" si="79"/>
        <v>664.104859004108</v>
      </c>
      <c r="H108" s="20">
        <f t="shared" si="79"/>
        <v>627.351018896974</v>
      </c>
      <c r="I108" s="20">
        <f t="shared" si="79"/>
        <v>590.859678813355</v>
      </c>
      <c r="J108" s="20">
        <f t="shared" si="79"/>
        <v>554.550639360082</v>
      </c>
      <c r="K108" s="20">
        <f t="shared" si="79"/>
        <v>518.381002269522</v>
      </c>
      <c r="L108" s="20">
        <f t="shared" si="79"/>
        <v>482.34411466818</v>
      </c>
      <c r="M108" s="20">
        <f t="shared" si="79"/>
        <v>450.712689</v>
      </c>
      <c r="N108" s="20">
        <f t="shared" si="79"/>
        <v>450.712689</v>
      </c>
      <c r="O108" s="20">
        <f t="shared" si="79"/>
        <v>450.712689</v>
      </c>
      <c r="P108" s="20">
        <f t="shared" si="79"/>
        <v>450.712689</v>
      </c>
    </row>
    <row customHeight="1" ht="15">
      <c r="A109" s="4" t="s">
        <v>116</v>
      </c>
      <c r="C109" s="29">
        <f t="shared" si="80" ref="C109:E109">IF((B100+C100)=0,"NM",-C138/((B100+C100)/2))</f>
        <v>0.0157813045923566</v>
      </c>
      <c r="D109" s="29">
        <f t="shared" si="80"/>
        <v>0.0325979008378285</v>
      </c>
      <c r="E109" s="29">
        <f t="shared" si="80"/>
        <v>0.0842953864385554</v>
      </c>
      <c r="F109" s="30">
        <v>0.0880048135</v>
      </c>
      <c r="G109" s="31">
        <f>MAX(E109,0)</f>
        <v>0.0842953864385554</v>
      </c>
      <c r="H109" s="31">
        <f t="shared" si="81" ref="H109:P109">MAX(G109,0)</f>
        <v>0.0842953864385554</v>
      </c>
      <c r="I109" s="31">
        <f t="shared" si="81"/>
        <v>0.0842953864385554</v>
      </c>
      <c r="J109" s="31">
        <f t="shared" si="81"/>
        <v>0.0842953864385554</v>
      </c>
      <c r="K109" s="31">
        <f t="shared" si="81"/>
        <v>0.0842953864385554</v>
      </c>
      <c r="L109" s="31">
        <f t="shared" si="81"/>
        <v>0.0842953864385554</v>
      </c>
      <c r="M109" s="31">
        <f t="shared" si="81"/>
        <v>0.0842953864385554</v>
      </c>
      <c r="N109" s="31">
        <f t="shared" si="81"/>
        <v>0.0842953864385554</v>
      </c>
      <c r="O109" s="31">
        <f t="shared" si="81"/>
        <v>0.0842953864385554</v>
      </c>
      <c r="P109" s="31">
        <f t="shared" si="81"/>
        <v>0.0842953864385554</v>
      </c>
    </row>
    <row customHeight="1" ht="15">
      <c r="A110" s="4" t="s">
        <v>117</v>
      </c>
      <c r="F110" s="19"/>
      <c r="G110" s="20">
        <f>(G108+E108)/2*G109</f>
        <v>50.765547503724</v>
      </c>
      <c r="H110" s="20">
        <f t="shared" si="82" ref="H110:P110">(H108+G108)/2*H109</f>
        <v>54.4318861480078</v>
      </c>
      <c r="I110" s="20">
        <f t="shared" si="82"/>
        <v>51.3447707635372</v>
      </c>
      <c r="J110" s="20">
        <f t="shared" si="82"/>
        <v>48.2764027005693</v>
      </c>
      <c r="K110" s="20">
        <f t="shared" si="82"/>
        <v>45.2215936766606</v>
      </c>
      <c r="L110" s="20">
        <f t="shared" si="82"/>
        <v>42.1782552255161</v>
      </c>
      <c r="M110" s="20">
        <f t="shared" si="82"/>
        <v>39.3261919171663</v>
      </c>
      <c r="N110" s="20">
        <f t="shared" si="82"/>
        <v>37.9930002920154</v>
      </c>
      <c r="O110" s="20">
        <f t="shared" si="82"/>
        <v>37.9930002920154</v>
      </c>
      <c r="P110" s="20">
        <f t="shared" si="82"/>
        <v>37.9930002920154</v>
      </c>
    </row>
    <row customHeight="1" ht="1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</row>
    <row customHeight="1" ht="15">
      <c r="A112" s="2" t="s">
        <v>118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</row>
    <row customHeight="1" ht="15">
      <c r="A113" s="4" t="s">
        <v>119</v>
      </c>
      <c r="B113" s="20">
        <f t="shared" si="83" ref="B113:F113">B21+B124+B125</f>
        <v>70.608044</v>
      </c>
      <c r="C113" s="20">
        <f t="shared" si="83"/>
        <v>114.335964</v>
      </c>
      <c r="D113" s="20">
        <f t="shared" si="83"/>
        <v>79.509713</v>
      </c>
      <c r="E113" s="20">
        <f t="shared" si="83"/>
        <v>138.62994</v>
      </c>
      <c r="F113" s="23">
        <f t="shared" si="83"/>
        <v>158.753547</v>
      </c>
      <c r="G113" s="20">
        <f t="shared" si="84" ref="G113:P113">G30+SUM(G124:G125)</f>
        <v>140.409290247512</v>
      </c>
      <c r="H113" s="20">
        <f t="shared" si="84"/>
        <v>140.465100928823</v>
      </c>
      <c r="I113" s="20">
        <f t="shared" si="84"/>
        <v>141.148554288427</v>
      </c>
      <c r="J113" s="20">
        <f t="shared" si="84"/>
        <v>142.419846336775</v>
      </c>
      <c r="K113" s="20">
        <f t="shared" si="84"/>
        <v>144.249110130349</v>
      </c>
      <c r="L113" s="20">
        <f t="shared" si="84"/>
        <v>146.615307737222</v>
      </c>
      <c r="M113" s="20">
        <f t="shared" si="84"/>
        <v>149.505310332281</v>
      </c>
      <c r="N113" s="20">
        <f t="shared" si="84"/>
        <v>152.913141281787</v>
      </c>
      <c r="O113" s="20">
        <f t="shared" si="84"/>
        <v>156.839360907003</v>
      </c>
      <c r="P113" s="20">
        <f t="shared" si="84"/>
        <v>161.290574904489</v>
      </c>
    </row>
    <row customHeight="1" ht="15">
      <c r="A114" s="4" t="s">
        <v>120</v>
      </c>
      <c r="B114" s="20">
        <f t="shared" si="85" ref="B114:F114">B115-B113</f>
        <v>0</v>
      </c>
      <c r="C114" s="20">
        <f t="shared" si="85"/>
        <v>0</v>
      </c>
      <c r="D114" s="20">
        <f t="shared" si="85"/>
        <v>0</v>
      </c>
      <c r="E114" s="20">
        <f t="shared" si="85"/>
        <v>0</v>
      </c>
      <c r="F114" s="23">
        <f t="shared" si="85"/>
        <v>0.290753999999993</v>
      </c>
      <c r="G114" s="24">
        <v>0</v>
      </c>
      <c r="H114" s="24">
        <v>0</v>
      </c>
      <c r="I114" s="24">
        <v>0</v>
      </c>
      <c r="J114" s="24">
        <v>0</v>
      </c>
      <c r="K114" s="24">
        <v>0</v>
      </c>
      <c r="L114" s="24">
        <v>0</v>
      </c>
      <c r="M114" s="24">
        <v>0</v>
      </c>
      <c r="N114" s="24">
        <v>0</v>
      </c>
      <c r="O114" s="24">
        <v>0</v>
      </c>
      <c r="P114" s="24">
        <v>0</v>
      </c>
    </row>
    <row customHeight="1" ht="15">
      <c r="A115" s="15" t="s">
        <v>121</v>
      </c>
      <c r="B115" s="16">
        <v>70.608044</v>
      </c>
      <c r="C115" s="16">
        <v>114.335964</v>
      </c>
      <c r="D115" s="16">
        <v>79.509713</v>
      </c>
      <c r="E115" s="16">
        <v>138.62994</v>
      </c>
      <c r="F115" s="17">
        <v>159.044301</v>
      </c>
      <c r="G115" s="18">
        <f t="shared" si="86" ref="G115:P115">G113+G114</f>
        <v>140.409290247512</v>
      </c>
      <c r="H115" s="18">
        <f t="shared" si="86"/>
        <v>140.465100928823</v>
      </c>
      <c r="I115" s="18">
        <f t="shared" si="86"/>
        <v>141.148554288427</v>
      </c>
      <c r="J115" s="18">
        <f t="shared" si="86"/>
        <v>142.419846336775</v>
      </c>
      <c r="K115" s="18">
        <f t="shared" si="86"/>
        <v>144.249110130349</v>
      </c>
      <c r="L115" s="18">
        <f t="shared" si="86"/>
        <v>146.615307737222</v>
      </c>
      <c r="M115" s="18">
        <f t="shared" si="86"/>
        <v>149.505310332281</v>
      </c>
      <c r="N115" s="18">
        <f t="shared" si="86"/>
        <v>152.913141281787</v>
      </c>
      <c r="O115" s="18">
        <f t="shared" si="86"/>
        <v>156.839360907003</v>
      </c>
      <c r="P115" s="18">
        <f t="shared" si="86"/>
        <v>161.290574904489</v>
      </c>
    </row>
    <row customHeight="1" ht="15">
      <c r="A116" s="4" t="s">
        <v>122</v>
      </c>
      <c r="B116" s="5">
        <f t="shared" si="87" ref="B116:P116">IF(B114=0,0,IF(B113&lt;=0,"NM",B114/B113))</f>
        <v>0</v>
      </c>
      <c r="C116" s="5">
        <f t="shared" si="87"/>
        <v>0</v>
      </c>
      <c r="D116" s="5">
        <f t="shared" si="87"/>
        <v>0</v>
      </c>
      <c r="E116" s="5">
        <f t="shared" si="87"/>
        <v>0</v>
      </c>
      <c r="F116" s="8">
        <f t="shared" si="87"/>
        <v>0.00183148033851485</v>
      </c>
      <c r="G116" s="5">
        <f t="shared" si="87"/>
        <v>0</v>
      </c>
      <c r="H116" s="5">
        <f t="shared" si="87"/>
        <v>0</v>
      </c>
      <c r="I116" s="5">
        <f t="shared" si="87"/>
        <v>0</v>
      </c>
      <c r="J116" s="5">
        <f t="shared" si="87"/>
        <v>0</v>
      </c>
      <c r="K116" s="5">
        <f t="shared" si="87"/>
        <v>0</v>
      </c>
      <c r="L116" s="5">
        <f t="shared" si="87"/>
        <v>0</v>
      </c>
      <c r="M116" s="5">
        <f t="shared" si="87"/>
        <v>0</v>
      </c>
      <c r="N116" s="5">
        <f t="shared" si="87"/>
        <v>0</v>
      </c>
      <c r="O116" s="5">
        <f t="shared" si="87"/>
        <v>0</v>
      </c>
      <c r="P116" s="5">
        <f t="shared" si="87"/>
        <v>0</v>
      </c>
    </row>
    <row customHeight="1" ht="1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</row>
    <row customHeight="1" ht="15">
      <c r="A118" s="2" t="s">
        <v>123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customHeight="1" ht="15">
      <c r="A119" s="4" t="s">
        <v>124</v>
      </c>
      <c r="B119" s="5">
        <f t="shared" si="88" ref="B119:P119">IF(B17&lt;0.05,"NM",B113/B17)</f>
        <v>0.229165972985754</v>
      </c>
      <c r="C119" s="5">
        <f t="shared" si="88"/>
        <v>0.320990738270536</v>
      </c>
      <c r="D119" s="5">
        <f t="shared" si="88"/>
        <v>0.223345854210974</v>
      </c>
      <c r="E119" s="5">
        <f t="shared" si="88"/>
        <v>0.339239830139512</v>
      </c>
      <c r="F119" s="8">
        <f t="shared" si="88"/>
        <v>0.356211807276436</v>
      </c>
      <c r="G119" s="5">
        <f t="shared" si="88"/>
        <v>0.343594058928218</v>
      </c>
      <c r="H119" s="5">
        <f t="shared" si="88"/>
        <v>0.34373063264417</v>
      </c>
      <c r="I119" s="5">
        <f t="shared" si="88"/>
        <v>0.345403103984923</v>
      </c>
      <c r="J119" s="5">
        <f t="shared" si="88"/>
        <v>0.3485140690372</v>
      </c>
      <c r="K119" s="5">
        <f t="shared" si="88"/>
        <v>0.352990440725829</v>
      </c>
      <c r="L119" s="5">
        <f t="shared" si="88"/>
        <v>0.358780737354625</v>
      </c>
      <c r="M119" s="5">
        <f t="shared" si="88"/>
        <v>0.365852831517333</v>
      </c>
      <c r="N119" s="5">
        <f t="shared" si="88"/>
        <v>0.374192097858028</v>
      </c>
      <c r="O119" s="5">
        <f t="shared" si="88"/>
        <v>0.383799907532826</v>
      </c>
      <c r="P119" s="5">
        <f t="shared" si="88"/>
        <v>0.394692425270494</v>
      </c>
    </row>
    <row customHeight="1" ht="15">
      <c r="A120" s="4" t="s">
        <v>125</v>
      </c>
      <c r="B120" s="5">
        <f t="shared" si="89" ref="B120:P120">IF(B17&lt;0.05,"NM",B115/B17)</f>
        <v>0.229165972985754</v>
      </c>
      <c r="C120" s="5">
        <f t="shared" si="89"/>
        <v>0.320990738270536</v>
      </c>
      <c r="D120" s="5">
        <f t="shared" si="89"/>
        <v>0.223345854210974</v>
      </c>
      <c r="E120" s="5">
        <f t="shared" si="89"/>
        <v>0.339239830139512</v>
      </c>
      <c r="F120" s="8">
        <f t="shared" si="89"/>
        <v>0.35686420219781</v>
      </c>
      <c r="G120" s="5">
        <f t="shared" si="89"/>
        <v>0.343594058928218</v>
      </c>
      <c r="H120" s="5">
        <f t="shared" si="89"/>
        <v>0.34373063264417</v>
      </c>
      <c r="I120" s="5">
        <f t="shared" si="89"/>
        <v>0.345403103984923</v>
      </c>
      <c r="J120" s="5">
        <f t="shared" si="89"/>
        <v>0.3485140690372</v>
      </c>
      <c r="K120" s="5">
        <f t="shared" si="89"/>
        <v>0.352990440725829</v>
      </c>
      <c r="L120" s="5">
        <f t="shared" si="89"/>
        <v>0.358780737354625</v>
      </c>
      <c r="M120" s="5">
        <f t="shared" si="89"/>
        <v>0.365852831517333</v>
      </c>
      <c r="N120" s="5">
        <f t="shared" si="89"/>
        <v>0.374192097858028</v>
      </c>
      <c r="O120" s="5">
        <f t="shared" si="89"/>
        <v>0.383799907532826</v>
      </c>
      <c r="P120" s="5">
        <f t="shared" si="89"/>
        <v>0.394692425270494</v>
      </c>
    </row>
    <row customHeight="1" ht="15">
      <c r="A121" s="4" t="s">
        <v>126</v>
      </c>
      <c r="B121" s="5">
        <f t="shared" si="90" ref="B121:P121">IF(B17&lt;0.05,"NM",B21/B17)</f>
        <v>0.0516295899810522</v>
      </c>
      <c r="C121" s="5">
        <f t="shared" si="90"/>
        <v>0.143264795592191</v>
      </c>
      <c r="D121" s="5">
        <f t="shared" si="90"/>
        <v>0.0288918385916748</v>
      </c>
      <c r="E121" s="5">
        <f t="shared" si="90"/>
        <v>0.167632974068989</v>
      </c>
      <c r="F121" s="8">
        <f t="shared" si="90"/>
        <v>0.188157737277913</v>
      </c>
      <c r="G121" s="5">
        <f t="shared" si="90"/>
        <v>0.167632974068989</v>
      </c>
      <c r="H121" s="5">
        <f t="shared" si="90"/>
        <v>0.167632974068989</v>
      </c>
      <c r="I121" s="5">
        <f t="shared" si="90"/>
        <v>0.167632974068989</v>
      </c>
      <c r="J121" s="5">
        <f t="shared" si="90"/>
        <v>0.167632974068989</v>
      </c>
      <c r="K121" s="5">
        <f t="shared" si="90"/>
        <v>0.167632974068989</v>
      </c>
      <c r="L121" s="5">
        <f t="shared" si="90"/>
        <v>0.167632974068989</v>
      </c>
      <c r="M121" s="5">
        <f t="shared" si="90"/>
        <v>0.167632974068989</v>
      </c>
      <c r="N121" s="5">
        <f t="shared" si="90"/>
        <v>0.167632974068989</v>
      </c>
      <c r="O121" s="5">
        <f t="shared" si="90"/>
        <v>0.167632974068989</v>
      </c>
      <c r="P121" s="5">
        <f t="shared" si="90"/>
        <v>0.167632974068989</v>
      </c>
    </row>
    <row customHeight="1" ht="15">
      <c r="A122" s="4" t="s">
        <v>127</v>
      </c>
      <c r="B122" s="5">
        <f t="shared" si="91" ref="B122:P122">IF(B17&lt;0.05,"NM",B24/B17)</f>
        <v>-0.198934849502705</v>
      </c>
      <c r="C122" s="5">
        <f t="shared" si="91"/>
        <v>-0.292066874068516</v>
      </c>
      <c r="D122" s="5">
        <f t="shared" si="91"/>
        <v>-0.272578845935811</v>
      </c>
      <c r="E122" s="5">
        <f t="shared" si="91"/>
        <v>0.0890436665743853</v>
      </c>
      <c r="F122" s="8">
        <f t="shared" si="91"/>
        <v>0.099538797129693</v>
      </c>
      <c r="G122" s="5">
        <f t="shared" si="91"/>
        <v>0.13169859102446</v>
      </c>
      <c r="H122" s="5">
        <f t="shared" si="91"/>
        <v>0.122726733293578</v>
      </c>
      <c r="I122" s="5">
        <f t="shared" si="91"/>
        <v>0.130281180036099</v>
      </c>
      <c r="J122" s="5">
        <f t="shared" si="91"/>
        <v>0.137789750410484</v>
      </c>
      <c r="K122" s="5">
        <f t="shared" si="91"/>
        <v>0.14526514060671</v>
      </c>
      <c r="L122" s="5">
        <f t="shared" si="91"/>
        <v>0.152712461288111</v>
      </c>
      <c r="M122" s="5">
        <f t="shared" si="91"/>
        <v>0.159691714631737</v>
      </c>
      <c r="N122" s="5">
        <f t="shared" si="91"/>
        <v>0.162954153470415</v>
      </c>
      <c r="O122" s="5">
        <f t="shared" si="91"/>
        <v>0.162954153470415</v>
      </c>
      <c r="P122" s="5">
        <f t="shared" si="91"/>
        <v>0.162954153470415</v>
      </c>
    </row>
    <row customHeight="1" ht="15">
      <c r="A123" s="4" t="s">
        <v>128</v>
      </c>
      <c r="B123" s="5">
        <f t="shared" si="92" ref="B123:P123">IF(B17&lt;0.05,"NM",B27/B17)</f>
        <v>-0.200536813037913</v>
      </c>
      <c r="C123" s="5">
        <f t="shared" si="92"/>
        <v>-0.324219282414614</v>
      </c>
      <c r="D123" s="5">
        <f t="shared" si="92"/>
        <v>-0.291384443727291</v>
      </c>
      <c r="E123" s="5">
        <f t="shared" si="92"/>
        <v>0.074446730504307</v>
      </c>
      <c r="F123" s="8">
        <f t="shared" si="92"/>
        <v>0.0772477555012117</v>
      </c>
      <c r="G123" s="5">
        <f t="shared" si="92"/>
        <v>0.118632840885298</v>
      </c>
      <c r="H123" s="5">
        <f t="shared" si="92"/>
        <v>0.110558168927504</v>
      </c>
      <c r="I123" s="5">
        <f t="shared" si="92"/>
        <v>0.117357170995773</v>
      </c>
      <c r="J123" s="5">
        <f t="shared" si="92"/>
        <v>0.124114884332719</v>
      </c>
      <c r="K123" s="5">
        <f t="shared" si="92"/>
        <v>0.130842735509323</v>
      </c>
      <c r="L123" s="5">
        <f t="shared" si="92"/>
        <v>0.137545324122583</v>
      </c>
      <c r="M123" s="5">
        <f t="shared" si="92"/>
        <v>0.143826652131847</v>
      </c>
      <c r="N123" s="5">
        <f t="shared" si="92"/>
        <v>0.146762847086657</v>
      </c>
      <c r="O123" s="5">
        <f t="shared" si="92"/>
        <v>0.146762847086657</v>
      </c>
      <c r="P123" s="5">
        <f t="shared" si="92"/>
        <v>0.146762847086657</v>
      </c>
    </row>
    <row customHeight="1" ht="15">
      <c r="A124" s="4" t="s">
        <v>129</v>
      </c>
      <c r="B124" s="20">
        <f t="shared" si="93" ref="B124:E124">B31+B32</f>
        <v>54.700515</v>
      </c>
      <c r="C124" s="20">
        <f t="shared" si="93"/>
        <v>63.305462</v>
      </c>
      <c r="D124" s="20">
        <f t="shared" si="93"/>
        <v>69.224401</v>
      </c>
      <c r="E124" s="20">
        <f t="shared" si="93"/>
        <v>70.126931</v>
      </c>
      <c r="F124" s="19">
        <v>75.187709</v>
      </c>
      <c r="G124" s="20">
        <f t="shared" si="94" ref="G124:P124">SUM(G31:G32)</f>
        <v>71.9062812475122</v>
      </c>
      <c r="H124" s="20">
        <f t="shared" si="94"/>
        <v>71.9620919288229</v>
      </c>
      <c r="I124" s="20">
        <f t="shared" si="94"/>
        <v>72.645545288427</v>
      </c>
      <c r="J124" s="20">
        <f t="shared" si="94"/>
        <v>73.9168373367746</v>
      </c>
      <c r="K124" s="20">
        <f t="shared" si="94"/>
        <v>75.7461011303487</v>
      </c>
      <c r="L124" s="20">
        <f t="shared" si="94"/>
        <v>78.1122987372221</v>
      </c>
      <c r="M124" s="20">
        <f t="shared" si="94"/>
        <v>81.0023013322809</v>
      </c>
      <c r="N124" s="20">
        <f t="shared" si="94"/>
        <v>84.4101322817874</v>
      </c>
      <c r="O124" s="20">
        <f t="shared" si="94"/>
        <v>88.3363519070029</v>
      </c>
      <c r="P124" s="20">
        <f t="shared" si="94"/>
        <v>92.7875659044887</v>
      </c>
    </row>
    <row customHeight="1" ht="15">
      <c r="A125" s="4" t="s">
        <v>130</v>
      </c>
      <c r="B125" s="0">
        <v>0</v>
      </c>
      <c r="C125" s="0">
        <v>0</v>
      </c>
      <c r="D125" s="0">
        <v>0</v>
      </c>
      <c r="E125" s="0">
        <v>0</v>
      </c>
      <c r="F125" s="19">
        <v>-0.290754</v>
      </c>
    </row>
    <row customHeight="1" ht="15">
      <c r="A126" s="4" t="s">
        <v>131</v>
      </c>
      <c r="B126" s="20">
        <f t="shared" si="95" ref="B126:F126">SUM(B41:B42)</f>
        <v>-99.419831</v>
      </c>
      <c r="C126" s="20">
        <f t="shared" si="95"/>
        <v>-98.738157</v>
      </c>
      <c r="D126" s="20">
        <f t="shared" si="95"/>
        <v>-49.725539</v>
      </c>
      <c r="E126" s="20">
        <f t="shared" si="95"/>
        <v>-55.827939</v>
      </c>
      <c r="F126" s="23">
        <f t="shared" si="95"/>
        <v>-68.02989</v>
      </c>
      <c r="G126" s="20">
        <f t="shared" si="96" ref="G126:P126">G41+G42</f>
        <v>-59.2177267825396</v>
      </c>
      <c r="H126" s="20">
        <f t="shared" si="96"/>
        <v>-62.2100046677091</v>
      </c>
      <c r="I126" s="20">
        <f t="shared" si="96"/>
        <v>-65.7048592850926</v>
      </c>
      <c r="J126" s="20">
        <f t="shared" si="96"/>
        <v>-69.705035258781</v>
      </c>
      <c r="K126" s="20">
        <f t="shared" si="96"/>
        <v>-74.2190026638978</v>
      </c>
      <c r="L126" s="20">
        <f t="shared" si="96"/>
        <v>-79.2606201829634</v>
      </c>
      <c r="M126" s="20">
        <f t="shared" si="96"/>
        <v>-84.8488872170648</v>
      </c>
      <c r="N126" s="20">
        <f t="shared" si="96"/>
        <v>-91.0077752616146</v>
      </c>
      <c r="O126" s="20">
        <f t="shared" si="96"/>
        <v>-97.7661305258332</v>
      </c>
      <c r="P126" s="20">
        <f t="shared" si="96"/>
        <v>-105.157641223046</v>
      </c>
    </row>
    <row customHeight="1" ht="15">
      <c r="A127" s="4" t="s">
        <v>132</v>
      </c>
      <c r="B127" s="0">
        <v>-89.073432</v>
      </c>
      <c r="C127" s="0">
        <v>-98.700425</v>
      </c>
      <c r="D127" s="0">
        <v>-49.664209</v>
      </c>
      <c r="E127" s="0">
        <v>-55.574807</v>
      </c>
      <c r="F127" s="19">
        <v>-67.930462</v>
      </c>
      <c r="G127" s="20">
        <f t="shared" si="97" ref="G127:P127">G41+G42</f>
        <v>-59.2177267825396</v>
      </c>
      <c r="H127" s="20">
        <f t="shared" si="97"/>
        <v>-62.2100046677091</v>
      </c>
      <c r="I127" s="20">
        <f t="shared" si="97"/>
        <v>-65.7048592850926</v>
      </c>
      <c r="J127" s="20">
        <f t="shared" si="97"/>
        <v>-69.705035258781</v>
      </c>
      <c r="K127" s="20">
        <f t="shared" si="97"/>
        <v>-74.2190026638978</v>
      </c>
      <c r="L127" s="20">
        <f t="shared" si="97"/>
        <v>-79.2606201829634</v>
      </c>
      <c r="M127" s="20">
        <f t="shared" si="97"/>
        <v>-84.8488872170648</v>
      </c>
      <c r="N127" s="20">
        <f t="shared" si="97"/>
        <v>-91.0077752616146</v>
      </c>
      <c r="O127" s="20">
        <f t="shared" si="97"/>
        <v>-97.7661305258332</v>
      </c>
      <c r="P127" s="20">
        <f t="shared" si="97"/>
        <v>-105.157641223046</v>
      </c>
    </row>
    <row customHeight="1" ht="15">
      <c r="A128" s="4" t="s">
        <v>133</v>
      </c>
      <c r="B128" s="5">
        <f t="shared" si="98" ref="B128:F128">IF(B17=0,"NM",-B126/B17)</f>
        <v>0.322677715094249</v>
      </c>
      <c r="C128" s="5">
        <f t="shared" si="98"/>
        <v>0.277200915635802</v>
      </c>
      <c r="D128" s="5">
        <f t="shared" si="98"/>
        <v>0.139680959281744</v>
      </c>
      <c r="E128" s="5">
        <f t="shared" si="98"/>
        <v>0.136615947055874</v>
      </c>
      <c r="F128" s="8">
        <f t="shared" si="98"/>
        <v>0.152645723661955</v>
      </c>
      <c r="G128" s="5">
        <f t="shared" si="99" ref="G128:P128">IF(G17&lt;0.05,"NM",-G126/G17)</f>
        <v>0.1449110601574</v>
      </c>
      <c r="H128" s="5">
        <f t="shared" si="99"/>
        <v>0.152233431078827</v>
      </c>
      <c r="I128" s="5">
        <f t="shared" si="99"/>
        <v>0.160785652098063</v>
      </c>
      <c r="J128" s="5">
        <f t="shared" si="99"/>
        <v>0.170574439555103</v>
      </c>
      <c r="K128" s="5">
        <f t="shared" si="99"/>
        <v>0.181620520479376</v>
      </c>
      <c r="L128" s="5">
        <f t="shared" si="99"/>
        <v>0.193957808303321</v>
      </c>
      <c r="M128" s="5">
        <f t="shared" si="99"/>
        <v>0.207632796256304</v>
      </c>
      <c r="N128" s="5">
        <f t="shared" si="99"/>
        <v>0.22270414472606</v>
      </c>
      <c r="O128" s="5">
        <f t="shared" si="99"/>
        <v>0.239242442959876</v>
      </c>
      <c r="P128" s="5">
        <f t="shared" si="99"/>
        <v>0.257330129021031</v>
      </c>
    </row>
    <row customHeight="1" ht="15">
      <c r="A129" s="4" t="s">
        <v>134</v>
      </c>
      <c r="B129" s="5">
        <f t="shared" si="100" ref="B129:F129">IF(B124=0,"NM",-B126/B124)</f>
        <v>1.81753007261449</v>
      </c>
      <c r="C129" s="5">
        <f t="shared" si="100"/>
        <v>1.55970991886924</v>
      </c>
      <c r="D129" s="5">
        <f t="shared" si="100"/>
        <v>0.718323860974976</v>
      </c>
      <c r="E129" s="5">
        <f t="shared" si="100"/>
        <v>0.796098420448486</v>
      </c>
      <c r="F129" s="8">
        <f t="shared" si="100"/>
        <v>0.904800676929789</v>
      </c>
      <c r="G129" s="5">
        <f t="shared" si="101" ref="G129:P129">IF(G124&lt;0.05,"NM",-G126/G124)</f>
        <v>0.823540388338305</v>
      </c>
      <c r="H129" s="5">
        <f t="shared" si="101"/>
        <v>0.864482993757887</v>
      </c>
      <c r="I129" s="5">
        <f t="shared" si="101"/>
        <v>0.904458202140578</v>
      </c>
      <c r="J129" s="5">
        <f t="shared" si="101"/>
        <v>0.943019720137591</v>
      </c>
      <c r="K129" s="5">
        <f t="shared" si="101"/>
        <v>0.979839246592732</v>
      </c>
      <c r="L129" s="5">
        <f t="shared" si="101"/>
        <v>1.01470090452215</v>
      </c>
      <c r="M129" s="5">
        <f t="shared" si="101"/>
        <v>1.04748736543922</v>
      </c>
      <c r="N129" s="5">
        <f t="shared" si="101"/>
        <v>1.07816174197906</v>
      </c>
      <c r="O129" s="5">
        <f t="shared" si="101"/>
        <v>1.10674856291052</v>
      </c>
      <c r="P129" s="5">
        <f t="shared" si="101"/>
        <v>1.1333160881846</v>
      </c>
    </row>
    <row customHeight="1" ht="15">
      <c r="A130" s="4" t="s">
        <v>135</v>
      </c>
      <c r="B130" s="0">
        <v>62.446946</v>
      </c>
      <c r="C130" s="0">
        <v>97.694284</v>
      </c>
      <c r="D130" s="0">
        <v>48.025952</v>
      </c>
      <c r="E130" s="0">
        <v>88.296253</v>
      </c>
      <c r="F130" s="19">
        <v>101.168727</v>
      </c>
      <c r="G130" s="20">
        <f t="shared" si="102" ref="G130:P130">(G40+G49)-(-(SUM(G33:G35)))</f>
        <v>138.75028055198</v>
      </c>
      <c r="H130" s="20">
        <f t="shared" si="102"/>
        <v>117.100736643346</v>
      </c>
      <c r="I130" s="20">
        <f t="shared" si="102"/>
        <v>120.103588625454</v>
      </c>
      <c r="J130" s="20">
        <f t="shared" si="102"/>
        <v>123.706516007121</v>
      </c>
      <c r="K130" s="20">
        <f t="shared" si="102"/>
        <v>127.877054176838</v>
      </c>
      <c r="L130" s="20">
        <f t="shared" si="102"/>
        <v>132.589588023628</v>
      </c>
      <c r="M130" s="20">
        <f t="shared" si="102"/>
        <v>137.663380551849</v>
      </c>
      <c r="N130" s="20">
        <f t="shared" si="102"/>
        <v>141.892387728382</v>
      </c>
      <c r="O130" s="20">
        <f t="shared" si="102"/>
        <v>145.439501346003</v>
      </c>
      <c r="P130" s="20">
        <f t="shared" si="102"/>
        <v>149.506778483355</v>
      </c>
    </row>
    <row customHeight="1" ht="15">
      <c r="A131" s="15" t="s">
        <v>136</v>
      </c>
      <c r="B131" s="18">
        <f t="shared" si="103" ref="B131:F131">B40+B126+B49+B48</f>
        <v>-12.251704</v>
      </c>
      <c r="C131" s="18">
        <f t="shared" si="103"/>
        <v>10.495122</v>
      </c>
      <c r="D131" s="18">
        <f t="shared" si="103"/>
        <v>-33.942682</v>
      </c>
      <c r="E131" s="18">
        <f t="shared" si="103"/>
        <v>-38.794985</v>
      </c>
      <c r="F131" s="22">
        <f t="shared" si="103"/>
        <v>-62.469604</v>
      </c>
      <c r="G131" s="18">
        <f t="shared" si="104" ref="G131:P131">G40+G126+G48+G49</f>
        <v>52.1928369958924</v>
      </c>
      <c r="H131" s="18">
        <f t="shared" si="104"/>
        <v>36.7538401071339</v>
      </c>
      <c r="I131" s="18">
        <f t="shared" si="104"/>
        <v>36.4913400836184</v>
      </c>
      <c r="J131" s="18">
        <f t="shared" si="104"/>
        <v>36.309039453273</v>
      </c>
      <c r="K131" s="18">
        <f t="shared" si="104"/>
        <v>36.1696370905602</v>
      </c>
      <c r="L131" s="18">
        <f t="shared" si="104"/>
        <v>36.0368876013416</v>
      </c>
      <c r="M131" s="18">
        <f t="shared" si="104"/>
        <v>35.7139466176372</v>
      </c>
      <c r="N131" s="18">
        <f t="shared" si="104"/>
        <v>33.9734138674254</v>
      </c>
      <c r="O131" s="18">
        <f t="shared" si="104"/>
        <v>30.9517252246248</v>
      </c>
      <c r="P131" s="18">
        <f t="shared" si="104"/>
        <v>27.819460094831</v>
      </c>
    </row>
    <row customHeight="1" ht="15">
      <c r="A132" s="4" t="s">
        <v>137</v>
      </c>
      <c r="B132" s="20">
        <f t="shared" si="105" ref="B132:P132">B131-B138-B48</f>
        <v>17.431701</v>
      </c>
      <c r="C132" s="20">
        <f t="shared" si="105"/>
        <v>40.444873</v>
      </c>
      <c r="D132" s="20">
        <f t="shared" si="105"/>
        <v>6.006694</v>
      </c>
      <c r="E132" s="20">
        <f t="shared" si="105"/>
        <v>38.060046</v>
      </c>
      <c r="F132" s="23">
        <f t="shared" si="105"/>
        <v>25.350879</v>
      </c>
      <c r="G132" s="20">
        <f t="shared" si="105"/>
        <v>121.115683994254</v>
      </c>
      <c r="H132" s="20">
        <f t="shared" si="105"/>
        <v>109.34302574978</v>
      </c>
      <c r="I132" s="20">
        <f t="shared" si="105"/>
        <v>105.993410341794</v>
      </c>
      <c r="J132" s="20">
        <f t="shared" si="105"/>
        <v>102.74274164848</v>
      </c>
      <c r="K132" s="20">
        <f t="shared" si="105"/>
        <v>99.5485302618588</v>
      </c>
      <c r="L132" s="20">
        <f t="shared" si="105"/>
        <v>96.3724423214957</v>
      </c>
      <c r="M132" s="20">
        <f t="shared" si="105"/>
        <v>93.1974380294415</v>
      </c>
      <c r="N132" s="20">
        <f t="shared" si="105"/>
        <v>90.1237136540788</v>
      </c>
      <c r="O132" s="20">
        <f t="shared" si="105"/>
        <v>87.1020250112782</v>
      </c>
      <c r="P132" s="20">
        <f t="shared" si="105"/>
        <v>83.9697598814844</v>
      </c>
    </row>
    <row customHeight="1" ht="15">
      <c r="A133" s="4" t="s">
        <v>138</v>
      </c>
      <c r="B133" s="5">
        <f t="shared" si="106" ref="B133:F133">IF(B103&lt;=0,"NM",B130/B103)</f>
        <v>0.151451469703218</v>
      </c>
      <c r="C133" s="5">
        <f t="shared" si="106"/>
        <v>0.232033058394331</v>
      </c>
      <c r="D133" s="5">
        <f t="shared" si="106"/>
        <v>0.0993047588845746</v>
      </c>
      <c r="E133" s="5">
        <f t="shared" si="106"/>
        <v>0.171318151875303</v>
      </c>
      <c r="F133" s="8">
        <f t="shared" si="106"/>
        <v>0.18052272279898</v>
      </c>
      <c r="G133" s="5">
        <f t="shared" si="107" ref="G133:P133">IF(OR(G103&lt;=0),"NM",G130/G103)</f>
        <v>0.208928271899787</v>
      </c>
      <c r="H133" s="5">
        <f t="shared" si="107"/>
        <v>0.186659036354537</v>
      </c>
      <c r="I133" s="5">
        <f t="shared" si="107"/>
        <v>0.203269224372633</v>
      </c>
      <c r="J133" s="5">
        <f t="shared" si="107"/>
        <v>0.223075238268359</v>
      </c>
      <c r="K133" s="5">
        <f t="shared" si="107"/>
        <v>0.246685456482741</v>
      </c>
      <c r="L133" s="5">
        <f t="shared" si="107"/>
        <v>0.274885883317641</v>
      </c>
      <c r="M133" s="5">
        <f t="shared" si="107"/>
        <v>0.308226784484183</v>
      </c>
      <c r="N133" s="5">
        <f t="shared" si="107"/>
        <v>0.343850879187153</v>
      </c>
      <c r="O133" s="5">
        <f t="shared" si="107"/>
        <v>0.381025897779875</v>
      </c>
      <c r="P133" s="5">
        <f t="shared" si="107"/>
        <v>0.422472097303734</v>
      </c>
    </row>
    <row customHeight="1" ht="15">
      <c r="A134" s="4" t="s">
        <v>139</v>
      </c>
      <c r="B134" s="5">
        <f t="shared" si="108" ref="B134:F134">IF(B103&lt;=0,"NM",B131/B103)</f>
        <v>-0.0297138402439855</v>
      </c>
      <c r="C134" s="5">
        <f t="shared" si="108"/>
        <v>0.024926895987913</v>
      </c>
      <c r="D134" s="5">
        <f t="shared" si="108"/>
        <v>-0.0701843422469958</v>
      </c>
      <c r="E134" s="5">
        <f t="shared" si="108"/>
        <v>-0.0752725614781195</v>
      </c>
      <c r="F134" s="8">
        <f t="shared" si="108"/>
        <v>-0.11146906104941</v>
      </c>
      <c r="G134" s="5">
        <f t="shared" si="109" ref="G134:P134">IF(OR(G103&lt;=0),"NM",G131/G103)</f>
        <v>0.0785912590282215</v>
      </c>
      <c r="H134" s="5">
        <f t="shared" si="109"/>
        <v>0.0585857661819941</v>
      </c>
      <c r="I134" s="5">
        <f t="shared" si="109"/>
        <v>0.0617597399045832</v>
      </c>
      <c r="J134" s="5">
        <f t="shared" si="109"/>
        <v>0.0654747048802819</v>
      </c>
      <c r="K134" s="5">
        <f t="shared" si="109"/>
        <v>0.0697742334927516</v>
      </c>
      <c r="L134" s="5">
        <f t="shared" si="109"/>
        <v>0.0747119877810317</v>
      </c>
      <c r="M134" s="5">
        <f t="shared" si="109"/>
        <v>0.0799631309580405</v>
      </c>
      <c r="N134" s="5">
        <f t="shared" si="109"/>
        <v>0.0823285055267739</v>
      </c>
      <c r="O134" s="5">
        <f t="shared" si="109"/>
        <v>0.08108807292657</v>
      </c>
      <c r="P134" s="5">
        <f t="shared" si="109"/>
        <v>0.0786114567603319</v>
      </c>
    </row>
    <row customHeight="1" ht="15">
      <c r="A135" s="4" t="s">
        <v>140</v>
      </c>
      <c r="B135" s="5">
        <f t="shared" si="110" ref="B135:F135">IF(B103&lt;=0,"NM",B132/B103)</f>
        <v>0.0422767950233635</v>
      </c>
      <c r="C135" s="5">
        <f t="shared" si="110"/>
        <v>0.0960603547548423</v>
      </c>
      <c r="D135" s="5">
        <f t="shared" si="110"/>
        <v>0.0124202285331777</v>
      </c>
      <c r="E135" s="5">
        <f t="shared" si="110"/>
        <v>0.0738465848716028</v>
      </c>
      <c r="F135" s="8">
        <f t="shared" si="110"/>
        <v>0.0452354184749946</v>
      </c>
      <c r="G135" s="5">
        <f t="shared" si="111" ref="G135:P135">IF(OR(G103&lt;=0),"NM",G132/G103)</f>
        <v>0.182374337956026</v>
      </c>
      <c r="H135" s="5">
        <f t="shared" si="111"/>
        <v>0.174293214573924</v>
      </c>
      <c r="I135" s="5">
        <f t="shared" si="111"/>
        <v>0.17938846420298</v>
      </c>
      <c r="J135" s="5">
        <f t="shared" si="111"/>
        <v>0.185272064183424</v>
      </c>
      <c r="K135" s="5">
        <f t="shared" si="111"/>
        <v>0.192037381435712</v>
      </c>
      <c r="L135" s="5">
        <f t="shared" si="111"/>
        <v>0.199800182879381</v>
      </c>
      <c r="M135" s="5">
        <f t="shared" si="111"/>
        <v>0.208668031620504</v>
      </c>
      <c r="N135" s="5">
        <f t="shared" si="111"/>
        <v>0.218398736335928</v>
      </c>
      <c r="O135" s="5">
        <f t="shared" si="111"/>
        <v>0.228191976534713</v>
      </c>
      <c r="P135" s="5">
        <f t="shared" si="111"/>
        <v>0.237279412526243</v>
      </c>
    </row>
    <row customHeight="1" ht="15">
      <c r="A136" s="4" t="s">
        <v>141</v>
      </c>
      <c r="B136" s="20">
        <f t="shared" si="112" ref="B136:F136">B67+B69-B74</f>
        <v>-26.998701</v>
      </c>
      <c r="C136" s="20">
        <f t="shared" si="112"/>
        <v>-108.759546</v>
      </c>
      <c r="D136" s="20">
        <f t="shared" si="112"/>
        <v>-94.919875</v>
      </c>
      <c r="E136" s="20">
        <f t="shared" si="112"/>
        <v>-73.417212</v>
      </c>
      <c r="F136" s="23">
        <f t="shared" si="112"/>
        <v>-72.739474</v>
      </c>
      <c r="G136" s="20">
        <f t="shared" si="113" ref="G136:P136">(G69+G67)-G74</f>
        <v>-82.5996292789095</v>
      </c>
      <c r="H136" s="20">
        <f t="shared" si="113"/>
        <v>-82.5792216527746</v>
      </c>
      <c r="I136" s="20">
        <f t="shared" si="113"/>
        <v>-82.3293114148801</v>
      </c>
      <c r="J136" s="20">
        <f t="shared" si="113"/>
        <v>-81.8644532153094</v>
      </c>
      <c r="K136" s="20">
        <f t="shared" si="113"/>
        <v>-81.1955681430511</v>
      </c>
      <c r="L136" s="20">
        <f t="shared" si="113"/>
        <v>-80.3303488877361</v>
      </c>
      <c r="M136" s="20">
        <f t="shared" si="113"/>
        <v>-79.2735961102453</v>
      </c>
      <c r="N136" s="20">
        <f t="shared" si="113"/>
        <v>-78.0274952149497</v>
      </c>
      <c r="O136" s="20">
        <f t="shared" si="113"/>
        <v>-76.5918413158565</v>
      </c>
      <c r="P136" s="20">
        <f t="shared" si="113"/>
        <v>-74.9642189866962</v>
      </c>
    </row>
    <row customHeight="1" ht="15">
      <c r="A137" s="4" t="s">
        <v>142</v>
      </c>
      <c r="B137" s="0">
        <v>-0.807336</v>
      </c>
      <c r="C137" s="0">
        <v>59.963008</v>
      </c>
      <c r="D137" s="0">
        <v>-8.311572</v>
      </c>
      <c r="E137" s="0">
        <v>-42.657673</v>
      </c>
      <c r="F137" s="19">
        <v>-59.318156</v>
      </c>
      <c r="G137" s="20">
        <f t="shared" si="114" ref="G137:P137">SUM(G33:G35)</f>
        <v>9.18241727890951</v>
      </c>
      <c r="H137" s="20">
        <f t="shared" si="114"/>
        <v>-0.0204076261348973</v>
      </c>
      <c r="I137" s="20">
        <f t="shared" si="114"/>
        <v>-0.249910237894511</v>
      </c>
      <c r="J137" s="20">
        <f t="shared" si="114"/>
        <v>-0.464858199570699</v>
      </c>
      <c r="K137" s="20">
        <f t="shared" si="114"/>
        <v>-0.668885072258291</v>
      </c>
      <c r="L137" s="20">
        <f t="shared" si="114"/>
        <v>-0.865219255314997</v>
      </c>
      <c r="M137" s="20">
        <f t="shared" si="114"/>
        <v>-1.0567527774908</v>
      </c>
      <c r="N137" s="20">
        <f t="shared" si="114"/>
        <v>-1.24610089529561</v>
      </c>
      <c r="O137" s="20">
        <f t="shared" si="114"/>
        <v>-1.4356538990932</v>
      </c>
      <c r="P137" s="20">
        <f t="shared" si="114"/>
        <v>-1.6276223291603</v>
      </c>
    </row>
    <row customHeight="1" ht="15">
      <c r="A138" s="4" t="s">
        <v>143</v>
      </c>
      <c r="B138" s="0">
        <v>-4.325272</v>
      </c>
      <c r="C138" s="0">
        <v>-7.035281</v>
      </c>
      <c r="D138" s="0">
        <v>-16.005968</v>
      </c>
      <c r="E138" s="0">
        <v>-45.015545</v>
      </c>
      <c r="F138" s="19">
        <v>-49.238525</v>
      </c>
      <c r="G138" s="20">
        <f t="shared" si="115" ref="G138:P138">G37+G49</f>
        <v>-50.765547503724</v>
      </c>
      <c r="H138" s="20">
        <f t="shared" si="115"/>
        <v>-54.4318861480078</v>
      </c>
      <c r="I138" s="20">
        <f t="shared" si="115"/>
        <v>-51.3447707635372</v>
      </c>
      <c r="J138" s="20">
        <f t="shared" si="115"/>
        <v>-48.2764027005693</v>
      </c>
      <c r="K138" s="20">
        <f t="shared" si="115"/>
        <v>-45.2215936766606</v>
      </c>
      <c r="L138" s="20">
        <f t="shared" si="115"/>
        <v>-42.1782552255161</v>
      </c>
      <c r="M138" s="20">
        <f t="shared" si="115"/>
        <v>-39.3261919171663</v>
      </c>
      <c r="N138" s="20">
        <f t="shared" si="115"/>
        <v>-37.9930002920154</v>
      </c>
      <c r="O138" s="20">
        <f t="shared" si="115"/>
        <v>-37.9930002920154</v>
      </c>
      <c r="P138" s="20">
        <f t="shared" si="115"/>
        <v>-37.9930002920154</v>
      </c>
    </row>
    <row customHeight="1" ht="15">
      <c r="A139" s="4" t="s">
        <v>144</v>
      </c>
      <c r="B139" s="25">
        <f t="shared" si="116" ref="B139:P139">IF(OR(B113&lt;=0,B138=0),"NM",-B113/B138)</f>
        <v>16.3245326536689</v>
      </c>
      <c r="C139" s="25">
        <f t="shared" si="116"/>
        <v>16.251797760459</v>
      </c>
      <c r="D139" s="25">
        <f t="shared" si="116"/>
        <v>4.96750418343958</v>
      </c>
      <c r="E139" s="25">
        <f t="shared" si="116"/>
        <v>3.07960150210333</v>
      </c>
      <c r="F139" s="26">
        <f t="shared" si="116"/>
        <v>3.22417349016852</v>
      </c>
      <c r="G139" s="25">
        <f t="shared" si="116"/>
        <v>2.76583819444106</v>
      </c>
      <c r="H139" s="25">
        <f t="shared" si="116"/>
        <v>2.58056648169198</v>
      </c>
      <c r="I139" s="25">
        <f t="shared" si="116"/>
        <v>2.7490346570729</v>
      </c>
      <c r="J139" s="25">
        <f t="shared" si="116"/>
        <v>2.95009235091776</v>
      </c>
      <c r="K139" s="25">
        <f t="shared" si="116"/>
        <v>3.18982809765056</v>
      </c>
      <c r="L139" s="25">
        <f t="shared" si="116"/>
        <v>3.47608754684869</v>
      </c>
      <c r="M139" s="25">
        <f t="shared" si="116"/>
        <v>3.80167270319963</v>
      </c>
      <c r="N139" s="25">
        <f t="shared" si="116"/>
        <v>4.02477140806179</v>
      </c>
      <c r="O139" s="25">
        <f t="shared" si="116"/>
        <v>4.12811201277948</v>
      </c>
      <c r="P139" s="25">
        <f t="shared" si="116"/>
        <v>4.24527080422195</v>
      </c>
    </row>
    <row customHeight="1" ht="15">
      <c r="A140" s="4" t="s">
        <v>145</v>
      </c>
      <c r="B140" s="25">
        <f t="shared" si="117" ref="B140:P140">IF(OR(B115&lt;=0,B138=0),"NM",-B115/B138)</f>
        <v>16.3245326536689</v>
      </c>
      <c r="C140" s="25">
        <f t="shared" si="117"/>
        <v>16.251797760459</v>
      </c>
      <c r="D140" s="25">
        <f t="shared" si="117"/>
        <v>4.96750418343958</v>
      </c>
      <c r="E140" s="25">
        <f t="shared" si="117"/>
        <v>3.07960150210333</v>
      </c>
      <c r="F140" s="26">
        <f t="shared" si="117"/>
        <v>3.23007850052373</v>
      </c>
      <c r="G140" s="25">
        <f t="shared" si="117"/>
        <v>2.76583819444106</v>
      </c>
      <c r="H140" s="25">
        <f t="shared" si="117"/>
        <v>2.58056648169198</v>
      </c>
      <c r="I140" s="25">
        <f t="shared" si="117"/>
        <v>2.7490346570729</v>
      </c>
      <c r="J140" s="25">
        <f t="shared" si="117"/>
        <v>2.95009235091776</v>
      </c>
      <c r="K140" s="25">
        <f t="shared" si="117"/>
        <v>3.18982809765056</v>
      </c>
      <c r="L140" s="25">
        <f t="shared" si="117"/>
        <v>3.47608754684869</v>
      </c>
      <c r="M140" s="25">
        <f t="shared" si="117"/>
        <v>3.80167270319963</v>
      </c>
      <c r="N140" s="25">
        <f t="shared" si="117"/>
        <v>4.02477140806179</v>
      </c>
      <c r="O140" s="25">
        <f t="shared" si="117"/>
        <v>4.12811201277948</v>
      </c>
      <c r="P140" s="25">
        <f t="shared" si="117"/>
        <v>4.24527080422195</v>
      </c>
    </row>
    <row customHeight="1" ht="15">
      <c r="A141" s="4" t="s">
        <v>146</v>
      </c>
      <c r="B141" s="20">
        <f t="shared" si="118" ref="B141:P141">B38</f>
        <v>-3.350279</v>
      </c>
      <c r="C141" s="20">
        <f t="shared" si="118"/>
        <v>-5.782459</v>
      </c>
      <c r="D141" s="20">
        <f t="shared" si="118"/>
        <v>-7.184522</v>
      </c>
      <c r="E141" s="20">
        <f t="shared" si="118"/>
        <v>-6.091108</v>
      </c>
      <c r="F141" s="23">
        <f t="shared" si="118"/>
        <v>-6.512825</v>
      </c>
      <c r="G141" s="20">
        <f t="shared" si="118"/>
        <v>-5.3818467496276</v>
      </c>
      <c r="H141" s="20">
        <f t="shared" si="118"/>
        <v>-5.01521288519922</v>
      </c>
      <c r="I141" s="20">
        <f t="shared" si="118"/>
        <v>-5.32392442364628</v>
      </c>
      <c r="J141" s="20">
        <f t="shared" si="118"/>
        <v>-5.63076122994307</v>
      </c>
      <c r="K141" s="20">
        <f t="shared" si="118"/>
        <v>-5.93624213233394</v>
      </c>
      <c r="L141" s="20">
        <f t="shared" si="118"/>
        <v>-6.24057597744839</v>
      </c>
      <c r="M141" s="20">
        <f t="shared" si="118"/>
        <v>-6.52578230828337</v>
      </c>
      <c r="N141" s="20">
        <f t="shared" si="118"/>
        <v>-6.65910147079846</v>
      </c>
      <c r="O141" s="20">
        <f t="shared" si="118"/>
        <v>-6.65910147079846</v>
      </c>
      <c r="P141" s="20">
        <f t="shared" si="118"/>
        <v>-6.65910147079846</v>
      </c>
    </row>
    <row customHeight="1" ht="15">
      <c r="A142" s="4" t="s">
        <v>147</v>
      </c>
      <c r="B142" s="20">
        <f t="shared" si="119" ref="B142:P142">B138+B141+B126-(0.1*B100)</f>
        <v>-150.820602</v>
      </c>
      <c r="C142" s="20">
        <f t="shared" si="119"/>
        <v>-156.9903654</v>
      </c>
      <c r="D142" s="20">
        <f t="shared" si="119"/>
        <v>-125.6840067</v>
      </c>
      <c r="E142" s="20">
        <f t="shared" si="119"/>
        <v>-160.9709055</v>
      </c>
      <c r="F142" s="23">
        <f t="shared" si="119"/>
        <v>-183.360261</v>
      </c>
      <c r="G142" s="20">
        <f t="shared" si="119"/>
        <v>-181.775606936302</v>
      </c>
      <c r="H142" s="20">
        <f t="shared" si="119"/>
        <v>-184.392205590614</v>
      </c>
      <c r="I142" s="20">
        <f t="shared" si="119"/>
        <v>-181.459522353612</v>
      </c>
      <c r="J142" s="20">
        <f t="shared" si="119"/>
        <v>-179.067263125302</v>
      </c>
      <c r="K142" s="20">
        <f t="shared" si="119"/>
        <v>-177.214938699845</v>
      </c>
      <c r="L142" s="20">
        <f t="shared" si="119"/>
        <v>-175.913862852746</v>
      </c>
      <c r="M142" s="20">
        <f t="shared" si="119"/>
        <v>-175.772130342514</v>
      </c>
      <c r="N142" s="20">
        <f t="shared" si="119"/>
        <v>-180.731145924428</v>
      </c>
      <c r="O142" s="20">
        <f t="shared" si="119"/>
        <v>-187.489501188647</v>
      </c>
      <c r="P142" s="20">
        <f t="shared" si="119"/>
        <v>-194.88101188586</v>
      </c>
    </row>
    <row customHeight="1" ht="15">
      <c r="A143" s="4" t="s">
        <v>148</v>
      </c>
      <c r="B143" s="25">
        <f t="shared" si="120" ref="B143:F143">IF(OR(B113&lt;=0,B142=0),"NM",-B113/B142)</f>
        <v>0.468159144464892</v>
      </c>
      <c r="C143" s="25">
        <f t="shared" si="120"/>
        <v>0.728299241222099</v>
      </c>
      <c r="D143" s="25">
        <f t="shared" si="120"/>
        <v>0.632615995365145</v>
      </c>
      <c r="E143" s="25">
        <f t="shared" si="120"/>
        <v>0.861211158435088</v>
      </c>
      <c r="F143" s="26">
        <f t="shared" si="120"/>
        <v>0.865801270865338</v>
      </c>
      <c r="G143" s="25">
        <f t="shared" si="121" ref="G143:P143">IF(OR(G113&lt;=0,G142=0),"NM",G113/-G142)</f>
        <v>0.77243197046078</v>
      </c>
      <c r="H143" s="25">
        <f t="shared" si="121"/>
        <v>0.761773527676557</v>
      </c>
      <c r="I143" s="25">
        <f t="shared" si="121"/>
        <v>0.777851459420076</v>
      </c>
      <c r="J143" s="25">
        <f t="shared" si="121"/>
        <v>0.795342732396133</v>
      </c>
      <c r="K143" s="25">
        <f t="shared" si="121"/>
        <v>0.813978275131019</v>
      </c>
      <c r="L143" s="25">
        <f t="shared" si="121"/>
        <v>0.833449424392157</v>
      </c>
      <c r="M143" s="25">
        <f t="shared" si="121"/>
        <v>0.850563226610221</v>
      </c>
      <c r="N143" s="25">
        <f t="shared" si="121"/>
        <v>0.846080737770163</v>
      </c>
      <c r="O143" s="25">
        <f t="shared" si="121"/>
        <v>0.836523431513082</v>
      </c>
      <c r="P143" s="25">
        <f t="shared" si="121"/>
        <v>0.827636173189389</v>
      </c>
    </row>
    <row customHeight="1" ht="15">
      <c r="A144" s="4" t="s">
        <v>149</v>
      </c>
      <c r="B144" s="25">
        <f t="shared" si="122" ref="B144:F144">IF(OR(B115&lt;=0,B142=0),"NM",-B115/B142)</f>
        <v>0.468159144464892</v>
      </c>
      <c r="C144" s="25">
        <f t="shared" si="122"/>
        <v>0.728299241222099</v>
      </c>
      <c r="D144" s="25">
        <f t="shared" si="122"/>
        <v>0.632615995365145</v>
      </c>
      <c r="E144" s="25">
        <f t="shared" si="122"/>
        <v>0.861211158435088</v>
      </c>
      <c r="F144" s="26">
        <f t="shared" si="122"/>
        <v>0.867386968869989</v>
      </c>
      <c r="G144" s="25">
        <f t="shared" si="123" ref="G144:P144">IF(OR(G115&lt;=0,G142=0),"NM",G115/-G142)</f>
        <v>0.77243197046078</v>
      </c>
      <c r="H144" s="25">
        <f t="shared" si="123"/>
        <v>0.761773527676557</v>
      </c>
      <c r="I144" s="25">
        <f t="shared" si="123"/>
        <v>0.777851459420076</v>
      </c>
      <c r="J144" s="25">
        <f t="shared" si="123"/>
        <v>0.795342732396133</v>
      </c>
      <c r="K144" s="25">
        <f t="shared" si="123"/>
        <v>0.813978275131019</v>
      </c>
      <c r="L144" s="25">
        <f t="shared" si="123"/>
        <v>0.833449424392157</v>
      </c>
      <c r="M144" s="25">
        <f t="shared" si="123"/>
        <v>0.850563226610221</v>
      </c>
      <c r="N144" s="25">
        <f t="shared" si="123"/>
        <v>0.846080737770163</v>
      </c>
      <c r="O144" s="25">
        <f t="shared" si="123"/>
        <v>0.836523431513082</v>
      </c>
      <c r="P144" s="25">
        <f t="shared" si="123"/>
        <v>0.827636173189389</v>
      </c>
    </row>
    <row customHeight="1" ht="1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</row>
    <row customHeight="1" ht="15">
      <c r="A146" s="2" t="s">
        <v>150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</row>
    <row customHeight="1" ht="15">
      <c r="A147" s="4" t="s">
        <v>151</v>
      </c>
      <c r="C147" s="5">
        <f t="shared" si="124" ref="C147:E147">IF(AND(C113=0,B113=0),0,IF(OR(B113=0,B113="NM",C113="NM"),"NM",IF(B113&lt;0,-(C113/B113-1),C113/B113-1)))</f>
        <v>0.61930507521211</v>
      </c>
      <c r="D147" s="5">
        <f t="shared" si="124"/>
        <v>-0.304595770058842</v>
      </c>
      <c r="E147" s="5">
        <f t="shared" si="124"/>
        <v>0.743559808850021</v>
      </c>
      <c r="F147" s="6">
        <v>0.7669975355</v>
      </c>
      <c r="G147" s="5">
        <f>IF(AND(E113=0,G113=0),0,IF(OR(E113="NM",G113="NM",E113=0),"NM",IF(E113&lt;0,-(G113/E113-1),G113/E113-1)))</f>
        <v>0.0128352522370851</v>
      </c>
      <c r="H147" s="5">
        <f t="shared" si="125" ref="H147:P147">IF(AND(G113=0,H113=0),0,IF(OR(G113="NM",H113="NM",G113=0),"NM",IF(G113&lt;0,-(H113/G113-1),H113/G113-1)))</f>
        <v>0.000397485673580666</v>
      </c>
      <c r="I147" s="5">
        <f t="shared" si="125"/>
        <v>0.00486564531036304</v>
      </c>
      <c r="J147" s="5">
        <f t="shared" si="125"/>
        <v>0.00900676634455788</v>
      </c>
      <c r="K147" s="5">
        <f t="shared" si="125"/>
        <v>0.012844163511091</v>
      </c>
      <c r="L147" s="5">
        <f t="shared" si="125"/>
        <v>0.0164035508068978</v>
      </c>
      <c r="M147" s="5">
        <f t="shared" si="125"/>
        <v>0.0197114656011141</v>
      </c>
      <c r="N147" s="5">
        <f t="shared" si="125"/>
        <v>0.0227940461909479</v>
      </c>
      <c r="O147" s="5">
        <f t="shared" si="125"/>
        <v>0.0256761426277994</v>
      </c>
      <c r="P147" s="5">
        <f t="shared" si="125"/>
        <v>0.0283807200676196</v>
      </c>
    </row>
    <row customHeight="1" ht="15">
      <c r="A148" s="4" t="s">
        <v>152</v>
      </c>
      <c r="C148" s="5">
        <f t="shared" si="126" ref="C148:E148">IF(AND(C115=0,B115=0),0,IF(OR(B115=0,B115="NM",C115="NM"),"NM",IF(B115&lt;0,-(C115/B115-1),C115/B115-1)))</f>
        <v>0.61930507521211</v>
      </c>
      <c r="D148" s="5">
        <f t="shared" si="126"/>
        <v>-0.304595770058842</v>
      </c>
      <c r="E148" s="5">
        <f t="shared" si="126"/>
        <v>0.743559808850021</v>
      </c>
      <c r="F148" s="6">
        <v>0.7690972999</v>
      </c>
      <c r="G148" s="5">
        <f>IF(AND(E115=0,G115=0),0,IF(OR(E115="NM",G115="NM",E115=0),"NM",IF(E115&lt;0,-(G115/E115-1),G115/E115-1)))</f>
        <v>0.0128352522370851</v>
      </c>
      <c r="H148" s="5">
        <f t="shared" si="127" ref="H148:P148">IF(AND(G115=0,H115=0),0,IF(OR(G115="NM",H115="NM",G115=0),"NM",IF(G115&lt;0,-(H115/G115-1),H115/G115-1)))</f>
        <v>0.000397485673580666</v>
      </c>
      <c r="I148" s="5">
        <f t="shared" si="127"/>
        <v>0.00486564531036304</v>
      </c>
      <c r="J148" s="5">
        <f t="shared" si="127"/>
        <v>0.00900676634455788</v>
      </c>
      <c r="K148" s="5">
        <f t="shared" si="127"/>
        <v>0.012844163511091</v>
      </c>
      <c r="L148" s="5">
        <f t="shared" si="127"/>
        <v>0.0164035508068978</v>
      </c>
      <c r="M148" s="5">
        <f t="shared" si="127"/>
        <v>0.0197114656011141</v>
      </c>
      <c r="N148" s="5">
        <f t="shared" si="127"/>
        <v>0.0227940461909479</v>
      </c>
      <c r="O148" s="5">
        <f t="shared" si="127"/>
        <v>0.0256761426277994</v>
      </c>
      <c r="P148" s="5">
        <f t="shared" si="127"/>
        <v>0.0283807200676196</v>
      </c>
    </row>
    <row customHeight="1" ht="15">
      <c r="A149" s="4" t="s">
        <v>153</v>
      </c>
      <c r="C149" s="5">
        <f t="shared" si="128" ref="C149:E149">IF(AND(C21=0,B21=0),0,IF(OR(B21=0,B21="NM",C21="NM"),"NM",IF(B21&lt;0,-(C21/B21-1),C21/B21-1)))</f>
        <v>2.20794650130765</v>
      </c>
      <c r="D149" s="5">
        <f t="shared" si="128"/>
        <v>-0.798447759733972</v>
      </c>
      <c r="E149" s="5">
        <f t="shared" si="128"/>
        <v>5.66027525465441</v>
      </c>
      <c r="F149" s="6">
        <v>2.7799605716</v>
      </c>
      <c r="G149" s="5">
        <f>IF(AND(E21=0,G21=0),0,IF(OR(E21="NM",G21="NM",E21=0),"NM",IF(E21&lt;0,-(G21/E21-1),G21/E21-1)))</f>
        <v>0</v>
      </c>
      <c r="H149" s="5">
        <f t="shared" si="129" ref="H149:P149">IF(AND(G21=0,H21=0),0,IF(OR(G21="NM",H21="NM",G21=0),"NM",IF(G21&lt;0,-(H21/G21-1),H21/G21-1)))</f>
        <v>0</v>
      </c>
      <c r="I149" s="5">
        <f t="shared" si="129"/>
        <v>0</v>
      </c>
      <c r="J149" s="5">
        <f t="shared" si="129"/>
        <v>0</v>
      </c>
      <c r="K149" s="5">
        <f t="shared" si="129"/>
        <v>0</v>
      </c>
      <c r="L149" s="5">
        <f t="shared" si="129"/>
        <v>0</v>
      </c>
      <c r="M149" s="5">
        <f t="shared" si="129"/>
        <v>0</v>
      </c>
      <c r="N149" s="5">
        <f t="shared" si="129"/>
        <v>0</v>
      </c>
      <c r="O149" s="5">
        <f t="shared" si="129"/>
        <v>0</v>
      </c>
      <c r="P149" s="5">
        <f t="shared" si="129"/>
        <v>0</v>
      </c>
    </row>
    <row customHeight="1" ht="15">
      <c r="A150" s="4" t="s">
        <v>154</v>
      </c>
      <c r="C150" s="5">
        <f t="shared" si="130" ref="C150:E150">IF(AND(C24=0,B24=0),0,IF(OR(B24=0,B24="NM",C24="NM"),"NM",IF(B24&lt;0,-(C24/B24-1),C24/B24-1)))</f>
        <v>-0.697296600605904</v>
      </c>
      <c r="D150" s="5">
        <f t="shared" si="130"/>
        <v>0.0672574687767485</v>
      </c>
      <c r="E150" s="5">
        <f t="shared" si="130"/>
        <v>1.37498922955127</v>
      </c>
      <c r="F150" s="6">
        <v>1.5367120461</v>
      </c>
      <c r="G150" s="5">
        <f>IF(AND(E24=0,G24=0),0,IF(OR(E24="NM",G24="NM",E24=0),"NM",IF(E24&lt;0,-(G24/E24-1),G24/E24-1)))</f>
        <v>0.479033782986038</v>
      </c>
      <c r="H150" s="5">
        <f t="shared" si="131" ref="H150:P150">IF(AND(G24=0,H24=0),0,IF(OR(G24="NM",H24="NM",G24=0),"NM",IF(G24&lt;0,-(H24/G24-1),H24/G24-1)))</f>
        <v>-0.0681241740028642</v>
      </c>
      <c r="I150" s="5">
        <f t="shared" si="131"/>
        <v>0.0615550217934162</v>
      </c>
      <c r="J150" s="5">
        <f t="shared" si="131"/>
        <v>0.0576335766401885</v>
      </c>
      <c r="K150" s="5">
        <f t="shared" si="131"/>
        <v>0.0542521499164967</v>
      </c>
      <c r="L150" s="5">
        <f t="shared" si="131"/>
        <v>0.0512670875496777</v>
      </c>
      <c r="M150" s="5">
        <f t="shared" si="131"/>
        <v>0.0457019242880194</v>
      </c>
      <c r="N150" s="5">
        <f t="shared" si="131"/>
        <v>0.0204296061708746</v>
      </c>
      <c r="O150" s="5">
        <f t="shared" si="131"/>
        <v>0</v>
      </c>
      <c r="P150" s="5">
        <f t="shared" si="131"/>
        <v>0</v>
      </c>
    </row>
    <row customHeight="1" ht="15">
      <c r="A151" s="4" t="s">
        <v>155</v>
      </c>
      <c r="C151" s="5">
        <f t="shared" si="132" ref="C151:E151">IF(AND(C27=0,B27=0),0,IF(OR(B27=0,B27="NM",C27="NM"),"NM",IF(B27&lt;0,-(C27/B27-1),C27/B27-1)))</f>
        <v>-0.869093555360517</v>
      </c>
      <c r="D151" s="5">
        <f t="shared" si="132"/>
        <v>0.101786752228812</v>
      </c>
      <c r="E151" s="5">
        <f t="shared" si="132"/>
        <v>1.29328319249841</v>
      </c>
      <c r="F151" s="6">
        <v>1.3897507274</v>
      </c>
      <c r="G151" s="5">
        <f>IF(AND(E27=0,G27=0),0,IF(OR(E27="NM",G27="NM",E27=0),"NM",IF(E27&lt;0,-(G27/E27-1),G27/E27-1)))</f>
        <v>0.593526540140465</v>
      </c>
      <c r="H151" s="5">
        <f t="shared" si="133" ref="H151:P151">IF(AND(G27=0,H27=0),0,IF(OR(G27="NM",H27="NM",G27=0),"NM",IF(G27&lt;0,-(H27/G27-1),H27/G27-1)))</f>
        <v>-0.0680643900756052</v>
      </c>
      <c r="I151" s="5">
        <f t="shared" si="133"/>
        <v>0.061497057469603</v>
      </c>
      <c r="J151" s="5">
        <f t="shared" si="133"/>
        <v>0.0575824491985211</v>
      </c>
      <c r="K151" s="5">
        <f t="shared" si="133"/>
        <v>0.0542066426019321</v>
      </c>
      <c r="L151" s="5">
        <f t="shared" si="133"/>
        <v>0.0512262953473845</v>
      </c>
      <c r="M151" s="5">
        <f t="shared" si="133"/>
        <v>0.0456673322000072</v>
      </c>
      <c r="N151" s="5">
        <f t="shared" si="133"/>
        <v>0.0204148181946042</v>
      </c>
      <c r="O151" s="5">
        <f t="shared" si="133"/>
        <v>0</v>
      </c>
      <c r="P151" s="5">
        <f t="shared" si="133"/>
        <v>0</v>
      </c>
    </row>
    <row customHeight="1" ht="15">
      <c r="A152" s="4" t="s">
        <v>156</v>
      </c>
      <c r="C152" s="5">
        <f t="shared" si="134" ref="C152:E152">IF(AND(C40=0,B40=0),0,IF(OR(B40=0,B40="NM",C40="NM"),"NM",IF(B40&lt;0,-(C40/B40-1),C40/B40-1)))</f>
        <v>0.174372533131378</v>
      </c>
      <c r="D152" s="5">
        <f t="shared" si="134"/>
        <v>-0.699379934197744</v>
      </c>
      <c r="E152" s="5">
        <f t="shared" si="134"/>
        <v>0.230229924711019</v>
      </c>
      <c r="F152" s="6">
        <v>0.0701600176</v>
      </c>
      <c r="G152" s="5">
        <f>IF(AND(E40=0,G40=0),0,IF(OR(E40="NM",G40="NM",E40=0),"NM",IF(E40&lt;0,-(G40/E40-1),G40/E40-1)))</f>
        <v>1.65114373812869</v>
      </c>
      <c r="H152" s="5">
        <f t="shared" si="135" ref="H152:P152">IF(AND(G40=0,H40=0),0,IF(OR(G40="NM",H40="NM",G40=0),"NM",IF(G40&lt;0,-(H40/G40-1),H40/G40-1)))</f>
        <v>-0.096063319168558</v>
      </c>
      <c r="I152" s="5">
        <f t="shared" si="135"/>
        <v>0.0275983863889748</v>
      </c>
      <c r="J152" s="5">
        <f t="shared" si="135"/>
        <v>0.0317221799066918</v>
      </c>
      <c r="K152" s="5">
        <f t="shared" si="135"/>
        <v>0.0352300606347662</v>
      </c>
      <c r="L152" s="5">
        <f t="shared" si="135"/>
        <v>0.0381876553901452</v>
      </c>
      <c r="M152" s="5">
        <f t="shared" si="135"/>
        <v>0.0394540006295283</v>
      </c>
      <c r="N152" s="5">
        <f t="shared" si="135"/>
        <v>0.0318508581868808</v>
      </c>
      <c r="O152" s="5">
        <f t="shared" si="135"/>
        <v>0.026105254130788</v>
      </c>
      <c r="P152" s="5">
        <f t="shared" si="135"/>
        <v>0.0289990881052102</v>
      </c>
    </row>
    <row customHeight="1" ht="15">
      <c r="A153" s="4" t="s">
        <v>157</v>
      </c>
      <c r="C153" s="5">
        <f t="shared" si="136" ref="C153:E153">IF(AND(C126=0,B126=0),0,IF(OR(B126=0,B126="NM",C126="NM"),"NM",IF(B126&lt;0,(C126/B126-1),-(C126/B126-1))))</f>
        <v>-0.00685651940003806</v>
      </c>
      <c r="D153" s="5">
        <f t="shared" si="136"/>
        <v>-0.496389840454486</v>
      </c>
      <c r="E153" s="5">
        <f t="shared" si="136"/>
        <v>0.122721646114283</v>
      </c>
      <c r="F153" s="6">
        <v>0.3152263574</v>
      </c>
      <c r="G153" s="5">
        <f>IF(AND(E126=0,G126=0),0,IF(OR(E126="NM",G126="NM",E126=0),"NM",IF(E126&lt;0,G126/E126-1,-(G126/E126-1))))</f>
        <v>0.0607184833124432</v>
      </c>
      <c r="H153" s="5">
        <f t="shared" si="137" ref="H153:P153">IF(AND(G126=0,H126=0),0,IF(OR(G126="NM",H126="NM",G126=0),"NM",IF(G126&lt;0,H126/G126-1,-(H126/G126-1))))</f>
        <v>0.0505301038683534</v>
      </c>
      <c r="I153" s="5">
        <f t="shared" si="137"/>
        <v>0.0561783371670046</v>
      </c>
      <c r="J153" s="5">
        <f t="shared" si="137"/>
        <v>0.0608809761897775</v>
      </c>
      <c r="K153" s="5">
        <f t="shared" si="137"/>
        <v>0.0647581252682625</v>
      </c>
      <c r="L153" s="5">
        <f t="shared" si="137"/>
        <v>0.0679289311107649</v>
      </c>
      <c r="M153" s="5">
        <f t="shared" si="137"/>
        <v>0.070504962252397</v>
      </c>
      <c r="N153" s="5">
        <f t="shared" si="137"/>
        <v>0.0725865505907439</v>
      </c>
      <c r="O153" s="5">
        <f t="shared" si="137"/>
        <v>0.0742612952002262</v>
      </c>
      <c r="P153" s="5">
        <f t="shared" si="137"/>
        <v>0.0756040016870638</v>
      </c>
    </row>
    <row customHeight="1" ht="15">
      <c r="A154" s="4" t="s">
        <v>158</v>
      </c>
      <c r="C154" s="5">
        <f t="shared" si="138" ref="C154:E156">IF(AND(C130=0,B130=0),0,IF(OR(B130=0,B130="NM",C130="NM"),"NM",IF(B130&lt;0,-(C130/B130-1),C130/B130-1)))</f>
        <v>0.564436537857272</v>
      </c>
      <c r="D154" s="5">
        <f t="shared" si="138"/>
        <v>-0.508405711842875</v>
      </c>
      <c r="E154" s="5">
        <f t="shared" si="138"/>
        <v>0.838511249084662</v>
      </c>
      <c r="F154" s="6">
        <v>0.8262379597</v>
      </c>
      <c r="G154" s="5">
        <f t="shared" si="140" ref="G154:G156">IF(AND(E130=0,G130=0),0,IF(OR(E130="NM",G130="NM",E130=0),"NM",IF(E130&lt;0,-(G130/E130-1),G130/E130-1)))</f>
        <v>0.571417538544699</v>
      </c>
      <c r="H154" s="5">
        <f t="shared" si="139" ref="H154:P156">IF(AND(G130=0,H130=0),0,IF(OR(G130="NM",H130="NM",G130=0),"NM",IF(G130&lt;0,-(H130/G130-1),H130/G130-1)))</f>
        <v>-0.15603243339406</v>
      </c>
      <c r="I154" s="5">
        <f t="shared" si="139"/>
        <v>0.025643322733774</v>
      </c>
      <c r="J154" s="5">
        <f t="shared" si="139"/>
        <v>0.0299984989865942</v>
      </c>
      <c r="K154" s="5">
        <f t="shared" si="139"/>
        <v>0.0337131648706115</v>
      </c>
      <c r="L154" s="5">
        <f t="shared" si="139"/>
        <v>0.0368520676138908</v>
      </c>
      <c r="M154" s="5">
        <f t="shared" si="139"/>
        <v>0.0382669001680345</v>
      </c>
      <c r="N154" s="5">
        <f t="shared" si="139"/>
        <v>0.0307199137459813</v>
      </c>
      <c r="O154" s="5">
        <f t="shared" si="139"/>
        <v>0.0249986181387762</v>
      </c>
      <c r="P154" s="5">
        <f t="shared" si="139"/>
        <v>0.0279654227339234</v>
      </c>
    </row>
    <row customHeight="1" ht="15">
      <c r="A155" s="4" t="s">
        <v>159</v>
      </c>
      <c r="C155" s="5">
        <f t="shared" si="138"/>
        <v>1.8566254947067</v>
      </c>
      <c r="D155" s="5">
        <f t="shared" si="138"/>
        <v>-4.23413886946717</v>
      </c>
      <c r="E155" s="5">
        <f t="shared" si="138"/>
        <v>-0.142955792356067</v>
      </c>
      <c r="F155" s="6">
        <v>-0.6505361383</v>
      </c>
      <c r="G155" s="5">
        <f t="shared" si="140"/>
        <v>2.34535010120232</v>
      </c>
      <c r="H155" s="5">
        <f t="shared" si="139"/>
        <v>-0.295806815214386</v>
      </c>
      <c r="I155" s="5">
        <f t="shared" si="139"/>
        <v>-0.00714211148414257</v>
      </c>
      <c r="J155" s="5">
        <f t="shared" si="139"/>
        <v>-0.004995723092867</v>
      </c>
      <c r="K155" s="5">
        <f t="shared" si="139"/>
        <v>-0.00383932940148968</v>
      </c>
      <c r="L155" s="5">
        <f t="shared" si="139"/>
        <v>-0.00367019135100055</v>
      </c>
      <c r="M155" s="5">
        <f t="shared" si="139"/>
        <v>-0.00896140053150363</v>
      </c>
      <c r="N155" s="5">
        <f t="shared" si="139"/>
        <v>-0.0487353797340404</v>
      </c>
      <c r="O155" s="5">
        <f t="shared" si="139"/>
        <v>-0.0889427437169591</v>
      </c>
      <c r="P155" s="5">
        <f t="shared" si="139"/>
        <v>-0.101198401932756</v>
      </c>
    </row>
    <row customHeight="1" ht="15">
      <c r="A156" s="4" t="s">
        <v>160</v>
      </c>
      <c r="C156" s="5">
        <f t="shared" si="138"/>
        <v>1.32019084081353</v>
      </c>
      <c r="D156" s="5">
        <f t="shared" si="138"/>
        <v>-0.851484414353335</v>
      </c>
      <c r="E156" s="5">
        <f t="shared" si="138"/>
        <v>5.33627183272529</v>
      </c>
      <c r="F156" s="6">
        <v>2.470789493</v>
      </c>
      <c r="G156" s="5">
        <f t="shared" si="140"/>
        <v>2.18222642175088</v>
      </c>
      <c r="H156" s="5">
        <f t="shared" si="139"/>
        <v>-0.0972017649261059</v>
      </c>
      <c r="I156" s="5">
        <f t="shared" si="139"/>
        <v>-0.0306340105829085</v>
      </c>
      <c r="J156" s="5">
        <f t="shared" si="139"/>
        <v>-0.0306685923476908</v>
      </c>
      <c r="K156" s="5">
        <f t="shared" si="139"/>
        <v>-0.0310894116252977</v>
      </c>
      <c r="L156" s="5">
        <f t="shared" si="139"/>
        <v>-0.0319049204645063</v>
      </c>
      <c r="M156" s="5">
        <f t="shared" si="139"/>
        <v>-0.0329451471351372</v>
      </c>
      <c r="N156" s="5">
        <f t="shared" si="139"/>
        <v>-0.0329807818793442</v>
      </c>
      <c r="O156" s="5">
        <f t="shared" si="139"/>
        <v>-0.0335282304765949</v>
      </c>
      <c r="P156" s="5">
        <f t="shared" si="139"/>
        <v>-0.0359608761034915</v>
      </c>
    </row>
    <row customHeight="1" ht="15">
      <c r="A157" s="4" t="s">
        <v>161</v>
      </c>
      <c r="C157" s="13">
        <v>1.1685209837</v>
      </c>
      <c r="D157" s="13">
        <v>2.383604845</v>
      </c>
      <c r="E157" s="13">
        <v>-2.1258783245</v>
      </c>
      <c r="F157" s="6">
        <v>-1.0819077101</v>
      </c>
      <c r="G157" s="5">
        <f>IF(AND(E52=0,G52=0),0,IF(OR(E52="NM",G52="NM",E52=0),"NM",IF(E52&lt;0,-(G52/E52-1),G52/E52-1)))</f>
        <v>0.249710637680046</v>
      </c>
      <c r="H157" s="5">
        <f t="shared" si="141" ref="H157:P157">IF(AND(G52=0,H52=0),0,IF(OR(G52="NM",H52="NM",G52=0),"NM",IF(G52&lt;0,-(H52/G52-1),H52/G52-1)))</f>
        <v>1</v>
      </c>
      <c r="I157" s="5" t="str">
        <f t="shared" si="141"/>
        <v>NM</v>
      </c>
      <c r="J157" s="5">
        <f t="shared" si="141"/>
        <v>1</v>
      </c>
      <c r="K157" s="5" t="str">
        <f t="shared" si="141"/>
        <v>NM</v>
      </c>
      <c r="L157" s="5">
        <f t="shared" si="141"/>
        <v>-1</v>
      </c>
      <c r="M157" s="5" t="str">
        <f t="shared" si="141"/>
        <v>NM</v>
      </c>
      <c r="N157" s="5">
        <f t="shared" si="141"/>
        <v>7.32167532954013</v>
      </c>
      <c r="O157" s="5">
        <f t="shared" si="141"/>
        <v>-0.0889427437169591</v>
      </c>
      <c r="P157" s="5">
        <f t="shared" si="141"/>
        <v>-0.101198401932756</v>
      </c>
    </row>
    <row customHeight="1" ht="15">
      <c r="A158" s="4" t="s">
        <v>163</v>
      </c>
      <c r="C158" s="5">
        <f t="shared" si="142" ref="C158:E161">IF(AND(C100=0,B100=0),0,IF(OR(B100=0,B100="NM",C100="NM"),"NM",IF(B100&lt;0,-(C100/B100-1),C100/B100-1)))</f>
        <v>0.0390906758159248</v>
      </c>
      <c r="D158" s="5">
        <f t="shared" si="142"/>
        <v>0.161408497958788</v>
      </c>
      <c r="E158" s="5">
        <f t="shared" si="142"/>
        <v>0.0240360888418132</v>
      </c>
      <c r="F158" s="6">
        <v>0.1387297648</v>
      </c>
      <c r="G158" s="5">
        <f t="shared" si="147" ref="G158:G161">IF(AND(E100=0,G100=0),0,IF(OR(E100="NM",G100="NM",E100=0),"NM",IF(E100&lt;0,-(G100/E100-1),G100/E100-1)))</f>
        <v>0.228997346393935</v>
      </c>
      <c r="H158" s="5">
        <f t="shared" si="143" ref="H158:P161">IF(AND(G100=0,H100=0),0,IF(OR(G100="NM",H100="NM",G100=0),"NM",IF(G100&lt;0,-(H100/G100-1),H100/G100-1)))</f>
        <v>-0.0553434289913947</v>
      </c>
      <c r="I158" s="5">
        <f t="shared" si="143"/>
        <v>-0.0581673401085393</v>
      </c>
      <c r="J158" s="5">
        <f t="shared" si="143"/>
        <v>-0.0614512053457326</v>
      </c>
      <c r="K158" s="5">
        <f t="shared" si="143"/>
        <v>-0.0652233259207807</v>
      </c>
      <c r="L158" s="5">
        <f t="shared" si="143"/>
        <v>-0.0695181487044646</v>
      </c>
      <c r="M158" s="5">
        <f t="shared" si="143"/>
        <v>-0.0655785459099885</v>
      </c>
      <c r="N158" s="5">
        <f t="shared" si="143"/>
        <v>0</v>
      </c>
      <c r="O158" s="5">
        <f t="shared" si="143"/>
        <v>0</v>
      </c>
      <c r="P158" s="5">
        <f t="shared" si="143"/>
        <v>0</v>
      </c>
    </row>
    <row customHeight="1" ht="15">
      <c r="A159" s="4" t="s">
        <v>164</v>
      </c>
      <c r="C159" s="25">
        <f t="shared" si="144" ref="C159:E163">IF(OR(B101=0,B101="NM",C101="NM"),"NM",C101-B101)</f>
        <v>-2.21889958095478</v>
      </c>
      <c r="D159" s="25">
        <f t="shared" si="144"/>
        <v>2.66290185068484</v>
      </c>
      <c r="E159" s="25">
        <f t="shared" si="144"/>
        <v>-2.73878872139843</v>
      </c>
      <c r="F159" s="32">
        <v>-2.0705896275</v>
      </c>
      <c r="G159" s="25">
        <f t="shared" si="146" ref="G159:G163">IF(OR(E101="NM",G101="NM"),"NM",G101-E101)</f>
        <v>0.831896711826241</v>
      </c>
      <c r="H159" s="25">
        <f t="shared" si="145" ref="H159:P163">IF(OR(G101="NM",H101="NM"),"NM",H101-G101)</f>
        <v>-0.26353743406415</v>
      </c>
      <c r="I159" s="25">
        <f t="shared" si="145"/>
        <v>-0.28015736913509</v>
      </c>
      <c r="J159" s="25">
        <f t="shared" si="145"/>
        <v>-0.2923102053089</v>
      </c>
      <c r="K159" s="25">
        <f t="shared" si="145"/>
        <v>-0.30012231020739</v>
      </c>
      <c r="L159" s="25">
        <f t="shared" si="145"/>
        <v>-0.30378940232646</v>
      </c>
      <c r="M159" s="25">
        <f t="shared" si="145"/>
        <v>-0.27516838700197</v>
      </c>
      <c r="N159" s="25">
        <f t="shared" si="145"/>
        <v>-0.0671856307822503</v>
      </c>
      <c r="O159" s="25">
        <f t="shared" si="145"/>
        <v>-0.0737860905578698</v>
      </c>
      <c r="P159" s="25">
        <f t="shared" si="145"/>
        <v>-0.0793074900068302</v>
      </c>
    </row>
    <row customHeight="1" ht="15">
      <c r="A160" s="4" t="s">
        <v>165</v>
      </c>
      <c r="C160" s="25">
        <f t="shared" si="144"/>
        <v>-2.21889958095478</v>
      </c>
      <c r="D160" s="25">
        <f t="shared" si="144"/>
        <v>2.66290185068484</v>
      </c>
      <c r="E160" s="25">
        <f t="shared" si="144"/>
        <v>-2.73878872139843</v>
      </c>
      <c r="F160" s="32">
        <v>-2.0737118839</v>
      </c>
      <c r="G160" s="25">
        <f t="shared" si="146"/>
        <v>0.831896711826241</v>
      </c>
      <c r="H160" s="25">
        <f t="shared" si="145"/>
        <v>-0.26353743406415</v>
      </c>
      <c r="I160" s="25">
        <f t="shared" si="145"/>
        <v>-0.28015736913509</v>
      </c>
      <c r="J160" s="25">
        <f t="shared" si="145"/>
        <v>-0.2923102053089</v>
      </c>
      <c r="K160" s="25">
        <f t="shared" si="145"/>
        <v>-0.30012231020739</v>
      </c>
      <c r="L160" s="25">
        <f t="shared" si="145"/>
        <v>-0.30378940232646</v>
      </c>
      <c r="M160" s="25">
        <f t="shared" si="145"/>
        <v>-0.27516838700197</v>
      </c>
      <c r="N160" s="25">
        <f t="shared" si="145"/>
        <v>-0.0671856307822503</v>
      </c>
      <c r="O160" s="25">
        <f t="shared" si="145"/>
        <v>-0.0737860905578698</v>
      </c>
      <c r="P160" s="25">
        <f t="shared" si="145"/>
        <v>-0.0793074900068302</v>
      </c>
    </row>
    <row customHeight="1" ht="15">
      <c r="A161" s="4" t="s">
        <v>166</v>
      </c>
      <c r="C161" s="5">
        <f t="shared" si="142"/>
        <v>0.0211312756703546</v>
      </c>
      <c r="D161" s="5">
        <f t="shared" si="142"/>
        <v>0.148647128813483</v>
      </c>
      <c r="E161" s="5">
        <f t="shared" si="142"/>
        <v>0.0656951076020225</v>
      </c>
      <c r="F161" s="6">
        <v>0.1286834643</v>
      </c>
      <c r="G161" s="5">
        <f t="shared" si="147"/>
        <v>0.288539583848392</v>
      </c>
      <c r="H161" s="5">
        <f t="shared" si="143"/>
        <v>-0.0553434289913947</v>
      </c>
      <c r="I161" s="5">
        <f t="shared" si="143"/>
        <v>-0.0581673401085393</v>
      </c>
      <c r="J161" s="5">
        <f t="shared" si="143"/>
        <v>-0.0614512053457326</v>
      </c>
      <c r="K161" s="5">
        <f t="shared" si="143"/>
        <v>-0.0652233259207807</v>
      </c>
      <c r="L161" s="5">
        <f t="shared" si="143"/>
        <v>-0.0695181487044646</v>
      </c>
      <c r="M161" s="5">
        <f t="shared" si="143"/>
        <v>-0.0740424637340207</v>
      </c>
      <c r="N161" s="5">
        <f t="shared" si="143"/>
        <v>-0.0760660974060766</v>
      </c>
      <c r="O161" s="5">
        <f t="shared" si="143"/>
        <v>-0.0750059823591062</v>
      </c>
      <c r="P161" s="5">
        <f t="shared" si="143"/>
        <v>-0.0728820895306023</v>
      </c>
    </row>
    <row customHeight="1" ht="15">
      <c r="A162" s="4" t="s">
        <v>167</v>
      </c>
      <c r="C162" s="25">
        <f t="shared" si="144"/>
        <v>-2.15715941387706</v>
      </c>
      <c r="D162" s="25">
        <f t="shared" si="144"/>
        <v>2.40010428668575</v>
      </c>
      <c r="E162" s="25">
        <f t="shared" si="144"/>
        <v>-2.36478632458596</v>
      </c>
      <c r="F162" s="32">
        <v>-1.9964260512</v>
      </c>
      <c r="G162" s="25">
        <f t="shared" si="146"/>
        <v>1.01201427517511</v>
      </c>
      <c r="H162" s="25">
        <f t="shared" si="145"/>
        <v>-0.26353743406415</v>
      </c>
      <c r="I162" s="25">
        <f t="shared" si="145"/>
        <v>-0.28015736913509</v>
      </c>
      <c r="J162" s="25">
        <f t="shared" si="145"/>
        <v>-0.2923102053089</v>
      </c>
      <c r="K162" s="25">
        <f t="shared" si="145"/>
        <v>-0.30012231020739</v>
      </c>
      <c r="L162" s="25">
        <f t="shared" si="145"/>
        <v>-0.30378940232646</v>
      </c>
      <c r="M162" s="25">
        <f t="shared" si="145"/>
        <v>-0.3024752494832</v>
      </c>
      <c r="N162" s="25">
        <f t="shared" si="145"/>
        <v>-0.28875165455448</v>
      </c>
      <c r="O162" s="25">
        <f t="shared" si="145"/>
        <v>-0.26490262814824</v>
      </c>
      <c r="P162" s="25">
        <f t="shared" si="145"/>
        <v>-0.23964527185173</v>
      </c>
    </row>
    <row customHeight="1" ht="15">
      <c r="A163" s="4" t="s">
        <v>168</v>
      </c>
      <c r="C163" s="25">
        <f t="shared" si="144"/>
        <v>-2.15715941387706</v>
      </c>
      <c r="D163" s="25">
        <f t="shared" si="144"/>
        <v>2.40010428668575</v>
      </c>
      <c r="E163" s="25">
        <f t="shared" si="144"/>
        <v>-2.36478632458596</v>
      </c>
      <c r="F163" s="32">
        <v>-1.9993316529</v>
      </c>
      <c r="G163" s="25">
        <f t="shared" si="146"/>
        <v>1.01201427517511</v>
      </c>
      <c r="H163" s="25">
        <f t="shared" si="145"/>
        <v>-0.26353743406415</v>
      </c>
      <c r="I163" s="25">
        <f t="shared" si="145"/>
        <v>-0.28015736913509</v>
      </c>
      <c r="J163" s="25">
        <f t="shared" si="145"/>
        <v>-0.2923102053089</v>
      </c>
      <c r="K163" s="25">
        <f t="shared" si="145"/>
        <v>-0.30012231020739</v>
      </c>
      <c r="L163" s="25">
        <f t="shared" si="145"/>
        <v>-0.30378940232646</v>
      </c>
      <c r="M163" s="25">
        <f t="shared" si="145"/>
        <v>-0.3024752494832</v>
      </c>
      <c r="N163" s="25">
        <f t="shared" si="145"/>
        <v>-0.28875165455448</v>
      </c>
      <c r="O163" s="25">
        <f t="shared" si="145"/>
        <v>-0.26490262814824</v>
      </c>
      <c r="P163" s="25">
        <f t="shared" si="145"/>
        <v>-0.23964527185173</v>
      </c>
    </row>
    <row customHeight="1" ht="15">
      <c r="A164" s="4" t="s">
        <v>169</v>
      </c>
      <c r="C164" s="33">
        <f t="shared" si="148" ref="C164:E166">IF(OR(B119=0,B119="NM",C119="NM"),"NM",10000*(C119-B119))</f>
        <v>918.24765284782</v>
      </c>
      <c r="D164" s="33">
        <f t="shared" si="148"/>
        <v>-976.44884059562</v>
      </c>
      <c r="E164" s="33">
        <f t="shared" si="148"/>
        <v>1158.93975928538</v>
      </c>
      <c r="F164" s="34">
        <v>1167.572569</v>
      </c>
      <c r="G164" s="33">
        <f t="shared" si="150" ref="G164:G166">IF(OR(E119="NM",G119="NM"),"NM",10000*(G119-E119))</f>
        <v>43.54228788706</v>
      </c>
      <c r="H164" s="33">
        <f t="shared" si="149" ref="H164:P166">IF(OR(G119="NM",H119="NM"),"NM",10000*(H119-G119))</f>
        <v>1.36573715951993</v>
      </c>
      <c r="I164" s="33">
        <f t="shared" si="149"/>
        <v>16.7247134075305</v>
      </c>
      <c r="J164" s="33">
        <f t="shared" si="149"/>
        <v>31.1096505227698</v>
      </c>
      <c r="K164" s="33">
        <f t="shared" si="149"/>
        <v>44.7637168862902</v>
      </c>
      <c r="L164" s="33">
        <f t="shared" si="149"/>
        <v>57.9029662879599</v>
      </c>
      <c r="M164" s="33">
        <f t="shared" si="149"/>
        <v>70.7209416270799</v>
      </c>
      <c r="N164" s="33">
        <f t="shared" si="149"/>
        <v>83.3926634069498</v>
      </c>
      <c r="O164" s="33">
        <f t="shared" si="149"/>
        <v>96.0780967479802</v>
      </c>
      <c r="P164" s="33">
        <f t="shared" si="149"/>
        <v>108.92517737668</v>
      </c>
    </row>
    <row customHeight="1" ht="15">
      <c r="A165" s="4" t="s">
        <v>170</v>
      </c>
      <c r="C165" s="33">
        <f t="shared" si="148"/>
        <v>918.24765284782</v>
      </c>
      <c r="D165" s="33">
        <f t="shared" si="148"/>
        <v>-976.44884059562</v>
      </c>
      <c r="E165" s="33">
        <f t="shared" si="148"/>
        <v>1158.93975928538</v>
      </c>
      <c r="F165" s="34">
        <v>1172.558278</v>
      </c>
      <c r="G165" s="33">
        <f t="shared" si="150"/>
        <v>43.54228788706</v>
      </c>
      <c r="H165" s="33">
        <f t="shared" si="149"/>
        <v>1.36573715951993</v>
      </c>
      <c r="I165" s="33">
        <f t="shared" si="149"/>
        <v>16.7247134075305</v>
      </c>
      <c r="J165" s="33">
        <f t="shared" si="149"/>
        <v>31.1096505227698</v>
      </c>
      <c r="K165" s="33">
        <f t="shared" si="149"/>
        <v>44.7637168862902</v>
      </c>
      <c r="L165" s="33">
        <f t="shared" si="149"/>
        <v>57.9029662879599</v>
      </c>
      <c r="M165" s="33">
        <f t="shared" si="149"/>
        <v>70.7209416270799</v>
      </c>
      <c r="N165" s="33">
        <f t="shared" si="149"/>
        <v>83.3926634069498</v>
      </c>
      <c r="O165" s="33">
        <f t="shared" si="149"/>
        <v>96.0780967479802</v>
      </c>
      <c r="P165" s="33">
        <f t="shared" si="149"/>
        <v>108.92517737668</v>
      </c>
    </row>
    <row customHeight="1" ht="15">
      <c r="A166" s="4" t="s">
        <v>171</v>
      </c>
      <c r="C166" s="33">
        <f t="shared" si="148"/>
        <v>916.352056111388</v>
      </c>
      <c r="D166" s="33">
        <f t="shared" si="148"/>
        <v>-1143.72957000516</v>
      </c>
      <c r="E166" s="33">
        <f t="shared" si="148"/>
        <v>1387.41135477314</v>
      </c>
      <c r="F166" s="34">
        <v>1290.307788</v>
      </c>
      <c r="G166" s="33">
        <f t="shared" si="150"/>
        <v>0</v>
      </c>
      <c r="H166" s="33">
        <f t="shared" si="149"/>
        <v>0</v>
      </c>
      <c r="I166" s="33">
        <f t="shared" si="149"/>
        <v>0</v>
      </c>
      <c r="J166" s="33">
        <f t="shared" si="149"/>
        <v>0</v>
      </c>
      <c r="K166" s="33">
        <f t="shared" si="149"/>
        <v>0</v>
      </c>
      <c r="L166" s="33">
        <f t="shared" si="149"/>
        <v>0</v>
      </c>
      <c r="M166" s="33">
        <f t="shared" si="149"/>
        <v>0</v>
      </c>
      <c r="N166" s="33">
        <f t="shared" si="149"/>
        <v>0</v>
      </c>
      <c r="O166" s="33">
        <f t="shared" si="149"/>
        <v>0</v>
      </c>
      <c r="P166" s="33">
        <f t="shared" si="149"/>
        <v>0</v>
      </c>
    </row>
    <row customHeight="1" ht="1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</row>
    <row r="170" customHeight="1" ht="30">
      <c r="A170" s="4"/>
    </row>
    <row customHeight="1" ht="54">
      <c r="A171" s="35" t="s">
        <v>172</v>
      </c>
    </row>
    <row r="175" customHeight="1" ht="15">
      <c r="A175" s="35" t="s">
        <v>173</v>
      </c>
    </row>
    <row customHeight="1" ht="15">
      <c r="A176" s="36" t="s">
        <v>174</v>
      </c>
    </row>
  </sheetData>
  <hyperlinks>
    <hyperlink ref="A176" r:id="rId1" tooltip="Source location" xr:uid="{27AEC1A8-A4D8-0DE2-7453-F0497F62F128}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