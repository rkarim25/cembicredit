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Dangote Fertiliser</t>
        </is>
      </c>
    </row>
    <row r="3">
      <c r="B3" s="2" t="inlineStr">
        <is>
          <t>CEMBI CEEMEA Institutional Credit Assessment | Country: Nigeria (Africa) | Sector: Materials | Benchmark: DANFER 11.50%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DANFER 11.50% 2028</t>
        </is>
      </c>
      <c r="C6" s="5" t="inlineStr">
        <is>
          <t>11.50% (+715 bp)</t>
        </is>
      </c>
      <c r="D6" s="4" t="inlineStr">
        <is>
          <t>B / B2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$60.00</t>
        </is>
      </c>
      <c r="D7" s="4" t="inlineStr">
        <is>
          <t>Base Case Fair Value</t>
        </is>
      </c>
      <c r="E7" s="5" t="inlineStr">
        <is>
          <t>$98.00</t>
        </is>
      </c>
    </row>
    <row r="9">
      <c r="B9" s="6" t="inlineStr">
        <is>
          <t>INSTITUTIONAL INVESTMENT THESIS</t>
        </is>
      </c>
    </row>
    <row r="10">
      <c r="B10" s="7" t="inlineStr">
        <is>
          <t>World's largest single-train urea complex (3.0 mtpa); Lekki Free Zone tax holiday; dollar exports to US and Brazil.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Dangote Fertiliser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952</v>
      </c>
      <c r="D7" s="13" t="n">
        <v>1148</v>
      </c>
      <c r="E7" s="13" t="n">
        <v>1288</v>
      </c>
      <c r="F7" s="13" t="n">
        <v>1400</v>
      </c>
      <c r="G7" s="14" t="n">
        <v>1512</v>
      </c>
      <c r="H7" s="14" t="n">
        <v>1610</v>
      </c>
      <c r="I7" s="14" t="n">
        <v>1680</v>
      </c>
    </row>
    <row r="8">
      <c r="B8" s="12" t="inlineStr">
        <is>
          <t>EBITDA</t>
        </is>
      </c>
      <c r="C8" s="13" t="n">
        <v>422.5</v>
      </c>
      <c r="D8" s="13" t="n">
        <v>520</v>
      </c>
      <c r="E8" s="13" t="n">
        <v>585</v>
      </c>
      <c r="F8" s="13" t="n">
        <v>650</v>
      </c>
      <c r="G8" s="14" t="n">
        <v>715</v>
      </c>
      <c r="H8" s="14" t="n">
        <v>767</v>
      </c>
      <c r="I8" s="14" t="n">
        <v>806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102.1</v>
      </c>
      <c r="D10" s="17" t="n">
        <v>127.6</v>
      </c>
      <c r="E10" s="17" t="n">
        <v>153.1</v>
      </c>
      <c r="F10" s="17" t="n">
        <v>170.2</v>
      </c>
      <c r="G10" s="18" t="n">
        <v>163.4</v>
      </c>
      <c r="H10" s="18" t="n">
        <v>156.5</v>
      </c>
      <c r="I10" s="18" t="n">
        <v>149.7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342.6</v>
      </c>
      <c r="D12" s="13" t="n">
        <v>430.9</v>
      </c>
      <c r="E12" s="13" t="n">
        <v>486.2</v>
      </c>
      <c r="F12" s="13" t="n">
        <v>552.5</v>
      </c>
      <c r="G12" s="14" t="n">
        <v>607.8</v>
      </c>
      <c r="H12" s="14" t="n">
        <v>651.9</v>
      </c>
      <c r="I12" s="14" t="n">
        <v>690.6</v>
      </c>
    </row>
    <row r="13">
      <c r="B13" s="5" t="inlineStr">
        <is>
          <t>Capital Expenditures (Capex)</t>
        </is>
      </c>
      <c r="C13" s="17" t="n">
        <v>159.2</v>
      </c>
      <c r="D13" s="17" t="n">
        <v>193.4</v>
      </c>
      <c r="E13" s="17" t="n">
        <v>216.1</v>
      </c>
      <c r="F13" s="17" t="n">
        <v>227.5</v>
      </c>
      <c r="G13" s="18" t="n">
        <v>238.9</v>
      </c>
      <c r="H13" s="18" t="n">
        <v>232</v>
      </c>
      <c r="I13" s="18" t="n">
        <v>222.9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268.1</v>
      </c>
      <c r="D16" s="13" t="n">
        <v>341.2</v>
      </c>
      <c r="E16" s="13" t="n">
        <v>414.4</v>
      </c>
      <c r="F16" s="13" t="n">
        <v>487.5</v>
      </c>
      <c r="G16" s="14" t="n">
        <v>575.2</v>
      </c>
      <c r="H16" s="14" t="n">
        <v>658.1</v>
      </c>
      <c r="I16" s="14" t="n">
        <v>731.2</v>
      </c>
    </row>
    <row r="17">
      <c r="B17" s="12" t="inlineStr">
        <is>
          <t>Gross Total Debt</t>
        </is>
      </c>
      <c r="C17" s="13" t="n">
        <v>1944.8</v>
      </c>
      <c r="D17" s="13" t="n">
        <v>2105</v>
      </c>
      <c r="E17" s="13" t="n">
        <v>2242.2</v>
      </c>
      <c r="F17" s="13" t="n">
        <v>2288</v>
      </c>
      <c r="G17" s="14" t="n">
        <v>2242.2</v>
      </c>
      <c r="H17" s="14" t="n">
        <v>2173.6</v>
      </c>
      <c r="I17" s="14" t="n">
        <v>2059.2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Dangote Fertiliser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11.50%</t>
        </is>
      </c>
      <c r="F6" s="21" t="inlineStr">
        <is>
          <t>2028 / 2029</t>
        </is>
      </c>
      <c r="G6" s="17" t="n">
        <v>1029.6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572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343.2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228.8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114.4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414.4</v>
      </c>
    </row>
    <row r="15">
      <c r="B15" t="inlineStr">
        <is>
          <t>Committed Undrawn RCF Capacity</t>
        </is>
      </c>
      <c r="C15" s="22" t="n">
        <v>260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444.7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Dangote Fertiliser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650</v>
      </c>
      <c r="D6" s="17" t="n">
        <v>552.5</v>
      </c>
      <c r="E6" s="25" t="n">
        <v>422.5</v>
      </c>
    </row>
    <row r="7">
      <c r="B7" s="5" t="inlineStr">
        <is>
          <t>Free Cash Flow ($M)</t>
        </is>
      </c>
      <c r="C7" s="17" t="n">
        <v>325</v>
      </c>
      <c r="D7" s="17" t="n">
        <v>195</v>
      </c>
      <c r="E7" s="25" t="n">
        <v>48.8</v>
      </c>
    </row>
    <row r="8">
      <c r="B8" s="12" t="inlineStr">
        <is>
          <t>Net Leverage Ratio (x)</t>
        </is>
      </c>
      <c r="C8" s="26" t="n">
        <v>2.77</v>
      </c>
      <c r="D8" s="26" t="n">
        <v>3.46</v>
      </c>
      <c r="E8" s="27" t="n">
        <v>5.12</v>
      </c>
    </row>
    <row r="9">
      <c r="B9" s="5" t="inlineStr">
        <is>
          <t>Interest Coverage Ratio (x)</t>
        </is>
      </c>
      <c r="C9" s="26" t="n">
        <v>3.82</v>
      </c>
      <c r="D9" s="26" t="n">
        <v>2.98</v>
      </c>
      <c r="E9" s="27" t="n">
        <v>1.72</v>
      </c>
    </row>
    <row r="10">
      <c r="B10" s="12" t="inlineStr">
        <is>
          <t>Implied Senior Paper Trading / Recovery ($)</t>
        </is>
      </c>
      <c r="C10" s="12" t="inlineStr">
        <is>
          <t>$98.00</t>
        </is>
      </c>
      <c r="D10" s="12" t="inlineStr">
        <is>
          <t>$72.00</t>
        </is>
      </c>
      <c r="E10" s="28" t="inlineStr">
        <is>
          <t>$60.00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