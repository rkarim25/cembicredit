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Pre-Commercial Startup Adjustments: Reported EBITDA excludes +$35.9M (+8.5%) in commissioning feedstock and test-run startup flaring; Standardized Calculated EBITDA reflects full plant operating costs without capitalization.</t>
      </text>
    </comment>
    <comment ref="D36" authorId="0" shapeId="0">
      <text>
        <t>CEMBI Credit Desk EBITDA Audit (2022A):
Pre-Commercial Startup Adjustments: Reported EBITDA excludes +$44.2M (+8.5%) in commissioning feedstock and test-run startup flaring; Standardized Calculated EBITDA reflects full plant operating costs without capitalization.</t>
      </text>
    </comment>
    <comment ref="E36" authorId="0" shapeId="0">
      <text>
        <t>CEMBI Credit Desk EBITDA Audit (2023A):
Pre-Commercial Startup Adjustments: Reported EBITDA excludes +$49.7M (+8.5%) in commissioning feedstock and test-run startup flaring; Standardized Calculated EBITDA reflects full plant operating costs without capitalization.</t>
      </text>
    </comment>
    <comment ref="F36" authorId="0" shapeId="0">
      <text>
        <t>CEMBI Credit Desk EBITDA Audit (2024A):
Pre-Commercial Startup Adjustments: Reported EBITDA excludes +$55.2M (+8.5%) in commissioning feedstock and test-run startup flaring; Standardized Calculated EBITDA reflects full plant operating costs without capitalization.</t>
      </text>
    </comment>
    <comment ref="G36" authorId="0" shapeId="0">
      <text>
        <t>CEMBI Credit Desk EBITDA Audit (2025E):
Pre-Commercial Startup Adjustments: Reported EBITDA excludes +$60.8M (+8.5%) in commissioning feedstock and test-run startup flaring; Standardized Calculated EBITDA reflects full plant operating costs without capitalization.</t>
      </text>
    </comment>
    <comment ref="H36" authorId="0" shapeId="0">
      <text>
        <t>CEMBI Credit Desk EBITDA Audit (2026E):
Pre-Commercial Startup Adjustments: Reported EBITDA excludes +$65.2M (+8.5%) in commissioning feedstock and test-run startup flaring; Standardized Calculated EBITDA reflects full plant operating costs without capitalization.</t>
      </text>
    </comment>
    <comment ref="I36" authorId="0" shapeId="0">
      <text>
        <t>CEMBI Credit Desk EBITDA Audit (2027E):
Pre-Commercial Startup Adjustments: Reported EBITDA excludes +$68.5M (+8.5%) in commissioning feedstock and test-run startup flaring; Standardized Calculated EBITDA reflects full plant operating costs without capitalization.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Pre-Commercial Startup Adjustments: Reported EBITDA excludes +$35.9M (+8.5%) in commissioning feedstock and test-run startup flaring; Standardized Calculated EBITDA reflects full plant operating costs without capitalization.</t>
      </text>
    </comment>
    <comment ref="D9" authorId="0" shapeId="0">
      <text>
        <t>CEMBI Credit Desk Reported Leverage Commentary (2022A):
Pre-Commercial Startup Adjustments: Reported EBITDA excludes +$44.2M (+8.5%) in commissioning feedstock and test-run startup flaring; Standardized Calculated EBITDA reflects full plant operating costs without capitalization.</t>
      </text>
    </comment>
    <comment ref="E9" authorId="0" shapeId="0">
      <text>
        <t>CEMBI Credit Desk Reported Leverage Commentary (2023A):
Pre-Commercial Startup Adjustments: Reported EBITDA excludes +$49.7M (+8.5%) in commissioning feedstock and test-run startup flaring; Standardized Calculated EBITDA reflects full plant operating costs without capitalization.</t>
      </text>
    </comment>
    <comment ref="F9" authorId="0" shapeId="0">
      <text>
        <t>CEMBI Credit Desk Reported Leverage Commentary (2024A):
Pre-Commercial Startup Adjustments: Reported EBITDA excludes +$55.2M (+8.5%) in commissioning feedstock and test-run startup flaring; Standardized Calculated EBITDA reflects full plant operating costs without capitalization.</t>
      </text>
    </comment>
    <comment ref="G9" authorId="0" shapeId="0">
      <text>
        <t>CEMBI Credit Desk Reported Leverage Commentary (2025E):
Pre-Commercial Startup Adjustments: Reported EBITDA excludes +$60.8M (+8.5%) in commissioning feedstock and test-run startup flaring; Standardized Calculated EBITDA reflects full plant operating costs without capitalization.</t>
      </text>
    </comment>
    <comment ref="H9" authorId="0" shapeId="0">
      <text>
        <t>CEMBI Credit Desk Reported Leverage Commentary (2026E):
Pre-Commercial Startup Adjustments: Reported EBITDA excludes +$65.2M (+8.5%) in commissioning feedstock and test-run startup flaring; Standardized Calculated EBITDA reflects full plant operating costs without capitalization.</t>
      </text>
    </comment>
    <comment ref="I9" authorId="0" shapeId="0">
      <text>
        <t>CEMBI Credit Desk Reported Leverage Commentary (2027E):
Pre-Commercial Startup Adjustments: Reported EBITDA excludes +$68.5M (+8.5%) in commissioning feedstock and test-run startup flaring; Standardized Calculated EBITDA reflects full plant operating costs without capitalization.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2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Dangote Fertiliser (DANFER) — Institutional Credit Model</t>
        </is>
      </c>
    </row>
    <row r="3">
      <c r="B3" s="2" t="inlineStr">
        <is>
          <t>Sector: Materials | Country: Nigeria | Rating: B / B2 | Benchmark: DANFER 11.50% 2028 @ $96.00 (11.50% YTM / +715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World's largest single-train urea complex (3.0 mtpa); Lekki Free Zone tax holiday; dollar exports to US and Brazil.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DANFER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1029.6</v>
      </c>
      <c r="F26" s="7" t="inlineStr">
        <is>
          <t>11.50%</t>
        </is>
      </c>
      <c r="G26" s="7" t="inlineStr">
        <is>
          <t>$96.00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DANFER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686.4</v>
      </c>
      <c r="F27" s="7" t="inlineStr">
        <is>
          <t>10.75%</t>
        </is>
      </c>
      <c r="G27" s="7" t="inlineStr">
        <is>
          <t>$98.50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572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Dangote Fertiliser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Run-of-Mine Ore / Material Output (Mt)</t>
        </is>
      </c>
      <c r="C6" s="13" t="n">
        <v>14.5</v>
      </c>
      <c r="D6" s="13" t="n">
        <v>15.2</v>
      </c>
      <c r="E6" s="13" t="n">
        <v>16</v>
      </c>
      <c r="F6" s="13" t="n">
        <v>16.8</v>
      </c>
      <c r="G6" s="13" t="n">
        <v>17.5</v>
      </c>
      <c r="H6" s="13" t="n">
        <v>18.2</v>
      </c>
      <c r="I6" s="13" t="n">
        <v>19</v>
      </c>
    </row>
    <row r="7">
      <c r="B7" s="7" t="inlineStr">
        <is>
          <t>Finished Commercial Shipments (Mt)</t>
        </is>
      </c>
      <c r="C7" s="13" t="n">
        <v>9.800000000000001</v>
      </c>
      <c r="D7" s="13" t="n">
        <v>10.4</v>
      </c>
      <c r="E7" s="13" t="n">
        <v>11.1</v>
      </c>
      <c r="F7" s="13" t="n">
        <v>11.8</v>
      </c>
      <c r="G7" s="13" t="n">
        <v>12.4</v>
      </c>
      <c r="H7" s="13" t="n">
        <v>13</v>
      </c>
      <c r="I7" s="13" t="n">
        <v>13.6</v>
      </c>
    </row>
    <row r="8">
      <c r="B8" s="7" t="inlineStr">
        <is>
          <t>Realized Average Selling Price ($/t)</t>
        </is>
      </c>
      <c r="C8" s="14" t="n">
        <v>480</v>
      </c>
      <c r="D8" s="14" t="n">
        <v>640</v>
      </c>
      <c r="E8" s="14" t="n">
        <v>520</v>
      </c>
      <c r="F8" s="14" t="n">
        <v>510</v>
      </c>
      <c r="G8" s="14" t="n">
        <v>500</v>
      </c>
      <c r="H8" s="14" t="n">
        <v>490</v>
      </c>
      <c r="I8" s="14" t="n">
        <v>485</v>
      </c>
    </row>
    <row r="9">
      <c r="B9" s="7" t="inlineStr">
        <is>
          <t>Cash Production Cost ($/t)</t>
        </is>
      </c>
      <c r="C9" s="14" t="n">
        <v>290</v>
      </c>
      <c r="D9" s="14" t="n">
        <v>345</v>
      </c>
      <c r="E9" s="14" t="n">
        <v>330</v>
      </c>
      <c r="F9" s="14" t="n">
        <v>325</v>
      </c>
      <c r="G9" s="14" t="n">
        <v>320</v>
      </c>
      <c r="H9" s="14" t="n">
        <v>315</v>
      </c>
      <c r="I9" s="14" t="n">
        <v>310</v>
      </c>
    </row>
    <row r="10">
      <c r="B10" s="7" t="inlineStr">
        <is>
          <t>Capacity Utilization Rate (%)</t>
        </is>
      </c>
      <c r="C10" s="13" t="n">
        <v>84</v>
      </c>
      <c r="D10" s="13" t="n">
        <v>86.5</v>
      </c>
      <c r="E10" s="13" t="n">
        <v>88</v>
      </c>
      <c r="F10" s="13" t="n">
        <v>89.5</v>
      </c>
      <c r="G10" s="13" t="n">
        <v>90.5</v>
      </c>
      <c r="H10" s="13" t="n">
        <v>91.5</v>
      </c>
      <c r="I10" s="13" t="n">
        <v>92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Primary Industrial Commodities</t>
        </is>
      </c>
      <c r="C15" s="8" t="n">
        <v>571.2</v>
      </c>
      <c r="D15" s="8" t="n">
        <v>688.8</v>
      </c>
      <c r="E15" s="8" t="n">
        <v>772.8</v>
      </c>
      <c r="F15" s="8" t="n">
        <v>840</v>
      </c>
      <c r="G15" s="8" t="n">
        <v>907.2</v>
      </c>
      <c r="H15" s="8" t="n">
        <v>966</v>
      </c>
      <c r="I15" s="8" t="n">
        <v>1008</v>
      </c>
    </row>
    <row r="16">
      <c r="B16" s="7" t="inlineStr">
        <is>
          <t>High-Margin Value-Added Products</t>
        </is>
      </c>
      <c r="C16" s="8" t="n">
        <v>266.6</v>
      </c>
      <c r="D16" s="8" t="n">
        <v>321.4</v>
      </c>
      <c r="E16" s="8" t="n">
        <v>360.6</v>
      </c>
      <c r="F16" s="8" t="n">
        <v>392</v>
      </c>
      <c r="G16" s="8" t="n">
        <v>423.4</v>
      </c>
      <c r="H16" s="8" t="n">
        <v>450.8</v>
      </c>
      <c r="I16" s="8" t="n">
        <v>470.4</v>
      </c>
    </row>
    <row r="17">
      <c r="B17" s="7" t="inlineStr">
        <is>
          <t>By-Product Processing &amp; Industrial Logistics</t>
        </is>
      </c>
      <c r="C17" s="8" t="n">
        <v>114.2</v>
      </c>
      <c r="D17" s="8" t="n">
        <v>137.8</v>
      </c>
      <c r="E17" s="8" t="n">
        <v>154.6</v>
      </c>
      <c r="F17" s="8" t="n">
        <v>168</v>
      </c>
      <c r="G17" s="8" t="n">
        <v>181.4</v>
      </c>
      <c r="H17" s="8" t="n">
        <v>193.2</v>
      </c>
      <c r="I17" s="8" t="n">
        <v>201.6</v>
      </c>
    </row>
    <row r="18">
      <c r="B18" s="15" t="inlineStr">
        <is>
          <t>Total Consolidated Revenue (Feeds P&amp;L)</t>
        </is>
      </c>
      <c r="C18" s="16">
        <f>SUM(C15:C17)</f>
        <v/>
      </c>
      <c r="D18" s="16">
        <f>SUM(D15:D17)</f>
        <v/>
      </c>
      <c r="E18" s="16">
        <f>SUM(E15:E17)</f>
        <v/>
      </c>
      <c r="F18" s="16">
        <f>SUM(F15:F17)</f>
        <v/>
      </c>
      <c r="G18" s="16">
        <f>SUM(G15:G17)</f>
        <v/>
      </c>
      <c r="H18" s="16">
        <f>SUM(H15:H17)</f>
        <v/>
      </c>
      <c r="I18" s="16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Dangote Fertiliser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Primary Industrial Commodities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High-Margin Value-Added Products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By-Product Processing &amp; Industrial Logistics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35.9</v>
      </c>
      <c r="D35" s="24" t="n">
        <v>44.2</v>
      </c>
      <c r="E35" s="24" t="n">
        <v>49.7</v>
      </c>
      <c r="F35" s="24" t="n">
        <v>55.2</v>
      </c>
      <c r="G35" s="24" t="n">
        <v>60.8</v>
      </c>
      <c r="H35" s="24" t="n">
        <v>65.2</v>
      </c>
      <c r="I35" s="24" t="n">
        <v>68.5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Material Add-backs</t>
        </is>
      </c>
      <c r="D39" s="25" t="inlineStr">
        <is>
          <t>Material Add-backs</t>
        </is>
      </c>
      <c r="E39" s="25" t="inlineStr">
        <is>
          <t>Material Add-backs</t>
        </is>
      </c>
      <c r="F39" s="25" t="inlineStr">
        <is>
          <t>Material Add-backs</t>
        </is>
      </c>
      <c r="G39" s="25" t="inlineStr">
        <is>
          <t>Material Add-backs</t>
        </is>
      </c>
      <c r="H39" s="25" t="inlineStr">
        <is>
          <t>Material Add-backs</t>
        </is>
      </c>
      <c r="I39" s="25" t="inlineStr">
        <is>
          <t>Material Add-backs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Pre-Commercial Startup Adjustments: Reported EBITDA excludes +$35.9M (+8.5%) in commissioning feedstock and test-run startup flaring; Standardized Calculated EBITDA reflects full plant operating costs without capitalization.</t>
        </is>
      </c>
    </row>
    <row r="43">
      <c r="B43" s="26" t="inlineStr">
        <is>
          <t>[2022A] Pre-Commercial Startup Adjustments: Reported EBITDA excludes +$44.2M (+8.5%) in commissioning feedstock and test-run startup flaring; Standardized Calculated EBITDA reflects full plant operating costs without capitalization.</t>
        </is>
      </c>
    </row>
    <row r="44">
      <c r="B44" s="26" t="inlineStr">
        <is>
          <t>[2023A] Pre-Commercial Startup Adjustments: Reported EBITDA excludes +$49.7M (+8.5%) in commissioning feedstock and test-run startup flaring; Standardized Calculated EBITDA reflects full plant operating costs without capitalization.</t>
        </is>
      </c>
    </row>
    <row r="45">
      <c r="B45" s="26" t="inlineStr">
        <is>
          <t>[2024A] Pre-Commercial Startup Adjustments: Reported EBITDA excludes +$55.2M (+8.5%) in commissioning feedstock and test-run startup flaring; Standardized Calculated EBITDA reflects full plant operating costs without capitalization.</t>
        </is>
      </c>
    </row>
    <row r="46">
      <c r="B46" s="26" t="inlineStr">
        <is>
          <t>[2025E] Pre-Commercial Startup Adjustments: Reported EBITDA excludes +$60.8M (+8.5%) in commissioning feedstock and test-run startup flaring; Standardized Calculated EBITDA reflects full plant operating costs without capitalization.</t>
        </is>
      </c>
    </row>
    <row r="47">
      <c r="B47" s="26" t="inlineStr">
        <is>
          <t>[2026E] Pre-Commercial Startup Adjustments: Reported EBITDA excludes +$65.2M (+8.5%) in commissioning feedstock and test-run startup flaring; Standardized Calculated EBITDA reflects full plant operating costs without capitalization.</t>
        </is>
      </c>
    </row>
    <row r="48">
      <c r="B48" s="26" t="inlineStr">
        <is>
          <t>[2027E] Pre-Commercial Startup Adjustments: Reported EBITDA excludes +$68.5M (+8.5%) in commissioning feedstock and test-run startup flaring; Standardized Calculated EBITDA reflects full plant operating costs without capitalization.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Dangote Fertiliser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1428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333.2</v>
      </c>
      <c r="D36" s="8" t="n">
        <v>333.2</v>
      </c>
      <c r="E36" s="8" t="n">
        <v>333.2</v>
      </c>
      <c r="F36" s="8" t="n">
        <v>333.2</v>
      </c>
      <c r="G36" s="8" t="n">
        <v>333.2</v>
      </c>
      <c r="H36" s="8" t="n">
        <v>333.2</v>
      </c>
      <c r="I36" s="8" t="n">
        <v>333.2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Dangote Fertiliser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-200.7</v>
      </c>
      <c r="D16" s="8" t="n">
        <v>-351</v>
      </c>
      <c r="E16" s="8" t="n">
        <v>-394.9</v>
      </c>
      <c r="F16" s="8" t="n">
        <v>-373.7</v>
      </c>
      <c r="G16" s="8" t="n">
        <v>-339.6</v>
      </c>
      <c r="H16" s="8" t="n">
        <v>-364.3</v>
      </c>
      <c r="I16" s="8" t="n">
        <v>-382.8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268.1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51.3</v>
      </c>
      <c r="D32" s="8" t="n">
        <v>102.7</v>
      </c>
      <c r="E32" s="8" t="n">
        <v>116.6</v>
      </c>
      <c r="F32" s="8" t="n">
        <v>78.3</v>
      </c>
      <c r="G32" s="8" t="n">
        <v>81.40000000000001</v>
      </c>
      <c r="H32" s="8" t="n">
        <v>84</v>
      </c>
      <c r="I32" s="8" t="n">
        <v>85.59999999999999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Operating cash flow comfortably covers operational working capital needs and debt service.</t>
        </is>
      </c>
    </row>
    <row r="39">
      <c r="B39" s="26" t="inlineStr">
        <is>
          <t>[2022A] Working capital absorption due to higher inventory values temporarily dampens FCF.</t>
        </is>
      </c>
    </row>
    <row r="40">
      <c r="B40" s="26" t="inlineStr">
        <is>
          <t>[2023A] Positive FCF generation resumes as working capital investments reverse into cash.</t>
        </is>
      </c>
    </row>
    <row r="41">
      <c r="B41" s="26" t="inlineStr">
        <is>
          <t>[2024A] Robust operating cash flow supports debt amortization and unencumbered cash build.</t>
        </is>
      </c>
    </row>
    <row r="42">
      <c r="B42" s="26" t="inlineStr">
        <is>
          <t>[2025E] Solid free cash flow generation enables continued deleveraging and dividend flexibility.</t>
        </is>
      </c>
    </row>
    <row r="43">
      <c r="B43" s="26" t="inlineStr">
        <is>
          <t>[2026E] Expanding FCF conversion provides flexible options for bond refinancing or early tender.</t>
        </is>
      </c>
    </row>
    <row r="44">
      <c r="B44" s="26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1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Dangote Fertiliser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DANFER Benchmark Eurobond Notes</t>
        </is>
      </c>
    </row>
    <row r="7">
      <c r="B7" s="7" t="inlineStr">
        <is>
          <t xml:space="preserve">  Beginning Principal Balance</t>
        </is>
      </c>
      <c r="C7" s="8" t="n">
        <v>875.2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291.7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194.5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0.1150</f>
        <v/>
      </c>
      <c r="D11" s="8">
        <f>D10 * 0.1150</f>
        <v/>
      </c>
      <c r="E11" s="8">
        <f>E10 * 0.1150</f>
        <v/>
      </c>
      <c r="F11" s="8">
        <f>F10 * 0.1150</f>
        <v/>
      </c>
      <c r="G11" s="8">
        <f>G10 * 0.1150</f>
        <v/>
      </c>
      <c r="H11" s="8">
        <f>H10 * 0.1150</f>
        <v/>
      </c>
      <c r="I11" s="8">
        <f>I10 * 0.1150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1069.6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274.6</v>
      </c>
      <c r="C32" s="8" t="n">
        <v>503.4</v>
      </c>
      <c r="D32" s="8" t="n">
        <v>640.6</v>
      </c>
      <c r="E32" s="8" t="n">
        <v>411.8</v>
      </c>
      <c r="F32" s="8" t="n">
        <v>274.6</v>
      </c>
      <c r="G32" s="8" t="n">
        <v>183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DANFER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1029.6</v>
      </c>
      <c r="F37" s="30" t="inlineStr">
        <is>
          <t>11.500%</t>
        </is>
      </c>
      <c r="G37" s="31" t="n">
        <v>96</v>
      </c>
      <c r="H37" s="32" t="n">
        <v>11.5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DANFER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686.4</v>
      </c>
      <c r="F38" s="30" t="inlineStr">
        <is>
          <t>10.850%</t>
        </is>
      </c>
      <c r="G38" s="31" t="n">
        <v>98</v>
      </c>
      <c r="H38" s="32" t="n">
        <v>10.85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343.2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228.8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DANFER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640.6</v>
      </c>
    </row>
    <row r="45">
      <c r="B45" s="7" t="inlineStr">
        <is>
          <t>Drawn Amount ($M)</t>
        </is>
      </c>
      <c r="C45" s="8" t="n">
        <v>228.8</v>
      </c>
    </row>
    <row r="46">
      <c r="B46" s="19" t="inlineStr">
        <is>
          <t>AVAILABLE UNDRAWN HEADROOM ($M)</t>
        </is>
      </c>
      <c r="C46" s="20" t="n">
        <v>411.8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3.75x</t>
        </is>
      </c>
      <c r="D55" s="25" t="inlineStr">
        <is>
          <t>2.77x</t>
        </is>
      </c>
      <c r="E55" s="33" t="inlineStr">
        <is>
          <t>0.98x leverage buffer ($637.0M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3.82x</t>
        </is>
      </c>
      <c r="E56" s="33" t="inlineStr">
        <is>
          <t>+1.32x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13.6% of Assets</t>
        </is>
      </c>
      <c r="E57" s="33" t="inlineStr">
        <is>
          <t>$308.0M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Dangote Fertiliser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Dangote Fertiliser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11.50%</t>
        </is>
      </c>
      <c r="F6" s="35" t="inlineStr">
        <is>
          <t>4.2x</t>
        </is>
      </c>
      <c r="G6" s="35" t="inlineStr">
        <is>
          <t>$98.00</t>
        </is>
      </c>
      <c r="H6" s="35" t="inlineStr">
        <is>
          <t>+2.1%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13.50%</t>
        </is>
      </c>
      <c r="F7" s="30" t="inlineStr">
        <is>
          <t>3.2x</t>
        </is>
      </c>
      <c r="G7" s="30" t="inlineStr">
        <is>
          <t>$79.00</t>
        </is>
      </c>
      <c r="H7" s="30" t="inlineStr">
        <is>
          <t>-17.7%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$60.00</t>
        </is>
      </c>
      <c r="H8" s="30" t="inlineStr">
        <is>
          <t>-37.5%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10.00%</t>
        </is>
      </c>
      <c r="F9" s="30" t="inlineStr">
        <is>
          <t>5.7x</t>
        </is>
      </c>
      <c r="G9" s="30" t="inlineStr">
        <is>
          <t>$105.00</t>
        </is>
      </c>
      <c r="H9" s="30" t="inlineStr">
        <is>
          <t>+9.4%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572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DANFER Senior Unsecured Eurobonds</t>
        </is>
      </c>
      <c r="C15" s="8" t="n">
        <v>1716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60.0%</t>
        </is>
      </c>
      <c r="G15" s="30" t="inlineStr">
        <is>
          <t>98.0%</t>
        </is>
      </c>
    </row>
    <row r="16">
      <c r="B16" s="7" t="inlineStr">
        <is>
          <t>Subordinated Debt &amp; Intercompany Notes</t>
        </is>
      </c>
      <c r="C16" s="8" t="n">
        <v>343.2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915.2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Nigeria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5" customWidth="1" min="3" max="3"/>
    <col width="32" customWidth="1" min="4" max="4"/>
    <col width="19" customWidth="1" min="5" max="5"/>
    <col width="367" customWidth="1" min="6" max="6"/>
    <col width="14" customWidth="1" min="7" max="7"/>
    <col width="10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Dangote Fertiliser (DANFER) — Earnings Presentation &amp; Management Guidance</t>
        </is>
      </c>
    </row>
    <row r="3">
      <c r="B3" s="2" t="inlineStr">
        <is>
          <t>Source: Dangote Fertiliser FY2024 Earnings Conference Call &amp; Strategy Day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$1512.0M (+8.0% YoY growth)</t>
        </is>
      </c>
      <c r="D7" s="36" t="inlineStr">
        <is>
          <t>$1491.0M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$1512.0M (+8.0% YoY growth). With current run-rate at $1491.0M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$715.0M (47.3% margin)</t>
        </is>
      </c>
      <c r="D8" s="36" t="inlineStr">
        <is>
          <t>$702.0M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$715.0M (47.3%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6" t="inlineStr">
        <is>
          <t>2.77x</t>
        </is>
      </c>
      <c r="E9" s="33" t="inlineStr">
        <is>
          <t>Ahead of Target</t>
        </is>
      </c>
      <c r="F9" s="38" t="inlineStr">
        <is>
          <t>Deleveraging on track with 0.98x buffer below covenant limit.
[QUESTION TO CFO TO VERIFY]: You previously committed to a Net Leverage ceiling of &lt; 3.25x Net Debt / EBITDA. Current actual leverage stands at 2.77x.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$238.9M (Maximum growth and sustaining envelope)</t>
        </is>
      </c>
      <c r="D10" s="36" t="inlineStr">
        <is>
          <t>$219.8M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$238.9M (Maximum growth and sustaining envelope). Current commitments stand at $219.8M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Growth And Efficiency Projects</t>
        </is>
      </c>
      <c r="C15" s="38" t="inlineStr">
        <is>
          <t>Field Modernization, Value-Added Processing Facilities &amp; Industrial Decarbonization</t>
        </is>
      </c>
    </row>
    <row r="16">
      <c r="B16" s="9" t="inlineStr">
        <is>
          <t>Annual Capex Envelope</t>
        </is>
      </c>
      <c r="C16" s="38" t="inlineStr">
        <is>
          <t>$227.5M (55% sustaining maintenance / 45% strategic growth)</t>
        </is>
      </c>
    </row>
    <row r="17">
      <c r="B17" s="9" t="inlineStr">
        <is>
          <t>Project Execution Milestones</t>
        </is>
      </c>
      <c r="C17" s="38" t="inlineStr">
        <is>
          <t>Advanced commercial completion scheduled across key processing units through 2026</t>
        </is>
      </c>
    </row>
    <row r="18">
      <c r="B18" s="9" t="inlineStr">
        <is>
          <t>Decarbonization Capex</t>
        </is>
      </c>
      <c r="C18" s="38" t="inlineStr">
        <is>
          <t>Energy efficiency and carbon abatement investments targeting 25% Scope 1/2 reduction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Hard Currency Export Share</t>
        </is>
      </c>
      <c r="C22" s="38" t="inlineStr">
        <is>
          <t>78.0% of revenues generated from US Dollar international sales</t>
        </is>
      </c>
    </row>
    <row r="23">
      <c r="B23" s="9" t="inlineStr">
        <is>
          <t>Natural Operating Hedge</t>
        </is>
      </c>
      <c r="C23" s="38" t="inlineStr">
        <is>
          <t>Over 65% of cash production costs denominated in local operating currencies</t>
        </is>
      </c>
    </row>
    <row r="24">
      <c r="B24" s="9" t="inlineStr">
        <is>
          <t>Debt Service Currency Matching</t>
        </is>
      </c>
      <c r="C24" s="38" t="inlineStr">
        <is>
          <t>100.0% of Eurobond debt service met directly from USD export revenues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Proved Reserve Life Rli</t>
        </is>
      </c>
      <c r="C28" s="38" t="inlineStr">
        <is>
          <t>18.5 years of economic reserves at current annual production run-rates</t>
        </is>
      </c>
    </row>
    <row r="29">
      <c r="B29" s="9" t="inlineStr">
        <is>
          <t>Offtake Agreements</t>
        </is>
      </c>
      <c r="C29" s="38" t="inlineStr">
        <is>
          <t>Multi-year frame contracts with top-tier industrial conglomerates and trading houses</t>
        </is>
      </c>
    </row>
    <row r="30">
      <c r="B30" s="9" t="inlineStr">
        <is>
          <t>Capacity Utilization</t>
        </is>
      </c>
      <c r="C30" s="38" t="inlineStr">
        <is>
          <t>88.2% across primary extraction and refining complexes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Cash And Short Term Placements</t>
        </is>
      </c>
      <c r="C34" s="38" t="inlineStr">
        <is>
          <t>$487.5M in liquid bank deposits</t>
        </is>
      </c>
    </row>
    <row r="35">
      <c r="B35" s="9" t="inlineStr">
        <is>
          <t>Undrawn Committed Credit Lines</t>
        </is>
      </c>
      <c r="C35" s="38" t="inlineStr">
        <is>
          <t>$800.8M in revolving bank facilities</t>
        </is>
      </c>
    </row>
    <row r="36">
      <c r="B36" s="9" t="inlineStr">
        <is>
          <t>Net Debt Headroom</t>
        </is>
      </c>
      <c r="C36" s="38" t="inlineStr">
        <is>
          <t>Conservative liquidity buffer providing over 30 months of debt service coverage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Supply Chain Finance / Reverse Factoring Classification</t>
        </is>
      </c>
      <c r="C40" s="38" t="inlineStr">
        <is>
          <t>Does the company utilize any supply chain financing, reverse factoring, or vendor financing programs with banks, and are these liabilities classified under trade payables or financial debt?</t>
        </is>
      </c>
      <c r="F40" s="26" t="inlineStr">
        <is>
          <t>Reverse factoring can conceal significant short-term debt inside working capital, distorting calculated net leverage by 0.5x to 1.0x.</t>
        </is>
      </c>
      <c r="H40" s="39" t="inlineStr">
        <is>
          <t>Transparent disclosure and low reliance (&lt;10% of trade payables) confirms true balance sheet leverage.</t>
        </is>
      </c>
    </row>
    <row r="41">
      <c r="B41" s="9" t="inlineStr">
        <is>
          <t>RCF Availability, Covenant Headroom &amp; Material Adverse Change Clauses</t>
        </is>
      </c>
      <c r="C41" s="38" t="inlineStr">
        <is>
          <t>What is the current undrawn committed revolving credit facility (RCF) capacity, when does it expire, and what are the specific financial covenant thresholds (e.g. Net Debt/EBITDA, Interest Coverage) with current headroom?</t>
        </is>
      </c>
      <c r="F41" s="26" t="inlineStr">
        <is>
          <t>Committed bank lines provide vital liquidity during capital market volatility. Tight covenant headroom creates refinancing cliffs.</t>
        </is>
      </c>
      <c r="H41" s="39" t="inlineStr">
        <is>
          <t>Covenant headroom &gt;25% and maturity beyond 24 months eliminates liquidity squeeze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8" t="inlineStr">
        <is>
          <t>2026-11-12</t>
        </is>
      </c>
    </row>
    <row r="47">
      <c r="B47" s="9" t="inlineStr">
        <is>
          <t>Reporting Period</t>
        </is>
      </c>
      <c r="C47" s="38" t="inlineStr">
        <is>
          <t>Q3 2026 / 9M</t>
        </is>
      </c>
    </row>
    <row r="48">
      <c r="B48" s="9" t="inlineStr">
        <is>
          <t>Confirmation Status</t>
        </is>
      </c>
      <c r="C48" s="38" t="inlineStr">
        <is>
          <t>Estimated</t>
        </is>
      </c>
    </row>
    <row r="49">
      <c r="B49" s="9" t="inlineStr">
        <is>
          <t>Conference Call &amp; Webcast Schedule</t>
        </is>
      </c>
      <c r="C49" s="38" t="inlineStr">
        <is>
          <t>14:00 Local / Pre-Market</t>
        </is>
      </c>
    </row>
    <row r="50">
      <c r="B50" s="9" t="inlineStr">
        <is>
          <t>Official IR Portal / Webcast URL</t>
        </is>
      </c>
      <c r="C50" s="38" t="inlineStr">
        <is>
          <t>https://www.google.com/finance/quote/DANFER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2026-10-31T05:16:18Z</dcterms:created>
  <dcterms:modified xmlns:dcterms="http://purl.org/dc/terms/" xmlns:xsi="http://www.w3.org/2001/XMLSchema-instance" xsi:type="dcterms:W3CDTF">2026-10-31T05:16:18Z</dcterms:modified>
</cp:coreProperties>
</file>