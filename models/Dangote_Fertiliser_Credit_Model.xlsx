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Institutional Credit Model</t>
        </is>
      </c>
    </row>
    <row r="3">
      <c r="B3" s="2" t="inlineStr">
        <is>
          <t>Sector: Materials | Country: Nigeria | Rating: B / B2 | Benchmark: DANFER 11.50% 2028 @ $96.00 (11.50% YTM / +715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World's largest single-train urea complex (3.0 mtpa); Lekki Free Zone tax holiday; dollar exports to US and Brazil.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DANFER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1029.6</v>
      </c>
      <c r="F26" s="7" t="inlineStr">
        <is>
          <t>11.50%</t>
        </is>
      </c>
      <c r="G26" s="7" t="inlineStr">
        <is>
          <t>$96.00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DANFER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686.4</v>
      </c>
      <c r="F27" s="7" t="inlineStr">
        <is>
          <t>10.75%</t>
        </is>
      </c>
      <c r="G27" s="7" t="inlineStr">
        <is>
          <t>$98.50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571.2</v>
      </c>
      <c r="D15" s="8" t="n">
        <v>688.8</v>
      </c>
      <c r="E15" s="8" t="n">
        <v>772.8</v>
      </c>
      <c r="F15" s="8" t="n">
        <v>840</v>
      </c>
      <c r="G15" s="8" t="n">
        <v>907.2</v>
      </c>
      <c r="H15" s="8" t="n">
        <v>966</v>
      </c>
      <c r="I15" s="8" t="n">
        <v>1008</v>
      </c>
    </row>
    <row r="16">
      <c r="B16" s="7" t="inlineStr">
        <is>
          <t>High-Margin Value-Added Products</t>
        </is>
      </c>
      <c r="C16" s="8" t="n">
        <v>266.6</v>
      </c>
      <c r="D16" s="8" t="n">
        <v>321.4</v>
      </c>
      <c r="E16" s="8" t="n">
        <v>360.6</v>
      </c>
      <c r="F16" s="8" t="n">
        <v>392</v>
      </c>
      <c r="G16" s="8" t="n">
        <v>423.4</v>
      </c>
      <c r="H16" s="8" t="n">
        <v>450.8</v>
      </c>
      <c r="I16" s="8" t="n">
        <v>470.4</v>
      </c>
    </row>
    <row r="17">
      <c r="B17" s="7" t="inlineStr">
        <is>
          <t>By-Product Processing &amp; Industrial Logistics</t>
        </is>
      </c>
      <c r="C17" s="8" t="n">
        <v>114.2</v>
      </c>
      <c r="D17" s="8" t="n">
        <v>137.8</v>
      </c>
      <c r="E17" s="8" t="n">
        <v>154.6</v>
      </c>
      <c r="F17" s="8" t="n">
        <v>168</v>
      </c>
      <c r="G17" s="8" t="n">
        <v>181.4</v>
      </c>
      <c r="H17" s="8" t="n">
        <v>193.2</v>
      </c>
      <c r="I17" s="8" t="n">
        <v>201.6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-159.2</v>
      </c>
      <c r="D16" s="8" t="n">
        <v>-193.4</v>
      </c>
      <c r="E16" s="8" t="n">
        <v>-216.1</v>
      </c>
      <c r="F16" s="8" t="n">
        <v>-227.5</v>
      </c>
      <c r="G16" s="8" t="n">
        <v>-238.9</v>
      </c>
      <c r="H16" s="8" t="n">
        <v>-232</v>
      </c>
      <c r="I16" s="8" t="n">
        <v>-222.9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268.1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DANFER Benchmark Eurobond Notes</t>
        </is>
      </c>
    </row>
    <row r="7">
      <c r="B7" s="7" t="inlineStr">
        <is>
          <t xml:space="preserve">  Beginning Principal Balance</t>
        </is>
      </c>
      <c r="C7" s="8" t="n">
        <v>875.2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291.7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0.1150</f>
        <v/>
      </c>
      <c r="D11" s="8">
        <f>D10 * 0.1150</f>
        <v/>
      </c>
      <c r="E11" s="8">
        <f>E10 * 0.1150</f>
        <v/>
      </c>
      <c r="F11" s="8">
        <f>F10 * 0.1150</f>
        <v/>
      </c>
      <c r="G11" s="8">
        <f>G10 * 0.1150</f>
        <v/>
      </c>
      <c r="H11" s="8">
        <f>H10 * 0.1150</f>
        <v/>
      </c>
      <c r="I11" s="8">
        <f>I10 * 0.1150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1069.6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274.6</v>
      </c>
      <c r="C32" s="8" t="n">
        <v>503.4</v>
      </c>
      <c r="D32" s="8" t="n">
        <v>640.6</v>
      </c>
      <c r="E32" s="8" t="n">
        <v>411.8</v>
      </c>
      <c r="F32" s="8" t="n">
        <v>274.6</v>
      </c>
      <c r="G32" s="8" t="n">
        <v>183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DANFER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1029.6</v>
      </c>
      <c r="F37" s="27" t="inlineStr">
        <is>
          <t>11.500%</t>
        </is>
      </c>
      <c r="G37" s="28" t="n">
        <v>96</v>
      </c>
      <c r="H37" s="29" t="n">
        <v>11.5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DANFER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686.4</v>
      </c>
      <c r="F38" s="27" t="inlineStr">
        <is>
          <t>10.850%</t>
        </is>
      </c>
      <c r="G38" s="28" t="n">
        <v>98</v>
      </c>
      <c r="H38" s="29" t="n">
        <v>10.85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343.2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228.8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DANFER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640.6</v>
      </c>
    </row>
    <row r="45">
      <c r="B45" s="7" t="inlineStr">
        <is>
          <t>Drawn Amount ($M)</t>
        </is>
      </c>
      <c r="C45" s="8" t="n">
        <v>228.8</v>
      </c>
    </row>
    <row r="46">
      <c r="B46" s="19" t="inlineStr">
        <is>
          <t>AVAILABLE UNDRAWN HEADROOM ($M)</t>
        </is>
      </c>
      <c r="C46" s="20" t="n">
        <v>411.8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2.77x</t>
        </is>
      </c>
      <c r="E55" s="31" t="inlineStr">
        <is>
          <t>0.98x leverage buffer ($637.0M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3.82x</t>
        </is>
      </c>
      <c r="E56" s="31" t="inlineStr">
        <is>
          <t>+1.32x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13.6% of Assets</t>
        </is>
      </c>
      <c r="E57" s="31" t="inlineStr">
        <is>
          <t>$308.0M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11.50%</t>
        </is>
      </c>
      <c r="F6" s="33" t="inlineStr">
        <is>
          <t>4.2x</t>
        </is>
      </c>
      <c r="G6" s="33" t="inlineStr">
        <is>
          <t>$98.00</t>
        </is>
      </c>
      <c r="H6" s="33" t="inlineStr">
        <is>
          <t>+2.1%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13.50%</t>
        </is>
      </c>
      <c r="F7" s="27" t="inlineStr">
        <is>
          <t>3.2x</t>
        </is>
      </c>
      <c r="G7" s="27" t="inlineStr">
        <is>
          <t>$79.00</t>
        </is>
      </c>
      <c r="H7" s="27" t="inlineStr">
        <is>
          <t>-17.7%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$60.00</t>
        </is>
      </c>
      <c r="H8" s="27" t="inlineStr">
        <is>
          <t>-37.5%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10.00%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572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DANFER Senior Unsecured Eurobonds</t>
        </is>
      </c>
      <c r="C15" s="8" t="n">
        <v>1716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60.0%</t>
        </is>
      </c>
      <c r="G15" s="27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343.2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915.2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Fertiliser (DANFER) — Earnings Presentation &amp; Management Guidance</t>
        </is>
      </c>
    </row>
    <row r="3">
      <c r="B3" s="2" t="inlineStr">
        <is>
          <t>Source: Dangote Fertiliser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4" t="inlineStr">
        <is>
          <t>$1491.0M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$715.0M (47.3% margin)</t>
        </is>
      </c>
      <c r="D8" s="34" t="inlineStr">
        <is>
          <t>$702.0M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2.77x</t>
        </is>
      </c>
      <c r="E9" s="31" t="inlineStr">
        <is>
          <t>Ahead of Target</t>
        </is>
      </c>
      <c r="F9" s="36" t="inlineStr">
        <is>
          <t>Deleveraging on track with 0.98x buffer below covenant limit.</t>
        </is>
      </c>
    </row>
    <row r="10">
      <c r="B10" s="9" t="inlineStr">
        <is>
          <t>2025E Strategic Capex Envelope</t>
        </is>
      </c>
      <c r="C10" s="9" t="inlineStr">
        <is>
          <t>$238.9M (Maximum growth and sustaining envelope)</t>
        </is>
      </c>
      <c r="D10" s="34" t="inlineStr">
        <is>
          <t>$219.8M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$227.5M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$487.5M in liquid bank deposits</t>
        </is>
      </c>
    </row>
    <row r="35">
      <c r="B35" s="9" t="inlineStr">
        <is>
          <t>Undrawn Committed Credit Lines</t>
        </is>
      </c>
      <c r="C35" s="36" t="inlineStr">
        <is>
          <t>$800.8M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2026-09-19T21:22:46Z</dcterms:created>
  <dcterms:modified xmlns:dcterms="http://purl.org/dc/terms/" xmlns:xsi="http://www.w3.org/2001/XMLSchema-instance" xsi:type="dcterms:W3CDTF">2026-09-19T21:22:46Z</dcterms:modified>
</cp:coreProperties>
</file>