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Helios Towers</t>
        </is>
      </c>
    </row>
    <row r="3">
      <c r="B3" s="2" t="inlineStr">
        <is>
          <t>CEMBI CEEMEA Institutional Credit Assessment | Country: Pan-Africa (Africa) | Sector: Technology | Benchmark: HT 8.75%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HT 8.75% 2028</t>
        </is>
      </c>
      <c r="C6" s="5" t="inlineStr">
        <is>
          <t>8.75% (+440 bp)</t>
        </is>
      </c>
      <c r="D6" s="4" t="inlineStr">
        <is>
          <t>B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$65.00</t>
        </is>
      </c>
      <c r="D7" s="4" t="inlineStr">
        <is>
          <t>Base Case Fair Value</t>
        </is>
      </c>
      <c r="E7" s="5" t="inlineStr">
        <is>
          <t>$97.50</t>
        </is>
      </c>
    </row>
    <row r="9">
      <c r="B9" s="6" t="inlineStr">
        <is>
          <t>INSTITUTIONAL INVESTMENT THESIS</t>
        </is>
      </c>
    </row>
    <row r="10">
      <c r="B10" s="7" t="inlineStr">
        <is>
          <t>&gt;65% hard currency / pegged contracts; 14.2k towers with 2.1x tenancy; FCF inflection underway.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Helios Towers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503.2</v>
      </c>
      <c r="D7" s="13" t="n">
        <v>606.8</v>
      </c>
      <c r="E7" s="13" t="n">
        <v>680.8</v>
      </c>
      <c r="F7" s="13" t="n">
        <v>740</v>
      </c>
      <c r="G7" s="14" t="n">
        <v>799.2</v>
      </c>
      <c r="H7" s="14" t="n">
        <v>851</v>
      </c>
      <c r="I7" s="14" t="n">
        <v>888</v>
      </c>
    </row>
    <row r="8">
      <c r="B8" s="12" t="inlineStr">
        <is>
          <t>EBITDA</t>
        </is>
      </c>
      <c r="C8" s="13" t="n">
        <v>250.2</v>
      </c>
      <c r="D8" s="13" t="n">
        <v>308</v>
      </c>
      <c r="E8" s="13" t="n">
        <v>346.5</v>
      </c>
      <c r="F8" s="13" t="n">
        <v>385</v>
      </c>
      <c r="G8" s="14" t="n">
        <v>423.5</v>
      </c>
      <c r="H8" s="14" t="n">
        <v>454.3</v>
      </c>
      <c r="I8" s="14" t="n">
        <v>477.4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84</v>
      </c>
      <c r="D10" s="17" t="n">
        <v>105</v>
      </c>
      <c r="E10" s="17" t="n">
        <v>126</v>
      </c>
      <c r="F10" s="17" t="n">
        <v>140</v>
      </c>
      <c r="G10" s="18" t="n">
        <v>134.4</v>
      </c>
      <c r="H10" s="18" t="n">
        <v>128.8</v>
      </c>
      <c r="I10" s="18" t="n">
        <v>123.2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202.9</v>
      </c>
      <c r="D12" s="13" t="n">
        <v>255.3</v>
      </c>
      <c r="E12" s="13" t="n">
        <v>288</v>
      </c>
      <c r="F12" s="13" t="n">
        <v>327.2</v>
      </c>
      <c r="G12" s="14" t="n">
        <v>360</v>
      </c>
      <c r="H12" s="14" t="n">
        <v>386.2</v>
      </c>
      <c r="I12" s="14" t="n">
        <v>409.1</v>
      </c>
    </row>
    <row r="13">
      <c r="B13" s="5" t="inlineStr">
        <is>
          <t>Capital Expenditures (Capex)</t>
        </is>
      </c>
      <c r="C13" s="17" t="n">
        <v>94.3</v>
      </c>
      <c r="D13" s="17" t="n">
        <v>114.5</v>
      </c>
      <c r="E13" s="17" t="n">
        <v>128</v>
      </c>
      <c r="F13" s="17" t="n">
        <v>134.8</v>
      </c>
      <c r="G13" s="18" t="n">
        <v>141.5</v>
      </c>
      <c r="H13" s="18" t="n">
        <v>137.4</v>
      </c>
      <c r="I13" s="18" t="n">
        <v>132.1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158.8</v>
      </c>
      <c r="D16" s="13" t="n">
        <v>202.1</v>
      </c>
      <c r="E16" s="13" t="n">
        <v>245.4</v>
      </c>
      <c r="F16" s="13" t="n">
        <v>288.8</v>
      </c>
      <c r="G16" s="14" t="n">
        <v>340.7</v>
      </c>
      <c r="H16" s="14" t="n">
        <v>389.8</v>
      </c>
      <c r="I16" s="14" t="n">
        <v>433.1</v>
      </c>
    </row>
    <row r="17">
      <c r="B17" s="12" t="inlineStr">
        <is>
          <t>Gross Total Debt</t>
        </is>
      </c>
      <c r="C17" s="13" t="n">
        <v>1714.8</v>
      </c>
      <c r="D17" s="13" t="n">
        <v>1856</v>
      </c>
      <c r="E17" s="13" t="n">
        <v>1977.1</v>
      </c>
      <c r="F17" s="13" t="n">
        <v>2017.4</v>
      </c>
      <c r="G17" s="14" t="n">
        <v>1977.1</v>
      </c>
      <c r="H17" s="14" t="n">
        <v>1916.5</v>
      </c>
      <c r="I17" s="14" t="n">
        <v>1815.7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Helios Towers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8.75%</t>
        </is>
      </c>
      <c r="F6" s="21" t="inlineStr">
        <is>
          <t>2028 / 2029</t>
        </is>
      </c>
      <c r="G6" s="17" t="n">
        <v>907.8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504.4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302.6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201.7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100.9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245.4</v>
      </c>
    </row>
    <row r="15">
      <c r="B15" t="inlineStr">
        <is>
          <t>Committed Undrawn RCF Capacity</t>
        </is>
      </c>
      <c r="C15" s="22" t="n">
        <v>154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382.1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Helios Towers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385</v>
      </c>
      <c r="D6" s="17" t="n">
        <v>327.2</v>
      </c>
      <c r="E6" s="25" t="n">
        <v>250.2</v>
      </c>
    </row>
    <row r="7">
      <c r="B7" s="5" t="inlineStr">
        <is>
          <t>Free Cash Flow ($M)</t>
        </is>
      </c>
      <c r="C7" s="17" t="n">
        <v>192.5</v>
      </c>
      <c r="D7" s="17" t="n">
        <v>115.5</v>
      </c>
      <c r="E7" s="25" t="n">
        <v>28.9</v>
      </c>
    </row>
    <row r="8">
      <c r="B8" s="12" t="inlineStr">
        <is>
          <t>Net Leverage Ratio (x)</t>
        </is>
      </c>
      <c r="C8" s="26" t="n">
        <v>4.49</v>
      </c>
      <c r="D8" s="26" t="n">
        <v>5.61</v>
      </c>
      <c r="E8" s="27" t="n">
        <v>8.31</v>
      </c>
    </row>
    <row r="9">
      <c r="B9" s="5" t="inlineStr">
        <is>
          <t>Interest Coverage Ratio (x)</t>
        </is>
      </c>
      <c r="C9" s="26" t="n">
        <v>2.75</v>
      </c>
      <c r="D9" s="26" t="n">
        <v>2.15</v>
      </c>
      <c r="E9" s="27" t="n">
        <v>1.24</v>
      </c>
    </row>
    <row r="10">
      <c r="B10" s="12" t="inlineStr">
        <is>
          <t>Implied Senior Paper Trading / Recovery ($)</t>
        </is>
      </c>
      <c r="C10" s="12" t="inlineStr">
        <is>
          <t>$97.50</t>
        </is>
      </c>
      <c r="D10" s="12" t="inlineStr">
        <is>
          <t>$77.00</t>
        </is>
      </c>
      <c r="E10" s="28" t="inlineStr">
        <is>
          <t>$65.00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