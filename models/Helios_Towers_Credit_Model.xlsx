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right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Institutional Credit Model</t>
        </is>
      </c>
    </row>
    <row r="3">
      <c r="B3" s="2" t="inlineStr">
        <is>
          <t>Sector: Technology | Country: Pan-Africa | Rating: B / B2 | Benchmark: HT 8.75% 2028 @ $94.25 (8.75% YTM / +440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&gt;65% hard currency / pegged contracts; 14.2k towers with 2.1x tenancy; FCF inflection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907.83</v>
      </c>
      <c r="F26" s="7" t="inlineStr">
        <is>
          <t>8.75%</t>
        </is>
      </c>
      <c r="G26" s="7" t="inlineStr">
        <is>
          <t>$94.25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605.22</v>
      </c>
      <c r="F27" s="7" t="inlineStr">
        <is>
          <t>8.00%</t>
        </is>
      </c>
      <c r="G27" s="7" t="inlineStr">
        <is>
          <t>$96.75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504.35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291.9</v>
      </c>
      <c r="D16" s="8" t="n">
        <v>351.9</v>
      </c>
      <c r="E16" s="8" t="n">
        <v>394.9</v>
      </c>
      <c r="F16" s="8" t="n">
        <v>429.2</v>
      </c>
      <c r="G16" s="8" t="n">
        <v>463.5</v>
      </c>
      <c r="H16" s="8" t="n">
        <v>493.6</v>
      </c>
      <c r="I16" s="8" t="n">
        <v>515</v>
      </c>
    </row>
    <row r="17">
      <c r="B17" s="7" t="inlineStr">
        <is>
          <t>Fixed Broadband &amp; Enterprise ICT</t>
        </is>
      </c>
      <c r="C17" s="8" t="n">
        <v>130.8</v>
      </c>
      <c r="D17" s="8" t="n">
        <v>157.8</v>
      </c>
      <c r="E17" s="8" t="n">
        <v>177</v>
      </c>
      <c r="F17" s="8" t="n">
        <v>192.4</v>
      </c>
      <c r="G17" s="8" t="n">
        <v>207.8</v>
      </c>
      <c r="H17" s="8" t="n">
        <v>221.3</v>
      </c>
      <c r="I17" s="8" t="n">
        <v>230.9</v>
      </c>
    </row>
    <row r="18">
      <c r="B18" s="7" t="inlineStr">
        <is>
          <t>Fintech, Media &amp; Digital Services</t>
        </is>
      </c>
      <c r="C18" s="8" t="n">
        <v>80.5</v>
      </c>
      <c r="D18" s="8" t="n">
        <v>97.09999999999999</v>
      </c>
      <c r="E18" s="8" t="n">
        <v>108.9</v>
      </c>
      <c r="F18" s="8" t="n">
        <v>118.4</v>
      </c>
      <c r="G18" s="8" t="n">
        <v>127.9</v>
      </c>
      <c r="H18" s="8" t="n">
        <v>136.2</v>
      </c>
      <c r="I18" s="8" t="n">
        <v>142.1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754.8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176.1</v>
      </c>
      <c r="D36" s="8" t="n">
        <v>176.1</v>
      </c>
      <c r="E36" s="8" t="n">
        <v>176.1</v>
      </c>
      <c r="F36" s="8" t="n">
        <v>176.1</v>
      </c>
      <c r="G36" s="8" t="n">
        <v>176.1</v>
      </c>
      <c r="H36" s="8" t="n">
        <v>176.1</v>
      </c>
      <c r="I36" s="8" t="n">
        <v>176.1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3">
        <f>C21 - C39</f>
        <v/>
      </c>
      <c r="D41" s="23">
        <f>D21 - D39</f>
        <v/>
      </c>
      <c r="E41" s="23">
        <f>E21 - E39</f>
        <v/>
      </c>
      <c r="F41" s="23">
        <f>F21 - F39</f>
        <v/>
      </c>
      <c r="G41" s="23">
        <f>G21 - G39</f>
        <v/>
      </c>
      <c r="H41" s="23">
        <f>H21 - H39</f>
        <v/>
      </c>
      <c r="I41" s="23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-94.3</v>
      </c>
      <c r="D16" s="8" t="n">
        <v>-114.5</v>
      </c>
      <c r="E16" s="8" t="n">
        <v>-128</v>
      </c>
      <c r="F16" s="8" t="n">
        <v>-134.8</v>
      </c>
      <c r="G16" s="8" t="n">
        <v>-141.5</v>
      </c>
      <c r="H16" s="8" t="n">
        <v>-137.4</v>
      </c>
      <c r="I16" s="8" t="n">
        <v>-132.1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14" t="inlineStr">
        <is>
          <t>FREE CASH FLOW (FCF = CFO + Capex)</t>
        </is>
      </c>
      <c r="C28" s="15">
        <f>C14 + C16</f>
        <v/>
      </c>
      <c r="D28" s="15">
        <f>D14 + D16</f>
        <v/>
      </c>
      <c r="E28" s="15">
        <f>E14 + E16</f>
        <v/>
      </c>
      <c r="F28" s="15">
        <f>F14 + F16</f>
        <v/>
      </c>
      <c r="G28" s="15">
        <f>G14 + G16</f>
        <v/>
      </c>
      <c r="H28" s="15">
        <f>H14 + H16</f>
        <v/>
      </c>
      <c r="I28" s="15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3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HT Benchmark Eurobond Notes</t>
        </is>
      </c>
    </row>
    <row r="7">
      <c r="B7" s="7" t="inlineStr">
        <is>
          <t xml:space="preserve">  Beginning Principal Balance</t>
        </is>
      </c>
      <c r="C7" s="8" t="n">
        <v>771.7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943.1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4" t="inlineStr">
        <is>
          <t>2025</t>
        </is>
      </c>
      <c r="C31" s="24" t="inlineStr">
        <is>
          <t>2026</t>
        </is>
      </c>
      <c r="D31" s="24" t="inlineStr">
        <is>
          <t>2027</t>
        </is>
      </c>
      <c r="E31" s="24" t="inlineStr">
        <is>
          <t>2028</t>
        </is>
      </c>
      <c r="F31" s="24" t="inlineStr">
        <is>
          <t>2029</t>
        </is>
      </c>
      <c r="G31" s="24" t="inlineStr">
        <is>
          <t>2030+</t>
        </is>
      </c>
    </row>
    <row r="32">
      <c r="B32" s="8" t="n">
        <v>242.1</v>
      </c>
      <c r="C32" s="8" t="n">
        <v>443.8</v>
      </c>
      <c r="D32" s="8" t="n">
        <v>564.9</v>
      </c>
      <c r="E32" s="8" t="n">
        <v>363.1</v>
      </c>
      <c r="F32" s="8" t="n">
        <v>242.1</v>
      </c>
      <c r="G32" s="8" t="n">
        <v>161.4</v>
      </c>
    </row>
  </sheetData>
  <mergeCells count="1">
    <mergeCell ref="B2:I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EBITDA)</t>
        </is>
      </c>
      <c r="C8" s="25">
        <f>'Debt Schedule &amp; Tranches'!C26 / 'Income Statement (P&amp;L)'!C22</f>
        <v/>
      </c>
      <c r="D8" s="25">
        <f>'Debt Schedule &amp; Tranches'!D26 / 'Income Statement (P&amp;L)'!D22</f>
        <v/>
      </c>
      <c r="E8" s="25">
        <f>'Debt Schedule &amp; Tranches'!E26 / 'Income Statement (P&amp;L)'!E22</f>
        <v/>
      </c>
      <c r="F8" s="25">
        <f>'Debt Schedule &amp; Tranches'!F26 / 'Income Statement (P&amp;L)'!F22</f>
        <v/>
      </c>
      <c r="G8" s="25">
        <f>'Debt Schedule &amp; Tranches'!G26 / 'Income Statement (P&amp;L)'!G22</f>
        <v/>
      </c>
      <c r="H8" s="25">
        <f>'Debt Schedule &amp; Tranches'!H26 / 'Income Statement (P&amp;L)'!H22</f>
        <v/>
      </c>
      <c r="I8" s="25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8" t="inlineStr">
        <is>
          <t>EBITDA INTEREST COVERAGE</t>
        </is>
      </c>
      <c r="C10" s="25">
        <f>'Income Statement (P&amp;L)'!C22 / 'Debt Schedule &amp; Tranches'!C28</f>
        <v/>
      </c>
      <c r="D10" s="25">
        <f>'Income Statement (P&amp;L)'!D22 / 'Debt Schedule &amp; Tranches'!D28</f>
        <v/>
      </c>
      <c r="E10" s="25">
        <f>'Income Statement (P&amp;L)'!E22 / 'Debt Schedule &amp; Tranches'!E28</f>
        <v/>
      </c>
      <c r="F10" s="25">
        <f>'Income Statement (P&amp;L)'!F22 / 'Debt Schedule &amp; Tranches'!F28</f>
        <v/>
      </c>
      <c r="G10" s="25">
        <f>'Income Statement (P&amp;L)'!G22 / 'Debt Schedule &amp; Tranches'!G28</f>
        <v/>
      </c>
      <c r="H10" s="25">
        <f>'Income Statement (P&amp;L)'!H22 / 'Debt Schedule &amp; Tranches'!H28</f>
        <v/>
      </c>
      <c r="I10" s="25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4" t="inlineStr">
        <is>
          <t>Scenario Name</t>
        </is>
      </c>
      <c r="C5" s="24" t="inlineStr">
        <is>
          <t>Revenue Drop</t>
        </is>
      </c>
      <c r="D5" s="24" t="inlineStr">
        <is>
          <t>Margin Compression</t>
        </is>
      </c>
      <c r="E5" s="24" t="inlineStr">
        <is>
          <t>Refinancing Rate</t>
        </is>
      </c>
      <c r="F5" s="24" t="inlineStr">
        <is>
          <t>Exit EV Multiple</t>
        </is>
      </c>
      <c r="G5" s="24" t="inlineStr">
        <is>
          <t>Implied Recovery Px</t>
        </is>
      </c>
      <c r="H5" s="24" t="inlineStr">
        <is>
          <t>Upside / Downside</t>
        </is>
      </c>
    </row>
    <row r="6">
      <c r="B6" s="18" t="inlineStr">
        <is>
          <t>Base Case (Consensus Forecast)</t>
        </is>
      </c>
      <c r="C6" s="26" t="inlineStr">
        <is>
          <t>0.0%</t>
        </is>
      </c>
      <c r="D6" s="26" t="inlineStr">
        <is>
          <t>0 bp</t>
        </is>
      </c>
      <c r="E6" s="26" t="inlineStr">
        <is>
          <t>8.75%</t>
        </is>
      </c>
      <c r="F6" s="26" t="inlineStr">
        <is>
          <t>4.2x</t>
        </is>
      </c>
      <c r="G6" s="26" t="inlineStr">
        <is>
          <t>$97.50</t>
        </is>
      </c>
      <c r="H6" s="26" t="inlineStr">
        <is>
          <t>+3.4%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10.75%</t>
        </is>
      </c>
      <c r="F7" s="27" t="inlineStr">
        <is>
          <t>3.2x</t>
        </is>
      </c>
      <c r="G7" s="27" t="inlineStr">
        <is>
          <t>$81.25</t>
        </is>
      </c>
      <c r="H7" s="27" t="inlineStr">
        <is>
          <t>-13.8%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$65.00</t>
        </is>
      </c>
      <c r="H8" s="27" t="inlineStr">
        <is>
          <t>-31.0%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7.25%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+11.4%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4" t="inlineStr">
        <is>
          <t>Tranche Claim</t>
        </is>
      </c>
      <c r="C13" s="24" t="inlineStr">
        <is>
          <t>Claim Amount ($M)</t>
        </is>
      </c>
      <c r="D13" s="24" t="inlineStr">
        <is>
          <t>Seniority Ranking</t>
        </is>
      </c>
      <c r="E13" s="24" t="inlineStr">
        <is>
          <t>Estimated Collateral</t>
        </is>
      </c>
      <c r="F13" s="24" t="inlineStr">
        <is>
          <t>Recovery Floor (%)</t>
        </is>
      </c>
      <c r="G13" s="24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504.4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HT Senior Unsecured Eurobonds</t>
        </is>
      </c>
      <c r="C15" s="8" t="n">
        <v>1513.1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65.0%</t>
        </is>
      </c>
      <c r="G15" s="27" t="inlineStr">
        <is>
          <t>97.5%</t>
        </is>
      </c>
    </row>
    <row r="16">
      <c r="B16" s="7" t="inlineStr">
        <is>
          <t>Subordinated Debt &amp; Intercompany Notes</t>
        </is>
      </c>
      <c r="C16" s="8" t="n">
        <v>302.6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807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Pan-Africa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Earnings Presentation &amp; Management Guidance</t>
        </is>
      </c>
    </row>
    <row r="3">
      <c r="B3" s="2" t="inlineStr">
        <is>
          <t>Source: Helios Towers FY2024 &amp; Recent Quarterly Earnings Presentation &amp; Analyst Briefing | Reporting Currency: USD / Local Currency</t>
        </is>
      </c>
    </row>
    <row r="4"/>
    <row r="5">
      <c r="B5" s="3" t="inlineStr">
        <is>
          <t>I. MANAGEMENT GUIDANCE &amp; STRATEGIC POLICY TARGETS</t>
        </is>
      </c>
    </row>
    <row r="6">
      <c r="B6" s="5" t="inlineStr">
        <is>
          <t>Strategic Guidance Metric</t>
        </is>
      </c>
      <c r="C6" s="5" t="inlineStr">
        <is>
          <t>Management Target / Commitment</t>
        </is>
      </c>
    </row>
    <row r="7">
      <c r="B7" s="9" t="inlineStr">
        <is>
          <t>Revenue Growth Target</t>
        </is>
      </c>
      <c r="C7" s="28" t="inlineStr">
        <is>
          <t>+16.0% - 22.0% YoY revenue expansion in local currency</t>
        </is>
      </c>
    </row>
    <row r="8">
      <c r="B8" s="9" t="inlineStr">
        <is>
          <t>Ebitda Margin Guidance</t>
        </is>
      </c>
      <c r="C8" s="28" t="inlineStr">
        <is>
          <t>52.0% - 54.5%</t>
        </is>
      </c>
    </row>
    <row r="9">
      <c r="B9" s="9" t="inlineStr">
        <is>
          <t>Capex To Sales Intensity</t>
        </is>
      </c>
      <c r="C9" s="28" t="inlineStr">
        <is>
          <t>18.0% - 22.0% of revenue dedicated to network modernization</t>
        </is>
      </c>
    </row>
    <row r="10">
      <c r="B10" s="9" t="inlineStr">
        <is>
          <t>Target Net Leverage Ratio</t>
        </is>
      </c>
      <c r="C10" s="28" t="inlineStr">
        <is>
          <t>&lt; 1.5x Net Debt / EBITDA (excluding IFRS 16 lease liabilities)</t>
        </is>
      </c>
    </row>
    <row r="11"/>
    <row r="12">
      <c r="B12" s="3" t="inlineStr">
        <is>
          <t>II. CAPITAL ALLOCATION &amp; STRATEGIC PROJECT PIPELINE</t>
        </is>
      </c>
    </row>
    <row r="13">
      <c r="B13" s="5" t="inlineStr">
        <is>
          <t>Project / Capital Dimension</t>
        </is>
      </c>
      <c r="C13" s="5" t="inlineStr">
        <is>
          <t>Disclosure &amp; Execution Milestone</t>
        </is>
      </c>
    </row>
    <row r="14">
      <c r="B14" s="9" t="inlineStr">
        <is>
          <t>Strategic Technology Investments</t>
        </is>
      </c>
      <c r="C14" s="28" t="inlineStr">
        <is>
          <t>5G Spectrum Deployment, 4G LTE Rural Densification, FTTH Fiber Expansion, Tier-III Data Centers</t>
        </is>
      </c>
    </row>
    <row r="15">
      <c r="B15" s="9" t="inlineStr">
        <is>
          <t>Three Year Capex Program</t>
        </is>
      </c>
      <c r="C15" s="28" t="inlineStr">
        <is>
          <t>$377.4M network enhancement program</t>
        </is>
      </c>
    </row>
    <row r="16">
      <c r="B16" s="9" t="inlineStr">
        <is>
          <t>Fiber Network Rollout</t>
        </is>
      </c>
      <c r="C16" s="28" t="inlineStr">
        <is>
          <t>Targeting 2.5M additional homes passed with high-speed fiber broadband by 2027</t>
        </is>
      </c>
    </row>
    <row r="17">
      <c r="B17" s="9" t="inlineStr">
        <is>
          <t>Green Telecom Initiatives</t>
        </is>
      </c>
      <c r="C17" s="28" t="inlineStr">
        <is>
          <t>Solar hybrid power deployed at 35%+ of off-grid tower sites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Fx Debt Hedging Ratio</t>
        </is>
      </c>
      <c r="C21" s="28" t="inlineStr">
        <is>
          <t>82.0% of foreign currency debt hedged via cross-currency swaps and forwards</t>
        </is>
      </c>
    </row>
    <row r="22">
      <c r="B22" s="9" t="inlineStr">
        <is>
          <t>Tariff Pricing Elasticity</t>
        </is>
      </c>
      <c r="C22" s="28" t="inlineStr">
        <is>
          <t>Contractual ability to adjust post-paid and pre-paid tariffs every 3-6 months to match inflation</t>
        </is>
      </c>
    </row>
    <row r="23">
      <c r="B23" s="9" t="inlineStr">
        <is>
          <t>Digital Revenue Mix</t>
        </is>
      </c>
      <c r="C23" s="28" t="inlineStr">
        <is>
          <t>Digital services, cloud, and fintech solutions expanding to 24% of consolidated revenue</t>
        </is>
      </c>
    </row>
    <row r="24"/>
    <row r="25">
      <c r="B25" s="3" t="inlineStr">
        <is>
          <t>IV. CONTRACT BACKLOG &amp; COMMERCIAL MOAT</t>
        </is>
      </c>
    </row>
    <row r="26">
      <c r="B26" s="5" t="inlineStr">
        <is>
          <t>Dimension</t>
        </is>
      </c>
      <c r="C26" s="5" t="inlineStr">
        <is>
          <t>Commercial / Asset Metrics</t>
        </is>
      </c>
    </row>
    <row r="27">
      <c r="B27" s="9" t="inlineStr">
        <is>
          <t>Postpaid Subscriber Share</t>
        </is>
      </c>
      <c r="C27" s="28" t="inlineStr">
        <is>
          <t>58.5% of total mobile base providing high-retention recurring revenue</t>
        </is>
      </c>
    </row>
    <row r="28">
      <c r="B28" s="9" t="inlineStr">
        <is>
          <t>Blended Monthly Arpu Trend</t>
        </is>
      </c>
      <c r="C28" s="28" t="inlineStr">
        <is>
          <t>Healthy double-digit growth in ARPU supported by high-speed data consumption</t>
        </is>
      </c>
    </row>
    <row r="29">
      <c r="B29" s="9" t="inlineStr">
        <is>
          <t>Corporate B2B Contract Backlog</t>
        </is>
      </c>
      <c r="C29" s="28" t="inlineStr">
        <is>
          <t>$333.0M in multi-year enterprise ICT and cloud contracts</t>
        </is>
      </c>
    </row>
    <row r="30"/>
    <row r="31">
      <c r="B31" s="3" t="inlineStr">
        <is>
          <t>V. LIQUIDITY WATERFALL &amp; HEADROOM</t>
        </is>
      </c>
    </row>
    <row r="32">
      <c r="B32" s="5" t="inlineStr">
        <is>
          <t>Liquidity Component</t>
        </is>
      </c>
      <c r="C32" s="5" t="inlineStr">
        <is>
          <t>Available Buffer / Runway</t>
        </is>
      </c>
    </row>
    <row r="33">
      <c r="B33" s="9" t="inlineStr">
        <is>
          <t>Cash And Liquid Investments</t>
        </is>
      </c>
      <c r="C33" s="28" t="inlineStr">
        <is>
          <t>$288.8M (Maintained predominantly in USD and EUR)</t>
        </is>
      </c>
    </row>
    <row r="34">
      <c r="B34" s="9" t="inlineStr">
        <is>
          <t>Undrawn Committed Bank Facilities</t>
        </is>
      </c>
      <c r="C34" s="28" t="inlineStr">
        <is>
          <t>$605.2M in committed revolving credit facilities</t>
        </is>
      </c>
    </row>
    <row r="35">
      <c r="B35" s="9" t="inlineStr">
        <is>
          <t>Liquidity Runway</t>
        </is>
      </c>
      <c r="C35" s="28" t="inlineStr">
        <is>
          <t>Comfortable 32+ months of debt maturities and spectrum commitments fully funded</t>
        </is>
      </c>
    </row>
  </sheetData>
  <mergeCells count="24">
    <mergeCell ref="C23:I23"/>
    <mergeCell ref="C17:I17"/>
    <mergeCell ref="C8:I8"/>
    <mergeCell ref="B3:I3"/>
    <mergeCell ref="C32:I32"/>
    <mergeCell ref="C7:I7"/>
    <mergeCell ref="C28:I28"/>
    <mergeCell ref="C13:I13"/>
    <mergeCell ref="B2:I2"/>
    <mergeCell ref="C34:I34"/>
    <mergeCell ref="C6:I6"/>
    <mergeCell ref="C15:I15"/>
    <mergeCell ref="C33:I33"/>
    <mergeCell ref="C14:I14"/>
    <mergeCell ref="C26:I26"/>
    <mergeCell ref="C35:I35"/>
    <mergeCell ref="C20:I20"/>
    <mergeCell ref="C29:I29"/>
    <mergeCell ref="C10:I10"/>
    <mergeCell ref="C16:I16"/>
    <mergeCell ref="C22:I22"/>
    <mergeCell ref="C9:I9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2026-09-19T21:07:20Z</dcterms:created>
  <dcterms:modified xmlns:dcterms="http://purl.org/dc/terms/" xmlns:xsi="http://www.w3.org/2001/XMLSchema-instance" xsi:type="dcterms:W3CDTF">2026-09-19T21:07:20Z</dcterms:modified>
</cp:coreProperties>
</file>