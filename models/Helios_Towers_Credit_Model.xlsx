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Arqaam] Tower Tenancy &amp; Master Lease: Long-term master lease agreements (10-15 years) with Tier-1 MNOs featuring contracted annual CPI escalators and power pass-through.
• [Company Filings] FX Pass-Through Indexation: Lease contracts pegged to USD or local currency with inflation-indexing formulas, mitigating emerging market FX depreciation.
• Downside Recovery Floor: $65.0 (Base: $97.5)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Helios Towers</t>
        </is>
      </c>
    </row>
    <row r="3">
      <c r="B3" s="2" t="inlineStr">
        <is>
          <t>CEMBI CEEMEA Assessment | Country: Pan-Africa | Sector: Technology | Benchmark: HT 8.75%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$94.25 (8.75% YTM)</t>
        </is>
      </c>
      <c r="D6" s="4" t="inlineStr">
        <is>
          <t>B / B2 (+440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Tanzania Towers (36%), DRC (24%), Oman (16%), Senegal/Ghana/South Africa (24%)</t>
        </is>
      </c>
      <c r="D7" s="4" t="inlineStr">
        <is>
          <t>Recovery Floor</t>
        </is>
      </c>
      <c r="E7" s="5" t="inlineStr">
        <is>
          <t>$65.00 (Base $97.50)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$97.50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$81.25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$65.00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Helios Towers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503.2</v>
      </c>
      <c r="D7" s="15" t="n">
        <v>606.8</v>
      </c>
      <c r="E7" s="15" t="n">
        <v>680.8</v>
      </c>
      <c r="F7" s="15" t="n">
        <v>740</v>
      </c>
      <c r="G7" s="16" t="n">
        <v>799.2</v>
      </c>
      <c r="H7" s="16" t="n">
        <v>851</v>
      </c>
      <c r="I7" s="16" t="n">
        <v>888</v>
      </c>
    </row>
    <row r="8">
      <c r="B8" s="5" t="inlineStr">
        <is>
          <t>Cost of Goods Sold (COGS)</t>
        </is>
      </c>
      <c r="C8" s="17" t="n">
        <v>186.3</v>
      </c>
      <c r="D8" s="17" t="n">
        <v>226.3</v>
      </c>
      <c r="E8" s="17" t="n">
        <v>247.6</v>
      </c>
      <c r="F8" s="17" t="n">
        <v>266.2</v>
      </c>
      <c r="G8" s="18" t="n">
        <v>284.8</v>
      </c>
      <c r="H8" s="18" t="n">
        <v>300.8</v>
      </c>
      <c r="I8" s="18" t="n">
        <v>314.1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63.9</v>
      </c>
      <c r="D11" s="17" t="n">
        <v>72.8</v>
      </c>
      <c r="E11" s="17" t="n">
        <v>81.7</v>
      </c>
      <c r="F11" s="17" t="n">
        <v>88.8</v>
      </c>
      <c r="G11" s="18" t="n">
        <v>94.09999999999999</v>
      </c>
      <c r="H11" s="18" t="n">
        <v>99.5</v>
      </c>
      <c r="I11" s="18" t="n">
        <v>103</v>
      </c>
    </row>
    <row r="12">
      <c r="B12" s="14" t="inlineStr">
        <is>
          <t>EBITDA</t>
        </is>
      </c>
      <c r="C12" s="15" t="n">
        <v>250.2</v>
      </c>
      <c r="D12" s="15" t="n">
        <v>308</v>
      </c>
      <c r="E12" s="15" t="n">
        <v>346.5</v>
      </c>
      <c r="F12" s="15" t="n">
        <v>385</v>
      </c>
      <c r="G12" s="16" t="n">
        <v>423.5</v>
      </c>
      <c r="H12" s="16" t="n">
        <v>454.3</v>
      </c>
      <c r="I12" s="16" t="n">
        <v>477.4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107.8</v>
      </c>
      <c r="D14" s="17" t="n">
        <v>118.6</v>
      </c>
      <c r="E14" s="17" t="n">
        <v>128</v>
      </c>
      <c r="F14" s="17" t="n">
        <v>134.8</v>
      </c>
      <c r="G14" s="18" t="n">
        <v>141.5</v>
      </c>
      <c r="H14" s="18" t="n">
        <v>148.2</v>
      </c>
      <c r="I14" s="18" t="n">
        <v>155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51.3</v>
      </c>
      <c r="D16" s="17" t="n">
        <v>64.2</v>
      </c>
      <c r="E16" s="17" t="n">
        <v>77</v>
      </c>
      <c r="F16" s="17" t="n">
        <v>85.59999999999999</v>
      </c>
      <c r="G16" s="18" t="n">
        <v>82.09999999999999</v>
      </c>
      <c r="H16" s="18" t="n">
        <v>78.7</v>
      </c>
      <c r="I16" s="18" t="n">
        <v>75.3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186.2</v>
      </c>
      <c r="D20" s="15" t="n">
        <v>234.2</v>
      </c>
      <c r="E20" s="15" t="n">
        <v>264.3</v>
      </c>
      <c r="F20" s="15" t="n">
        <v>300.3</v>
      </c>
      <c r="G20" s="16" t="n">
        <v>330.3</v>
      </c>
      <c r="H20" s="16" t="n">
        <v>354.4</v>
      </c>
      <c r="I20" s="16" t="n">
        <v>375.4</v>
      </c>
    </row>
    <row r="21">
      <c r="B21" s="5" t="inlineStr">
        <is>
          <t>Capital Expenditures (Capex)</t>
        </is>
      </c>
      <c r="C21" s="17" t="n">
        <v>41.4</v>
      </c>
      <c r="D21" s="17" t="n">
        <v>50.3</v>
      </c>
      <c r="E21" s="17" t="n">
        <v>56.2</v>
      </c>
      <c r="F21" s="17" t="n">
        <v>59.2</v>
      </c>
      <c r="G21" s="18" t="n">
        <v>62.2</v>
      </c>
      <c r="H21" s="18" t="n">
        <v>60.4</v>
      </c>
      <c r="I21" s="18" t="n">
        <v>58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73.3</v>
      </c>
      <c r="D24" s="17" t="n">
        <v>93.2</v>
      </c>
      <c r="E24" s="17" t="n">
        <v>113.2</v>
      </c>
      <c r="F24" s="17" t="n">
        <v>133.2</v>
      </c>
      <c r="G24" s="18" t="n">
        <v>157.2</v>
      </c>
      <c r="H24" s="18" t="n">
        <v>179.8</v>
      </c>
      <c r="I24" s="18" t="n">
        <v>199.8</v>
      </c>
    </row>
    <row r="25">
      <c r="B25" s="14" t="inlineStr">
        <is>
          <t>Gross Debt (Loans + Eurobonds/Sukuk)</t>
        </is>
      </c>
      <c r="C25" s="15" t="n">
        <v>767.7</v>
      </c>
      <c r="D25" s="15" t="n">
        <v>830.9</v>
      </c>
      <c r="E25" s="15" t="n">
        <v>885.1</v>
      </c>
      <c r="F25" s="15" t="n">
        <v>903.2</v>
      </c>
      <c r="G25" s="16" t="n">
        <v>885.1</v>
      </c>
      <c r="H25" s="16" t="n">
        <v>858</v>
      </c>
      <c r="I25" s="16" t="n">
        <v>812.9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