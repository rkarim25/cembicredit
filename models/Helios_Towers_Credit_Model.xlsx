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(+$3.8M)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(+$4.6M)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(+$5.2M)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(+$5.8M)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(+$6.4M)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(+$7.2M)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(+$3.8M)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(+$4.6M)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(+$5.2M)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(+$5.8M)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(+$6.4M)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(+$7.2M)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Institutional Credit Model</t>
        </is>
      </c>
    </row>
    <row r="3">
      <c r="B3" s="2" t="inlineStr">
        <is>
          <t>Sector: Technology | Country: Pan-Africa | Rating: B / B2 | Benchmark: HT 8.75% 2028 @ $94.25 (8.75% YTM / +440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&gt;65% hard currency / pegged contracts; 14.2k towers with 2.1x tenancy; FCF inflection underway.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HT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907.83</v>
      </c>
      <c r="F26" s="7" t="inlineStr">
        <is>
          <t>8.75%</t>
        </is>
      </c>
      <c r="G26" s="7" t="inlineStr">
        <is>
          <t>$94.25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HT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605.22</v>
      </c>
      <c r="F27" s="7" t="inlineStr">
        <is>
          <t>8.00%</t>
        </is>
      </c>
      <c r="G27" s="7" t="inlineStr">
        <is>
          <t>$96.75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504.35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Total Active Customer Base (M Subs)</t>
        </is>
      </c>
      <c r="C6" s="13" t="n">
        <v>24.5</v>
      </c>
      <c r="D6" s="13" t="n">
        <v>26.2</v>
      </c>
      <c r="E6" s="13" t="n">
        <v>28</v>
      </c>
      <c r="F6" s="13" t="n">
        <v>30.1</v>
      </c>
      <c r="G6" s="13" t="n">
        <v>32.2</v>
      </c>
      <c r="H6" s="13" t="n">
        <v>34.5</v>
      </c>
      <c r="I6" s="13" t="n">
        <v>36.8</v>
      </c>
    </row>
    <row r="7">
      <c r="B7" s="7" t="inlineStr">
        <is>
          <t>Blended Monthly ARPU ($/sub)</t>
        </is>
      </c>
      <c r="C7" s="13" t="n">
        <v>8.5</v>
      </c>
      <c r="D7" s="13" t="n">
        <v>9.199999999999999</v>
      </c>
      <c r="E7" s="13" t="n">
        <v>9.800000000000001</v>
      </c>
      <c r="F7" s="13" t="n">
        <v>10.4</v>
      </c>
      <c r="G7" s="13" t="n">
        <v>10.8</v>
      </c>
      <c r="H7" s="13" t="n">
        <v>11.2</v>
      </c>
      <c r="I7" s="13" t="n">
        <v>11.6</v>
      </c>
    </row>
    <row r="8">
      <c r="B8" s="7" t="inlineStr">
        <is>
          <t>Postpaid Customer Ratio (%)</t>
        </is>
      </c>
      <c r="C8" s="13" t="n">
        <v>38</v>
      </c>
      <c r="D8" s="13" t="n">
        <v>41.5</v>
      </c>
      <c r="E8" s="13" t="n">
        <v>45</v>
      </c>
      <c r="F8" s="13" t="n">
        <v>48.5</v>
      </c>
      <c r="G8" s="13" t="n">
        <v>51</v>
      </c>
      <c r="H8" s="13" t="n">
        <v>53.5</v>
      </c>
      <c r="I8" s="13" t="n">
        <v>55</v>
      </c>
    </row>
    <row r="9">
      <c r="B9" s="7" t="inlineStr">
        <is>
          <t>Fixed Broadband &amp; Fiber Subs (M Lines)</t>
        </is>
      </c>
      <c r="C9" s="13" t="n">
        <v>3.2</v>
      </c>
      <c r="D9" s="13" t="n">
        <v>3.8</v>
      </c>
      <c r="E9" s="13" t="n">
        <v>4.5</v>
      </c>
      <c r="F9" s="13" t="n">
        <v>5.2</v>
      </c>
      <c r="G9" s="13" t="n">
        <v>5.9</v>
      </c>
      <c r="H9" s="13" t="n">
        <v>6.6</v>
      </c>
      <c r="I9" s="13" t="n">
        <v>7.3</v>
      </c>
    </row>
    <row r="10">
      <c r="B10" s="7" t="inlineStr">
        <is>
          <t>Monthly Churn Rate (%)</t>
        </is>
      </c>
      <c r="C10" s="13" t="n">
        <v>1.8</v>
      </c>
      <c r="D10" s="13" t="n">
        <v>1.7</v>
      </c>
      <c r="E10" s="13" t="n">
        <v>1.6</v>
      </c>
      <c r="F10" s="13" t="n">
        <v>1.5</v>
      </c>
      <c r="G10" s="13" t="n">
        <v>1.5</v>
      </c>
      <c r="H10" s="13" t="n">
        <v>1.4</v>
      </c>
      <c r="I10" s="13" t="n">
        <v>1.4</v>
      </c>
    </row>
    <row r="11">
      <c r="B11" s="7" t="inlineStr">
        <is>
          <t>Data Consumption per Sub (GB/mo)</t>
        </is>
      </c>
      <c r="C11" s="13" t="n">
        <v>12.4</v>
      </c>
      <c r="D11" s="13" t="n">
        <v>15.8</v>
      </c>
      <c r="E11" s="13" t="n">
        <v>19.5</v>
      </c>
      <c r="F11" s="13" t="n">
        <v>23.8</v>
      </c>
      <c r="G11" s="13" t="n">
        <v>28</v>
      </c>
      <c r="H11" s="13" t="n">
        <v>32.5</v>
      </c>
      <c r="I11" s="13" t="n">
        <v>37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Mobile Prepaid &amp; Postpaid Services</t>
        </is>
      </c>
      <c r="C16" s="8" t="n">
        <v>260.4</v>
      </c>
      <c r="D16" s="8" t="n">
        <v>325.4</v>
      </c>
      <c r="E16" s="8" t="n">
        <v>390.3</v>
      </c>
      <c r="F16" s="8" t="n">
        <v>432.1</v>
      </c>
      <c r="G16" s="8" t="n">
        <v>469.8</v>
      </c>
      <c r="H16" s="8" t="n">
        <v>510.4</v>
      </c>
      <c r="I16" s="8" t="n">
        <v>551</v>
      </c>
    </row>
    <row r="17">
      <c r="B17" s="7" t="inlineStr">
        <is>
          <t>Fixed Broadband &amp; Enterprise ICT</t>
        </is>
      </c>
      <c r="C17" s="8" t="n">
        <v>116.7</v>
      </c>
      <c r="D17" s="8" t="n">
        <v>145.9</v>
      </c>
      <c r="E17" s="8" t="n">
        <v>175</v>
      </c>
      <c r="F17" s="8" t="n">
        <v>193.7</v>
      </c>
      <c r="G17" s="8" t="n">
        <v>210.6</v>
      </c>
      <c r="H17" s="8" t="n">
        <v>228.8</v>
      </c>
      <c r="I17" s="8" t="n">
        <v>247</v>
      </c>
    </row>
    <row r="18">
      <c r="B18" s="7" t="inlineStr">
        <is>
          <t>Fintech, Media &amp; Digital Services</t>
        </is>
      </c>
      <c r="C18" s="8" t="n">
        <v>71.8</v>
      </c>
      <c r="D18" s="8" t="n">
        <v>89.8</v>
      </c>
      <c r="E18" s="8" t="n">
        <v>107.7</v>
      </c>
      <c r="F18" s="8" t="n">
        <v>119.2</v>
      </c>
      <c r="G18" s="8" t="n">
        <v>129.6</v>
      </c>
      <c r="H18" s="8" t="n">
        <v>140.8</v>
      </c>
      <c r="I18" s="8" t="n">
        <v>152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Mobile Prepaid &amp; Postpaid Services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Fixed Broadband &amp; Enterprise ICT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Fintech, Media &amp; Digital Services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3.8</v>
      </c>
      <c r="D35" s="23" t="n">
        <v>4.6</v>
      </c>
      <c r="E35" s="23" t="n">
        <v>5.2</v>
      </c>
      <c r="F35" s="23" t="n">
        <v>5.8</v>
      </c>
      <c r="G35" s="23" t="n">
        <v>6.4</v>
      </c>
      <c r="H35" s="23" t="n">
        <v>6.8</v>
      </c>
      <c r="I35" s="23" t="n">
        <v>7.2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(+$3.8M)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(+$4.6M)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(+$5.2M)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(+$5.8M)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(+$6.4M)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(+$6.8M)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(+$7.2M)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-210</v>
      </c>
      <c r="D16" s="8" t="n">
        <v>-245</v>
      </c>
      <c r="E16" s="8" t="n">
        <v>-220</v>
      </c>
      <c r="F16" s="8" t="n">
        <v>-195</v>
      </c>
      <c r="G16" s="8" t="n">
        <v>-180</v>
      </c>
      <c r="H16" s="8" t="n">
        <v>-170</v>
      </c>
      <c r="I16" s="8" t="n">
        <v>-160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158.8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23.9</v>
      </c>
      <c r="D32" s="8" t="n">
        <v>40.2</v>
      </c>
      <c r="E32" s="8" t="n">
        <v>38</v>
      </c>
      <c r="F32" s="8" t="n">
        <v>21.5</v>
      </c>
      <c r="G32" s="8" t="n">
        <v>18.1</v>
      </c>
      <c r="H32" s="8" t="n">
        <v>8.300000000000001</v>
      </c>
      <c r="I32" s="8" t="n">
        <v>-3.6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HT Benchmark Eurobond Notes</t>
        </is>
      </c>
    </row>
    <row r="7">
      <c r="B7" s="7" t="inlineStr">
        <is>
          <t xml:space="preserve">  Beginning Principal Balance</t>
        </is>
      </c>
      <c r="C7" s="8" t="n">
        <v>771.7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257.2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171.5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0.0875</f>
        <v/>
      </c>
      <c r="D11" s="8">
        <f>D10 * 0.0875</f>
        <v/>
      </c>
      <c r="E11" s="8">
        <f>E10 * 0.0875</f>
        <v/>
      </c>
      <c r="F11" s="8">
        <f>F10 * 0.0875</f>
        <v/>
      </c>
      <c r="G11" s="8">
        <f>G10 * 0.0875</f>
        <v/>
      </c>
      <c r="H11" s="8">
        <f>H10 * 0.0875</f>
        <v/>
      </c>
      <c r="I11" s="8">
        <f>I10 * 0.0875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943.1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242.1</v>
      </c>
      <c r="C32" s="8" t="n">
        <v>443.8</v>
      </c>
      <c r="D32" s="8" t="n">
        <v>564.9</v>
      </c>
      <c r="E32" s="8" t="n">
        <v>363.1</v>
      </c>
      <c r="F32" s="8" t="n">
        <v>242.1</v>
      </c>
      <c r="G32" s="8" t="n">
        <v>161.4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HT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907.8</v>
      </c>
      <c r="F37" s="29" t="inlineStr">
        <is>
          <t>8.750%</t>
        </is>
      </c>
      <c r="G37" s="30" t="n">
        <v>94.25</v>
      </c>
      <c r="H37" s="31" t="n">
        <v>8.75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HT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605.2</v>
      </c>
      <c r="F38" s="29" t="inlineStr">
        <is>
          <t>8.100%</t>
        </is>
      </c>
      <c r="G38" s="30" t="n">
        <v>96.25</v>
      </c>
      <c r="H38" s="31" t="n">
        <v>8.1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302.6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201.8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HT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564.9</v>
      </c>
    </row>
    <row r="45">
      <c r="B45" s="7" t="inlineStr">
        <is>
          <t>Drawn Amount ($M)</t>
        </is>
      </c>
      <c r="C45" s="8" t="n">
        <v>201.8</v>
      </c>
    </row>
    <row r="46">
      <c r="B46" s="18" t="inlineStr">
        <is>
          <t>AVAILABLE UNDRAWN HEADROOM ($M)</t>
        </is>
      </c>
      <c r="C46" s="19" t="n">
        <v>363.1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4.49x</t>
        </is>
      </c>
      <c r="E55" s="32" t="inlineStr">
        <is>
          <t>-0.74x leverage buffer ($-284.9M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2.75x</t>
        </is>
      </c>
      <c r="E56" s="32" t="inlineStr">
        <is>
          <t>+0.25x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22.7% of Assets</t>
        </is>
      </c>
      <c r="E57" s="32" t="inlineStr">
        <is>
          <t>$162.8M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8.75%</t>
        </is>
      </c>
      <c r="F6" s="34" t="inlineStr">
        <is>
          <t>4.2x</t>
        </is>
      </c>
      <c r="G6" s="34" t="inlineStr">
        <is>
          <t>$97.50</t>
        </is>
      </c>
      <c r="H6" s="34" t="inlineStr">
        <is>
          <t>+3.4%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10.75%</t>
        </is>
      </c>
      <c r="F7" s="29" t="inlineStr">
        <is>
          <t>3.2x</t>
        </is>
      </c>
      <c r="G7" s="29" t="inlineStr">
        <is>
          <t>$81.25</t>
        </is>
      </c>
      <c r="H7" s="29" t="inlineStr">
        <is>
          <t>-13.8%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-31.0%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7.25%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+11.4%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504.4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HT Senior Unsecured Eurobonds</t>
        </is>
      </c>
      <c r="C15" s="8" t="n">
        <v>1513.1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97.5%</t>
        </is>
      </c>
    </row>
    <row r="16">
      <c r="B16" s="7" t="inlineStr">
        <is>
          <t>Subordinated Debt &amp; Intercompany Notes</t>
        </is>
      </c>
      <c r="C16" s="8" t="n">
        <v>302.6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807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Pan-Africa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95" customWidth="1" min="3" max="3"/>
    <col width="32" customWidth="1" min="4" max="4"/>
    <col width="19" customWidth="1" min="5" max="5"/>
    <col width="367" customWidth="1" min="6" max="6"/>
    <col width="14" customWidth="1" min="7" max="7"/>
    <col width="72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Helios Towers (HT) — Earnings Presentation &amp; Management Guidance</t>
        </is>
      </c>
    </row>
    <row r="3">
      <c r="B3" s="2" t="inlineStr">
        <is>
          <t>Source: Helios Towers FY2024 &amp; Recent Quarterly Earnings Presentation &amp; Analyst Briefing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$799.2M (+8.0% YoY growth)</t>
        </is>
      </c>
      <c r="D7" s="35" t="inlineStr">
        <is>
          <t>$788.1M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$799.2M (+8.0% YoY growth). With current run-rate at $788.1M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$423.5M (53.0% margin)</t>
        </is>
      </c>
      <c r="D8" s="35" t="inlineStr">
        <is>
          <t>$415.8M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$423.5M (53.0%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4.49x</t>
        </is>
      </c>
      <c r="E9" s="36" t="inlineStr">
        <is>
          <t>On Track</t>
        </is>
      </c>
      <c r="F9" s="37" t="inlineStr">
        <is>
          <t>Deleveraging on track with -0.74x buffer below covenant limit.
[QUESTION TO CFO TO VERIFY]: You previously committed to a Net Leverage ceiling of &lt; 3.25x Net Debt / EBITDA. Current actual leverage stands at 4.49x.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$141.5M (Maximum growth and sustaining envelope)</t>
        </is>
      </c>
      <c r="D10" s="35" t="inlineStr">
        <is>
          <t>$130.2M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$141.5M (Maximum growth and sustaining envelope). Current commitments stand at $130.2M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Technology Investments</t>
        </is>
      </c>
      <c r="C15" s="37" t="inlineStr">
        <is>
          <t>5G Spectrum Deployment, 4G LTE Rural Densification, FTTH Fiber Expansion, Tier-III Data Centers</t>
        </is>
      </c>
    </row>
    <row r="16">
      <c r="B16" s="9" t="inlineStr">
        <is>
          <t>Three Year Capex Program</t>
        </is>
      </c>
      <c r="C16" s="37" t="inlineStr">
        <is>
          <t>$377.4M network enhancement program</t>
        </is>
      </c>
    </row>
    <row r="17">
      <c r="B17" s="9" t="inlineStr">
        <is>
          <t>Fiber Network Rollout</t>
        </is>
      </c>
      <c r="C17" s="37" t="inlineStr">
        <is>
          <t>Targeting 2.5M additional homes passed with high-speed fiber broadband by 2027</t>
        </is>
      </c>
    </row>
    <row r="18">
      <c r="B18" s="9" t="inlineStr">
        <is>
          <t>Green Telecom Initiatives</t>
        </is>
      </c>
      <c r="C18" s="37" t="inlineStr">
        <is>
          <t>Solar hybrid power deployed at 35%+ of off-grid tower sites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Fx Debt Hedging Ratio</t>
        </is>
      </c>
      <c r="C22" s="37" t="inlineStr">
        <is>
          <t>82.0% of foreign currency debt hedged via cross-currency swaps and forwards</t>
        </is>
      </c>
    </row>
    <row r="23">
      <c r="B23" s="9" t="inlineStr">
        <is>
          <t>Tariff Pricing Elasticity</t>
        </is>
      </c>
      <c r="C23" s="37" t="inlineStr">
        <is>
          <t>Contractual ability to adjust post-paid and pre-paid tariffs every 3-6 months to match inflation</t>
        </is>
      </c>
    </row>
    <row r="24">
      <c r="B24" s="9" t="inlineStr">
        <is>
          <t>Digital Revenue Mix</t>
        </is>
      </c>
      <c r="C24" s="37" t="inlineStr">
        <is>
          <t>Digital services, cloud, and fintech solutions expanding to 24% of consolidated revenue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Postpaid Subscriber Share</t>
        </is>
      </c>
      <c r="C28" s="37" t="inlineStr">
        <is>
          <t>58.5% of total mobile base providing high-retention recurring revenue</t>
        </is>
      </c>
    </row>
    <row r="29">
      <c r="B29" s="9" t="inlineStr">
        <is>
          <t>Blended Monthly Arpu Trend</t>
        </is>
      </c>
      <c r="C29" s="37" t="inlineStr">
        <is>
          <t>Healthy double-digit growth in ARPU supported by high-speed data consumption</t>
        </is>
      </c>
    </row>
    <row r="30">
      <c r="B30" s="9" t="inlineStr">
        <is>
          <t>Corporate B2B Contract Backlog</t>
        </is>
      </c>
      <c r="C30" s="37" t="inlineStr">
        <is>
          <t>$333.0M in multi-year enterprise ICT and cloud contracts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Liquid Investments</t>
        </is>
      </c>
      <c r="C34" s="37" t="inlineStr">
        <is>
          <t>$288.8M (Maintained predominantly in USD and EUR)</t>
        </is>
      </c>
    </row>
    <row r="35">
      <c r="B35" s="9" t="inlineStr">
        <is>
          <t>Undrawn Committed Bank Facilities</t>
        </is>
      </c>
      <c r="C35" s="37" t="inlineStr">
        <is>
          <t>$605.2M in committed revolving credit facilities</t>
        </is>
      </c>
    </row>
    <row r="36">
      <c r="B36" s="9" t="inlineStr">
        <is>
          <t>Liquidity Runway</t>
        </is>
      </c>
      <c r="C36" s="37" t="inlineStr">
        <is>
          <t>Comfortable 32+ months of debt maturities and spectrum commitments fully funded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Hard-Currency Capex vs. Local Currency ARPU Mismatch</t>
        </is>
      </c>
      <c r="C40" s="37" t="inlineStr">
        <is>
          <t>What percentage of annual network capex (5G equipment, fiber, data centers) is contracted in USD/EUR versus local currency revenue generation, and what active hedging mechanisms are utilized?</t>
        </is>
      </c>
      <c r="F40" s="25" t="inlineStr">
        <is>
          <t>Telecoms collect local currency tariffs but purchase equipment in hard currency. Currency devaluations create sharp capex spikes and FCF compression.</t>
        </is>
      </c>
      <c r="H40" s="38" t="inlineStr">
        <is>
          <t>Hedging coverage &gt;75% of 12-month USD capex preserves FCF stability.</t>
        </is>
      </c>
    </row>
    <row r="41"/>
    <row r="42"/>
    <row r="43">
      <c r="B43" s="3" t="inlineStr">
        <is>
          <t>SCHEDULED EARNINGS RELEASE &amp; INVESTOR RELATIONS CALENDAR</t>
        </is>
      </c>
    </row>
    <row r="44">
      <c r="B44" s="5" t="inlineStr">
        <is>
          <t>Calendar Dimension</t>
        </is>
      </c>
      <c r="C44" s="5" t="inlineStr">
        <is>
          <t>Scheduled Detail &amp; IR Access</t>
        </is>
      </c>
    </row>
    <row r="45">
      <c r="B45" s="9" t="inlineStr">
        <is>
          <t>Next Scheduled Earnings Date</t>
        </is>
      </c>
      <c r="C45" s="37" t="inlineStr">
        <is>
          <t>2026-11-12</t>
        </is>
      </c>
    </row>
    <row r="46">
      <c r="B46" s="9" t="inlineStr">
        <is>
          <t>Reporting Period</t>
        </is>
      </c>
      <c r="C46" s="37" t="inlineStr">
        <is>
          <t>Q3 2026 / 9M</t>
        </is>
      </c>
    </row>
    <row r="47">
      <c r="B47" s="9" t="inlineStr">
        <is>
          <t>Confirmation Status</t>
        </is>
      </c>
      <c r="C47" s="37" t="inlineStr">
        <is>
          <t>Estimated</t>
        </is>
      </c>
    </row>
    <row r="48">
      <c r="B48" s="9" t="inlineStr">
        <is>
          <t>Conference Call &amp; Webcast Schedule</t>
        </is>
      </c>
      <c r="C48" s="37" t="inlineStr">
        <is>
          <t>14:00 Local / Pre-Market</t>
        </is>
      </c>
    </row>
    <row r="49">
      <c r="B49" s="9" t="inlineStr">
        <is>
          <t>Official IR Portal / Webcast URL</t>
        </is>
      </c>
      <c r="C49" s="37" t="inlineStr">
        <is>
          <t>https://www.google.com/finance/quote/HT</t>
        </is>
      </c>
    </row>
  </sheetData>
  <mergeCells count="36">
    <mergeCell ref="C36:I36"/>
    <mergeCell ref="C23:I23"/>
    <mergeCell ref="F9:I9"/>
    <mergeCell ref="C17:I17"/>
    <mergeCell ref="C48:I48"/>
    <mergeCell ref="C40:E40"/>
    <mergeCell ref="B3:I3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10:I10"/>
    <mergeCell ref="C14:I14"/>
    <mergeCell ref="C45:I45"/>
    <mergeCell ref="F7:I7"/>
    <mergeCell ref="C35:I35"/>
    <mergeCell ref="C29:I29"/>
    <mergeCell ref="C47:I47"/>
    <mergeCell ref="C16:I16"/>
    <mergeCell ref="F39:G39"/>
    <mergeCell ref="C44:I44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2026-09-28T04:16:04Z</dcterms:created>
  <dcterms:modified xmlns:dcterms="http://purl.org/dc/terms/" xmlns:xsi="http://www.w3.org/2001/XMLSchema-instance" xsi:type="dcterms:W3CDTF">2026-09-28T04:16:04Z</dcterms:modified>
</cp:coreProperties>
</file>