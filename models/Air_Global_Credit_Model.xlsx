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$49.0M after capex, interest, working capital, and tax.</t>
      </text>
    </comment>
    <comment ref="D34" authorId="0" shapeId="0">
      <text>
        <t>CEMBI Credit Desk FCF Bridge (2022A):
Formula: EBITDA - Capex - Cash Interest - ΔNWC - Tax
FCF generation of $134.0M after capex, interest, working capital, and tax.</t>
      </text>
    </comment>
    <comment ref="E34" authorId="0" shapeId="0">
      <text>
        <t>CEMBI Credit Desk FCF Bridge (2023A):
Formula: EBITDA - Capex - Cash Interest - ΔNWC - Tax
FCF generation of $101.0M after capex, interest, working capital, and tax.</t>
      </text>
    </comment>
    <comment ref="F34" authorId="0" shapeId="0">
      <text>
        <t>CEMBI Credit Desk FCF Bridge (2024A):
Formula: EBITDA - Capex - Cash Interest - ΔNWC - Tax
FCF generation of $100.0M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Institutional Credit Model</t>
        </is>
      </c>
    </row>
    <row r="3">
      <c r="B3" s="2" t="inlineStr">
        <is>
          <t>Sector: Consumer | Country: UAE | Rating: BB- / B1 | Benchmark: AIRGLO 2029 @ $100.00 (7.50%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Consumer credit in UAE.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AIRGLO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155.25</v>
      </c>
      <c r="F26" s="7" t="inlineStr">
        <is>
          <t>7.50%</t>
        </is>
      </c>
      <c r="G26" s="7" t="inlineStr">
        <is>
          <t>$100.00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AIRGLO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103.5</v>
      </c>
      <c r="F27" s="7" t="inlineStr">
        <is>
          <t>6.75%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86.25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550</v>
      </c>
      <c r="D15" s="8" t="n">
        <v>550</v>
      </c>
      <c r="E15" s="8" t="n">
        <v>200.2</v>
      </c>
      <c r="F15" s="8" t="n">
        <v>207.4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280</v>
      </c>
      <c r="D16" s="8" t="n">
        <v>280</v>
      </c>
      <c r="E16" s="8" t="n">
        <v>101.9</v>
      </c>
      <c r="F16" s="8" t="n">
        <v>105.6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170</v>
      </c>
      <c r="D17" s="8" t="n">
        <v>170</v>
      </c>
      <c r="E17" s="8" t="n">
        <v>61.9</v>
      </c>
      <c r="F17" s="8" t="n">
        <v>64.09999999999999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-120</v>
      </c>
      <c r="E16" s="8" t="n">
        <v>16</v>
      </c>
      <c r="F16" s="8" t="n">
        <v>17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51.7</v>
      </c>
      <c r="D32" s="8" t="n">
        <v>-21.9</v>
      </c>
      <c r="E32" s="8" t="n">
        <v>17.3</v>
      </c>
      <c r="F32" s="8" t="n">
        <v>10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AIRGLO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0.0750</f>
        <v/>
      </c>
      <c r="D11" s="8">
        <f>D10 * 0.0750</f>
        <v/>
      </c>
      <c r="E11" s="8">
        <f>E10 * 0.0750</f>
        <v/>
      </c>
      <c r="F11" s="8">
        <f>F10 * 0.0750</f>
        <v/>
      </c>
      <c r="G11" s="8">
        <f>G10 * 0.0750</f>
        <v/>
      </c>
      <c r="H11" s="8">
        <f>H10 * 0.0750</f>
        <v/>
      </c>
      <c r="I11" s="8">
        <f>I10 * 0.0750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41.4</v>
      </c>
      <c r="C32" s="8" t="n">
        <v>75.90000000000001</v>
      </c>
      <c r="D32" s="8" t="n">
        <v>96.59999999999999</v>
      </c>
      <c r="E32" s="8" t="n">
        <v>62.1</v>
      </c>
      <c r="F32" s="8" t="n">
        <v>41.4</v>
      </c>
      <c r="G32" s="8" t="n">
        <v>27.6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1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9" t="inlineStr">
        <is>
          <t>AVAILABLE UNDRAWN HEADROOM ($M)</t>
        </is>
      </c>
      <c r="C42" s="20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9" t="inlineStr">
        <is>
          <t>max 3.75x</t>
        </is>
      </c>
      <c r="D51" s="25" t="inlineStr">
        <is>
          <t>2.20x</t>
        </is>
      </c>
      <c r="E51" s="30" t="inlineStr">
        <is>
          <t>1.55x ($450M EBITDA headroom)</t>
        </is>
      </c>
      <c r="F51" s="17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9" t="inlineStr">
        <is>
          <t>min 2.50x</t>
        </is>
      </c>
      <c r="D52" s="25" t="inlineStr">
        <is>
          <t>4.80x</t>
        </is>
      </c>
      <c r="E52" s="30" t="inlineStr">
        <is>
          <t>2.30x headroom</t>
        </is>
      </c>
      <c r="F52" s="17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9" t="inlineStr">
        <is>
          <t>15.0% Assets</t>
        </is>
      </c>
      <c r="D53" s="25" t="inlineStr">
        <is>
          <t>4.2% Assets</t>
        </is>
      </c>
      <c r="E53" s="30" t="inlineStr">
        <is>
          <t>Compliant (10.8% asset headroom)</t>
        </is>
      </c>
      <c r="F53" s="17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9" t="inlineStr">
        <is>
          <t>101.00% Redemption</t>
        </is>
      </c>
      <c r="D54" s="25" t="inlineStr">
        <is>
          <t>N/A (Inactive)</t>
        </is>
      </c>
      <c r="E54" s="30" t="inlineStr">
        <is>
          <t>Compliant</t>
        </is>
      </c>
      <c r="F54" s="17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9" t="inlineStr">
        <is>
          <t>Builder Basket</t>
        </is>
      </c>
      <c r="D55" s="25" t="inlineStr">
        <is>
          <t>Within Capacity</t>
        </is>
      </c>
      <c r="E55" s="30" t="inlineStr">
        <is>
          <t>Compliant</t>
        </is>
      </c>
      <c r="F55" s="17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9" t="inlineStr">
        <is>
          <t>$50.0M threshold</t>
        </is>
      </c>
      <c r="D56" s="25" t="inlineStr">
        <is>
          <t>Zero Defaults</t>
        </is>
      </c>
      <c r="E56" s="30" t="inlineStr">
        <is>
          <t>Compliant</t>
        </is>
      </c>
      <c r="F56" s="17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1">
        <f>'Debt Schedule &amp; Tranches'!C26 / 'Income Statement (P&amp;L)'!C36</f>
        <v/>
      </c>
      <c r="D9" s="31">
        <f>'Debt Schedule &amp; Tranches'!D26 / 'Income Statement (P&amp;L)'!D36</f>
        <v/>
      </c>
      <c r="E9" s="31">
        <f>'Debt Schedule &amp; Tranches'!E26 / 'Income Statement (P&amp;L)'!E36</f>
        <v/>
      </c>
      <c r="F9" s="31">
        <f>'Debt Schedule &amp; Tranches'!F26 / 'Income Statement (P&amp;L)'!F36</f>
        <v/>
      </c>
      <c r="G9" s="31">
        <f>'Debt Schedule &amp; Tranches'!G26 / 'Income Statement (P&amp;L)'!G36</f>
        <v/>
      </c>
      <c r="H9" s="31">
        <f>'Debt Schedule &amp; Tranches'!H26 / 'Income Statement (P&amp;L)'!H36</f>
        <v/>
      </c>
      <c r="I9" s="31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1">
        <f>'Income Statement (P&amp;L)'!C22 / 'Debt Schedule &amp; Tranches'!C28</f>
        <v/>
      </c>
      <c r="D11" s="31">
        <f>'Income Statement (P&amp;L)'!D22 / 'Debt Schedule &amp; Tranches'!D28</f>
        <v/>
      </c>
      <c r="E11" s="31">
        <f>'Income Statement (P&amp;L)'!E22 / 'Debt Schedule &amp; Tranches'!E28</f>
        <v/>
      </c>
      <c r="F11" s="31">
        <f>'Income Statement (P&amp;L)'!F22 / 'Debt Schedule &amp; Tranches'!F28</f>
        <v/>
      </c>
      <c r="G11" s="31">
        <f>'Income Statement (P&amp;L)'!G22 / 'Debt Schedule &amp; Tranches'!G28</f>
        <v/>
      </c>
      <c r="H11" s="31">
        <f>'Income Statement (P&amp;L)'!H22 / 'Debt Schedule &amp; Tranches'!H28</f>
        <v/>
      </c>
      <c r="I11" s="31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7.50%</t>
        </is>
      </c>
      <c r="F6" s="32" t="inlineStr">
        <is>
          <t>4.5x</t>
        </is>
      </c>
      <c r="G6" s="32" t="inlineStr">
        <is>
          <t>$85.00</t>
        </is>
      </c>
      <c r="H6" s="32" t="inlineStr">
        <is>
          <t>-15.0%</t>
        </is>
      </c>
    </row>
    <row r="7">
      <c r="B7" s="7" t="inlineStr">
        <is>
          <t>Downside Stress Case (Recession)</t>
        </is>
      </c>
      <c r="C7" s="33" t="inlineStr">
        <is>
          <t>-15.0%</t>
        </is>
      </c>
      <c r="D7" s="33" t="inlineStr">
        <is>
          <t>-300 bp</t>
        </is>
      </c>
      <c r="E7" s="33" t="inlineStr">
        <is>
          <t>9.50%</t>
        </is>
      </c>
      <c r="F7" s="33" t="inlineStr">
        <is>
          <t>3.5x</t>
        </is>
      </c>
      <c r="G7" s="33" t="inlineStr">
        <is>
          <t>$65.00</t>
        </is>
      </c>
      <c r="H7" s="33" t="inlineStr">
        <is>
          <t>-35.0%</t>
        </is>
      </c>
    </row>
    <row r="8">
      <c r="B8" s="7" t="inlineStr">
        <is>
          <t>Severe Distressed Floor (Liquidation)</t>
        </is>
      </c>
      <c r="C8" s="33" t="inlineStr">
        <is>
          <t>-35.0%</t>
        </is>
      </c>
      <c r="D8" s="33" t="inlineStr">
        <is>
          <t>-650 bp</t>
        </is>
      </c>
      <c r="E8" s="33" t="inlineStr">
        <is>
          <t>+500 bp spread</t>
        </is>
      </c>
      <c r="F8" s="33" t="inlineStr">
        <is>
          <t>Liquidation Value</t>
        </is>
      </c>
      <c r="G8" s="33" t="inlineStr">
        <is>
          <t>$45.00</t>
        </is>
      </c>
      <c r="H8" s="33" t="inlineStr">
        <is>
          <t>-55.0%</t>
        </is>
      </c>
    </row>
    <row r="9">
      <c r="B9" s="7" t="inlineStr">
        <is>
          <t>Bull Case (Cycle Peak / Accretion)</t>
        </is>
      </c>
      <c r="C9" s="33" t="inlineStr">
        <is>
          <t>+12.0%</t>
        </is>
      </c>
      <c r="D9" s="33" t="inlineStr">
        <is>
          <t>+200 bp</t>
        </is>
      </c>
      <c r="E9" s="33" t="inlineStr">
        <is>
          <t>6.00%</t>
        </is>
      </c>
      <c r="F9" s="33" t="inlineStr">
        <is>
          <t>6.0x</t>
        </is>
      </c>
      <c r="G9" s="33" t="inlineStr">
        <is>
          <t>$100.30</t>
        </is>
      </c>
      <c r="H9" s="33" t="inlineStr">
        <is>
          <t>+0.3%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86.2</v>
      </c>
      <c r="D14" s="7" t="inlineStr">
        <is>
          <t>Senior Secured (Pari Passu)</t>
        </is>
      </c>
      <c r="E14" s="7" t="inlineStr">
        <is>
          <t>First Lien Fixed Charges</t>
        </is>
      </c>
      <c r="F14" s="33" t="inlineStr">
        <is>
          <t>100.0%</t>
        </is>
      </c>
      <c r="G14" s="33" t="inlineStr">
        <is>
          <t>100.0%</t>
        </is>
      </c>
    </row>
    <row r="15">
      <c r="B15" s="7" t="inlineStr">
        <is>
          <t>AIRGLO Senior Unsecured Eurobonds</t>
        </is>
      </c>
      <c r="C15" s="8" t="n">
        <v>258.8</v>
      </c>
      <c r="D15" s="7" t="inlineStr">
        <is>
          <t>Senior Unsecured</t>
        </is>
      </c>
      <c r="E15" s="7" t="inlineStr">
        <is>
          <t>General Corporate Guarantee</t>
        </is>
      </c>
      <c r="F15" s="33" t="inlineStr">
        <is>
          <t>45.0%</t>
        </is>
      </c>
      <c r="G15" s="33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51.8</v>
      </c>
      <c r="D16" s="7" t="inlineStr">
        <is>
          <t>Subordinated</t>
        </is>
      </c>
      <c r="E16" s="7" t="inlineStr">
        <is>
          <t>Junior Unsecured Claim</t>
        </is>
      </c>
      <c r="F16" s="33" t="inlineStr">
        <is>
          <t>0.0%</t>
        </is>
      </c>
      <c r="G16" s="33" t="inlineStr">
        <is>
          <t>25.0%</t>
        </is>
      </c>
    </row>
    <row r="17">
      <c r="B17" s="7" t="inlineStr">
        <is>
          <t>Equity Shareholders</t>
        </is>
      </c>
      <c r="C17" s="8" t="n">
        <v>138</v>
      </c>
      <c r="D17" s="7" t="inlineStr">
        <is>
          <t>Residual Equity</t>
        </is>
      </c>
      <c r="E17" s="7" t="inlineStr">
        <is>
          <t>Ordinary Shares</t>
        </is>
      </c>
      <c r="F17" s="33" t="inlineStr">
        <is>
          <t>0.0%</t>
        </is>
      </c>
      <c r="G17" s="33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7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Air Global (Advanced Inhalation Rituals) (AIRGLO)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4" t="inlineStr">
        <is>
          <t>2026-11-12</t>
        </is>
      </c>
    </row>
    <row r="23">
      <c r="B23" s="9" t="inlineStr">
        <is>
          <t>Reporting Period</t>
        </is>
      </c>
      <c r="C23" s="34" t="inlineStr">
        <is>
          <t>Q3 2026 / 9M</t>
        </is>
      </c>
    </row>
    <row r="24">
      <c r="B24" s="9" t="inlineStr">
        <is>
          <t>Confirmation Status</t>
        </is>
      </c>
      <c r="C24" s="34" t="inlineStr">
        <is>
          <t>Estimated</t>
        </is>
      </c>
    </row>
    <row r="25">
      <c r="B25" s="9" t="inlineStr">
        <is>
          <t>Conference Call &amp; Webcast Schedule</t>
        </is>
      </c>
      <c r="C25" s="34" t="inlineStr">
        <is>
          <t>14:00 Local / Pre-Market</t>
        </is>
      </c>
    </row>
    <row r="26">
      <c r="B26" s="9" t="inlineStr">
        <is>
          <t>Official IR Portal / Webcast URL</t>
        </is>
      </c>
      <c r="C26" s="34" t="inlineStr">
        <is>
          <t>https://www.google.com/finance/quote/AIRGLO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2026-09-27T04:14:43Z</dcterms:created>
  <dcterms:modified xmlns:dcterms="http://purl.org/dc/terms/" xmlns:xsi="http://www.w3.org/2001/XMLSchema-instance" xsi:type="dcterms:W3CDTF">2026-09-27T04:14:43Z</dcterms:modified>
</cp:coreProperties>
</file>