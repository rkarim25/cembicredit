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36" authorId="0" shapeId="0">
      <text>
        <t>CEMBI Credit Desk EBITDA Audit (2021A):
Fully reconciled with zero material add-backs.</t>
      </text>
    </comment>
    <comment ref="D36" authorId="0" shapeId="0">
      <text>
        <t>CEMBI Credit Desk EBITDA Audit (2022A):
Fully reconciled with zero material add-backs.</t>
      </text>
    </comment>
    <comment ref="E36" authorId="0" shapeId="0">
      <text>
        <t>CEMBI Credit Desk EBITDA Audit (2023A):
Fully reconciled with zero material add-backs.</t>
      </text>
    </comment>
    <comment ref="F36" authorId="0" shapeId="0">
      <text>
        <t>CEMBI Credit Desk EBITDA Audit (2024A):
Fully reconciled with zero material add-backs.</t>
      </text>
    </comment>
    <comment ref="G36" authorId="0" shapeId="0">
      <text>
        <t>CEMBI Credit Desk EBITDA Audit (2025E):
Fully reconciled with zero material add-backs.</t>
      </text>
    </comment>
    <comment ref="H36" authorId="0" shapeId="0">
      <text>
        <t>CEMBI Credit Desk EBITDA Audit (2026E):
Fully reconciled with zero material add-backs.</t>
      </text>
    </comment>
    <comment ref="I36" authorId="0" shapeId="0">
      <text>
        <t>CEMBI Credit Desk EBITDA Audit (2027E):
Fully reconciled with zero material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FCF generation of $49.0M after capex, interest, working capital, and tax.</t>
      </text>
    </comment>
    <comment ref="D34" authorId="0" shapeId="0">
      <text>
        <t>CEMBI Credit Desk FCF Bridge (2022A):
Formula: EBITDA - Capex - Cash Interest - ΔNWC - Tax
FCF generation of $134.0M after capex, interest, working capital, and tax.</t>
      </text>
    </comment>
    <comment ref="E34" authorId="0" shapeId="0">
      <text>
        <t>CEMBI Credit Desk FCF Bridge (2023A):
Formula: EBITDA - Capex - Cash Interest - ΔNWC - Tax
FCF generation of $101.0M after capex, interest, working capital, and tax.</t>
      </text>
    </comment>
    <comment ref="F34" authorId="0" shapeId="0">
      <text>
        <t>CEMBI Credit Desk FCF Bridge (2024A):
Formula: EBITDA - Capex - Cash Interest - ΔNWC - Tax
FCF generation of $100.0M after capex, interest, working capital, and tax.</t>
      </text>
    </comment>
    <comment ref="G34" authorId="0" shapeId="0">
      <text>
        <t>CEMBI Credit Desk FCF Bridge (2025E):
Formula: EBITDA - Capex - Cash Interest - ΔNWC - Tax
FCF generation of $100.0M after capex, interest, working capital, and tax.</t>
      </text>
    </comment>
    <comment ref="H34" authorId="0" shapeId="0">
      <text>
        <t>CEMBI Credit Desk FCF Bridge (2026E):
Formula: EBITDA - Capex - Cash Interest - ΔNWC - Tax
FCF generation of $100.0M after capex, interest, working capital, and tax.</t>
      </text>
    </comment>
    <comment ref="I34" authorId="0" shapeId="0">
      <text>
        <t>CEMBI Credit Desk FCF Bridge (2027E):
Formula: EBITDA - Capex - Cash Interest - ΔNWC - Tax
FCF generation of $100.0M after capex, interest, working capital, and tax.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Air Global (Advanced Inhalation Rituals) (AIRGLO) — Institutional Credit Model</t>
        </is>
      </c>
    </row>
    <row r="3">
      <c r="B3" s="2" t="inlineStr">
        <is>
          <t>Sector: Consumer | Country: UAE | Rating: BB- / B1 | Benchmark: AIRGLO 2029 @ $100.00 (7.50% YTM / +385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Leading Consumer credit in UAE. Model reflects comprehensive 3-statement forecast.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AIRGLO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155.25</v>
      </c>
      <c r="F26" s="7" t="inlineStr">
        <is>
          <t>7.50%</t>
        </is>
      </c>
      <c r="G26" s="7" t="inlineStr">
        <is>
          <t>$100.00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AIRGLO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103.5</v>
      </c>
      <c r="F27" s="7" t="inlineStr">
        <is>
          <t>6.75%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86.25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Air Global (Advanced Inhalation Rituals)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Consolidated Sales Volume (k Tonnes)</t>
        </is>
      </c>
      <c r="C6" s="13" t="n">
        <v>480</v>
      </c>
      <c r="D6" s="13" t="n">
        <v>520</v>
      </c>
      <c r="E6" s="13" t="n">
        <v>565</v>
      </c>
      <c r="F6" s="13" t="n">
        <v>615</v>
      </c>
      <c r="G6" s="13" t="n">
        <v>665</v>
      </c>
      <c r="H6" s="13" t="n">
        <v>715</v>
      </c>
      <c r="I6" s="13" t="n">
        <v>765</v>
      </c>
    </row>
    <row r="7">
      <c r="B7" s="7" t="inlineStr">
        <is>
          <t>Like-for-Like (LFL) Sales Growth (%)</t>
        </is>
      </c>
      <c r="C7" s="14" t="n">
        <v>8.5</v>
      </c>
      <c r="D7" s="14" t="n">
        <v>14.2</v>
      </c>
      <c r="E7" s="14" t="n">
        <v>11.8</v>
      </c>
      <c r="F7" s="14" t="n">
        <v>8.4</v>
      </c>
      <c r="G7" s="14" t="n">
        <v>7.5</v>
      </c>
      <c r="H7" s="14" t="n">
        <v>7</v>
      </c>
      <c r="I7" s="14" t="n">
        <v>6.5</v>
      </c>
    </row>
    <row r="8">
      <c r="B8" s="7" t="inlineStr">
        <is>
          <t>Average Unit Realized Price ($/unit)</t>
        </is>
      </c>
      <c r="C8" s="14" t="n">
        <v>18.5</v>
      </c>
      <c r="D8" s="14" t="n">
        <v>21</v>
      </c>
      <c r="E8" s="14" t="n">
        <v>22.5</v>
      </c>
      <c r="F8" s="14" t="n">
        <v>23.8</v>
      </c>
      <c r="G8" s="14" t="n">
        <v>24.5</v>
      </c>
      <c r="H8" s="14" t="n">
        <v>25.2</v>
      </c>
      <c r="I8" s="14" t="n">
        <v>25.8</v>
      </c>
    </row>
    <row r="9">
      <c r="B9" s="7" t="inlineStr">
        <is>
          <t>Retail Leasable Area (GLA) (k sqm)</t>
        </is>
      </c>
      <c r="C9" s="13" t="n">
        <v>850</v>
      </c>
      <c r="D9" s="13" t="n">
        <v>920</v>
      </c>
      <c r="E9" s="13" t="n">
        <v>990</v>
      </c>
      <c r="F9" s="13" t="n">
        <v>1060</v>
      </c>
      <c r="G9" s="13" t="n">
        <v>1130</v>
      </c>
      <c r="H9" s="13" t="n">
        <v>1200</v>
      </c>
      <c r="I9" s="13" t="n">
        <v>1270</v>
      </c>
    </row>
    <row r="10">
      <c r="B10" s="7" t="inlineStr">
        <is>
          <t>Customer Footfall (Million)</t>
        </is>
      </c>
      <c r="C10" s="13" t="n">
        <v>145</v>
      </c>
      <c r="D10" s="13" t="n">
        <v>162</v>
      </c>
      <c r="E10" s="13" t="n">
        <v>178</v>
      </c>
      <c r="F10" s="13" t="n">
        <v>194</v>
      </c>
      <c r="G10" s="13" t="n">
        <v>210</v>
      </c>
      <c r="H10" s="13" t="n">
        <v>225</v>
      </c>
      <c r="I10" s="13" t="n">
        <v>240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Branded Packaged Consumer Products</t>
        </is>
      </c>
      <c r="C15" s="8" t="n">
        <v>550</v>
      </c>
      <c r="D15" s="8" t="n">
        <v>550</v>
      </c>
      <c r="E15" s="8" t="n">
        <v>200.2</v>
      </c>
      <c r="F15" s="8" t="n">
        <v>207.4</v>
      </c>
      <c r="G15" s="8" t="n">
        <v>550</v>
      </c>
      <c r="H15" s="8" t="n">
        <v>550</v>
      </c>
      <c r="I15" s="8" t="n">
        <v>550</v>
      </c>
    </row>
    <row r="16">
      <c r="B16" s="7" t="inlineStr">
        <is>
          <t>Retail Shopping Malls &amp; Commercial Real Estate</t>
        </is>
      </c>
      <c r="C16" s="8" t="n">
        <v>280</v>
      </c>
      <c r="D16" s="8" t="n">
        <v>280</v>
      </c>
      <c r="E16" s="8" t="n">
        <v>101.9</v>
      </c>
      <c r="F16" s="8" t="n">
        <v>105.6</v>
      </c>
      <c r="G16" s="8" t="n">
        <v>280</v>
      </c>
      <c r="H16" s="8" t="n">
        <v>280</v>
      </c>
      <c r="I16" s="8" t="n">
        <v>280</v>
      </c>
    </row>
    <row r="17">
      <c r="B17" s="7" t="inlineStr">
        <is>
          <t>Wholesale Distribution &amp; Franchises</t>
        </is>
      </c>
      <c r="C17" s="8" t="n">
        <v>170</v>
      </c>
      <c r="D17" s="8" t="n">
        <v>170</v>
      </c>
      <c r="E17" s="8" t="n">
        <v>61.9</v>
      </c>
      <c r="F17" s="8" t="n">
        <v>64.09999999999999</v>
      </c>
      <c r="G17" s="8" t="n">
        <v>170</v>
      </c>
      <c r="H17" s="8" t="n">
        <v>170</v>
      </c>
      <c r="I17" s="8" t="n">
        <v>170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Air Global (Advanced Inhalation Rituals)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Branded Packaged Consumer Products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Retail Shopping Malls &amp; Commercial Real Estate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Wholesale Distribution &amp; Franchises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0</v>
      </c>
      <c r="D35" s="24" t="n">
        <v>0</v>
      </c>
      <c r="E35" s="24" t="n">
        <v>0</v>
      </c>
      <c r="F35" s="24" t="n">
        <v>0</v>
      </c>
      <c r="G35" s="24" t="n">
        <v>0</v>
      </c>
      <c r="H35" s="24" t="n">
        <v>0</v>
      </c>
      <c r="I35" s="24" t="n">
        <v>0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reconciled.</t>
        </is>
      </c>
    </row>
    <row r="43">
      <c r="B43" s="26" t="inlineStr">
        <is>
          <t>[2022A] Fully reconciled.</t>
        </is>
      </c>
    </row>
    <row r="44">
      <c r="B44" s="26" t="inlineStr">
        <is>
          <t>[2023A] Fully reconciled.</t>
        </is>
      </c>
    </row>
    <row r="45">
      <c r="B45" s="26" t="inlineStr">
        <is>
          <t>[2024A] Fully reconciled.</t>
        </is>
      </c>
    </row>
    <row r="46">
      <c r="B46" s="26" t="inlineStr">
        <is>
          <t>[2025E] Fully reconciled.</t>
        </is>
      </c>
    </row>
    <row r="47">
      <c r="B47" s="26" t="inlineStr">
        <is>
          <t>[2026E] Fully reconciled.</t>
        </is>
      </c>
    </row>
    <row r="48">
      <c r="B48" s="26" t="inlineStr">
        <is>
          <t>[2027E] Fully reconciled.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Air Global (Advanced Inhalation Rituals)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1500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350</v>
      </c>
      <c r="D36" s="8" t="n">
        <v>350</v>
      </c>
      <c r="E36" s="8" t="n">
        <v>350</v>
      </c>
      <c r="F36" s="8" t="n">
        <v>350</v>
      </c>
      <c r="G36" s="8" t="n">
        <v>350</v>
      </c>
      <c r="H36" s="8" t="n">
        <v>350</v>
      </c>
      <c r="I36" s="8" t="n">
        <v>350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Air Global (Advanced Inhalation Rituals)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-120</v>
      </c>
      <c r="D16" s="8" t="n">
        <v>-120</v>
      </c>
      <c r="E16" s="8" t="n">
        <v>16</v>
      </c>
      <c r="F16" s="8" t="n">
        <v>17</v>
      </c>
      <c r="G16" s="8" t="n">
        <v>-120</v>
      </c>
      <c r="H16" s="8" t="n">
        <v>-120</v>
      </c>
      <c r="I16" s="8" t="n">
        <v>-120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150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51.7</v>
      </c>
      <c r="D32" s="8" t="n">
        <v>-21.9</v>
      </c>
      <c r="E32" s="8" t="n">
        <v>17.3</v>
      </c>
      <c r="F32" s="8" t="n">
        <v>10</v>
      </c>
      <c r="G32" s="8" t="n">
        <v>10</v>
      </c>
      <c r="H32" s="8" t="n">
        <v>10</v>
      </c>
      <c r="I32" s="8" t="n">
        <v>10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organic cash generation supporting liquidity and debt service.</t>
        </is>
      </c>
    </row>
    <row r="39">
      <c r="B39" s="26" t="inlineStr">
        <is>
          <t>[2022A] Positive organic cash generation supporting liquidity and debt service.</t>
        </is>
      </c>
    </row>
    <row r="40">
      <c r="B40" s="26" t="inlineStr">
        <is>
          <t>[2023A] Positive organic cash generation supporting liquidity and debt service.</t>
        </is>
      </c>
    </row>
    <row r="41">
      <c r="B41" s="26" t="inlineStr">
        <is>
          <t>[2024A] Positive organic cash generation supporting liquidity and debt service.</t>
        </is>
      </c>
    </row>
    <row r="42">
      <c r="B42" s="26" t="inlineStr">
        <is>
          <t>[2025E] Positive organic cash generation supporting liquidity and debt service.</t>
        </is>
      </c>
    </row>
    <row r="43">
      <c r="B43" s="26" t="inlineStr">
        <is>
          <t>[2026E] Positive organic cash generation supporting liquidity and debt service.</t>
        </is>
      </c>
    </row>
    <row r="44">
      <c r="B44" s="26" t="inlineStr">
        <is>
          <t>[2027E] Positive organic cash generation supporting liquidity and debt service.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6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52" customWidth="1" min="3" max="3"/>
    <col width="36" customWidth="1" min="4" max="4"/>
    <col width="36" customWidth="1" min="5" max="5"/>
    <col width="78" customWidth="1" min="6" max="6"/>
    <col width="15" customWidth="1" min="7" max="7"/>
    <col width="14" customWidth="1" min="8" max="8"/>
    <col width="2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Air Global (Advanced Inhalation Rituals)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AIRGLO Benchmark Eurobond Notes</t>
        </is>
      </c>
    </row>
    <row r="7">
      <c r="B7" s="7" t="inlineStr">
        <is>
          <t xml:space="preserve">  Beginning Principal Balance</t>
        </is>
      </c>
      <c r="C7" s="8" t="n">
        <v>360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120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80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0.0750</f>
        <v/>
      </c>
      <c r="D11" s="8">
        <f>D10 * 0.0750</f>
        <v/>
      </c>
      <c r="E11" s="8">
        <f>E10 * 0.0750</f>
        <v/>
      </c>
      <c r="F11" s="8">
        <f>F10 * 0.0750</f>
        <v/>
      </c>
      <c r="G11" s="8">
        <f>G10 * 0.0750</f>
        <v/>
      </c>
      <c r="H11" s="8">
        <f>H10 * 0.0750</f>
        <v/>
      </c>
      <c r="I11" s="8">
        <f>I10 * 0.0750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440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41.4</v>
      </c>
      <c r="C32" s="8" t="n">
        <v>75.90000000000001</v>
      </c>
      <c r="D32" s="8" t="n">
        <v>96.59999999999999</v>
      </c>
      <c r="E32" s="8" t="n">
        <v>62.1</v>
      </c>
      <c r="F32" s="8" t="n">
        <v>41.4</v>
      </c>
      <c r="G32" s="8" t="n">
        <v>27.6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/>
    <row r="38">
      <c r="B38" s="3" t="inlineStr">
        <is>
          <t>VI. REVOLVING CREDIT FACILITY (RCF) &amp; BANK LIQUIDITY RUNWAY</t>
        </is>
      </c>
    </row>
    <row r="39">
      <c r="B39" s="7" t="inlineStr">
        <is>
          <t>Facility Designation</t>
        </is>
      </c>
      <c r="C39" s="7" t="inlineStr">
        <is>
          <t>Syndicated Revolving Credit Facility</t>
        </is>
      </c>
    </row>
    <row r="40">
      <c r="B40" s="9" t="inlineStr">
        <is>
          <t>Total Committed Capacity ($M)</t>
        </is>
      </c>
      <c r="C40" s="21" t="n">
        <v>1000</v>
      </c>
    </row>
    <row r="41">
      <c r="B41" s="7" t="inlineStr">
        <is>
          <t>Drawn Amount ($M)</t>
        </is>
      </c>
      <c r="C41" s="8" t="n">
        <v>200</v>
      </c>
    </row>
    <row r="42">
      <c r="B42" s="19" t="inlineStr">
        <is>
          <t>AVAILABLE UNDRAWN HEADROOM ($M)</t>
        </is>
      </c>
      <c r="C42" s="20" t="n">
        <v>800</v>
      </c>
    </row>
    <row r="43">
      <c r="B43" s="7" t="inlineStr">
        <is>
          <t>Drawn Borrowing Margin</t>
        </is>
      </c>
      <c r="C43" s="7" t="inlineStr">
        <is>
          <t>SOFR + 150 bps</t>
        </is>
      </c>
    </row>
    <row r="44">
      <c r="B44" s="7" t="inlineStr">
        <is>
          <t>Undrawn Commitment Fee</t>
        </is>
      </c>
      <c r="C44" s="7" t="inlineStr">
        <is>
          <t>52.5 bps</t>
        </is>
      </c>
    </row>
    <row r="45">
      <c r="B45" s="7" t="inlineStr">
        <is>
          <t>Maturity Date &amp; Extension Options</t>
        </is>
      </c>
      <c r="C45" s="7" t="inlineStr">
        <is>
          <t>2028-06-30</t>
        </is>
      </c>
    </row>
    <row r="46">
      <c r="B46" s="7" t="inlineStr">
        <is>
          <t>Syndicate Lenders / Arrangers</t>
        </is>
      </c>
      <c r="C46" s="7" t="inlineStr">
        <is>
          <t>Tier-1 International Commercial Banks</t>
        </is>
      </c>
    </row>
    <row r="47">
      <c r="B47" s="7" t="inlineStr">
        <is>
          <t>RCF Maintenance Covenants</t>
        </is>
      </c>
      <c r="C47" s="7" t="inlineStr">
        <is>
          <t>Tested semi-annually: Max Net Lev &amp; Min Coverage</t>
        </is>
      </c>
    </row>
    <row r="48"/>
    <row r="49">
      <c r="B49" s="3" t="inlineStr">
        <is>
          <t>VII. BOND COVENANT ANALYSIS &amp; HEADROOM SCORECARD</t>
        </is>
      </c>
    </row>
    <row r="50">
      <c r="B50" s="5" t="inlineStr">
        <is>
          <t>Covenant Test / Negative Pledge Dimension</t>
        </is>
      </c>
      <c r="C50" s="5" t="inlineStr">
        <is>
          <t>Governing Threshold / Limit</t>
        </is>
      </c>
      <c r="D50" s="5" t="inlineStr">
        <is>
          <t>Actual Current / Reported Metric</t>
        </is>
      </c>
      <c r="E50" s="5" t="inlineStr">
        <is>
          <t>Headroom / Compliance Status</t>
        </is>
      </c>
      <c r="F50" s="5" t="inlineStr">
        <is>
          <t>Covenant Terms / Description</t>
        </is>
      </c>
    </row>
    <row r="51">
      <c r="B51" s="9" t="inlineStr">
        <is>
          <t>Debt Incurrence Net Leverage Limit</t>
        </is>
      </c>
      <c r="C51" s="29" t="inlineStr">
        <is>
          <t>max 3.75x</t>
        </is>
      </c>
      <c r="D51" s="25" t="inlineStr">
        <is>
          <t>2.20x</t>
        </is>
      </c>
      <c r="E51" s="30" t="inlineStr">
        <is>
          <t>1.55x ($450M EBITDA headroom)</t>
        </is>
      </c>
      <c r="F51" s="17" t="inlineStr">
        <is>
          <t>Incurrence covenant for additional senior debt issuance</t>
        </is>
      </c>
    </row>
    <row r="52">
      <c r="B52" s="9" t="inlineStr">
        <is>
          <t>Fixed Charge / Interest Coverage Ratio (FCCR)</t>
        </is>
      </c>
      <c r="C52" s="29" t="inlineStr">
        <is>
          <t>min 2.50x</t>
        </is>
      </c>
      <c r="D52" s="25" t="inlineStr">
        <is>
          <t>4.80x</t>
        </is>
      </c>
      <c r="E52" s="30" t="inlineStr">
        <is>
          <t>2.30x headroom</t>
        </is>
      </c>
      <c r="F52" s="17" t="inlineStr">
        <is>
          <t>Maintenance / incurrence gateway test</t>
        </is>
      </c>
    </row>
    <row r="53">
      <c r="B53" s="9" t="inlineStr">
        <is>
          <t>Priority Secured Debt Basket</t>
        </is>
      </c>
      <c r="C53" s="29" t="inlineStr">
        <is>
          <t>15.0% Assets</t>
        </is>
      </c>
      <c r="D53" s="25" t="inlineStr">
        <is>
          <t>4.2% Assets</t>
        </is>
      </c>
      <c r="E53" s="30" t="inlineStr">
        <is>
          <t>Compliant (10.8% asset headroom)</t>
        </is>
      </c>
      <c r="F53" s="17" t="inlineStr">
        <is>
          <t>Permitted collateral carve-out limit</t>
        </is>
      </c>
    </row>
    <row r="54">
      <c r="B54" s="9" t="inlineStr">
        <is>
          <t>Change of Control Put Option</t>
        </is>
      </c>
      <c r="C54" s="29" t="inlineStr">
        <is>
          <t>101.00% Redemption</t>
        </is>
      </c>
      <c r="D54" s="25" t="inlineStr">
        <is>
          <t>N/A (Inactive)</t>
        </is>
      </c>
      <c r="E54" s="30" t="inlineStr">
        <is>
          <t>Compliant</t>
        </is>
      </c>
      <c r="F54" s="17" t="inlineStr">
        <is>
          <t>Investor put at 101% if CoC accompanied by rating downgrade within 90 days</t>
        </is>
      </c>
    </row>
    <row r="55">
      <c r="B55" s="9" t="inlineStr">
        <is>
          <t>Restricted Payments / Dividend Basket</t>
        </is>
      </c>
      <c r="C55" s="29" t="inlineStr">
        <is>
          <t>Builder Basket</t>
        </is>
      </c>
      <c r="D55" s="25" t="inlineStr">
        <is>
          <t>Within Capacity</t>
        </is>
      </c>
      <c r="E55" s="30" t="inlineStr">
        <is>
          <t>Compliant</t>
        </is>
      </c>
      <c r="F55" s="17" t="inlineStr">
        <is>
          <t>50% cumulative CNI builder basket gated by 2.5x FCCR</t>
        </is>
      </c>
    </row>
    <row r="56">
      <c r="B56" s="9" t="inlineStr">
        <is>
          <t>Cross-Default &amp; Cross-Acceleration</t>
        </is>
      </c>
      <c r="C56" s="29" t="inlineStr">
        <is>
          <t>$50.0M threshold</t>
        </is>
      </c>
      <c r="D56" s="25" t="inlineStr">
        <is>
          <t>Zero Defaults</t>
        </is>
      </c>
      <c r="E56" s="30" t="inlineStr">
        <is>
          <t>Compliant</t>
        </is>
      </c>
      <c r="F56" s="17" t="inlineStr">
        <is>
          <t>Cross-acceleration across all indebtedness exceeding threshold</t>
        </is>
      </c>
    </row>
  </sheetData>
  <mergeCells count="16">
    <mergeCell ref="C40:F40"/>
    <mergeCell ref="C47:F47"/>
    <mergeCell ref="C45:F45"/>
    <mergeCell ref="F56:I56"/>
    <mergeCell ref="C39:F39"/>
    <mergeCell ref="F51:I51"/>
    <mergeCell ref="F53:I53"/>
    <mergeCell ref="B2:I2"/>
    <mergeCell ref="C43:F43"/>
    <mergeCell ref="F55:I55"/>
    <mergeCell ref="F52:I52"/>
    <mergeCell ref="C46:F46"/>
    <mergeCell ref="F54:I54"/>
    <mergeCell ref="C41:F41"/>
    <mergeCell ref="C42:F42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Air Global (Advanced Inhalation Rituals)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1">
        <f>'Debt Schedule &amp; Tranches'!C26 / 'Income Statement (P&amp;L)'!C22</f>
        <v/>
      </c>
      <c r="D8" s="31">
        <f>'Debt Schedule &amp; Tranches'!D26 / 'Income Statement (P&amp;L)'!D22</f>
        <v/>
      </c>
      <c r="E8" s="31">
        <f>'Debt Schedule &amp; Tranches'!E26 / 'Income Statement (P&amp;L)'!E22</f>
        <v/>
      </c>
      <c r="F8" s="31">
        <f>'Debt Schedule &amp; Tranches'!F26 / 'Income Statement (P&amp;L)'!F22</f>
        <v/>
      </c>
      <c r="G8" s="31">
        <f>'Debt Schedule &amp; Tranches'!G26 / 'Income Statement (P&amp;L)'!G22</f>
        <v/>
      </c>
      <c r="H8" s="31">
        <f>'Debt Schedule &amp; Tranches'!H26 / 'Income Statement (P&amp;L)'!H22</f>
        <v/>
      </c>
      <c r="I8" s="31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1">
        <f>'Debt Schedule &amp; Tranches'!C26 / 'Income Statement (P&amp;L)'!C36</f>
        <v/>
      </c>
      <c r="D9" s="31">
        <f>'Debt Schedule &amp; Tranches'!D26 / 'Income Statement (P&amp;L)'!D36</f>
        <v/>
      </c>
      <c r="E9" s="31">
        <f>'Debt Schedule &amp; Tranches'!E26 / 'Income Statement (P&amp;L)'!E36</f>
        <v/>
      </c>
      <c r="F9" s="31">
        <f>'Debt Schedule &amp; Tranches'!F26 / 'Income Statement (P&amp;L)'!F36</f>
        <v/>
      </c>
      <c r="G9" s="31">
        <f>'Debt Schedule &amp; Tranches'!G26 / 'Income Statement (P&amp;L)'!G36</f>
        <v/>
      </c>
      <c r="H9" s="31">
        <f>'Debt Schedule &amp; Tranches'!H26 / 'Income Statement (P&amp;L)'!H36</f>
        <v/>
      </c>
      <c r="I9" s="31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1">
        <f>'Income Statement (P&amp;L)'!C22 / 'Debt Schedule &amp; Tranches'!C28</f>
        <v/>
      </c>
      <c r="D11" s="31">
        <f>'Income Statement (P&amp;L)'!D22 / 'Debt Schedule &amp; Tranches'!D28</f>
        <v/>
      </c>
      <c r="E11" s="31">
        <f>'Income Statement (P&amp;L)'!E22 / 'Debt Schedule &amp; Tranches'!E28</f>
        <v/>
      </c>
      <c r="F11" s="31">
        <f>'Income Statement (P&amp;L)'!F22 / 'Debt Schedule &amp; Tranches'!F28</f>
        <v/>
      </c>
      <c r="G11" s="31">
        <f>'Income Statement (P&amp;L)'!G22 / 'Debt Schedule &amp; Tranches'!G28</f>
        <v/>
      </c>
      <c r="H11" s="31">
        <f>'Income Statement (P&amp;L)'!H22 / 'Debt Schedule &amp; Tranches'!H28</f>
        <v/>
      </c>
      <c r="I11" s="31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Air Global (Advanced Inhalation Rituals)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2" t="inlineStr">
        <is>
          <t>0.0%</t>
        </is>
      </c>
      <c r="D6" s="32" t="inlineStr">
        <is>
          <t>0 bp</t>
        </is>
      </c>
      <c r="E6" s="32" t="inlineStr">
        <is>
          <t>7.50%</t>
        </is>
      </c>
      <c r="F6" s="32" t="inlineStr">
        <is>
          <t>4.5x</t>
        </is>
      </c>
      <c r="G6" s="32" t="inlineStr">
        <is>
          <t>$85.00</t>
        </is>
      </c>
      <c r="H6" s="32" t="inlineStr">
        <is>
          <t>-15.0%</t>
        </is>
      </c>
    </row>
    <row r="7">
      <c r="B7" s="7" t="inlineStr">
        <is>
          <t>Downside Stress Case (Recession)</t>
        </is>
      </c>
      <c r="C7" s="33" t="inlineStr">
        <is>
          <t>-15.0%</t>
        </is>
      </c>
      <c r="D7" s="33" t="inlineStr">
        <is>
          <t>-300 bp</t>
        </is>
      </c>
      <c r="E7" s="33" t="inlineStr">
        <is>
          <t>9.50%</t>
        </is>
      </c>
      <c r="F7" s="33" t="inlineStr">
        <is>
          <t>3.5x</t>
        </is>
      </c>
      <c r="G7" s="33" t="inlineStr">
        <is>
          <t>$65.00</t>
        </is>
      </c>
      <c r="H7" s="33" t="inlineStr">
        <is>
          <t>-35.0%</t>
        </is>
      </c>
    </row>
    <row r="8">
      <c r="B8" s="7" t="inlineStr">
        <is>
          <t>Severe Distressed Floor (Liquidation)</t>
        </is>
      </c>
      <c r="C8" s="33" t="inlineStr">
        <is>
          <t>-35.0%</t>
        </is>
      </c>
      <c r="D8" s="33" t="inlineStr">
        <is>
          <t>-650 bp</t>
        </is>
      </c>
      <c r="E8" s="33" t="inlineStr">
        <is>
          <t>+500 bp spread</t>
        </is>
      </c>
      <c r="F8" s="33" t="inlineStr">
        <is>
          <t>Liquidation Value</t>
        </is>
      </c>
      <c r="G8" s="33" t="inlineStr">
        <is>
          <t>$45.00</t>
        </is>
      </c>
      <c r="H8" s="33" t="inlineStr">
        <is>
          <t>-55.0%</t>
        </is>
      </c>
    </row>
    <row r="9">
      <c r="B9" s="7" t="inlineStr">
        <is>
          <t>Bull Case (Cycle Peak / Accretion)</t>
        </is>
      </c>
      <c r="C9" s="33" t="inlineStr">
        <is>
          <t>+12.0%</t>
        </is>
      </c>
      <c r="D9" s="33" t="inlineStr">
        <is>
          <t>+200 bp</t>
        </is>
      </c>
      <c r="E9" s="33" t="inlineStr">
        <is>
          <t>6.00%</t>
        </is>
      </c>
      <c r="F9" s="33" t="inlineStr">
        <is>
          <t>6.0x</t>
        </is>
      </c>
      <c r="G9" s="33" t="inlineStr">
        <is>
          <t>$100.30</t>
        </is>
      </c>
      <c r="H9" s="33" t="inlineStr">
        <is>
          <t>+0.3%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86.2</v>
      </c>
      <c r="D14" s="7" t="inlineStr">
        <is>
          <t>Senior Secured (Pari Passu)</t>
        </is>
      </c>
      <c r="E14" s="7" t="inlineStr">
        <is>
          <t>First Lien Fixed Charges</t>
        </is>
      </c>
      <c r="F14" s="33" t="inlineStr">
        <is>
          <t>100.0%</t>
        </is>
      </c>
      <c r="G14" s="33" t="inlineStr">
        <is>
          <t>100.0%</t>
        </is>
      </c>
    </row>
    <row r="15">
      <c r="B15" s="7" t="inlineStr">
        <is>
          <t>AIRGLO Senior Unsecured Eurobonds</t>
        </is>
      </c>
      <c r="C15" s="8" t="n">
        <v>258.8</v>
      </c>
      <c r="D15" s="7" t="inlineStr">
        <is>
          <t>Senior Unsecured</t>
        </is>
      </c>
      <c r="E15" s="7" t="inlineStr">
        <is>
          <t>General Corporate Guarantee</t>
        </is>
      </c>
      <c r="F15" s="33" t="inlineStr">
        <is>
          <t>45.0%</t>
        </is>
      </c>
      <c r="G15" s="33" t="inlineStr">
        <is>
          <t>85.0%</t>
        </is>
      </c>
    </row>
    <row r="16">
      <c r="B16" s="7" t="inlineStr">
        <is>
          <t>Subordinated Debt &amp; Intercompany Notes</t>
        </is>
      </c>
      <c r="C16" s="8" t="n">
        <v>51.8</v>
      </c>
      <c r="D16" s="7" t="inlineStr">
        <is>
          <t>Subordinated</t>
        </is>
      </c>
      <c r="E16" s="7" t="inlineStr">
        <is>
          <t>Junior Unsecured Claim</t>
        </is>
      </c>
      <c r="F16" s="33" t="inlineStr">
        <is>
          <t>0.0%</t>
        </is>
      </c>
      <c r="G16" s="33" t="inlineStr">
        <is>
          <t>25.0%</t>
        </is>
      </c>
    </row>
    <row r="17">
      <c r="B17" s="7" t="inlineStr">
        <is>
          <t>Equity Shareholders</t>
        </is>
      </c>
      <c r="C17" s="8" t="n">
        <v>138</v>
      </c>
      <c r="D17" s="7" t="inlineStr">
        <is>
          <t>Residual Equity</t>
        </is>
      </c>
      <c r="E17" s="7" t="inlineStr">
        <is>
          <t>Ordinary Shares</t>
        </is>
      </c>
      <c r="F17" s="33" t="inlineStr">
        <is>
          <t>0.0%</t>
        </is>
      </c>
      <c r="G17" s="33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Eurobonds / Local Insolvency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39" customWidth="1" min="3" max="3"/>
    <col width="20" customWidth="1" min="4" max="4"/>
    <col width="19" customWidth="1" min="5" max="5"/>
    <col width="5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Air Global (Advanced Inhalation Rituals) (AIRGLO) — Earnings Presentation &amp; Management Guidance</t>
        </is>
      </c>
    </row>
    <row r="3">
      <c r="B3" s="2" t="inlineStr">
        <is>
          <t>Source: Latest Investor Presentation | Reporting Currency: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/>
    <row r="8">
      <c r="B8" s="3" t="inlineStr">
        <is>
          <t>II. CAPITAL ALLOCATION &amp; STRATEGIC PROJECT PIPELINE</t>
        </is>
      </c>
    </row>
    <row r="9">
      <c r="B9" s="5" t="inlineStr">
        <is>
          <t>Project / Capital Dimension</t>
        </is>
      </c>
      <c r="C9" s="5" t="inlineStr">
        <is>
          <t>Disclosure &amp; Execution Milestone</t>
        </is>
      </c>
    </row>
    <row r="10"/>
    <row r="11">
      <c r="B11" s="3" t="inlineStr">
        <is>
          <t>III. GEOGRAPHIC &amp; CURRENCY EXPOSURE MATRIX</t>
        </is>
      </c>
    </row>
    <row r="12">
      <c r="B12" s="5" t="inlineStr">
        <is>
          <t>Exposure Category</t>
        </is>
      </c>
      <c r="C12" s="5" t="inlineStr">
        <is>
          <t>Contractual / Balance Sheet Profile</t>
        </is>
      </c>
    </row>
    <row r="13"/>
    <row r="14">
      <c r="B14" s="3" t="inlineStr">
        <is>
          <t>IV. CONTRACT BACKLOG &amp; COMMERCIAL MOAT</t>
        </is>
      </c>
    </row>
    <row r="15">
      <c r="B15" s="5" t="inlineStr">
        <is>
          <t>Dimension</t>
        </is>
      </c>
      <c r="C15" s="5" t="inlineStr">
        <is>
          <t>Commercial / Asset Metrics</t>
        </is>
      </c>
    </row>
    <row r="16"/>
    <row r="17">
      <c r="B17" s="3" t="inlineStr">
        <is>
          <t>V. LIQUIDITY WATERFALL &amp; HEADROOM</t>
        </is>
      </c>
    </row>
    <row r="18">
      <c r="B18" s="5" t="inlineStr">
        <is>
          <t>Liquidity Component</t>
        </is>
      </c>
      <c r="C18" s="5" t="inlineStr">
        <is>
          <t>Available Buffer / Runway</t>
        </is>
      </c>
    </row>
  </sheetData>
  <mergeCells count="6">
    <mergeCell ref="C9:I9"/>
    <mergeCell ref="C18:I18"/>
    <mergeCell ref="B2:I2"/>
    <mergeCell ref="C12:I12"/>
    <mergeCell ref="B3:I3"/>
    <mergeCell ref="C15:I1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2026-09-23T07:30:57Z</dcterms:created>
  <dcterms:modified xmlns:dcterms="http://purl.org/dc/terms/" xmlns:xsi="http://www.w3.org/2001/XMLSchema-instance" xsi:type="dcterms:W3CDTF">2026-09-23T07:30:57Z</dcterms:modified>
</cp:coreProperties>
</file>