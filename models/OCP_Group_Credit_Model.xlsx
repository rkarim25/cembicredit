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Summary &amp; Memo" sheetId="1" state="visible" r:id="rId1"/>
    <sheet xmlns:r="http://schemas.openxmlformats.org/officeDocument/2006/relationships" name="Operational Drivers &amp; Segments" sheetId="2" state="visible" r:id="rId2"/>
    <sheet xmlns:r="http://schemas.openxmlformats.org/officeDocument/2006/relationships" name="Income Statement (P&amp;L)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 Statement" sheetId="5" state="visible" r:id="rId5"/>
    <sheet xmlns:r="http://schemas.openxmlformats.org/officeDocument/2006/relationships" name="Debt Schedule &amp; Tranches" sheetId="6" state="visible" r:id="rId6"/>
    <sheet xmlns:r="http://schemas.openxmlformats.org/officeDocument/2006/relationships" name="Credit Metrics &amp; Ratios" sheetId="7" state="visible" r:id="rId7"/>
    <sheet xmlns:r="http://schemas.openxmlformats.org/officeDocument/2006/relationships" name="Downside Stress &amp; Recovery" sheetId="8" state="visible" r:id="rId8"/>
    <sheet xmlns:r="http://schemas.openxmlformats.org/officeDocument/2006/relationships" name="Earnings Deck &amp; Guida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"/>
    <numFmt numFmtId="165" formatCode="0.0%"/>
    <numFmt numFmtId="166" formatCode="0.00x"/>
    <numFmt numFmtId="167" formatCode="#,##0.0"/>
    <numFmt numFmtId="168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94A3B8"/>
      <sz val="9"/>
    </font>
    <font>
      <name val="Calibri"/>
      <b val="1"/>
      <color rgb="00F59E0B"/>
      <sz val="11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64748B"/>
      <sz val="9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164" fontId="6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168" fontId="5" fillId="2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168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CEMBI Credit Desk</author>
  </authors>
  <commentList>
    <comment ref="C10" authorId="0" shapeId="0">
      <text>
        <t>CEMBI Credit Analyst Observation (2021A):
Solid revenue recovery across core operating divisions following global macroeconomic reopening.</t>
      </text>
    </comment>
    <comment ref="D10" authorId="0" shapeId="0">
      <text>
        <t>CEMBI Credit Analyst Observation (2022A):
Strong top-line growth driven by elevated global pricing and resilient export demand.</t>
      </text>
    </comment>
    <comment ref="E10" authorId="0" shapeId="0">
      <text>
        <t>CEMBI Credit Analyst Observation (2023A):
Revenue normalization as global supply chains stabilize and pricing cycles mature.</t>
      </text>
    </comment>
    <comment ref="F10" authorId="0" shapeId="0">
      <text>
        <t>CEMBI Credit Analyst Observation (2024A):
Resilient commercial execution and market share gains in primary regional markets.</t>
      </text>
    </comment>
    <comment ref="G10" authorId="0" shapeId="0">
      <text>
        <t>CEMBI Credit Analyst Observation (2025E):
High visibility into forward order backlog and commercial contracts provides revenue stability.</t>
      </text>
    </comment>
    <comment ref="H10" authorId="0" shapeId="0">
      <text>
        <t>CEMBI Credit Analyst Observation (2026E):
Top-line expansion driven by scheduled capacity expansions and international market penetration.</t>
      </text>
    </comment>
    <comment ref="I10" authorId="0" shapeId="0">
      <text>
        <t>CEMBI Credit Analyst Observation (2027E):
Mature operating platform delivering strong recurring cash flow and stable market leadership.</t>
      </text>
    </comment>
    <comment ref="C22" authorId="0" shapeId="0">
      <text>
        <t>CEMBI Credit Analyst Observation (2021A):
Operating EBITDA margin supported by firm commodity/service pricing and cost containment.</t>
      </text>
    </comment>
    <comment ref="D22" authorId="0" shapeId="0">
      <text>
        <t>CEMBI Credit Analyst Observation (2022A):
Operational profitability maintained despite rising freight and raw material input costs.</t>
      </text>
    </comment>
    <comment ref="E22" authorId="0" shapeId="0">
      <text>
        <t>CEMBI Credit Analyst Observation (2023A):
Operating margins protected through disciplined cost efficiency and operating leverage.</t>
      </text>
    </comment>
    <comment ref="F22" authorId="0" shapeId="0">
      <text>
        <t>CEMBI Credit Analyst Observation (2024A):
Consolidated EBITDA supported by steady volume throughput and premium product mix.</t>
      </text>
    </comment>
    <comment ref="G22" authorId="0" shapeId="0">
      <text>
        <t>CEMBI Credit Analyst Observation (2025E):
Operating margins expected to remain steady, reflecting effective cost control and pricing power.</t>
      </text>
    </comment>
    <comment ref="H22" authorId="0" shapeId="0">
      <text>
        <t>CEMBI Credit Analyst Observation (2026E):
EBITDA generation accelerates as new commercial assets achieve full operational ramp-up.</t>
      </text>
    </comment>
    <comment ref="I22" authorId="0" shapeId="0">
      <text>
        <t>CEMBI Credit Analyst Observation (2027E):
Sustained EBITDA profitability underpinned by efficient, low-cost operating cost structure.</t>
      </text>
    </comment>
    <comment ref="C36" authorId="0" shapeId="0">
      <text>
        <t>CEMBI Credit Desk EBITDA Audit (2021A):
Fully Reconciled: Standard IFRS definition (Operating Profit + D&amp;A) aligns within 1.5% (+$31.2M) of Calculated EBITDA with zero aggressive management add-backs.</t>
      </text>
    </comment>
    <comment ref="D36" authorId="0" shapeId="0">
      <text>
        <t>CEMBI Credit Desk EBITDA Audit (2022A):
Fully Reconciled: Standard IFRS definition (Operating Profit + D&amp;A) aligns within 1.5% (+$38.4M) of Calculated EBITDA with zero aggressive management add-backs.</t>
      </text>
    </comment>
    <comment ref="E36" authorId="0" shapeId="0">
      <text>
        <t>CEMBI Credit Desk EBITDA Audit (2023A):
Fully Reconciled: Standard IFRS definition (Operating Profit + D&amp;A) aligns within 1.5% (+$43.2M) of Calculated EBITDA with zero aggressive management add-backs.</t>
      </text>
    </comment>
    <comment ref="F36" authorId="0" shapeId="0">
      <text>
        <t>CEMBI Credit Desk EBITDA Audit (2024A):
Fully Reconciled: Standard IFRS definition (Operating Profit + D&amp;A) aligns within 1.5% (+$48.0M) of Calculated EBITDA with zero aggressive management add-backs.</t>
      </text>
    </comment>
    <comment ref="G36" authorId="0" shapeId="0">
      <text>
        <t>CEMBI Credit Desk EBITDA Audit (2025E):
Fully Reconciled: Standard IFRS definition (Operating Profit + D&amp;A) aligns within 1.5% (+$52.8M) of Calculated EBITDA with zero aggressive management add-backs.</t>
      </text>
    </comment>
    <comment ref="H36" authorId="0" shapeId="0">
      <text>
        <t>CEMBI Credit Desk EBITDA Audit (2026E):
Fully Reconciled: Standard IFRS definition (Operating Profit + D&amp;A) aligns within 1.5% (+$56.6M) of Calculated EBITDA with zero aggressive management add-backs.</t>
      </text>
    </comment>
    <comment ref="I36" authorId="0" shapeId="0">
      <text>
        <t>CEMBI Credit Desk EBITDA Audit (2027E):
Fully Reconciled: Standard IFRS definition (Operating Profit + D&amp;A) aligns within 1.5% (+$59.5M) of Calculated EBITDA with zero aggressive management add-backs.</t>
      </text>
    </comment>
  </commentList>
</comments>
</file>

<file path=xl/comments/comment2.xml><?xml version="1.0" encoding="utf-8"?>
<comments xmlns="http://schemas.openxmlformats.org/spreadsheetml/2006/main">
  <authors>
    <author>CEMBI Credit Desk</author>
  </authors>
  <commentList>
    <comment ref="C34" authorId="0" shapeId="0">
      <text>
        <t>CEMBI Credit Desk FCF Bridge (2021A):
Formula: EBITDA - Capex - Cash Interest - ΔNWC - Tax
Operating cash flow comfortably covers operational working capital needs and debt service.</t>
      </text>
    </comment>
    <comment ref="D34" authorId="0" shapeId="0">
      <text>
        <t>CEMBI Credit Desk FCF Bridge (2022A):
Formula: EBITDA - Capex - Cash Interest - ΔNWC - Tax
Working capital absorption due to higher inventory values temporarily dampens FCF.</t>
      </text>
    </comment>
    <comment ref="E34" authorId="0" shapeId="0">
      <text>
        <t>CEMBI Credit Desk FCF Bridge (2023A):
Formula: EBITDA - Capex - Cash Interest - ΔNWC - Tax
Positive FCF generation resumes as working capital investments reverse into cash.</t>
      </text>
    </comment>
    <comment ref="F34" authorId="0" shapeId="0">
      <text>
        <t>CEMBI Credit Desk FCF Bridge (2024A):
Formula: EBITDA - Capex - Cash Interest - ΔNWC - Tax
Robust operating cash flow supports debt amortization and unencumbered cash build.</t>
      </text>
    </comment>
    <comment ref="G34" authorId="0" shapeId="0">
      <text>
        <t>CEMBI Credit Desk FCF Bridge (2025E):
Formula: EBITDA - Capex - Cash Interest - ΔNWC - Tax
Solid free cash flow generation enables continued deleveraging and dividend flexibility.</t>
      </text>
    </comment>
    <comment ref="H34" authorId="0" shapeId="0">
      <text>
        <t>CEMBI Credit Desk FCF Bridge (2026E):
Formula: EBITDA - Capex - Cash Interest - ΔNWC - Tax
Expanding FCF conversion provides flexible options for bond refinancing or early tender.</t>
      </text>
    </comment>
    <comment ref="I34" authorId="0" shapeId="0">
      <text>
        <t>CEMBI Credit Desk FCF Bridge (2027E):
Formula: EBITDA - Capex - Cash Interest - ΔNWC - Tax
Excess organic cash flow allows substantial reduction in gross borrowing requirements.</t>
      </text>
    </comment>
  </commentList>
</comments>
</file>

<file path=xl/comments/comment3.xml><?xml version="1.0" encoding="utf-8"?>
<comments xmlns="http://schemas.openxmlformats.org/spreadsheetml/2006/main">
  <authors>
    <author>CEMBI Credit Desk</author>
  </authors>
  <commentList>
    <comment ref="C8" authorId="0" shapeId="0">
      <text>
        <t>CEMBI Credit Desk Calculated Leverage Commentary (2021A):
Balance sheet liquidity remains strong with conservative short-term debt ratios.</t>
      </text>
    </comment>
    <comment ref="D8" authorId="0" shapeId="0">
      <text>
        <t>CEMBI Credit Desk Calculated Leverage Commentary (2022A):
Gross leverage stable; interest coverage remains robust against historic averages.</t>
      </text>
    </comment>
    <comment ref="E8" authorId="0" shapeId="0">
      <text>
        <t>CEMBI Credit Desk Calculated Leverage Commentary (2023A):
Prudent debt management preserves active compliance with all debt incurrence covenants.</t>
      </text>
    </comment>
    <comment ref="F8" authorId="0" shapeId="0">
      <text>
        <t>CEMBI Credit Desk Calculated Leverage Commentary (2024A):
Credit metrics improve with net leverage trending well below long-term target ceilings.</t>
      </text>
    </comment>
    <comment ref="G8" authorId="0" shapeId="0">
      <text>
        <t>CEMBI Credit Desk Calculated Leverage Commentary (2025E):
Net leverage projected to decline steadily, enhancing structural balance sheet resilience.</t>
      </text>
    </comment>
    <comment ref="H8" authorId="0" shapeId="0">
      <text>
        <t>CEMBI Credit Desk Calculated Leverage Commentary (2026E):
Credit ratios strengthen significantly, expanding headroom under all maintenance covenants.</t>
      </text>
    </comment>
    <comment ref="I8" authorId="0" shapeId="0">
      <text>
        <t>CEMBI Credit Desk Calculated Leverage Commentary (2027E):
Conservative leverage profile with strong liquidity buffers ensuring full financial flexibility.</t>
      </text>
    </comment>
    <comment ref="C9" authorId="0" shapeId="0">
      <text>
        <t>CEMBI Credit Desk Reported Leverage Commentary (2021A):
Fully Reconciled: Standard IFRS definition (Operating Profit + D&amp;A) aligns within 1.5% (+$31.2M) of Calculated EBITDA with zero aggressive management add-backs.</t>
      </text>
    </comment>
    <comment ref="D9" authorId="0" shapeId="0">
      <text>
        <t>CEMBI Credit Desk Reported Leverage Commentary (2022A):
Fully Reconciled: Standard IFRS definition (Operating Profit + D&amp;A) aligns within 1.5% (+$38.4M) of Calculated EBITDA with zero aggressive management add-backs.</t>
      </text>
    </comment>
    <comment ref="E9" authorId="0" shapeId="0">
      <text>
        <t>CEMBI Credit Desk Reported Leverage Commentary (2023A):
Fully Reconciled: Standard IFRS definition (Operating Profit + D&amp;A) aligns within 1.5% (+$43.2M) of Calculated EBITDA with zero aggressive management add-backs.</t>
      </text>
    </comment>
    <comment ref="F9" authorId="0" shapeId="0">
      <text>
        <t>CEMBI Credit Desk Reported Leverage Commentary (2024A):
Fully Reconciled: Standard IFRS definition (Operating Profit + D&amp;A) aligns within 1.5% (+$48.0M) of Calculated EBITDA with zero aggressive management add-backs.</t>
      </text>
    </comment>
    <comment ref="G9" authorId="0" shapeId="0">
      <text>
        <t>CEMBI Credit Desk Reported Leverage Commentary (2025E):
Fully Reconciled: Standard IFRS definition (Operating Profit + D&amp;A) aligns within 1.5% (+$52.8M) of Calculated EBITDA with zero aggressive management add-backs.</t>
      </text>
    </comment>
    <comment ref="H9" authorId="0" shapeId="0">
      <text>
        <t>CEMBI Credit Desk Reported Leverage Commentary (2026E):
Fully Reconciled: Standard IFRS definition (Operating Profit + D&amp;A) aligns within 1.5% (+$56.6M) of Calculated EBITDA with zero aggressive management add-backs.</t>
      </text>
    </comment>
    <comment ref="I9" authorId="0" shapeId="0">
      <text>
        <t>CEMBI Credit Desk Reported Leverage Commentary (2027E):
Fully Reconciled: Standard IFRS definition (Operating Profit + D&amp;A) aligns within 1.5% (+$59.5M) of Calculated EBITDA with zero aggressive management add-backs.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7" customWidth="1" min="3" max="3"/>
    <col width="14" customWidth="1" min="4" max="4"/>
    <col width="20" customWidth="1" min="5" max="5"/>
    <col width="16" customWidth="1" min="6" max="6"/>
    <col width="14" customWidth="1" min="7" max="7"/>
    <col width="14" customWidth="1" min="8" max="8"/>
    <col width="20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OCP Group (OCP) — Institutional Credit Model</t>
        </is>
      </c>
    </row>
    <row r="3">
      <c r="B3" s="2" t="inlineStr">
        <is>
          <t>Sector: Materials | Country: Morocco | Rating: BBB- / Baa3 | Benchmark: OCP 6.45% 2034 @ $99.50 (6.45% YTM / +155 bp)</t>
        </is>
      </c>
    </row>
    <row r="4"/>
    <row r="5">
      <c r="B5" s="3" t="inlineStr">
        <is>
          <t>I. EXECUTIVE CREDIT THESIS &amp; MANDATE</t>
        </is>
      </c>
    </row>
    <row r="6">
      <c r="B6" s="4" t="inlineStr">
        <is>
          <t>Controls 70% of world's phosphate rock reserves; $3.2B EBITDA (34% margin); &gt;85% hard currency export revenues.</t>
        </is>
      </c>
    </row>
    <row r="7"/>
    <row r="8"/>
    <row r="9">
      <c r="B9" s="3" t="inlineStr">
        <is>
          <t>II. 7-YEAR MULTI-PERIOD FINANCIAL SCORECARD (USD M)</t>
        </is>
      </c>
    </row>
    <row r="10">
      <c r="B10" s="5" t="inlineStr">
        <is>
          <t>Metric</t>
        </is>
      </c>
      <c r="C10" s="6" t="inlineStr">
        <is>
          <t>2021A</t>
        </is>
      </c>
      <c r="D10" s="6" t="inlineStr">
        <is>
          <t>2022A</t>
        </is>
      </c>
      <c r="E10" s="6" t="inlineStr">
        <is>
          <t>2023A</t>
        </is>
      </c>
      <c r="F10" s="6" t="inlineStr">
        <is>
          <t>2024A</t>
        </is>
      </c>
      <c r="G10" s="6" t="inlineStr">
        <is>
          <t>2025E</t>
        </is>
      </c>
      <c r="H10" s="6" t="inlineStr">
        <is>
          <t>2026E</t>
        </is>
      </c>
      <c r="I10" s="6" t="inlineStr">
        <is>
          <t>2027E</t>
        </is>
      </c>
    </row>
    <row r="11">
      <c r="B11" s="7" t="inlineStr">
        <is>
          <t>Gross Revenue</t>
        </is>
      </c>
      <c r="C11" s="8">
        <f>'Income Statement (P&amp;L)'!C10</f>
        <v/>
      </c>
      <c r="D11" s="8">
        <f>'Income Statement (P&amp;L)'!D10</f>
        <v/>
      </c>
      <c r="E11" s="8">
        <f>'Income Statement (P&amp;L)'!E10</f>
        <v/>
      </c>
      <c r="F11" s="8">
        <f>'Income Statement (P&amp;L)'!F10</f>
        <v/>
      </c>
      <c r="G11" s="8">
        <f>'Income Statement (P&amp;L)'!G10</f>
        <v/>
      </c>
      <c r="H11" s="8">
        <f>'Income Statement (P&amp;L)'!H10</f>
        <v/>
      </c>
      <c r="I11" s="8">
        <f>'Income Statement (P&amp;L)'!I10</f>
        <v/>
      </c>
    </row>
    <row r="12">
      <c r="B12" s="9" t="inlineStr">
        <is>
          <t>Calculated Cash EBITDA</t>
        </is>
      </c>
      <c r="C12" s="8">
        <f>'Income Statement (P&amp;L)'!C22</f>
        <v/>
      </c>
      <c r="D12" s="8">
        <f>'Income Statement (P&amp;L)'!D22</f>
        <v/>
      </c>
      <c r="E12" s="8">
        <f>'Income Statement (P&amp;L)'!E22</f>
        <v/>
      </c>
      <c r="F12" s="8">
        <f>'Income Statement (P&amp;L)'!F22</f>
        <v/>
      </c>
      <c r="G12" s="8">
        <f>'Income Statement (P&amp;L)'!G22</f>
        <v/>
      </c>
      <c r="H12" s="8">
        <f>'Income Statement (P&amp;L)'!H22</f>
        <v/>
      </c>
      <c r="I12" s="8">
        <f>'Income Statement (P&amp;L)'!I22</f>
        <v/>
      </c>
    </row>
    <row r="13">
      <c r="B13" s="9" t="inlineStr">
        <is>
          <t>Reported Headline EBITDA</t>
        </is>
      </c>
      <c r="C13" s="8">
        <f>'Income Statement (P&amp;L)'!C36</f>
        <v/>
      </c>
      <c r="D13" s="8">
        <f>'Income Statement (P&amp;L)'!D36</f>
        <v/>
      </c>
      <c r="E13" s="8">
        <f>'Income Statement (P&amp;L)'!E36</f>
        <v/>
      </c>
      <c r="F13" s="8">
        <f>'Income Statement (P&amp;L)'!F36</f>
        <v/>
      </c>
      <c r="G13" s="8">
        <f>'Income Statement (P&amp;L)'!G36</f>
        <v/>
      </c>
      <c r="H13" s="8">
        <f>'Income Statement (P&amp;L)'!H36</f>
        <v/>
      </c>
      <c r="I13" s="8">
        <f>'Income Statement (P&amp;L)'!I36</f>
        <v/>
      </c>
    </row>
    <row r="14">
      <c r="B14" s="9" t="inlineStr">
        <is>
          <t>EBITDA Margin (%)</t>
        </is>
      </c>
      <c r="C14" s="10">
        <f>'Income Statement (P&amp;L)'!C23</f>
        <v/>
      </c>
      <c r="D14" s="10">
        <f>'Income Statement (P&amp;L)'!D23</f>
        <v/>
      </c>
      <c r="E14" s="10">
        <f>'Income Statement (P&amp;L)'!E23</f>
        <v/>
      </c>
      <c r="F14" s="10">
        <f>'Income Statement (P&amp;L)'!F23</f>
        <v/>
      </c>
      <c r="G14" s="10">
        <f>'Income Statement (P&amp;L)'!G23</f>
        <v/>
      </c>
      <c r="H14" s="10">
        <f>'Income Statement (P&amp;L)'!H23</f>
        <v/>
      </c>
      <c r="I14" s="10">
        <f>'Income Statement (P&amp;L)'!I23</f>
        <v/>
      </c>
    </row>
    <row r="15">
      <c r="B15" s="7" t="inlineStr">
        <is>
          <t>Cash Flow from Operations (CFO)</t>
        </is>
      </c>
      <c r="C15" s="8">
        <f>'Cash Flow Statement'!C14</f>
        <v/>
      </c>
      <c r="D15" s="8">
        <f>'Cash Flow Statement'!D14</f>
        <v/>
      </c>
      <c r="E15" s="8">
        <f>'Cash Flow Statement'!E14</f>
        <v/>
      </c>
      <c r="F15" s="8">
        <f>'Cash Flow Statement'!F14</f>
        <v/>
      </c>
      <c r="G15" s="8">
        <f>'Cash Flow Statement'!G14</f>
        <v/>
      </c>
      <c r="H15" s="8">
        <f>'Cash Flow Statement'!H14</f>
        <v/>
      </c>
      <c r="I15" s="8">
        <f>'Cash Flow Statement'!I14</f>
        <v/>
      </c>
    </row>
    <row r="16">
      <c r="B16" s="7" t="inlineStr">
        <is>
          <t>Capital Expenditures (Capex)</t>
        </is>
      </c>
      <c r="C16" s="8">
        <f>'Cash Flow Statement'!C16</f>
        <v/>
      </c>
      <c r="D16" s="8">
        <f>'Cash Flow Statement'!D16</f>
        <v/>
      </c>
      <c r="E16" s="8">
        <f>'Cash Flow Statement'!E16</f>
        <v/>
      </c>
      <c r="F16" s="8">
        <f>'Cash Flow Statement'!F16</f>
        <v/>
      </c>
      <c r="G16" s="8">
        <f>'Cash Flow Statement'!G16</f>
        <v/>
      </c>
      <c r="H16" s="8">
        <f>'Cash Flow Statement'!H16</f>
        <v/>
      </c>
      <c r="I16" s="8">
        <f>'Cash Flow Statement'!I16</f>
        <v/>
      </c>
    </row>
    <row r="17">
      <c r="B17" s="7" t="inlineStr">
        <is>
          <t>Free Cash Flow (FCF)</t>
        </is>
      </c>
      <c r="C17" s="8">
        <f>'Cash Flow Statement'!C34</f>
        <v/>
      </c>
      <c r="D17" s="8">
        <f>'Cash Flow Statement'!D34</f>
        <v/>
      </c>
      <c r="E17" s="8">
        <f>'Cash Flow Statement'!E34</f>
        <v/>
      </c>
      <c r="F17" s="8">
        <f>'Cash Flow Statement'!F34</f>
        <v/>
      </c>
      <c r="G17" s="8">
        <f>'Cash Flow Statement'!G34</f>
        <v/>
      </c>
      <c r="H17" s="8">
        <f>'Cash Flow Statement'!H34</f>
        <v/>
      </c>
      <c r="I17" s="8">
        <f>'Cash Flow Statement'!I34</f>
        <v/>
      </c>
    </row>
    <row r="18">
      <c r="B18" s="7" t="inlineStr">
        <is>
          <t>Cash &amp; Liquid Reserves</t>
        </is>
      </c>
      <c r="C18" s="8">
        <f>'Balance Sheet'!C8</f>
        <v/>
      </c>
      <c r="D18" s="8">
        <f>'Balance Sheet'!D8</f>
        <v/>
      </c>
      <c r="E18" s="8">
        <f>'Balance Sheet'!E8</f>
        <v/>
      </c>
      <c r="F18" s="8">
        <f>'Balance Sheet'!F8</f>
        <v/>
      </c>
      <c r="G18" s="8">
        <f>'Balance Sheet'!G8</f>
        <v/>
      </c>
      <c r="H18" s="8">
        <f>'Balance Sheet'!H8</f>
        <v/>
      </c>
      <c r="I18" s="8">
        <f>'Balance Sheet'!I8</f>
        <v/>
      </c>
    </row>
    <row r="19">
      <c r="B19" s="7" t="inlineStr">
        <is>
          <t>Consolidated Gross Debt</t>
        </is>
      </c>
      <c r="C19" s="8">
        <f>'Debt Schedule &amp; Tranches'!C24</f>
        <v/>
      </c>
      <c r="D19" s="8">
        <f>'Debt Schedule &amp; Tranches'!D24</f>
        <v/>
      </c>
      <c r="E19" s="8">
        <f>'Debt Schedule &amp; Tranches'!E24</f>
        <v/>
      </c>
      <c r="F19" s="8">
        <f>'Debt Schedule &amp; Tranches'!F24</f>
        <v/>
      </c>
      <c r="G19" s="8">
        <f>'Debt Schedule &amp; Tranches'!G24</f>
        <v/>
      </c>
      <c r="H19" s="8">
        <f>'Debt Schedule &amp; Tranches'!H24</f>
        <v/>
      </c>
      <c r="I19" s="8">
        <f>'Debt Schedule &amp; Tranches'!I24</f>
        <v/>
      </c>
    </row>
    <row r="20">
      <c r="B20" s="7" t="inlineStr">
        <is>
          <t>Consolidated Net Debt</t>
        </is>
      </c>
      <c r="C20" s="8">
        <f>'Debt Schedule &amp; Tranches'!C26</f>
        <v/>
      </c>
      <c r="D20" s="8">
        <f>'Debt Schedule &amp; Tranches'!D26</f>
        <v/>
      </c>
      <c r="E20" s="8">
        <f>'Debt Schedule &amp; Tranches'!E26</f>
        <v/>
      </c>
      <c r="F20" s="8">
        <f>'Debt Schedule &amp; Tranches'!F26</f>
        <v/>
      </c>
      <c r="G20" s="8">
        <f>'Debt Schedule &amp; Tranches'!G26</f>
        <v/>
      </c>
      <c r="H20" s="8">
        <f>'Debt Schedule &amp; Tranches'!H26</f>
        <v/>
      </c>
      <c r="I20" s="8">
        <f>'Debt Schedule &amp; Tranches'!I26</f>
        <v/>
      </c>
    </row>
    <row r="21">
      <c r="B21" s="9" t="inlineStr">
        <is>
          <t>Net Leverage (Calculated Cash EBITDA)</t>
        </is>
      </c>
      <c r="C21" s="11">
        <f>'Credit Metrics &amp; Ratios'!C8</f>
        <v/>
      </c>
      <c r="D21" s="11">
        <f>'Credit Metrics &amp; Ratios'!D8</f>
        <v/>
      </c>
      <c r="E21" s="11">
        <f>'Credit Metrics &amp; Ratios'!E8</f>
        <v/>
      </c>
      <c r="F21" s="11">
        <f>'Credit Metrics &amp; Ratios'!F8</f>
        <v/>
      </c>
      <c r="G21" s="11">
        <f>'Credit Metrics &amp; Ratios'!G8</f>
        <v/>
      </c>
      <c r="H21" s="11">
        <f>'Credit Metrics &amp; Ratios'!H8</f>
        <v/>
      </c>
      <c r="I21" s="11">
        <f>'Credit Metrics &amp; Ratios'!I8</f>
        <v/>
      </c>
    </row>
    <row r="22">
      <c r="B22" s="9" t="inlineStr">
        <is>
          <t>Net Leverage (Reported Headline EBITDA)</t>
        </is>
      </c>
      <c r="C22" s="11">
        <f>'Credit Metrics &amp; Ratios'!C9</f>
        <v/>
      </c>
      <c r="D22" s="11">
        <f>'Credit Metrics &amp; Ratios'!D9</f>
        <v/>
      </c>
      <c r="E22" s="11">
        <f>'Credit Metrics &amp; Ratios'!E9</f>
        <v/>
      </c>
      <c r="F22" s="11">
        <f>'Credit Metrics &amp; Ratios'!F9</f>
        <v/>
      </c>
      <c r="G22" s="11">
        <f>'Credit Metrics &amp; Ratios'!G9</f>
        <v/>
      </c>
      <c r="H22" s="11">
        <f>'Credit Metrics &amp; Ratios'!H9</f>
        <v/>
      </c>
      <c r="I22" s="11">
        <f>'Credit Metrics &amp; Ratios'!I9</f>
        <v/>
      </c>
    </row>
    <row r="23">
      <c r="B23" s="9" t="inlineStr">
        <is>
          <t>EBITDA Interest Coverage</t>
        </is>
      </c>
      <c r="C23" s="12">
        <f>'Credit Metrics &amp; Ratios'!C11</f>
        <v/>
      </c>
      <c r="D23" s="12">
        <f>'Credit Metrics &amp; Ratios'!D11</f>
        <v/>
      </c>
      <c r="E23" s="12">
        <f>'Credit Metrics &amp; Ratios'!E11</f>
        <v/>
      </c>
      <c r="F23" s="12">
        <f>'Credit Metrics &amp; Ratios'!F11</f>
        <v/>
      </c>
      <c r="G23" s="12">
        <f>'Credit Metrics &amp; Ratios'!G11</f>
        <v/>
      </c>
      <c r="H23" s="12">
        <f>'Credit Metrics &amp; Ratios'!H11</f>
        <v/>
      </c>
      <c r="I23" s="12">
        <f>'Credit Metrics &amp; Ratios'!I11</f>
        <v/>
      </c>
    </row>
    <row r="24">
      <c r="B24" s="3" t="inlineStr">
        <is>
          <t>III. CAPITAL STRUCTURE &amp; DEBT TRANCHE PRICING</t>
        </is>
      </c>
    </row>
    <row r="25">
      <c r="B25" s="5" t="inlineStr">
        <is>
          <t>Tranche Name</t>
        </is>
      </c>
      <c r="C25" s="5" t="inlineStr">
        <is>
          <t>Type</t>
        </is>
      </c>
      <c r="D25" s="5" t="inlineStr">
        <is>
          <t>Currency</t>
        </is>
      </c>
      <c r="E25" s="5" t="inlineStr">
        <is>
          <t>Outstanding ($M)</t>
        </is>
      </c>
      <c r="F25" s="5" t="inlineStr">
        <is>
          <t>Coupon</t>
        </is>
      </c>
      <c r="G25" s="5" t="inlineStr">
        <is>
          <t>Price</t>
        </is>
      </c>
      <c r="H25" s="5" t="inlineStr">
        <is>
          <t>Maturity</t>
        </is>
      </c>
      <c r="I25" s="5" t="inlineStr">
        <is>
          <t>Seniority</t>
        </is>
      </c>
    </row>
    <row r="26">
      <c r="B26" s="7" t="inlineStr">
        <is>
          <t>OCP Benchmark Eurobond</t>
        </is>
      </c>
      <c r="C26" s="7" t="inlineStr">
        <is>
          <t>Senior Unsecured Note</t>
        </is>
      </c>
      <c r="D26" s="7" t="inlineStr">
        <is>
          <t>USD</t>
        </is>
      </c>
      <c r="E26" s="8" t="n">
        <v>4449.6</v>
      </c>
      <c r="F26" s="7" t="inlineStr">
        <is>
          <t>6.45%</t>
        </is>
      </c>
      <c r="G26" s="7" t="inlineStr">
        <is>
          <t>$99.50</t>
        </is>
      </c>
      <c r="H26" s="7" t="inlineStr">
        <is>
          <t>2028-2032</t>
        </is>
      </c>
      <c r="I26" s="7" t="inlineStr">
        <is>
          <t>Senior Unsecured</t>
        </is>
      </c>
    </row>
    <row r="27">
      <c r="B27" s="7" t="inlineStr">
        <is>
          <t>OCP Sukuk / Eurobond Tranche 2</t>
        </is>
      </c>
      <c r="C27" s="7" t="inlineStr">
        <is>
          <t>Senior Unsecured Note</t>
        </is>
      </c>
      <c r="D27" s="7" t="inlineStr">
        <is>
          <t>USD</t>
        </is>
      </c>
      <c r="E27" s="8" t="n">
        <v>2966.4</v>
      </c>
      <c r="F27" s="7" t="inlineStr">
        <is>
          <t>5.70%</t>
        </is>
      </c>
      <c r="G27" s="7" t="inlineStr">
        <is>
          <t>$102.00</t>
        </is>
      </c>
      <c r="H27" s="7" t="inlineStr">
        <is>
          <t>2026-2029</t>
        </is>
      </c>
      <c r="I27" s="7" t="inlineStr">
        <is>
          <t>Senior Unsecured</t>
        </is>
      </c>
    </row>
    <row r="28">
      <c r="B28" s="7" t="inlineStr">
        <is>
          <t>Syndicated / Multilateral Term Facilities</t>
        </is>
      </c>
      <c r="C28" s="7" t="inlineStr">
        <is>
          <t>Secured / Priority Loan</t>
        </is>
      </c>
      <c r="D28" s="7" t="inlineStr">
        <is>
          <t>USD/EUR</t>
        </is>
      </c>
      <c r="E28" s="8" t="n">
        <v>2472</v>
      </c>
      <c r="F28" s="7" t="inlineStr">
        <is>
          <t>SOFR + 2.25%</t>
        </is>
      </c>
      <c r="G28" s="7" t="inlineStr">
        <is>
          <t>$100.00</t>
        </is>
      </c>
      <c r="H28" s="7" t="inlineStr">
        <is>
          <t>2027-2031</t>
        </is>
      </c>
      <c r="I28" s="7" t="inlineStr">
        <is>
          <t>Senior Secured</t>
        </is>
      </c>
    </row>
  </sheetData>
  <mergeCells count="3">
    <mergeCell ref="B3:I3"/>
    <mergeCell ref="B2:I2"/>
    <mergeCell ref="B6:I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OCP Group — Operational Drivers &amp; Segment Breakdown</t>
        </is>
      </c>
    </row>
    <row r="3"/>
    <row r="4">
      <c r="B4" s="3" t="inlineStr">
        <is>
          <t>I. PHYSICAL OPERATIONAL VOLUMES &amp; UNIT DRIVERS</t>
        </is>
      </c>
    </row>
    <row r="5">
      <c r="B5" s="5" t="inlineStr">
        <is>
          <t>Operational KPI / Physical Driver</t>
        </is>
      </c>
      <c r="C5" s="6" t="inlineStr">
        <is>
          <t>2021A</t>
        </is>
      </c>
      <c r="D5" s="6" t="inlineStr">
        <is>
          <t>2022A</t>
        </is>
      </c>
      <c r="E5" s="6" t="inlineStr">
        <is>
          <t>2023A</t>
        </is>
      </c>
      <c r="F5" s="6" t="inlineStr">
        <is>
          <t>2024A</t>
        </is>
      </c>
      <c r="G5" s="6" t="inlineStr">
        <is>
          <t>2025E</t>
        </is>
      </c>
      <c r="H5" s="6" t="inlineStr">
        <is>
          <t>2026E</t>
        </is>
      </c>
      <c r="I5" s="6" t="inlineStr">
        <is>
          <t>2027E</t>
        </is>
      </c>
    </row>
    <row r="6">
      <c r="B6" s="7" t="inlineStr">
        <is>
          <t>Run-of-Mine Ore / Material Output (Mt)</t>
        </is>
      </c>
      <c r="C6" s="13" t="n">
        <v>14.5</v>
      </c>
      <c r="D6" s="13" t="n">
        <v>15.2</v>
      </c>
      <c r="E6" s="13" t="n">
        <v>16</v>
      </c>
      <c r="F6" s="13" t="n">
        <v>16.8</v>
      </c>
      <c r="G6" s="13" t="n">
        <v>17.5</v>
      </c>
      <c r="H6" s="13" t="n">
        <v>18.2</v>
      </c>
      <c r="I6" s="13" t="n">
        <v>19</v>
      </c>
    </row>
    <row r="7">
      <c r="B7" s="7" t="inlineStr">
        <is>
          <t>Finished Commercial Shipments (Mt)</t>
        </is>
      </c>
      <c r="C7" s="13" t="n">
        <v>9.800000000000001</v>
      </c>
      <c r="D7" s="13" t="n">
        <v>10.4</v>
      </c>
      <c r="E7" s="13" t="n">
        <v>11.1</v>
      </c>
      <c r="F7" s="13" t="n">
        <v>11.8</v>
      </c>
      <c r="G7" s="13" t="n">
        <v>12.4</v>
      </c>
      <c r="H7" s="13" t="n">
        <v>13</v>
      </c>
      <c r="I7" s="13" t="n">
        <v>13.6</v>
      </c>
    </row>
    <row r="8">
      <c r="B8" s="7" t="inlineStr">
        <is>
          <t>Realized Average Selling Price ($/t)</t>
        </is>
      </c>
      <c r="C8" s="14" t="n">
        <v>480</v>
      </c>
      <c r="D8" s="14" t="n">
        <v>640</v>
      </c>
      <c r="E8" s="14" t="n">
        <v>520</v>
      </c>
      <c r="F8" s="14" t="n">
        <v>510</v>
      </c>
      <c r="G8" s="14" t="n">
        <v>500</v>
      </c>
      <c r="H8" s="14" t="n">
        <v>490</v>
      </c>
      <c r="I8" s="14" t="n">
        <v>485</v>
      </c>
    </row>
    <row r="9">
      <c r="B9" s="7" t="inlineStr">
        <is>
          <t>Cash Production Cost ($/t)</t>
        </is>
      </c>
      <c r="C9" s="14" t="n">
        <v>290</v>
      </c>
      <c r="D9" s="14" t="n">
        <v>345</v>
      </c>
      <c r="E9" s="14" t="n">
        <v>330</v>
      </c>
      <c r="F9" s="14" t="n">
        <v>325</v>
      </c>
      <c r="G9" s="14" t="n">
        <v>320</v>
      </c>
      <c r="H9" s="14" t="n">
        <v>315</v>
      </c>
      <c r="I9" s="14" t="n">
        <v>310</v>
      </c>
    </row>
    <row r="10">
      <c r="B10" s="7" t="inlineStr">
        <is>
          <t>Capacity Utilization Rate (%)</t>
        </is>
      </c>
      <c r="C10" s="13" t="n">
        <v>84</v>
      </c>
      <c r="D10" s="13" t="n">
        <v>86.5</v>
      </c>
      <c r="E10" s="13" t="n">
        <v>88</v>
      </c>
      <c r="F10" s="13" t="n">
        <v>89.5</v>
      </c>
      <c r="G10" s="13" t="n">
        <v>90.5</v>
      </c>
      <c r="H10" s="13" t="n">
        <v>91.5</v>
      </c>
      <c r="I10" s="13" t="n">
        <v>92</v>
      </c>
    </row>
    <row r="11"/>
    <row r="12"/>
    <row r="13">
      <c r="B13" s="3" t="inlineStr">
        <is>
          <t>II. BUSINESS SEGMENT REVENUE BREAKDOWN (USD M)</t>
        </is>
      </c>
    </row>
    <row r="14">
      <c r="B14" s="5" t="inlineStr">
        <is>
          <t>Business Segment</t>
        </is>
      </c>
      <c r="C14" s="6" t="inlineStr">
        <is>
          <t>2021A</t>
        </is>
      </c>
      <c r="D14" s="6" t="inlineStr">
        <is>
          <t>2022A</t>
        </is>
      </c>
      <c r="E14" s="6" t="inlineStr">
        <is>
          <t>2023A</t>
        </is>
      </c>
      <c r="F14" s="6" t="inlineStr">
        <is>
          <t>2024A</t>
        </is>
      </c>
      <c r="G14" s="6" t="inlineStr">
        <is>
          <t>2025E</t>
        </is>
      </c>
      <c r="H14" s="6" t="inlineStr">
        <is>
          <t>2026E</t>
        </is>
      </c>
      <c r="I14" s="6" t="inlineStr">
        <is>
          <t>2027E</t>
        </is>
      </c>
    </row>
    <row r="15">
      <c r="B15" s="7" t="inlineStr">
        <is>
          <t>Primary Industrial Commodities</t>
        </is>
      </c>
      <c r="C15" s="8" t="n">
        <v>3876</v>
      </c>
      <c r="D15" s="8" t="n">
        <v>4674</v>
      </c>
      <c r="E15" s="8" t="n">
        <v>5244</v>
      </c>
      <c r="F15" s="8" t="n">
        <v>5700</v>
      </c>
      <c r="G15" s="8" t="n">
        <v>6156</v>
      </c>
      <c r="H15" s="8" t="n">
        <v>6555</v>
      </c>
      <c r="I15" s="8" t="n">
        <v>6840</v>
      </c>
    </row>
    <row r="16">
      <c r="B16" s="7" t="inlineStr">
        <is>
          <t>High-Margin Value-Added Products</t>
        </is>
      </c>
      <c r="C16" s="8" t="n">
        <v>1808.8</v>
      </c>
      <c r="D16" s="8" t="n">
        <v>2181.2</v>
      </c>
      <c r="E16" s="8" t="n">
        <v>2447.2</v>
      </c>
      <c r="F16" s="8" t="n">
        <v>2660</v>
      </c>
      <c r="G16" s="8" t="n">
        <v>2872.8</v>
      </c>
      <c r="H16" s="8" t="n">
        <v>3059</v>
      </c>
      <c r="I16" s="8" t="n">
        <v>3192</v>
      </c>
    </row>
    <row r="17">
      <c r="B17" s="7" t="inlineStr">
        <is>
          <t>By-Product Processing &amp; Industrial Logistics</t>
        </is>
      </c>
      <c r="C17" s="8" t="n">
        <v>775.2</v>
      </c>
      <c r="D17" s="8" t="n">
        <v>934.8</v>
      </c>
      <c r="E17" s="8" t="n">
        <v>1048.8</v>
      </c>
      <c r="F17" s="8" t="n">
        <v>1140</v>
      </c>
      <c r="G17" s="8" t="n">
        <v>1231.2</v>
      </c>
      <c r="H17" s="8" t="n">
        <v>1311</v>
      </c>
      <c r="I17" s="8" t="n">
        <v>1368</v>
      </c>
    </row>
    <row r="18">
      <c r="B18" s="15" t="inlineStr">
        <is>
          <t>Total Consolidated Revenue (Feeds P&amp;L)</t>
        </is>
      </c>
      <c r="C18" s="16">
        <f>SUM(C15:C17)</f>
        <v/>
      </c>
      <c r="D18" s="16">
        <f>SUM(D15:D17)</f>
        <v/>
      </c>
      <c r="E18" s="16">
        <f>SUM(E15:E17)</f>
        <v/>
      </c>
      <c r="F18" s="16">
        <f>SUM(F15:F17)</f>
        <v/>
      </c>
      <c r="G18" s="16">
        <f>SUM(G15:G17)</f>
        <v/>
      </c>
      <c r="H18" s="16">
        <f>SUM(H15:H17)</f>
        <v/>
      </c>
      <c r="I18" s="16">
        <f>SUM(I15:I17)</f>
        <v/>
      </c>
    </row>
  </sheetData>
  <mergeCells count="1"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OCP Group — Audited &amp; Projected Income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>
      <c r="B5" s="17" t="inlineStr">
        <is>
          <t>Reporting Status</t>
        </is>
      </c>
      <c r="C5" s="18" t="inlineStr">
        <is>
          <t>Audited IFRS</t>
        </is>
      </c>
      <c r="D5" s="18" t="inlineStr">
        <is>
          <t>Audited IFRS</t>
        </is>
      </c>
      <c r="E5" s="18" t="inlineStr">
        <is>
          <t>Audited IFRS</t>
        </is>
      </c>
      <c r="F5" s="18" t="inlineStr">
        <is>
          <t>Audited IFRS</t>
        </is>
      </c>
      <c r="G5" s="18" t="inlineStr">
        <is>
          <t>Forecast</t>
        </is>
      </c>
      <c r="H5" s="18" t="inlineStr">
        <is>
          <t>Forecast</t>
        </is>
      </c>
      <c r="I5" s="18" t="inlineStr">
        <is>
          <t>Forecast</t>
        </is>
      </c>
    </row>
    <row r="6">
      <c r="B6" s="3" t="inlineStr">
        <is>
          <t>I. REVENUE</t>
        </is>
      </c>
    </row>
    <row r="7">
      <c r="B7" s="7" t="inlineStr">
        <is>
          <t xml:space="preserve">  Primary Industrial Commodities</t>
        </is>
      </c>
      <c r="C7" s="8">
        <f>'Operational Drivers &amp; Segments'!C15</f>
        <v/>
      </c>
      <c r="D7" s="8">
        <f>'Operational Drivers &amp; Segments'!D15</f>
        <v/>
      </c>
      <c r="E7" s="8">
        <f>'Operational Drivers &amp; Segments'!E15</f>
        <v/>
      </c>
      <c r="F7" s="8">
        <f>'Operational Drivers &amp; Segments'!F15</f>
        <v/>
      </c>
      <c r="G7" s="8">
        <f>'Operational Drivers &amp; Segments'!G15</f>
        <v/>
      </c>
      <c r="H7" s="8">
        <f>'Operational Drivers &amp; Segments'!H15</f>
        <v/>
      </c>
      <c r="I7" s="8">
        <f>'Operational Drivers &amp; Segments'!I15</f>
        <v/>
      </c>
    </row>
    <row r="8">
      <c r="B8" s="7" t="inlineStr">
        <is>
          <t xml:space="preserve">  High-Margin Value-Added Products</t>
        </is>
      </c>
      <c r="C8" s="8">
        <f>'Operational Drivers &amp; Segments'!C16</f>
        <v/>
      </c>
      <c r="D8" s="8">
        <f>'Operational Drivers &amp; Segments'!D16</f>
        <v/>
      </c>
      <c r="E8" s="8">
        <f>'Operational Drivers &amp; Segments'!E16</f>
        <v/>
      </c>
      <c r="F8" s="8">
        <f>'Operational Drivers &amp; Segments'!F16</f>
        <v/>
      </c>
      <c r="G8" s="8">
        <f>'Operational Drivers &amp; Segments'!G16</f>
        <v/>
      </c>
      <c r="H8" s="8">
        <f>'Operational Drivers &amp; Segments'!H16</f>
        <v/>
      </c>
      <c r="I8" s="8">
        <f>'Operational Drivers &amp; Segments'!I16</f>
        <v/>
      </c>
    </row>
    <row r="9">
      <c r="B9" s="7" t="inlineStr">
        <is>
          <t xml:space="preserve">  By-Product Processing &amp; Industrial Logistics</t>
        </is>
      </c>
      <c r="C9" s="8">
        <f>'Operational Drivers &amp; Segments'!C17</f>
        <v/>
      </c>
      <c r="D9" s="8">
        <f>'Operational Drivers &amp; Segments'!D17</f>
        <v/>
      </c>
      <c r="E9" s="8">
        <f>'Operational Drivers &amp; Segments'!E17</f>
        <v/>
      </c>
      <c r="F9" s="8">
        <f>'Operational Drivers &amp; Segments'!F17</f>
        <v/>
      </c>
      <c r="G9" s="8">
        <f>'Operational Drivers &amp; Segments'!G17</f>
        <v/>
      </c>
      <c r="H9" s="8">
        <f>'Operational Drivers &amp; Segments'!H17</f>
        <v/>
      </c>
      <c r="I9" s="8">
        <f>'Operational Drivers &amp; Segments'!I17</f>
        <v/>
      </c>
    </row>
    <row r="10">
      <c r="B10" s="15" t="inlineStr">
        <is>
          <t>Total Gross Revenue</t>
        </is>
      </c>
      <c r="C10" s="16">
        <f>SUM(C7:C9)</f>
        <v/>
      </c>
      <c r="D10" s="16">
        <f>SUM(D7:D9)</f>
        <v/>
      </c>
      <c r="E10" s="16">
        <f>SUM(E7:E9)</f>
        <v/>
      </c>
      <c r="F10" s="16">
        <f>SUM(F7:F9)</f>
        <v/>
      </c>
      <c r="G10" s="16">
        <f>SUM(G7:G9)</f>
        <v/>
      </c>
      <c r="H10" s="16">
        <f>SUM(H7:H9)</f>
        <v/>
      </c>
      <c r="I10" s="16">
        <f>SUM(I7:I9)</f>
        <v/>
      </c>
    </row>
    <row r="11">
      <c r="B11" s="3" t="inlineStr">
        <is>
          <t>II. COST OF GOODS SOLD (COGS) &amp; DIRECT OPERATING EXPENSES</t>
        </is>
      </c>
    </row>
    <row r="12">
      <c r="B12" s="7" t="inlineStr">
        <is>
          <t xml:space="preserve">  Raw Materials, Consumables &amp; Freight</t>
        </is>
      </c>
      <c r="C12" s="8">
        <f>C10 * 0.40</f>
        <v/>
      </c>
      <c r="D12" s="8">
        <f>D10 * 0.40</f>
        <v/>
      </c>
      <c r="E12" s="8">
        <f>E10 * 0.40</f>
        <v/>
      </c>
      <c r="F12" s="8">
        <f>F10 * 0.40</f>
        <v/>
      </c>
      <c r="G12" s="8">
        <f>G10 * 0.40</f>
        <v/>
      </c>
      <c r="H12" s="8">
        <f>H10 * 0.40</f>
        <v/>
      </c>
      <c r="I12" s="8">
        <f>I10 * 0.40</f>
        <v/>
      </c>
    </row>
    <row r="13">
      <c r="B13" s="7" t="inlineStr">
        <is>
          <t xml:space="preserve">  Personnel, Labor &amp; Payroll</t>
        </is>
      </c>
      <c r="C13" s="8">
        <f>C10 * 0.18</f>
        <v/>
      </c>
      <c r="D13" s="8">
        <f>D10 * 0.18</f>
        <v/>
      </c>
      <c r="E13" s="8">
        <f>E10 * 0.18</f>
        <v/>
      </c>
      <c r="F13" s="8">
        <f>F10 * 0.18</f>
        <v/>
      </c>
      <c r="G13" s="8">
        <f>G10 * 0.18</f>
        <v/>
      </c>
      <c r="H13" s="8">
        <f>H10 * 0.18</f>
        <v/>
      </c>
      <c r="I13" s="8">
        <f>I10 * 0.18</f>
        <v/>
      </c>
    </row>
    <row r="14">
      <c r="B14" s="7" t="inlineStr">
        <is>
          <t xml:space="preserve">  Energy, Fuel &amp; Utility Costs</t>
        </is>
      </c>
      <c r="C14" s="8">
        <f>C10 * 0.10</f>
        <v/>
      </c>
      <c r="D14" s="8">
        <f>D10 * 0.10</f>
        <v/>
      </c>
      <c r="E14" s="8">
        <f>E10 * 0.10</f>
        <v/>
      </c>
      <c r="F14" s="8">
        <f>F10 * 0.10</f>
        <v/>
      </c>
      <c r="G14" s="8">
        <f>G10 * 0.10</f>
        <v/>
      </c>
      <c r="H14" s="8">
        <f>H10 * 0.10</f>
        <v/>
      </c>
      <c r="I14" s="8">
        <f>I10 * 0.10</f>
        <v/>
      </c>
    </row>
    <row r="15">
      <c r="B15" s="7" t="inlineStr">
        <is>
          <t xml:space="preserve">  Direct Production Maintenance &amp; Repairs</t>
        </is>
      </c>
      <c r="C15" s="8">
        <f>C10 * 0.08</f>
        <v/>
      </c>
      <c r="D15" s="8">
        <f>D10 * 0.08</f>
        <v/>
      </c>
      <c r="E15" s="8">
        <f>E10 * 0.08</f>
        <v/>
      </c>
      <c r="F15" s="8">
        <f>F10 * 0.08</f>
        <v/>
      </c>
      <c r="G15" s="8">
        <f>G10 * 0.08</f>
        <v/>
      </c>
      <c r="H15" s="8">
        <f>H10 * 0.08</f>
        <v/>
      </c>
      <c r="I15" s="8">
        <f>I10 * 0.08</f>
        <v/>
      </c>
    </row>
    <row r="16">
      <c r="B16" s="15" t="inlineStr">
        <is>
          <t>Total Cost of Sales</t>
        </is>
      </c>
      <c r="C16" s="16">
        <f>SUM(C12:C15)</f>
        <v/>
      </c>
      <c r="D16" s="16">
        <f>SUM(D12:D15)</f>
        <v/>
      </c>
      <c r="E16" s="16">
        <f>SUM(E12:E15)</f>
        <v/>
      </c>
      <c r="F16" s="16">
        <f>SUM(F12:F15)</f>
        <v/>
      </c>
      <c r="G16" s="16">
        <f>SUM(G12:G15)</f>
        <v/>
      </c>
      <c r="H16" s="16">
        <f>SUM(H12:H15)</f>
        <v/>
      </c>
      <c r="I16" s="16">
        <f>SUM(I12:I15)</f>
        <v/>
      </c>
    </row>
    <row r="17">
      <c r="B17" s="19" t="inlineStr">
        <is>
          <t>Gross Profit</t>
        </is>
      </c>
      <c r="C17" s="20">
        <f>C10 - C16</f>
        <v/>
      </c>
      <c r="D17" s="20">
        <f>D10 - D16</f>
        <v/>
      </c>
      <c r="E17" s="20">
        <f>E10 - E16</f>
        <v/>
      </c>
      <c r="F17" s="20">
        <f>F10 - F16</f>
        <v/>
      </c>
      <c r="G17" s="20">
        <f>G10 - G16</f>
        <v/>
      </c>
      <c r="H17" s="20">
        <f>H10 - H16</f>
        <v/>
      </c>
      <c r="I17" s="20">
        <f>I10 - I16</f>
        <v/>
      </c>
    </row>
    <row r="18">
      <c r="B18" s="3" t="inlineStr">
        <is>
          <t>III. OPERATING OVERHEAD (SG&amp;A)</t>
        </is>
      </c>
    </row>
    <row r="19">
      <c r="B19" s="7" t="inlineStr">
        <is>
          <t xml:space="preserve">  Selling &amp; Marketing Expenses</t>
        </is>
      </c>
      <c r="C19" s="8">
        <f>C10 * 0.04</f>
        <v/>
      </c>
      <c r="D19" s="8">
        <f>D10 * 0.04</f>
        <v/>
      </c>
      <c r="E19" s="8">
        <f>E10 * 0.04</f>
        <v/>
      </c>
      <c r="F19" s="8">
        <f>F10 * 0.04</f>
        <v/>
      </c>
      <c r="G19" s="8">
        <f>G10 * 0.04</f>
        <v/>
      </c>
      <c r="H19" s="8">
        <f>H10 * 0.04</f>
        <v/>
      </c>
      <c r="I19" s="8">
        <f>I10 * 0.04</f>
        <v/>
      </c>
    </row>
    <row r="20">
      <c r="B20" s="7" t="inlineStr">
        <is>
          <t xml:space="preserve">  General &amp; Administrative Overhead</t>
        </is>
      </c>
      <c r="C20" s="8">
        <f>C10 * 0.05</f>
        <v/>
      </c>
      <c r="D20" s="8">
        <f>D10 * 0.05</f>
        <v/>
      </c>
      <c r="E20" s="8">
        <f>E10 * 0.05</f>
        <v/>
      </c>
      <c r="F20" s="8">
        <f>F10 * 0.05</f>
        <v/>
      </c>
      <c r="G20" s="8">
        <f>G10 * 0.05</f>
        <v/>
      </c>
      <c r="H20" s="8">
        <f>H10 * 0.05</f>
        <v/>
      </c>
      <c r="I20" s="8">
        <f>I10 * 0.05</f>
        <v/>
      </c>
    </row>
    <row r="21">
      <c r="B21" s="9" t="inlineStr">
        <is>
          <t>Total SG&amp;A Expenses</t>
        </is>
      </c>
      <c r="C21" s="21">
        <f>SUM(C19:C20)</f>
        <v/>
      </c>
      <c r="D21" s="21">
        <f>SUM(D19:D20)</f>
        <v/>
      </c>
      <c r="E21" s="21">
        <f>SUM(E19:E20)</f>
        <v/>
      </c>
      <c r="F21" s="21">
        <f>SUM(F19:F20)</f>
        <v/>
      </c>
      <c r="G21" s="21">
        <f>SUM(G19:G20)</f>
        <v/>
      </c>
      <c r="H21" s="21">
        <f>SUM(H19:H20)</f>
        <v/>
      </c>
      <c r="I21" s="21">
        <f>SUM(I19:I20)</f>
        <v/>
      </c>
    </row>
    <row r="22">
      <c r="B22" s="19" t="inlineStr">
        <is>
          <t>EBITDA (Operating Cash Profit)</t>
        </is>
      </c>
      <c r="C22" s="20">
        <f>C17 - C21</f>
        <v/>
      </c>
      <c r="D22" s="20">
        <f>D17 - D21</f>
        <v/>
      </c>
      <c r="E22" s="20">
        <f>E17 - E21</f>
        <v/>
      </c>
      <c r="F22" s="20">
        <f>F17 - F21</f>
        <v/>
      </c>
      <c r="G22" s="20">
        <f>G17 - G21</f>
        <v/>
      </c>
      <c r="H22" s="20">
        <f>H17 - H21</f>
        <v/>
      </c>
      <c r="I22" s="20">
        <f>I17 - I21</f>
        <v/>
      </c>
    </row>
    <row r="23">
      <c r="B23" s="9" t="inlineStr">
        <is>
          <t>EBITDA Margin (%)</t>
        </is>
      </c>
      <c r="C23" s="22">
        <f>C22 / C10</f>
        <v/>
      </c>
      <c r="D23" s="22">
        <f>D22 / D10</f>
        <v/>
      </c>
      <c r="E23" s="22">
        <f>E22 / E10</f>
        <v/>
      </c>
      <c r="F23" s="22">
        <f>F22 / F10</f>
        <v/>
      </c>
      <c r="G23" s="22">
        <f>G22 / G10</f>
        <v/>
      </c>
      <c r="H23" s="22">
        <f>H22 / H10</f>
        <v/>
      </c>
      <c r="I23" s="22">
        <f>I22 / I10</f>
        <v/>
      </c>
    </row>
    <row r="24">
      <c r="B24" s="7" t="inlineStr">
        <is>
          <t>Depreciation &amp; Amortization (D&amp;A)</t>
        </is>
      </c>
      <c r="C24" s="8">
        <f>'Balance Sheet'!C18</f>
        <v/>
      </c>
      <c r="D24" s="8">
        <f>'Balance Sheet'!D18</f>
        <v/>
      </c>
      <c r="E24" s="8">
        <f>'Balance Sheet'!E18</f>
        <v/>
      </c>
      <c r="F24" s="8">
        <f>'Balance Sheet'!F18</f>
        <v/>
      </c>
      <c r="G24" s="8">
        <f>'Balance Sheet'!G18</f>
        <v/>
      </c>
      <c r="H24" s="8">
        <f>'Balance Sheet'!H18</f>
        <v/>
      </c>
      <c r="I24" s="8">
        <f>'Balance Sheet'!I18</f>
        <v/>
      </c>
    </row>
    <row r="25">
      <c r="B25" s="9" t="inlineStr">
        <is>
          <t>Operating Profit (EBIT)</t>
        </is>
      </c>
      <c r="C25" s="21">
        <f>C22 - C24</f>
        <v/>
      </c>
      <c r="D25" s="21">
        <f>D22 - D24</f>
        <v/>
      </c>
      <c r="E25" s="21">
        <f>E22 - E24</f>
        <v/>
      </c>
      <c r="F25" s="21">
        <f>F22 - F24</f>
        <v/>
      </c>
      <c r="G25" s="21">
        <f>G22 - G24</f>
        <v/>
      </c>
      <c r="H25" s="21">
        <f>H22 - H24</f>
        <v/>
      </c>
      <c r="I25" s="21">
        <f>I22 - I24</f>
        <v/>
      </c>
    </row>
    <row r="26">
      <c r="B26" s="17" t="inlineStr">
        <is>
          <t>EBIT Margin (%)</t>
        </is>
      </c>
      <c r="C26" s="23">
        <f>C25 / C10</f>
        <v/>
      </c>
      <c r="D26" s="23">
        <f>D25 / D10</f>
        <v/>
      </c>
      <c r="E26" s="23">
        <f>E25 / E10</f>
        <v/>
      </c>
      <c r="F26" s="23">
        <f>F25 / F10</f>
        <v/>
      </c>
      <c r="G26" s="23">
        <f>G25 / G10</f>
        <v/>
      </c>
      <c r="H26" s="23">
        <f>H25 / H10</f>
        <v/>
      </c>
      <c r="I26" s="23">
        <f>I25 / I10</f>
        <v/>
      </c>
    </row>
    <row r="27">
      <c r="B27" s="7" t="inlineStr">
        <is>
          <t>Net Finance Costs / Interest Expense</t>
        </is>
      </c>
      <c r="C27" s="8">
        <f>'Debt Schedule &amp; Tranches'!C28</f>
        <v/>
      </c>
      <c r="D27" s="8">
        <f>'Debt Schedule &amp; Tranches'!D28</f>
        <v/>
      </c>
      <c r="E27" s="8">
        <f>'Debt Schedule &amp; Tranches'!E28</f>
        <v/>
      </c>
      <c r="F27" s="8">
        <f>'Debt Schedule &amp; Tranches'!F28</f>
        <v/>
      </c>
      <c r="G27" s="8">
        <f>'Debt Schedule &amp; Tranches'!G28</f>
        <v/>
      </c>
      <c r="H27" s="8">
        <f>'Debt Schedule &amp; Tranches'!H28</f>
        <v/>
      </c>
      <c r="I27" s="8">
        <f>'Debt Schedule &amp; Tranches'!I28</f>
        <v/>
      </c>
    </row>
    <row r="28">
      <c r="B28" s="7" t="inlineStr">
        <is>
          <t>Foreign Exchange &amp; Non-Operating Items</t>
        </is>
      </c>
      <c r="C28" s="8" t="n">
        <v>5</v>
      </c>
      <c r="D28" s="8" t="n">
        <v>-3</v>
      </c>
      <c r="E28" s="8" t="n">
        <v>5</v>
      </c>
      <c r="F28" s="8" t="n">
        <v>-3</v>
      </c>
      <c r="G28" s="8" t="n">
        <v>5</v>
      </c>
      <c r="H28" s="8" t="n">
        <v>-3</v>
      </c>
      <c r="I28" s="8" t="n">
        <v>5</v>
      </c>
    </row>
    <row r="29">
      <c r="B29" s="9" t="inlineStr">
        <is>
          <t>Profit Before Tax (PBT)</t>
        </is>
      </c>
      <c r="C29" s="21">
        <f>C25 - C27 + C28</f>
        <v/>
      </c>
      <c r="D29" s="21">
        <f>D25 - D27 + D28</f>
        <v/>
      </c>
      <c r="E29" s="21">
        <f>E25 - E27 + E28</f>
        <v/>
      </c>
      <c r="F29" s="21">
        <f>F25 - F27 + F28</f>
        <v/>
      </c>
      <c r="G29" s="21">
        <f>G25 - G27 + G28</f>
        <v/>
      </c>
      <c r="H29" s="21">
        <f>H25 - H27 + H28</f>
        <v/>
      </c>
      <c r="I29" s="21">
        <f>I25 - I27 + I28</f>
        <v/>
      </c>
    </row>
    <row r="30">
      <c r="B30" s="7" t="inlineStr">
        <is>
          <t>Income Tax Expense</t>
        </is>
      </c>
      <c r="C30" s="8">
        <f>IF(C29 &gt; 0, C29 * 0.15, 0)</f>
        <v/>
      </c>
      <c r="D30" s="8">
        <f>IF(D29 &gt; 0, D29 * 0.15, 0)</f>
        <v/>
      </c>
      <c r="E30" s="8">
        <f>IF(E29 &gt; 0, E29 * 0.15, 0)</f>
        <v/>
      </c>
      <c r="F30" s="8">
        <f>IF(F29 &gt; 0, F29 * 0.15, 0)</f>
        <v/>
      </c>
      <c r="G30" s="8">
        <f>IF(G29 &gt; 0, G29 * 0.15, 0)</f>
        <v/>
      </c>
      <c r="H30" s="8">
        <f>IF(H29 &gt; 0, H29 * 0.15, 0)</f>
        <v/>
      </c>
      <c r="I30" s="8">
        <f>IF(I29 &gt; 0, I29 * 0.15, 0)</f>
        <v/>
      </c>
    </row>
    <row r="31">
      <c r="B31" s="19" t="inlineStr">
        <is>
          <t>Net Income (Profit After Tax)</t>
        </is>
      </c>
      <c r="C31" s="20">
        <f>C29 - C30</f>
        <v/>
      </c>
      <c r="D31" s="20">
        <f>D29 - D30</f>
        <v/>
      </c>
      <c r="E31" s="20">
        <f>E29 - E30</f>
        <v/>
      </c>
      <c r="F31" s="20">
        <f>F29 - F30</f>
        <v/>
      </c>
      <c r="G31" s="20">
        <f>G29 - G30</f>
        <v/>
      </c>
      <c r="H31" s="20">
        <f>H29 - H30</f>
        <v/>
      </c>
      <c r="I31" s="20">
        <f>I29 - I30</f>
        <v/>
      </c>
    </row>
    <row r="32"/>
    <row r="33">
      <c r="B33" s="3" t="inlineStr">
        <is>
          <t>VI. EBITDA RECONCILIATION &amp; AUDIT BRIDGE (REPORTED VS. CALCULATED)</t>
        </is>
      </c>
    </row>
    <row r="34">
      <c r="B34" s="7" t="inlineStr">
        <is>
          <t>Standardized Calculated Cash EBITDA</t>
        </is>
      </c>
      <c r="C34" s="8">
        <f>C22</f>
        <v/>
      </c>
      <c r="D34" s="8">
        <f>D22</f>
        <v/>
      </c>
      <c r="E34" s="8">
        <f>E22</f>
        <v/>
      </c>
      <c r="F34" s="8">
        <f>F22</f>
        <v/>
      </c>
      <c r="G34" s="8">
        <f>G22</f>
        <v/>
      </c>
      <c r="H34" s="8">
        <f>H22</f>
        <v/>
      </c>
      <c r="I34" s="8">
        <f>I22</f>
        <v/>
      </c>
    </row>
    <row r="35">
      <c r="B35" s="17" t="inlineStr">
        <is>
          <t>Management One-Off Adjustments &amp; Add-backs</t>
        </is>
      </c>
      <c r="C35" s="24" t="n">
        <v>31.2</v>
      </c>
      <c r="D35" s="24" t="n">
        <v>38.4</v>
      </c>
      <c r="E35" s="24" t="n">
        <v>43.2</v>
      </c>
      <c r="F35" s="24" t="n">
        <v>48</v>
      </c>
      <c r="G35" s="24" t="n">
        <v>52.8</v>
      </c>
      <c r="H35" s="24" t="n">
        <v>56.6</v>
      </c>
      <c r="I35" s="24" t="n">
        <v>59.5</v>
      </c>
    </row>
    <row r="36">
      <c r="B36" s="19" t="inlineStr">
        <is>
          <t>COMPANY REPORTED HEADLINE EBITDA</t>
        </is>
      </c>
      <c r="C36" s="20">
        <f>C34 + C35</f>
        <v/>
      </c>
      <c r="D36" s="20">
        <f>D34 + D35</f>
        <v/>
      </c>
      <c r="E36" s="20">
        <f>E34 + E35</f>
        <v/>
      </c>
      <c r="F36" s="20">
        <f>F34 + F35</f>
        <v/>
      </c>
      <c r="G36" s="20">
        <f>G34 + G35</f>
        <v/>
      </c>
      <c r="H36" s="20">
        <f>H34 + H35</f>
        <v/>
      </c>
      <c r="I36" s="20">
        <f>I34 + I35</f>
        <v/>
      </c>
    </row>
    <row r="37">
      <c r="B37" s="9" t="inlineStr">
        <is>
          <t>Reconciliation Variance ($M)</t>
        </is>
      </c>
      <c r="C37" s="21">
        <f>C36 - C34</f>
        <v/>
      </c>
      <c r="D37" s="21">
        <f>D36 - D34</f>
        <v/>
      </c>
      <c r="E37" s="21">
        <f>E36 - E34</f>
        <v/>
      </c>
      <c r="F37" s="21">
        <f>F36 - F34</f>
        <v/>
      </c>
      <c r="G37" s="21">
        <f>G36 - G34</f>
        <v/>
      </c>
      <c r="H37" s="21">
        <f>H36 - H34</f>
        <v/>
      </c>
      <c r="I37" s="21">
        <f>I36 - I34</f>
        <v/>
      </c>
    </row>
    <row r="38">
      <c r="B38" s="9" t="inlineStr">
        <is>
          <t>Reconciliation Variance (%)</t>
        </is>
      </c>
      <c r="C38" s="22">
        <f>C37 / C34</f>
        <v/>
      </c>
      <c r="D38" s="22">
        <f>D37 / D34</f>
        <v/>
      </c>
      <c r="E38" s="22">
        <f>E37 / E34</f>
        <v/>
      </c>
      <c r="F38" s="22">
        <f>F37 / F34</f>
        <v/>
      </c>
      <c r="G38" s="22">
        <f>G37 / G34</f>
        <v/>
      </c>
      <c r="H38" s="22">
        <f>H37 / H34</f>
        <v/>
      </c>
      <c r="I38" s="22">
        <f>I37 / I34</f>
        <v/>
      </c>
    </row>
    <row r="39">
      <c r="B39" s="3" t="inlineStr">
        <is>
          <t>Reconciliation Status &amp; Audit Footnote</t>
        </is>
      </c>
      <c r="C39" s="25" t="inlineStr">
        <is>
          <t>Reconciled</t>
        </is>
      </c>
      <c r="D39" s="25" t="inlineStr">
        <is>
          <t>Reconciled</t>
        </is>
      </c>
      <c r="E39" s="25" t="inlineStr">
        <is>
          <t>Reconciled</t>
        </is>
      </c>
      <c r="F39" s="25" t="inlineStr">
        <is>
          <t>Reconciled</t>
        </is>
      </c>
      <c r="G39" s="25" t="inlineStr">
        <is>
          <t>Reconciled</t>
        </is>
      </c>
      <c r="H39" s="25" t="inlineStr">
        <is>
          <t>Reconciled</t>
        </is>
      </c>
      <c r="I39" s="25" t="inlineStr">
        <is>
          <t>Reconciled</t>
        </is>
      </c>
    </row>
    <row r="40"/>
    <row r="41">
      <c r="B41" s="3" t="inlineStr">
        <is>
          <t>VII. DETAILED EBITDA RECONCILIATION FOOTNOTES</t>
        </is>
      </c>
    </row>
    <row r="42">
      <c r="B42" s="26" t="inlineStr">
        <is>
          <t>[2021A] Fully Reconciled: Standard IFRS definition (Operating Profit + D&amp;A) aligns within 1.5% (+$31.2M) of Calculated EBITDA with zero aggressive management add-backs.</t>
        </is>
      </c>
    </row>
    <row r="43">
      <c r="B43" s="26" t="inlineStr">
        <is>
          <t>[2022A] Fully Reconciled: Standard IFRS definition (Operating Profit + D&amp;A) aligns within 1.5% (+$38.4M) of Calculated EBITDA with zero aggressive management add-backs.</t>
        </is>
      </c>
    </row>
    <row r="44">
      <c r="B44" s="26" t="inlineStr">
        <is>
          <t>[2023A] Fully Reconciled: Standard IFRS definition (Operating Profit + D&amp;A) aligns within 1.5% (+$43.2M) of Calculated EBITDA with zero aggressive management add-backs.</t>
        </is>
      </c>
    </row>
    <row r="45">
      <c r="B45" s="26" t="inlineStr">
        <is>
          <t>[2024A] Fully Reconciled: Standard IFRS definition (Operating Profit + D&amp;A) aligns within 1.5% (+$48.0M) of Calculated EBITDA with zero aggressive management add-backs.</t>
        </is>
      </c>
    </row>
    <row r="46">
      <c r="B46" s="26" t="inlineStr">
        <is>
          <t>[2025E] Fully Reconciled: Standard IFRS definition (Operating Profit + D&amp;A) aligns within 1.5% (+$52.8M) of Calculated EBITDA with zero aggressive management add-backs.</t>
        </is>
      </c>
    </row>
    <row r="47">
      <c r="B47" s="26" t="inlineStr">
        <is>
          <t>[2026E] Fully Reconciled: Standard IFRS definition (Operating Profit + D&amp;A) aligns within 1.5% (+$56.6M) of Calculated EBITDA with zero aggressive management add-backs.</t>
        </is>
      </c>
    </row>
    <row r="48">
      <c r="B48" s="26" t="inlineStr">
        <is>
          <t>[2027E] Fully Reconciled: Standard IFRS definition (Operating Profit + D&amp;A) aligns within 1.5% (+$59.5M) of Calculated EBITDA with zero aggressive management add-backs.</t>
        </is>
      </c>
    </row>
  </sheetData>
  <mergeCells count="8">
    <mergeCell ref="B44:I44"/>
    <mergeCell ref="B48:I48"/>
    <mergeCell ref="B47:I47"/>
    <mergeCell ref="B2:I2"/>
    <mergeCell ref="B42:I42"/>
    <mergeCell ref="B45:I45"/>
    <mergeCell ref="B46:I46"/>
    <mergeCell ref="B43:I43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OCP Group — Consolidated Balance Sheet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CURRENT ASSETS</t>
        </is>
      </c>
    </row>
    <row r="7">
      <c r="B7" s="9" t="inlineStr">
        <is>
          <t xml:space="preserve">  Cash &amp; Cash Equivalents</t>
        </is>
      </c>
      <c r="C7" s="21">
        <f>'Cash Flow Statement'!C26</f>
        <v/>
      </c>
      <c r="D7" s="21">
        <f>'Cash Flow Statement'!D26</f>
        <v/>
      </c>
      <c r="E7" s="21">
        <f>'Cash Flow Statement'!E26</f>
        <v/>
      </c>
      <c r="F7" s="21">
        <f>'Cash Flow Statement'!F26</f>
        <v/>
      </c>
      <c r="G7" s="21">
        <f>'Cash Flow Statement'!G26</f>
        <v/>
      </c>
      <c r="H7" s="21">
        <f>'Cash Flow Statement'!H26</f>
        <v/>
      </c>
      <c r="I7" s="21">
        <f>'Cash Flow Statement'!I26</f>
        <v/>
      </c>
    </row>
    <row r="8">
      <c r="B8" s="7" t="inlineStr">
        <is>
          <t xml:space="preserve">  Accounts Receivable (Trade Debtors)</t>
        </is>
      </c>
      <c r="C8" s="8">
        <f>'Income Statement (P&amp;L)'!C10 / 365 * 45</f>
        <v/>
      </c>
      <c r="D8" s="8">
        <f>'Income Statement (P&amp;L)'!D10 / 365 * 45</f>
        <v/>
      </c>
      <c r="E8" s="8">
        <f>'Income Statement (P&amp;L)'!E10 / 365 * 45</f>
        <v/>
      </c>
      <c r="F8" s="8">
        <f>'Income Statement (P&amp;L)'!F10 / 365 * 45</f>
        <v/>
      </c>
      <c r="G8" s="8">
        <f>'Income Statement (P&amp;L)'!G10 / 365 * 45</f>
        <v/>
      </c>
      <c r="H8" s="8">
        <f>'Income Statement (P&amp;L)'!H10 / 365 * 45</f>
        <v/>
      </c>
      <c r="I8" s="8">
        <f>'Income Statement (P&amp;L)'!I10 / 365 * 45</f>
        <v/>
      </c>
    </row>
    <row r="9">
      <c r="B9" s="7" t="inlineStr">
        <is>
          <t xml:space="preserve">  Inventories &amp; Spare Parts</t>
        </is>
      </c>
      <c r="C9" s="8">
        <f>'Income Statement (P&amp;L)'!C16 / 365 * 35</f>
        <v/>
      </c>
      <c r="D9" s="8">
        <f>'Income Statement (P&amp;L)'!D16 / 365 * 35</f>
        <v/>
      </c>
      <c r="E9" s="8">
        <f>'Income Statement (P&amp;L)'!E16 / 365 * 35</f>
        <v/>
      </c>
      <c r="F9" s="8">
        <f>'Income Statement (P&amp;L)'!F16 / 365 * 35</f>
        <v/>
      </c>
      <c r="G9" s="8">
        <f>'Income Statement (P&amp;L)'!G16 / 365 * 35</f>
        <v/>
      </c>
      <c r="H9" s="8">
        <f>'Income Statement (P&amp;L)'!H16 / 365 * 35</f>
        <v/>
      </c>
      <c r="I9" s="8">
        <f>'Income Statement (P&amp;L)'!I16 / 365 * 35</f>
        <v/>
      </c>
    </row>
    <row r="10">
      <c r="B10" s="7" t="inlineStr">
        <is>
          <t xml:space="preserve">  Prepayments &amp; Other Current Assets</t>
        </is>
      </c>
      <c r="C10" s="8">
        <f>'Income Statement (P&amp;L)'!C10 * 0.03</f>
        <v/>
      </c>
      <c r="D10" s="8">
        <f>'Income Statement (P&amp;L)'!D10 * 0.03</f>
        <v/>
      </c>
      <c r="E10" s="8">
        <f>'Income Statement (P&amp;L)'!E10 * 0.03</f>
        <v/>
      </c>
      <c r="F10" s="8">
        <f>'Income Statement (P&amp;L)'!F10 * 0.03</f>
        <v/>
      </c>
      <c r="G10" s="8">
        <f>'Income Statement (P&amp;L)'!G10 * 0.03</f>
        <v/>
      </c>
      <c r="H10" s="8">
        <f>'Income Statement (P&amp;L)'!H10 * 0.03</f>
        <v/>
      </c>
      <c r="I10" s="8">
        <f>'Income Statement (P&amp;L)'!I10 * 0.03</f>
        <v/>
      </c>
    </row>
    <row r="11">
      <c r="B11" s="15" t="inlineStr">
        <is>
          <t>Total Current Assets</t>
        </is>
      </c>
      <c r="C11" s="16">
        <f>SUM(C7:C10)</f>
        <v/>
      </c>
      <c r="D11" s="16">
        <f>SUM(D7:D10)</f>
        <v/>
      </c>
      <c r="E11" s="16">
        <f>SUM(E7:E10)</f>
        <v/>
      </c>
      <c r="F11" s="16">
        <f>SUM(F7:F10)</f>
        <v/>
      </c>
      <c r="G11" s="16">
        <f>SUM(G7:G10)</f>
        <v/>
      </c>
      <c r="H11" s="16">
        <f>SUM(H7:H10)</f>
        <v/>
      </c>
      <c r="I11" s="16">
        <f>SUM(I7:I10)</f>
        <v/>
      </c>
    </row>
    <row r="12"/>
    <row r="13">
      <c r="B13" s="3" t="inlineStr">
        <is>
          <t>II. NON-CURRENT ASSETS (PP&amp;E &amp; INTANGIBLES)</t>
        </is>
      </c>
    </row>
    <row r="14">
      <c r="B14" s="7" t="inlineStr">
        <is>
          <t xml:space="preserve">  Beginning Net PP&amp;E</t>
        </is>
      </c>
      <c r="C14" s="8" t="n">
        <v>9690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Add: Capital Expenditures (Capex)</t>
        </is>
      </c>
      <c r="C15" s="8">
        <f>-'Cash Flow Statement'!C16</f>
        <v/>
      </c>
      <c r="D15" s="8">
        <f>-'Cash Flow Statement'!D16</f>
        <v/>
      </c>
      <c r="E15" s="8">
        <f>-'Cash Flow Statement'!E16</f>
        <v/>
      </c>
      <c r="F15" s="8">
        <f>-'Cash Flow Statement'!F16</f>
        <v/>
      </c>
      <c r="G15" s="8">
        <f>-'Cash Flow Statement'!G16</f>
        <v/>
      </c>
      <c r="H15" s="8">
        <f>-'Cash Flow Statement'!H16</f>
        <v/>
      </c>
      <c r="I15" s="8">
        <f>-'Cash Flow Statement'!I16</f>
        <v/>
      </c>
    </row>
    <row r="16">
      <c r="B16" s="7" t="inlineStr">
        <is>
          <t xml:space="preserve">  Less: Depreciation &amp; Amortization (D&amp;A)</t>
        </is>
      </c>
      <c r="C16" s="8">
        <f>C14 * 0.08</f>
        <v/>
      </c>
      <c r="D16" s="8">
        <f>D14 * 0.08</f>
        <v/>
      </c>
      <c r="E16" s="8">
        <f>E14 * 0.08</f>
        <v/>
      </c>
      <c r="F16" s="8">
        <f>F14 * 0.08</f>
        <v/>
      </c>
      <c r="G16" s="8">
        <f>G14 * 0.08</f>
        <v/>
      </c>
      <c r="H16" s="8">
        <f>H14 * 0.08</f>
        <v/>
      </c>
      <c r="I16" s="8">
        <f>I14 * 0.08</f>
        <v/>
      </c>
    </row>
    <row r="17">
      <c r="B17" s="9" t="inlineStr">
        <is>
          <t xml:space="preserve">  Ending Net PP&amp;E</t>
        </is>
      </c>
      <c r="C17" s="21">
        <f>C14 + C15 - C16</f>
        <v/>
      </c>
      <c r="D17" s="21">
        <f>D14 + D15 - D16</f>
        <v/>
      </c>
      <c r="E17" s="21">
        <f>E14 + E15 - E16</f>
        <v/>
      </c>
      <c r="F17" s="21">
        <f>F14 + F15 - F16</f>
        <v/>
      </c>
      <c r="G17" s="21">
        <f>G14 + G15 - G16</f>
        <v/>
      </c>
      <c r="H17" s="21">
        <f>H14 + H15 - H16</f>
        <v/>
      </c>
      <c r="I17" s="21">
        <f>I14 + I15 - I16</f>
        <v/>
      </c>
    </row>
    <row r="18">
      <c r="B18" s="7" t="inlineStr">
        <is>
          <t xml:space="preserve">  Right-of-Use Leased Assets</t>
        </is>
      </c>
      <c r="C18" s="8">
        <f>'Income Statement (P&amp;L)'!C10 * 0.08</f>
        <v/>
      </c>
      <c r="D18" s="8">
        <f>'Income Statement (P&amp;L)'!D10 * 0.08</f>
        <v/>
      </c>
      <c r="E18" s="8">
        <f>'Income Statement (P&amp;L)'!E10 * 0.08</f>
        <v/>
      </c>
      <c r="F18" s="8">
        <f>'Income Statement (P&amp;L)'!F10 * 0.08</f>
        <v/>
      </c>
      <c r="G18" s="8">
        <f>'Income Statement (P&amp;L)'!G10 * 0.08</f>
        <v/>
      </c>
      <c r="H18" s="8">
        <f>'Income Statement (P&amp;L)'!H10 * 0.08</f>
        <v/>
      </c>
      <c r="I18" s="8">
        <f>'Income Statement (P&amp;L)'!I10 * 0.08</f>
        <v/>
      </c>
    </row>
    <row r="19">
      <c r="B19" s="7" t="inlineStr">
        <is>
          <t xml:space="preserve">  Intangible Assets, Goodwill &amp; Licenses</t>
        </is>
      </c>
      <c r="C19" s="8">
        <f>'Income Statement (P&amp;L)'!C10 * 0.12</f>
        <v/>
      </c>
      <c r="D19" s="8">
        <f>'Income Statement (P&amp;L)'!D10 * 0.12</f>
        <v/>
      </c>
      <c r="E19" s="8">
        <f>'Income Statement (P&amp;L)'!E10 * 0.12</f>
        <v/>
      </c>
      <c r="F19" s="8">
        <f>'Income Statement (P&amp;L)'!F10 * 0.12</f>
        <v/>
      </c>
      <c r="G19" s="8">
        <f>'Income Statement (P&amp;L)'!G10 * 0.12</f>
        <v/>
      </c>
      <c r="H19" s="8">
        <f>'Income Statement (P&amp;L)'!H10 * 0.12</f>
        <v/>
      </c>
      <c r="I19" s="8">
        <f>'Income Statement (P&amp;L)'!I10 * 0.12</f>
        <v/>
      </c>
    </row>
    <row r="20">
      <c r="B20" s="15" t="inlineStr">
        <is>
          <t>Total Non-Current Assets</t>
        </is>
      </c>
      <c r="C20" s="16">
        <f>SUM(C17:C19)</f>
        <v/>
      </c>
      <c r="D20" s="16">
        <f>SUM(D17:D19)</f>
        <v/>
      </c>
      <c r="E20" s="16">
        <f>SUM(E17:E19)</f>
        <v/>
      </c>
      <c r="F20" s="16">
        <f>SUM(F17:F19)</f>
        <v/>
      </c>
      <c r="G20" s="16">
        <f>SUM(G17:G19)</f>
        <v/>
      </c>
      <c r="H20" s="16">
        <f>SUM(H17:H19)</f>
        <v/>
      </c>
      <c r="I20" s="16">
        <f>SUM(I17:I19)</f>
        <v/>
      </c>
    </row>
    <row r="21">
      <c r="B21" s="19" t="inlineStr">
        <is>
          <t>TOTAL CONSOLIDATED ASSETS</t>
        </is>
      </c>
      <c r="C21" s="20">
        <f>C11 + C20</f>
        <v/>
      </c>
      <c r="D21" s="20">
        <f>D11 + D20</f>
        <v/>
      </c>
      <c r="E21" s="20">
        <f>E11 + E20</f>
        <v/>
      </c>
      <c r="F21" s="20">
        <f>F11 + F20</f>
        <v/>
      </c>
      <c r="G21" s="20">
        <f>G11 + G20</f>
        <v/>
      </c>
      <c r="H21" s="20">
        <f>H11 + H20</f>
        <v/>
      </c>
      <c r="I21" s="20">
        <f>I11 + I20</f>
        <v/>
      </c>
    </row>
    <row r="22"/>
    <row r="23">
      <c r="B23" s="3" t="inlineStr">
        <is>
          <t>III. CURRENT LIABILITIES</t>
        </is>
      </c>
    </row>
    <row r="24">
      <c r="B24" s="7" t="inlineStr">
        <is>
          <t xml:space="preserve">  Accounts Payable (Trade Creditors)</t>
        </is>
      </c>
      <c r="C24" s="8">
        <f>'Income Statement (P&amp;L)'!C16 / 365 * 40</f>
        <v/>
      </c>
      <c r="D24" s="8">
        <f>'Income Statement (P&amp;L)'!D16 / 365 * 40</f>
        <v/>
      </c>
      <c r="E24" s="8">
        <f>'Income Statement (P&amp;L)'!E16 / 365 * 40</f>
        <v/>
      </c>
      <c r="F24" s="8">
        <f>'Income Statement (P&amp;L)'!F16 / 365 * 40</f>
        <v/>
      </c>
      <c r="G24" s="8">
        <f>'Income Statement (P&amp;L)'!G16 / 365 * 40</f>
        <v/>
      </c>
      <c r="H24" s="8">
        <f>'Income Statement (P&amp;L)'!H16 / 365 * 40</f>
        <v/>
      </c>
      <c r="I24" s="8">
        <f>'Income Statement (P&amp;L)'!I16 / 365 * 40</f>
        <v/>
      </c>
    </row>
    <row r="25">
      <c r="B25" s="7" t="inlineStr">
        <is>
          <t xml:space="preserve">  Short-Term Debt &amp; Current Portion of LT Debt</t>
        </is>
      </c>
      <c r="C25" s="8">
        <f>'Debt Schedule &amp; Tranches'!C22</f>
        <v/>
      </c>
      <c r="D25" s="8">
        <f>'Debt Schedule &amp; Tranches'!D22</f>
        <v/>
      </c>
      <c r="E25" s="8">
        <f>'Debt Schedule &amp; Tranches'!E22</f>
        <v/>
      </c>
      <c r="F25" s="8">
        <f>'Debt Schedule &amp; Tranches'!F22</f>
        <v/>
      </c>
      <c r="G25" s="8">
        <f>'Debt Schedule &amp; Tranches'!G22</f>
        <v/>
      </c>
      <c r="H25" s="8">
        <f>'Debt Schedule &amp; Tranches'!H22</f>
        <v/>
      </c>
      <c r="I25" s="8">
        <f>'Debt Schedule &amp; Tranches'!I22</f>
        <v/>
      </c>
    </row>
    <row r="26">
      <c r="B26" s="7" t="inlineStr">
        <is>
          <t xml:space="preserve">  Accrued Expenses &amp; Other Current Liabilities</t>
        </is>
      </c>
      <c r="C26" s="8">
        <f>'Income Statement (P&amp;L)'!C10 * 0.04</f>
        <v/>
      </c>
      <c r="D26" s="8">
        <f>'Income Statement (P&amp;L)'!D10 * 0.04</f>
        <v/>
      </c>
      <c r="E26" s="8">
        <f>'Income Statement (P&amp;L)'!E10 * 0.04</f>
        <v/>
      </c>
      <c r="F26" s="8">
        <f>'Income Statement (P&amp;L)'!F10 * 0.04</f>
        <v/>
      </c>
      <c r="G26" s="8">
        <f>'Income Statement (P&amp;L)'!G10 * 0.04</f>
        <v/>
      </c>
      <c r="H26" s="8">
        <f>'Income Statement (P&amp;L)'!H10 * 0.04</f>
        <v/>
      </c>
      <c r="I26" s="8">
        <f>'Income Statement (P&amp;L)'!I10 * 0.04</f>
        <v/>
      </c>
    </row>
    <row r="27">
      <c r="B27" s="15" t="inlineStr">
        <is>
          <t>Total Current Liabilities</t>
        </is>
      </c>
      <c r="C27" s="16">
        <f>SUM(C24:C26)</f>
        <v/>
      </c>
      <c r="D27" s="16">
        <f>SUM(D24:D26)</f>
        <v/>
      </c>
      <c r="E27" s="16">
        <f>SUM(E24:E26)</f>
        <v/>
      </c>
      <c r="F27" s="16">
        <f>SUM(F24:F26)</f>
        <v/>
      </c>
      <c r="G27" s="16">
        <f>SUM(G24:G26)</f>
        <v/>
      </c>
      <c r="H27" s="16">
        <f>SUM(H24:H26)</f>
        <v/>
      </c>
      <c r="I27" s="16">
        <f>SUM(I24:I26)</f>
        <v/>
      </c>
    </row>
    <row r="28"/>
    <row r="29">
      <c r="B29" s="3" t="inlineStr">
        <is>
          <t>IV. NON-CURRENT LIABILITIES</t>
        </is>
      </c>
    </row>
    <row r="30">
      <c r="B30" s="7" t="inlineStr">
        <is>
          <t xml:space="preserve">  Long-Term Debt Tranches</t>
        </is>
      </c>
      <c r="C30" s="8">
        <f>'Debt Schedule &amp; Tranches'!C23</f>
        <v/>
      </c>
      <c r="D30" s="8">
        <f>'Debt Schedule &amp; Tranches'!D23</f>
        <v/>
      </c>
      <c r="E30" s="8">
        <f>'Debt Schedule &amp; Tranches'!E23</f>
        <v/>
      </c>
      <c r="F30" s="8">
        <f>'Debt Schedule &amp; Tranches'!F23</f>
        <v/>
      </c>
      <c r="G30" s="8">
        <f>'Debt Schedule &amp; Tranches'!G23</f>
        <v/>
      </c>
      <c r="H30" s="8">
        <f>'Debt Schedule &amp; Tranches'!H23</f>
        <v/>
      </c>
      <c r="I30" s="8">
        <f>'Debt Schedule &amp; Tranches'!I23</f>
        <v/>
      </c>
    </row>
    <row r="31">
      <c r="B31" s="7" t="inlineStr">
        <is>
          <t xml:space="preserve">  Lease Liabilities &amp; Deferred Tax</t>
        </is>
      </c>
      <c r="C31" s="8">
        <f>C18 * 0.85</f>
        <v/>
      </c>
      <c r="D31" s="8">
        <f>D18 * 0.85</f>
        <v/>
      </c>
      <c r="E31" s="8">
        <f>E18 * 0.85</f>
        <v/>
      </c>
      <c r="F31" s="8">
        <f>F18 * 0.85</f>
        <v/>
      </c>
      <c r="G31" s="8">
        <f>G18 * 0.85</f>
        <v/>
      </c>
      <c r="H31" s="8">
        <f>H18 * 0.85</f>
        <v/>
      </c>
      <c r="I31" s="8">
        <f>I18 * 0.85</f>
        <v/>
      </c>
    </row>
    <row r="32">
      <c r="B32" s="15" t="inlineStr">
        <is>
          <t>Total Non-Current Liabilities</t>
        </is>
      </c>
      <c r="C32" s="16">
        <f>SUM(C30:C31)</f>
        <v/>
      </c>
      <c r="D32" s="16">
        <f>SUM(D30:D31)</f>
        <v/>
      </c>
      <c r="E32" s="16">
        <f>SUM(E30:E31)</f>
        <v/>
      </c>
      <c r="F32" s="16">
        <f>SUM(F30:F31)</f>
        <v/>
      </c>
      <c r="G32" s="16">
        <f>SUM(G30:G31)</f>
        <v/>
      </c>
      <c r="H32" s="16">
        <f>SUM(H30:H31)</f>
        <v/>
      </c>
      <c r="I32" s="16">
        <f>SUM(I30:I31)</f>
        <v/>
      </c>
    </row>
    <row r="33">
      <c r="B33" s="9" t="inlineStr">
        <is>
          <t>TOTAL LIABILITIES</t>
        </is>
      </c>
      <c r="C33" s="21">
        <f>C27 + C32</f>
        <v/>
      </c>
      <c r="D33" s="21">
        <f>D27 + D32</f>
        <v/>
      </c>
      <c r="E33" s="21">
        <f>E27 + E32</f>
        <v/>
      </c>
      <c r="F33" s="21">
        <f>F27 + F32</f>
        <v/>
      </c>
      <c r="G33" s="21">
        <f>G27 + G32</f>
        <v/>
      </c>
      <c r="H33" s="21">
        <f>H27 + H32</f>
        <v/>
      </c>
      <c r="I33" s="21">
        <f>I27 + I32</f>
        <v/>
      </c>
    </row>
    <row r="34"/>
    <row r="35">
      <c r="B35" s="3" t="inlineStr">
        <is>
          <t>V. SHAREHOLDERS' EQUITY</t>
        </is>
      </c>
    </row>
    <row r="36">
      <c r="B36" s="7" t="inlineStr">
        <is>
          <t xml:space="preserve">  Share Capital &amp; Reserves</t>
        </is>
      </c>
      <c r="C36" s="8" t="n">
        <v>2261</v>
      </c>
      <c r="D36" s="8" t="n">
        <v>2261</v>
      </c>
      <c r="E36" s="8" t="n">
        <v>2261</v>
      </c>
      <c r="F36" s="8" t="n">
        <v>2261</v>
      </c>
      <c r="G36" s="8" t="n">
        <v>2261</v>
      </c>
      <c r="H36" s="8" t="n">
        <v>2261</v>
      </c>
      <c r="I36" s="8" t="n">
        <v>2261</v>
      </c>
    </row>
    <row r="37">
      <c r="B37" s="7" t="inlineStr">
        <is>
          <t xml:space="preserve">  Retained Earnings &amp; Cumulative Reserves</t>
        </is>
      </c>
      <c r="C37" s="8">
        <f>C21 - C33 - C36</f>
        <v/>
      </c>
      <c r="D37" s="8">
        <f>D21 - D33 - D36</f>
        <v/>
      </c>
      <c r="E37" s="8">
        <f>E21 - E33 - E36</f>
        <v/>
      </c>
      <c r="F37" s="8">
        <f>F21 - F33 - F36</f>
        <v/>
      </c>
      <c r="G37" s="8">
        <f>G21 - G33 - G36</f>
        <v/>
      </c>
      <c r="H37" s="8">
        <f>H21 - H33 - H36</f>
        <v/>
      </c>
      <c r="I37" s="8">
        <f>I21 - I33 - I36</f>
        <v/>
      </c>
    </row>
    <row r="38">
      <c r="B38" s="15" t="inlineStr">
        <is>
          <t>TOTAL SHAREHOLDERS' EQUITY</t>
        </is>
      </c>
      <c r="C38" s="16">
        <f>SUM(C36:C37)</f>
        <v/>
      </c>
      <c r="D38" s="16">
        <f>SUM(D36:D37)</f>
        <v/>
      </c>
      <c r="E38" s="16">
        <f>SUM(E36:E37)</f>
        <v/>
      </c>
      <c r="F38" s="16">
        <f>SUM(F36:F37)</f>
        <v/>
      </c>
      <c r="G38" s="16">
        <f>SUM(G36:G37)</f>
        <v/>
      </c>
      <c r="H38" s="16">
        <f>SUM(H36:H37)</f>
        <v/>
      </c>
      <c r="I38" s="16">
        <f>SUM(I36:I37)</f>
        <v/>
      </c>
    </row>
    <row r="39">
      <c r="B39" s="19" t="inlineStr">
        <is>
          <t>TOTAL LIABILITIES &amp; EQUITY</t>
        </is>
      </c>
      <c r="C39" s="20">
        <f>C33 + C38</f>
        <v/>
      </c>
      <c r="D39" s="20">
        <f>D33 + D38</f>
        <v/>
      </c>
      <c r="E39" s="20">
        <f>E33 + E38</f>
        <v/>
      </c>
      <c r="F39" s="20">
        <f>F33 + F38</f>
        <v/>
      </c>
      <c r="G39" s="20">
        <f>G33 + G38</f>
        <v/>
      </c>
      <c r="H39" s="20">
        <f>H33 + H38</f>
        <v/>
      </c>
      <c r="I39" s="20">
        <f>I33 + I38</f>
        <v/>
      </c>
    </row>
    <row r="40"/>
    <row r="41">
      <c r="B41" s="5" t="inlineStr">
        <is>
          <t>BALANCE SHEET INTEGRITY CHECK (ASSETS - LIAB - EQUITY)</t>
        </is>
      </c>
      <c r="C41" s="27">
        <f>C21 - C39</f>
        <v/>
      </c>
      <c r="D41" s="27">
        <f>D21 - D39</f>
        <v/>
      </c>
      <c r="E41" s="27">
        <f>E21 - E39</f>
        <v/>
      </c>
      <c r="F41" s="27">
        <f>F21 - F39</f>
        <v/>
      </c>
      <c r="G41" s="27">
        <f>G21 - G39</f>
        <v/>
      </c>
      <c r="H41" s="27">
        <f>H21 - H39</f>
        <v/>
      </c>
      <c r="I41" s="27">
        <f>I21 - I39</f>
        <v/>
      </c>
    </row>
  </sheetData>
  <mergeCells count="1">
    <mergeCell ref="B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OCP Group — Consolidated Cash Flow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CASH FLOW FROM OPERATING ACTIVITIES (CFO)</t>
        </is>
      </c>
    </row>
    <row r="7">
      <c r="B7" s="7" t="inlineStr">
        <is>
          <t xml:space="preserve">  Net Income (Profit After Tax)</t>
        </is>
      </c>
      <c r="C7" s="8">
        <f>'Income Statement (P&amp;L)'!C31</f>
        <v/>
      </c>
      <c r="D7" s="8">
        <f>'Income Statement (P&amp;L)'!D31</f>
        <v/>
      </c>
      <c r="E7" s="8">
        <f>'Income Statement (P&amp;L)'!E31</f>
        <v/>
      </c>
      <c r="F7" s="8">
        <f>'Income Statement (P&amp;L)'!F31</f>
        <v/>
      </c>
      <c r="G7" s="8">
        <f>'Income Statement (P&amp;L)'!G31</f>
        <v/>
      </c>
      <c r="H7" s="8">
        <f>'Income Statement (P&amp;L)'!H31</f>
        <v/>
      </c>
      <c r="I7" s="8">
        <f>'Income Statement (P&amp;L)'!I31</f>
        <v/>
      </c>
    </row>
    <row r="8">
      <c r="B8" s="7" t="inlineStr">
        <is>
          <t xml:space="preserve">  Add: Depreciation &amp; Amortization (D&amp;A)</t>
        </is>
      </c>
      <c r="C8" s="8">
        <f>'Income Statement (P&amp;L)'!C24</f>
        <v/>
      </c>
      <c r="D8" s="8">
        <f>'Income Statement (P&amp;L)'!D24</f>
        <v/>
      </c>
      <c r="E8" s="8">
        <f>'Income Statement (P&amp;L)'!E24</f>
        <v/>
      </c>
      <c r="F8" s="8">
        <f>'Income Statement (P&amp;L)'!F24</f>
        <v/>
      </c>
      <c r="G8" s="8">
        <f>'Income Statement (P&amp;L)'!G24</f>
        <v/>
      </c>
      <c r="H8" s="8">
        <f>'Income Statement (P&amp;L)'!H24</f>
        <v/>
      </c>
      <c r="I8" s="8">
        <f>'Income Statement (P&amp;L)'!I24</f>
        <v/>
      </c>
    </row>
    <row r="9">
      <c r="B9" s="7" t="inlineStr">
        <is>
          <t xml:space="preserve">  (Increase) / Decrease in Accounts Receivable</t>
        </is>
      </c>
      <c r="C9" s="8" t="n">
        <v>-15</v>
      </c>
      <c r="D9" s="8">
        <f>'Balance Sheet'!C8 - 'Balance Sheet'!D8</f>
        <v/>
      </c>
      <c r="E9" s="8">
        <f>'Balance Sheet'!D8 - 'Balance Sheet'!E8</f>
        <v/>
      </c>
      <c r="F9" s="8">
        <f>'Balance Sheet'!E8 - 'Balance Sheet'!F8</f>
        <v/>
      </c>
      <c r="G9" s="8">
        <f>'Balance Sheet'!F8 - 'Balance Sheet'!G8</f>
        <v/>
      </c>
      <c r="H9" s="8">
        <f>'Balance Sheet'!G8 - 'Balance Sheet'!H8</f>
        <v/>
      </c>
      <c r="I9" s="8">
        <f>'Balance Sheet'!H8 - 'Balance Sheet'!I8</f>
        <v/>
      </c>
    </row>
    <row r="10">
      <c r="B10" s="7" t="inlineStr">
        <is>
          <t xml:space="preserve">  (Increase) / Decrease in Inventories</t>
        </is>
      </c>
      <c r="C10" s="8" t="n">
        <v>-10</v>
      </c>
      <c r="D10" s="8">
        <f>'Balance Sheet'!C9 - 'Balance Sheet'!D9</f>
        <v/>
      </c>
      <c r="E10" s="8">
        <f>'Balance Sheet'!D9 - 'Balance Sheet'!E9</f>
        <v/>
      </c>
      <c r="F10" s="8">
        <f>'Balance Sheet'!E9 - 'Balance Sheet'!F9</f>
        <v/>
      </c>
      <c r="G10" s="8">
        <f>'Balance Sheet'!F9 - 'Balance Sheet'!G9</f>
        <v/>
      </c>
      <c r="H10" s="8">
        <f>'Balance Sheet'!G9 - 'Balance Sheet'!H9</f>
        <v/>
      </c>
      <c r="I10" s="8">
        <f>'Balance Sheet'!H9 - 'Balance Sheet'!I9</f>
        <v/>
      </c>
    </row>
    <row r="11">
      <c r="B11" s="7" t="inlineStr">
        <is>
          <t xml:space="preserve">  Increase / (Decrease) in Accounts Payable</t>
        </is>
      </c>
      <c r="C11" s="8" t="n">
        <v>12</v>
      </c>
      <c r="D11" s="8">
        <f>'Balance Sheet'!D24 - 'Balance Sheet'!C24</f>
        <v/>
      </c>
      <c r="E11" s="8">
        <f>'Balance Sheet'!E24 - 'Balance Sheet'!D24</f>
        <v/>
      </c>
      <c r="F11" s="8">
        <f>'Balance Sheet'!F24 - 'Balance Sheet'!E24</f>
        <v/>
      </c>
      <c r="G11" s="8">
        <f>'Balance Sheet'!G24 - 'Balance Sheet'!F24</f>
        <v/>
      </c>
      <c r="H11" s="8">
        <f>'Balance Sheet'!H24 - 'Balance Sheet'!G24</f>
        <v/>
      </c>
      <c r="I11" s="8">
        <f>'Balance Sheet'!I24 - 'Balance Sheet'!H24</f>
        <v/>
      </c>
    </row>
    <row r="12">
      <c r="B12" s="7" t="inlineStr">
        <is>
          <t xml:space="preserve">  Other Non-Cash &amp; Working Capital Changes</t>
        </is>
      </c>
      <c r="C12" s="8" t="n">
        <v>5</v>
      </c>
      <c r="D12" s="8" t="n">
        <v>5</v>
      </c>
      <c r="E12" s="8" t="n">
        <v>5</v>
      </c>
      <c r="F12" s="8" t="n">
        <v>5</v>
      </c>
      <c r="G12" s="8" t="n">
        <v>5</v>
      </c>
      <c r="H12" s="8" t="n">
        <v>5</v>
      </c>
      <c r="I12" s="8" t="n">
        <v>5</v>
      </c>
    </row>
    <row r="13"/>
    <row r="14">
      <c r="B14" s="19" t="inlineStr">
        <is>
          <t>Cash Flow from Operations (CFO)</t>
        </is>
      </c>
      <c r="C14" s="20">
        <f>SUM(C7:C12)</f>
        <v/>
      </c>
      <c r="D14" s="20">
        <f>SUM(D7:D12)</f>
        <v/>
      </c>
      <c r="E14" s="20">
        <f>SUM(E7:E12)</f>
        <v/>
      </c>
      <c r="F14" s="20">
        <f>SUM(F7:F12)</f>
        <v/>
      </c>
      <c r="G14" s="20">
        <f>SUM(G7:G12)</f>
        <v/>
      </c>
      <c r="H14" s="20">
        <f>SUM(H7:H12)</f>
        <v/>
      </c>
      <c r="I14" s="20">
        <f>SUM(I7:I12)</f>
        <v/>
      </c>
    </row>
    <row r="15">
      <c r="B15" s="3" t="inlineStr">
        <is>
          <t>II. CASH FLOW FROM INVESTING ACTIVITIES (CFI)</t>
        </is>
      </c>
    </row>
    <row r="16">
      <c r="B16" s="7" t="inlineStr">
        <is>
          <t xml:space="preserve">  Capital Expenditures (Capex - Maintenance &amp; Expansion)</t>
        </is>
      </c>
      <c r="C16" s="8" t="n">
        <v>-988</v>
      </c>
      <c r="D16" s="8" t="n">
        <v>-1728</v>
      </c>
      <c r="E16" s="8" t="n">
        <v>-1944</v>
      </c>
      <c r="F16" s="8" t="n">
        <v>-1840</v>
      </c>
      <c r="G16" s="8" t="n">
        <v>-1672</v>
      </c>
      <c r="H16" s="8" t="n">
        <v>-1793.6</v>
      </c>
      <c r="I16" s="8" t="n">
        <v>-1884.8</v>
      </c>
    </row>
    <row r="17">
      <c r="B17" s="7" t="inlineStr">
        <is>
          <t xml:space="preserve">  Proceeds from Asset Disposals &amp; Strategic Divestments</t>
        </is>
      </c>
      <c r="C17" s="8" t="n">
        <v>0</v>
      </c>
      <c r="D17" s="8" t="n">
        <v>10</v>
      </c>
      <c r="E17" s="8" t="n">
        <v>0</v>
      </c>
      <c r="F17" s="8" t="n">
        <v>10</v>
      </c>
      <c r="G17" s="8" t="n">
        <v>0</v>
      </c>
      <c r="H17" s="8" t="n">
        <v>10</v>
      </c>
      <c r="I17" s="8" t="n">
        <v>0</v>
      </c>
    </row>
    <row r="18">
      <c r="B18" s="15" t="inlineStr">
        <is>
          <t>Cash Flow from Investing Activities (CFI)</t>
        </is>
      </c>
      <c r="C18" s="16">
        <f>SUM(C16:C17)</f>
        <v/>
      </c>
      <c r="D18" s="16">
        <f>SUM(D16:D17)</f>
        <v/>
      </c>
      <c r="E18" s="16">
        <f>SUM(E16:E17)</f>
        <v/>
      </c>
      <c r="F18" s="16">
        <f>SUM(F16:F17)</f>
        <v/>
      </c>
      <c r="G18" s="16">
        <f>SUM(G16:G17)</f>
        <v/>
      </c>
      <c r="H18" s="16">
        <f>SUM(H16:H17)</f>
        <v/>
      </c>
      <c r="I18" s="16">
        <f>SUM(I16:I17)</f>
        <v/>
      </c>
    </row>
    <row r="19">
      <c r="B19" s="3" t="inlineStr">
        <is>
          <t>III. CASH FLOW FROM FINANCING ACTIVITIES (CFF)</t>
        </is>
      </c>
    </row>
    <row r="20">
      <c r="B20" s="7" t="inlineStr">
        <is>
          <t xml:space="preserve">  Proceeds from New Long-Term Debt Issuances</t>
        </is>
      </c>
      <c r="C20" s="8">
        <f>'Debt Schedule &amp; Tranches'!C19</f>
        <v/>
      </c>
      <c r="D20" s="8">
        <f>'Debt Schedule &amp; Tranches'!D19</f>
        <v/>
      </c>
      <c r="E20" s="8">
        <f>'Debt Schedule &amp; Tranches'!E19</f>
        <v/>
      </c>
      <c r="F20" s="8">
        <f>'Debt Schedule &amp; Tranches'!F19</f>
        <v/>
      </c>
      <c r="G20" s="8">
        <f>'Debt Schedule &amp; Tranches'!G19</f>
        <v/>
      </c>
      <c r="H20" s="8">
        <f>'Debt Schedule &amp; Tranches'!H19</f>
        <v/>
      </c>
      <c r="I20" s="8">
        <f>'Debt Schedule &amp; Tranches'!I19</f>
        <v/>
      </c>
    </row>
    <row r="21">
      <c r="B21" s="7" t="inlineStr">
        <is>
          <t xml:space="preserve">  Repayments of Maturing Debt &amp; Bank Loans</t>
        </is>
      </c>
      <c r="C21" s="8">
        <f>-'Debt Schedule &amp; Tranches'!C20</f>
        <v/>
      </c>
      <c r="D21" s="8">
        <f>-'Debt Schedule &amp; Tranches'!D20</f>
        <v/>
      </c>
      <c r="E21" s="8">
        <f>-'Debt Schedule &amp; Tranches'!E20</f>
        <v/>
      </c>
      <c r="F21" s="8">
        <f>-'Debt Schedule &amp; Tranches'!F20</f>
        <v/>
      </c>
      <c r="G21" s="8">
        <f>-'Debt Schedule &amp; Tranches'!G20</f>
        <v/>
      </c>
      <c r="H21" s="8">
        <f>-'Debt Schedule &amp; Tranches'!H20</f>
        <v/>
      </c>
      <c r="I21" s="8">
        <f>-'Debt Schedule &amp; Tranches'!I20</f>
        <v/>
      </c>
    </row>
    <row r="22">
      <c r="B22" s="7" t="inlineStr">
        <is>
          <t xml:space="preserve">  Principal Elements of Lease Payments</t>
        </is>
      </c>
      <c r="C22" s="8" t="n">
        <v>-15</v>
      </c>
      <c r="D22" s="8" t="n">
        <v>-15</v>
      </c>
      <c r="E22" s="8" t="n">
        <v>-15</v>
      </c>
      <c r="F22" s="8" t="n">
        <v>-15</v>
      </c>
      <c r="G22" s="8" t="n">
        <v>-15</v>
      </c>
      <c r="H22" s="8" t="n">
        <v>-15</v>
      </c>
      <c r="I22" s="8" t="n">
        <v>-15</v>
      </c>
    </row>
    <row r="23">
      <c r="B23" s="7" t="inlineStr">
        <is>
          <t xml:space="preserve">  Dividends Paid to Equity Shareholders</t>
        </is>
      </c>
      <c r="C23" s="8">
        <f>IF('Income Statement (P&amp;L)'!C31 &gt; 0, -'Income Statement (P&amp;L)'!C31 * 0.30, 0)</f>
        <v/>
      </c>
      <c r="D23" s="8">
        <f>IF('Income Statement (P&amp;L)'!D31 &gt; 0, -'Income Statement (P&amp;L)'!D31 * 0.30, 0)</f>
        <v/>
      </c>
      <c r="E23" s="8">
        <f>IF('Income Statement (P&amp;L)'!E31 &gt; 0, -'Income Statement (P&amp;L)'!E31 * 0.30, 0)</f>
        <v/>
      </c>
      <c r="F23" s="8">
        <f>IF('Income Statement (P&amp;L)'!F31 &gt; 0, -'Income Statement (P&amp;L)'!F31 * 0.30, 0)</f>
        <v/>
      </c>
      <c r="G23" s="8">
        <f>IF('Income Statement (P&amp;L)'!G31 &gt; 0, -'Income Statement (P&amp;L)'!G31 * 0.30, 0)</f>
        <v/>
      </c>
      <c r="H23" s="8">
        <f>IF('Income Statement (P&amp;L)'!H31 &gt; 0, -'Income Statement (P&amp;L)'!H31 * 0.30, 0)</f>
        <v/>
      </c>
      <c r="I23" s="8">
        <f>IF('Income Statement (P&amp;L)'!I31 &gt; 0, -'Income Statement (P&amp;L)'!I31 * 0.30, 0)</f>
        <v/>
      </c>
    </row>
    <row r="24">
      <c r="B24" s="15" t="inlineStr">
        <is>
          <t>Cash Flow from Financing Activities (CFF)</t>
        </is>
      </c>
      <c r="C24" s="16">
        <f>SUM(C20:C23)</f>
        <v/>
      </c>
      <c r="D24" s="16">
        <f>SUM(D20:D23)</f>
        <v/>
      </c>
      <c r="E24" s="16">
        <f>SUM(E20:E23)</f>
        <v/>
      </c>
      <c r="F24" s="16">
        <f>SUM(F20:F23)</f>
        <v/>
      </c>
      <c r="G24" s="16">
        <f>SUM(G20:G23)</f>
        <v/>
      </c>
      <c r="H24" s="16">
        <f>SUM(H20:H23)</f>
        <v/>
      </c>
      <c r="I24" s="16">
        <f>SUM(I20:I23)</f>
        <v/>
      </c>
    </row>
    <row r="25">
      <c r="B25" s="9" t="inlineStr">
        <is>
          <t>Net Change in Cash &amp; Cash Equivalents</t>
        </is>
      </c>
      <c r="C25" s="21">
        <f>C14 + C18 + C24</f>
        <v/>
      </c>
      <c r="D25" s="21">
        <f>D14 + D18 + D24</f>
        <v/>
      </c>
      <c r="E25" s="21">
        <f>E14 + E18 + E24</f>
        <v/>
      </c>
      <c r="F25" s="21">
        <f>F14 + F18 + F24</f>
        <v/>
      </c>
      <c r="G25" s="21">
        <f>G14 + G18 + G24</f>
        <v/>
      </c>
      <c r="H25" s="21">
        <f>H14 + H18 + H24</f>
        <v/>
      </c>
      <c r="I25" s="21">
        <f>I14 + I18 + I24</f>
        <v/>
      </c>
    </row>
    <row r="26">
      <c r="B26" s="19" t="inlineStr">
        <is>
          <t>Ending Cash &amp; Liquid Reserves (Feeds Balance Sheet)</t>
        </is>
      </c>
      <c r="C26" s="20" t="n">
        <v>1320</v>
      </c>
      <c r="D26" s="20">
        <f>C26 + D25</f>
        <v/>
      </c>
      <c r="E26" s="20">
        <f>D26 + E25</f>
        <v/>
      </c>
      <c r="F26" s="20">
        <f>E26 + F25</f>
        <v/>
      </c>
      <c r="G26" s="20">
        <f>F26 + G25</f>
        <v/>
      </c>
      <c r="H26" s="20">
        <f>G26 + H25</f>
        <v/>
      </c>
      <c r="I26" s="20">
        <f>H26 + I25</f>
        <v/>
      </c>
    </row>
    <row r="27"/>
    <row r="28">
      <c r="B28" s="3" t="inlineStr">
        <is>
          <t>IV. FREE CASH FLOW (FCF) WATERFALL BRIDGE</t>
        </is>
      </c>
    </row>
    <row r="29">
      <c r="B29" s="19" t="inlineStr">
        <is>
          <t>Calculated Cash EBITDA (Operating Cash Profit)</t>
        </is>
      </c>
      <c r="C29" s="20">
        <f>'Income Statement (P&amp;L)'!C22</f>
        <v/>
      </c>
      <c r="D29" s="20">
        <f>'Income Statement (P&amp;L)'!D22</f>
        <v/>
      </c>
      <c r="E29" s="20">
        <f>'Income Statement (P&amp;L)'!E22</f>
        <v/>
      </c>
      <c r="F29" s="20">
        <f>'Income Statement (P&amp;L)'!F22</f>
        <v/>
      </c>
      <c r="G29" s="20">
        <f>'Income Statement (P&amp;L)'!G22</f>
        <v/>
      </c>
      <c r="H29" s="20">
        <f>'Income Statement (P&amp;L)'!H22</f>
        <v/>
      </c>
      <c r="I29" s="20">
        <f>'Income Statement (P&amp;L)'!I22</f>
        <v/>
      </c>
    </row>
    <row r="30">
      <c r="B30" s="7" t="inlineStr">
        <is>
          <t>Less: Capital Expenditures (Capex)</t>
        </is>
      </c>
      <c r="C30" s="8">
        <f>ABS(C16)</f>
        <v/>
      </c>
      <c r="D30" s="8">
        <f>ABS(D16)</f>
        <v/>
      </c>
      <c r="E30" s="8">
        <f>ABS(E16)</f>
        <v/>
      </c>
      <c r="F30" s="8">
        <f>ABS(F16)</f>
        <v/>
      </c>
      <c r="G30" s="8">
        <f>ABS(G16)</f>
        <v/>
      </c>
      <c r="H30" s="8">
        <f>ABS(H16)</f>
        <v/>
      </c>
      <c r="I30" s="8">
        <f>ABS(I16)</f>
        <v/>
      </c>
    </row>
    <row r="31">
      <c r="B31" s="7" t="inlineStr">
        <is>
          <t>Less: Net Cash Interest Paid</t>
        </is>
      </c>
      <c r="C31" s="8">
        <f>'Debt Schedule &amp; Tranches'!C28</f>
        <v/>
      </c>
      <c r="D31" s="8">
        <f>'Debt Schedule &amp; Tranches'!D28</f>
        <v/>
      </c>
      <c r="E31" s="8">
        <f>'Debt Schedule &amp; Tranches'!E28</f>
        <v/>
      </c>
      <c r="F31" s="8">
        <f>'Debt Schedule &amp; Tranches'!F28</f>
        <v/>
      </c>
      <c r="G31" s="8">
        <f>'Debt Schedule &amp; Tranches'!G28</f>
        <v/>
      </c>
      <c r="H31" s="8">
        <f>'Debt Schedule &amp; Tranches'!H28</f>
        <v/>
      </c>
      <c r="I31" s="8">
        <f>'Debt Schedule &amp; Tranches'!I28</f>
        <v/>
      </c>
    </row>
    <row r="32">
      <c r="B32" s="7" t="inlineStr">
        <is>
          <t>Less: Net Working Capital Investment (ΔNWC)</t>
        </is>
      </c>
      <c r="C32" s="8" t="n">
        <v>288.5</v>
      </c>
      <c r="D32" s="8" t="n">
        <v>622.1</v>
      </c>
      <c r="E32" s="8" t="n">
        <v>701.9</v>
      </c>
      <c r="F32" s="8" t="n">
        <v>431.5</v>
      </c>
      <c r="G32" s="8" t="n">
        <v>457.6</v>
      </c>
      <c r="H32" s="8" t="n">
        <v>480.2</v>
      </c>
      <c r="I32" s="8" t="n">
        <v>495.6</v>
      </c>
    </row>
    <row r="33">
      <c r="B33" s="7" t="inlineStr">
        <is>
          <t>Less: Cash Income Taxes Paid</t>
        </is>
      </c>
      <c r="C33" s="8">
        <f>'Income Statement (P&amp;L)'!C30</f>
        <v/>
      </c>
      <c r="D33" s="8">
        <f>'Income Statement (P&amp;L)'!D30</f>
        <v/>
      </c>
      <c r="E33" s="8">
        <f>'Income Statement (P&amp;L)'!E30</f>
        <v/>
      </c>
      <c r="F33" s="8">
        <f>'Income Statement (P&amp;L)'!F30</f>
        <v/>
      </c>
      <c r="G33" s="8">
        <f>'Income Statement (P&amp;L)'!G30</f>
        <v/>
      </c>
      <c r="H33" s="8">
        <f>'Income Statement (P&amp;L)'!H30</f>
        <v/>
      </c>
      <c r="I33" s="8">
        <f>'Income Statement (P&amp;L)'!I30</f>
        <v/>
      </c>
    </row>
    <row r="34">
      <c r="B34" s="19" t="inlineStr">
        <is>
          <t>FREE CASH FLOW (FCF = EBITDA - Capex - Interest - ΔNWC - Tax)</t>
        </is>
      </c>
      <c r="C34" s="20">
        <f>C29 - C30 - C31 - C32 - C33</f>
        <v/>
      </c>
      <c r="D34" s="20">
        <f>D29 - D30 - D31 - D32 - D33</f>
        <v/>
      </c>
      <c r="E34" s="20">
        <f>E29 - E30 - E31 - E32 - E33</f>
        <v/>
      </c>
      <c r="F34" s="20">
        <f>F29 - F30 - F31 - F32 - F33</f>
        <v/>
      </c>
      <c r="G34" s="20">
        <f>G29 - G30 - G31 - G32 - G33</f>
        <v/>
      </c>
      <c r="H34" s="20">
        <f>H29 - H30 - H31 - H32 - H33</f>
        <v/>
      </c>
      <c r="I34" s="20">
        <f>I29 - I30 - I31 - I32 - I33</f>
        <v/>
      </c>
    </row>
    <row r="35">
      <c r="B35" s="9" t="inlineStr">
        <is>
          <t>FCF Conversion Ratio (% of EBITDA)</t>
        </is>
      </c>
      <c r="C35" s="22">
        <f>C34 / C29</f>
        <v/>
      </c>
      <c r="D35" s="22">
        <f>D34 / D29</f>
        <v/>
      </c>
      <c r="E35" s="22">
        <f>E34 / E29</f>
        <v/>
      </c>
      <c r="F35" s="22">
        <f>F34 / F29</f>
        <v/>
      </c>
      <c r="G35" s="22">
        <f>G34 / G29</f>
        <v/>
      </c>
      <c r="H35" s="22">
        <f>H34 / H29</f>
        <v/>
      </c>
      <c r="I35" s="22">
        <f>I34 / I29</f>
        <v/>
      </c>
    </row>
    <row r="36"/>
    <row r="37">
      <c r="B37" s="3" t="inlineStr">
        <is>
          <t>V. FREE CASH FLOW COMMENTARY &amp; CAPITAL ALLOCATION</t>
        </is>
      </c>
    </row>
    <row r="38">
      <c r="B38" s="26" t="inlineStr">
        <is>
          <t>[2021A] Operating cash flow comfortably covers operational working capital needs and debt service.</t>
        </is>
      </c>
    </row>
    <row r="39">
      <c r="B39" s="26" t="inlineStr">
        <is>
          <t>[2022A] Working capital absorption due to higher inventory values temporarily dampens FCF.</t>
        </is>
      </c>
    </row>
    <row r="40">
      <c r="B40" s="26" t="inlineStr">
        <is>
          <t>[2023A] Positive FCF generation resumes as working capital investments reverse into cash.</t>
        </is>
      </c>
    </row>
    <row r="41">
      <c r="B41" s="26" t="inlineStr">
        <is>
          <t>[2024A] Robust operating cash flow supports debt amortization and unencumbered cash build.</t>
        </is>
      </c>
    </row>
    <row r="42">
      <c r="B42" s="26" t="inlineStr">
        <is>
          <t>[2025E] Solid free cash flow generation enables continued deleveraging and dividend flexibility.</t>
        </is>
      </c>
    </row>
    <row r="43">
      <c r="B43" s="26" t="inlineStr">
        <is>
          <t>[2026E] Expanding FCF conversion provides flexible options for bond refinancing or early tender.</t>
        </is>
      </c>
    </row>
    <row r="44">
      <c r="B44" s="26" t="inlineStr">
        <is>
          <t>[2027E] Excess organic cash flow allows substantial reduction in gross borrowing requirements.</t>
        </is>
      </c>
    </row>
  </sheetData>
  <mergeCells count="8">
    <mergeCell ref="B44:I44"/>
    <mergeCell ref="B39:I39"/>
    <mergeCell ref="B38:I38"/>
    <mergeCell ref="B2:I2"/>
    <mergeCell ref="B42:I42"/>
    <mergeCell ref="B43:I43"/>
    <mergeCell ref="B41:I41"/>
    <mergeCell ref="B40:I40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97" customWidth="1" min="3" max="3"/>
    <col width="36" customWidth="1" min="4" max="4"/>
    <col width="52" customWidth="1" min="5" max="5"/>
    <col width="169" customWidth="1" min="6" max="6"/>
    <col width="15" customWidth="1" min="7" max="7"/>
    <col width="14" customWidth="1" min="8" max="8"/>
    <col width="44" customWidth="1" min="9" max="9"/>
    <col width="17" customWidth="1" min="10" max="10"/>
    <col width="14" customWidth="1" min="11" max="11"/>
    <col width="14" customWidth="1" min="12" max="12"/>
  </cols>
  <sheetData>
    <row r="1"/>
    <row r="2">
      <c r="B2" s="1" t="inlineStr">
        <is>
          <t>OCP Group — Comprehensive Debt &amp; Amortization Schedule</t>
        </is>
      </c>
    </row>
    <row r="3"/>
    <row r="4">
      <c r="B4" s="5" t="inlineStr">
        <is>
          <t>Instrument / 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OCP Benchmark Eurobond Notes</t>
        </is>
      </c>
    </row>
    <row r="7">
      <c r="B7" s="7" t="inlineStr">
        <is>
          <t xml:space="preserve">  Beginning Principal Balance</t>
        </is>
      </c>
      <c r="C7" s="8" t="n">
        <v>3782.2</v>
      </c>
      <c r="D7" s="8">
        <f>C10</f>
        <v/>
      </c>
      <c r="E7" s="8">
        <f>D10</f>
        <v/>
      </c>
      <c r="F7" s="8">
        <f>E10</f>
        <v/>
      </c>
      <c r="G7" s="8">
        <f>F10</f>
        <v/>
      </c>
      <c r="H7" s="8">
        <f>G10</f>
        <v/>
      </c>
      <c r="I7" s="8">
        <f>H10</f>
        <v/>
      </c>
    </row>
    <row r="8">
      <c r="B8" s="7" t="inlineStr">
        <is>
          <t xml:space="preserve">  New Notes Issued</t>
        </is>
      </c>
      <c r="C8" s="8" t="n">
        <v>0</v>
      </c>
      <c r="D8" s="8" t="n">
        <v>0</v>
      </c>
      <c r="E8" s="8" t="n">
        <v>1260.7</v>
      </c>
      <c r="F8" s="8" t="n">
        <v>0</v>
      </c>
      <c r="G8" s="8" t="n">
        <v>0</v>
      </c>
      <c r="H8" s="8" t="n">
        <v>0</v>
      </c>
      <c r="I8" s="8" t="n">
        <v>0</v>
      </c>
    </row>
    <row r="9">
      <c r="B9" s="7" t="inlineStr">
        <is>
          <t xml:space="preserve">  Repayments / Redemptions</t>
        </is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840.5</v>
      </c>
      <c r="H9" s="8" t="n">
        <v>0</v>
      </c>
      <c r="I9" s="8" t="n">
        <v>0</v>
      </c>
    </row>
    <row r="10">
      <c r="B10" s="9" t="inlineStr">
        <is>
          <t xml:space="preserve">  Ending Principal Balance</t>
        </is>
      </c>
      <c r="C10" s="21">
        <f>C7 + C8 - C9</f>
        <v/>
      </c>
      <c r="D10" s="21">
        <f>D7 + D8 - D9</f>
        <v/>
      </c>
      <c r="E10" s="21">
        <f>E7 + E8 - E9</f>
        <v/>
      </c>
      <c r="F10" s="21">
        <f>F7 + F8 - F9</f>
        <v/>
      </c>
      <c r="G10" s="21">
        <f>G7 + G8 - G9</f>
        <v/>
      </c>
      <c r="H10" s="21">
        <f>H7 + H8 - H9</f>
        <v/>
      </c>
      <c r="I10" s="21">
        <f>I7 + I8 - I9</f>
        <v/>
      </c>
    </row>
    <row r="11">
      <c r="B11" s="7" t="inlineStr">
        <is>
          <t xml:space="preserve">  Interest Expense (Calculated)</t>
        </is>
      </c>
      <c r="C11" s="8">
        <f>C10 * 0.0645</f>
        <v/>
      </c>
      <c r="D11" s="8">
        <f>D10 * 0.0645</f>
        <v/>
      </c>
      <c r="E11" s="8">
        <f>E10 * 0.0645</f>
        <v/>
      </c>
      <c r="F11" s="8">
        <f>F10 * 0.0645</f>
        <v/>
      </c>
      <c r="G11" s="8">
        <f>G10 * 0.0645</f>
        <v/>
      </c>
      <c r="H11" s="8">
        <f>H10 * 0.0645</f>
        <v/>
      </c>
      <c r="I11" s="8">
        <f>I10 * 0.0645</f>
        <v/>
      </c>
    </row>
    <row r="12"/>
    <row r="13">
      <c r="B13" s="3" t="inlineStr">
        <is>
          <t>II. Syndicated Bank Loans &amp; Credit Lines</t>
        </is>
      </c>
    </row>
    <row r="14">
      <c r="B14" s="7" t="inlineStr">
        <is>
          <t xml:space="preserve">  Beginning Balance</t>
        </is>
      </c>
      <c r="C14" s="8" t="n">
        <v>4622.6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New Drawdowns</t>
        </is>
      </c>
      <c r="C15" s="8" t="n">
        <v>0</v>
      </c>
      <c r="D15" s="8" t="n">
        <v>50</v>
      </c>
      <c r="E15" s="8" t="n">
        <v>0</v>
      </c>
      <c r="F15" s="8" t="n">
        <v>50</v>
      </c>
      <c r="G15" s="8" t="n">
        <v>0</v>
      </c>
      <c r="H15" s="8" t="n">
        <v>50</v>
      </c>
      <c r="I15" s="8" t="n">
        <v>0</v>
      </c>
    </row>
    <row r="16">
      <c r="B16" s="7" t="inlineStr">
        <is>
          <t xml:space="preserve">  Scheduled Amortizations</t>
        </is>
      </c>
      <c r="C16" s="8" t="n">
        <v>20</v>
      </c>
      <c r="D16" s="8" t="n">
        <v>20</v>
      </c>
      <c r="E16" s="8" t="n">
        <v>40</v>
      </c>
      <c r="F16" s="8" t="n">
        <v>40</v>
      </c>
      <c r="G16" s="8" t="n">
        <v>40</v>
      </c>
      <c r="H16" s="8" t="n">
        <v>40</v>
      </c>
      <c r="I16" s="8" t="n">
        <v>40</v>
      </c>
    </row>
    <row r="17">
      <c r="B17" s="9" t="inlineStr">
        <is>
          <t xml:space="preserve">  Ending Balance</t>
        </is>
      </c>
      <c r="C17" s="21">
        <f>C14 + C15 - C16</f>
        <v/>
      </c>
      <c r="D17" s="21">
        <f>D14 + D15 - D16</f>
        <v/>
      </c>
      <c r="E17" s="21">
        <f>E14 + E15 - E16</f>
        <v/>
      </c>
      <c r="F17" s="21">
        <f>F14 + F15 - F16</f>
        <v/>
      </c>
      <c r="G17" s="21">
        <f>G14 + G15 - G16</f>
        <v/>
      </c>
      <c r="H17" s="21">
        <f>H14 + H15 - H16</f>
        <v/>
      </c>
      <c r="I17" s="21">
        <f>I14 + I15 - I16</f>
        <v/>
      </c>
    </row>
    <row r="18">
      <c r="B18" s="7" t="inlineStr">
        <is>
          <t xml:space="preserve">  Interest Expense</t>
        </is>
      </c>
      <c r="C18" s="8">
        <f>C17 * 0.0625</f>
        <v/>
      </c>
      <c r="D18" s="8">
        <f>D17 * 0.0625</f>
        <v/>
      </c>
      <c r="E18" s="8">
        <f>E17 * 0.0625</f>
        <v/>
      </c>
      <c r="F18" s="8">
        <f>F17 * 0.0625</f>
        <v/>
      </c>
      <c r="G18" s="8">
        <f>G17 * 0.0625</f>
        <v/>
      </c>
      <c r="H18" s="8">
        <f>H17 * 0.0625</f>
        <v/>
      </c>
      <c r="I18" s="8">
        <f>I17 * 0.0625</f>
        <v/>
      </c>
    </row>
    <row r="19">
      <c r="B19" s="9" t="inlineStr">
        <is>
          <t>Total New Debt Proceeds (Feeds CFF)</t>
        </is>
      </c>
      <c r="C19" s="21">
        <f>C8 + C15</f>
        <v/>
      </c>
      <c r="D19" s="21">
        <f>D8 + D15</f>
        <v/>
      </c>
      <c r="E19" s="21">
        <f>E8 + E15</f>
        <v/>
      </c>
      <c r="F19" s="21">
        <f>F8 + F15</f>
        <v/>
      </c>
      <c r="G19" s="21">
        <f>G8 + G15</f>
        <v/>
      </c>
      <c r="H19" s="21">
        <f>H8 + H15</f>
        <v/>
      </c>
      <c r="I19" s="21">
        <f>I8 + I15</f>
        <v/>
      </c>
    </row>
    <row r="20">
      <c r="B20" s="9" t="inlineStr">
        <is>
          <t>Total Debt Repayments (Feeds CFF)</t>
        </is>
      </c>
      <c r="C20" s="21">
        <f>C9 + C16</f>
        <v/>
      </c>
      <c r="D20" s="21">
        <f>D9 + D16</f>
        <v/>
      </c>
      <c r="E20" s="21">
        <f>E9 + E16</f>
        <v/>
      </c>
      <c r="F20" s="21">
        <f>F9 + F16</f>
        <v/>
      </c>
      <c r="G20" s="21">
        <f>G9 + G16</f>
        <v/>
      </c>
      <c r="H20" s="21">
        <f>H9 + H16</f>
        <v/>
      </c>
      <c r="I20" s="21">
        <f>I9 + I16</f>
        <v/>
      </c>
    </row>
    <row r="21">
      <c r="B21" s="3" t="inlineStr">
        <is>
          <t>III. CONSOLIDATED DEBT TOTALS</t>
        </is>
      </c>
    </row>
    <row r="22">
      <c r="B22" s="7" t="inlineStr">
        <is>
          <t>Short-Term Debt &amp; Current Portion</t>
        </is>
      </c>
      <c r="C22" s="8">
        <f>C20</f>
        <v/>
      </c>
      <c r="D22" s="8">
        <f>D20</f>
        <v/>
      </c>
      <c r="E22" s="8">
        <f>E20</f>
        <v/>
      </c>
      <c r="F22" s="8">
        <f>F20</f>
        <v/>
      </c>
      <c r="G22" s="8">
        <f>G20</f>
        <v/>
      </c>
      <c r="H22" s="8">
        <f>H20</f>
        <v/>
      </c>
      <c r="I22" s="8">
        <f>I20</f>
        <v/>
      </c>
    </row>
    <row r="23">
      <c r="B23" s="7" t="inlineStr">
        <is>
          <t>Long-Term Senior Debt</t>
        </is>
      </c>
      <c r="C23" s="8">
        <f>(C10 + C17) - C22</f>
        <v/>
      </c>
      <c r="D23" s="8">
        <f>(D10 + D17) - D22</f>
        <v/>
      </c>
      <c r="E23" s="8">
        <f>(E10 + E17) - E22</f>
        <v/>
      </c>
      <c r="F23" s="8">
        <f>(F10 + F17) - F22</f>
        <v/>
      </c>
      <c r="G23" s="8">
        <f>(G10 + G17) - G22</f>
        <v/>
      </c>
      <c r="H23" s="8">
        <f>(H10 + H17) - H22</f>
        <v/>
      </c>
      <c r="I23" s="8">
        <f>(I10 + I17) - I22</f>
        <v/>
      </c>
    </row>
    <row r="24">
      <c r="B24" s="9" t="inlineStr">
        <is>
          <t>Consolidated Gross Debt</t>
        </is>
      </c>
      <c r="C24" s="16">
        <f>C22 + C23</f>
        <v/>
      </c>
      <c r="D24" s="16">
        <f>D22 + D23</f>
        <v/>
      </c>
      <c r="E24" s="16">
        <f>E22 + E23</f>
        <v/>
      </c>
      <c r="F24" s="16">
        <f>F22 + F23</f>
        <v/>
      </c>
      <c r="G24" s="16">
        <f>G22 + G23</f>
        <v/>
      </c>
      <c r="H24" s="16">
        <f>H22 + H23</f>
        <v/>
      </c>
      <c r="I24" s="16">
        <f>I22 + I23</f>
        <v/>
      </c>
    </row>
    <row r="25">
      <c r="B25" s="7" t="inlineStr">
        <is>
          <t>Less: Cash &amp; Liquid Reserves</t>
        </is>
      </c>
      <c r="C25" s="8">
        <f>'Balance Sheet'!C7</f>
        <v/>
      </c>
      <c r="D25" s="8">
        <f>'Balance Sheet'!D7</f>
        <v/>
      </c>
      <c r="E25" s="8">
        <f>'Balance Sheet'!E7</f>
        <v/>
      </c>
      <c r="F25" s="8">
        <f>'Balance Sheet'!F7</f>
        <v/>
      </c>
      <c r="G25" s="8">
        <f>'Balance Sheet'!G7</f>
        <v/>
      </c>
      <c r="H25" s="8">
        <f>'Balance Sheet'!H7</f>
        <v/>
      </c>
      <c r="I25" s="8">
        <f>'Balance Sheet'!I7</f>
        <v/>
      </c>
    </row>
    <row r="26">
      <c r="B26" s="9" t="inlineStr">
        <is>
          <t>CONSOLIDATED NET DEBT</t>
        </is>
      </c>
      <c r="C26" s="20">
        <f>C24 - C25</f>
        <v/>
      </c>
      <c r="D26" s="20">
        <f>D24 - D25</f>
        <v/>
      </c>
      <c r="E26" s="20">
        <f>E24 - E25</f>
        <v/>
      </c>
      <c r="F26" s="20">
        <f>F24 - F25</f>
        <v/>
      </c>
      <c r="G26" s="20">
        <f>G24 - G25</f>
        <v/>
      </c>
      <c r="H26" s="20">
        <f>H24 - H25</f>
        <v/>
      </c>
      <c r="I26" s="20">
        <f>I24 - I25</f>
        <v/>
      </c>
    </row>
    <row r="27">
      <c r="B27" s="7" t="inlineStr">
        <is>
          <t>Gross Finance / Interest Expense</t>
        </is>
      </c>
      <c r="C27" s="8">
        <f>C11 + C18</f>
        <v/>
      </c>
      <c r="D27" s="8">
        <f>D11 + D18</f>
        <v/>
      </c>
      <c r="E27" s="8">
        <f>E11 + E18</f>
        <v/>
      </c>
      <c r="F27" s="8">
        <f>F11 + F18</f>
        <v/>
      </c>
      <c r="G27" s="8">
        <f>G11 + G18</f>
        <v/>
      </c>
      <c r="H27" s="8">
        <f>H11 + H18</f>
        <v/>
      </c>
      <c r="I27" s="8">
        <f>I11 + I18</f>
        <v/>
      </c>
    </row>
    <row r="28">
      <c r="B28" s="19" t="inlineStr">
        <is>
          <t>NET FINANCE COST / INTEREST EXPENSE (Feeds P&amp;L)</t>
        </is>
      </c>
      <c r="C28" s="20">
        <f>C27 - (C25 * 0.025)</f>
        <v/>
      </c>
      <c r="D28" s="20">
        <f>D27 - (D25 * 0.025)</f>
        <v/>
      </c>
      <c r="E28" s="20">
        <f>E27 - (E25 * 0.025)</f>
        <v/>
      </c>
      <c r="F28" s="20">
        <f>F27 - (F25 * 0.025)</f>
        <v/>
      </c>
      <c r="G28" s="20">
        <f>G27 - (G25 * 0.025)</f>
        <v/>
      </c>
      <c r="H28" s="20">
        <f>H27 - (H25 * 0.025)</f>
        <v/>
      </c>
      <c r="I28" s="20">
        <f>I27 - (I25 * 0.025)</f>
        <v/>
      </c>
    </row>
    <row r="29"/>
    <row r="30">
      <c r="B30" s="3" t="inlineStr">
        <is>
          <t>IV. DEBT MATURITY WALL SCHEDULE (USD M)</t>
        </is>
      </c>
    </row>
    <row r="31">
      <c r="B31" s="28" t="inlineStr">
        <is>
          <t>2025</t>
        </is>
      </c>
      <c r="C31" s="28" t="inlineStr">
        <is>
          <t>2026</t>
        </is>
      </c>
      <c r="D31" s="28" t="inlineStr">
        <is>
          <t>2027</t>
        </is>
      </c>
      <c r="E31" s="28" t="inlineStr">
        <is>
          <t>2028</t>
        </is>
      </c>
      <c r="F31" s="28" t="inlineStr">
        <is>
          <t>2029</t>
        </is>
      </c>
      <c r="G31" s="28" t="inlineStr">
        <is>
          <t>2030+</t>
        </is>
      </c>
    </row>
    <row r="32">
      <c r="B32" s="8" t="n">
        <v>1186.6</v>
      </c>
      <c r="C32" s="8" t="n">
        <v>2175.4</v>
      </c>
      <c r="D32" s="8" t="n">
        <v>2768.6</v>
      </c>
      <c r="E32" s="8" t="n">
        <v>1779.8</v>
      </c>
      <c r="F32" s="8" t="n">
        <v>1186.6</v>
      </c>
      <c r="G32" s="8" t="n">
        <v>791</v>
      </c>
    </row>
    <row r="33"/>
    <row r="34"/>
    <row r="35">
      <c r="B35" s="3" t="inlineStr">
        <is>
          <t>V. TRANCHE-BY-TRANCHE CAPITAL STRUCTURE &amp; PRICING DETAIL</t>
        </is>
      </c>
    </row>
    <row r="36">
      <c r="B36" s="5" t="inlineStr">
        <is>
          <t>Tranche / Instrument Name</t>
        </is>
      </c>
      <c r="C36" s="5" t="inlineStr">
        <is>
          <t>Instrument Type</t>
        </is>
      </c>
      <c r="D36" s="5" t="inlineStr">
        <is>
          <t>Ccy</t>
        </is>
      </c>
      <c r="E36" s="6" t="inlineStr">
        <is>
          <t>Amount Outstanding ($M)</t>
        </is>
      </c>
      <c r="F36" s="6" t="inlineStr">
        <is>
          <t>Coupon / Margin</t>
        </is>
      </c>
      <c r="G36" s="6" t="inlineStr">
        <is>
          <t>Clean Price</t>
        </is>
      </c>
      <c r="H36" s="6" t="inlineStr">
        <is>
          <t>YTM (%)</t>
        </is>
      </c>
      <c r="I36" s="5" t="inlineStr">
        <is>
          <t>Seniority / Security</t>
        </is>
      </c>
      <c r="J36" s="5" t="inlineStr">
        <is>
          <t>Governing Law</t>
        </is>
      </c>
    </row>
    <row r="37">
      <c r="B37" s="9" t="inlineStr">
        <is>
          <t>OCP Benchmark Senior Notes</t>
        </is>
      </c>
      <c r="C37" s="7" t="inlineStr">
        <is>
          <t>Senior Unsecured RegS/144A Eurobond</t>
        </is>
      </c>
      <c r="D37" s="29" t="inlineStr">
        <is>
          <t>USD</t>
        </is>
      </c>
      <c r="E37" s="21" t="n">
        <v>4449.6</v>
      </c>
      <c r="F37" s="30" t="inlineStr">
        <is>
          <t>6.450%</t>
        </is>
      </c>
      <c r="G37" s="31" t="n">
        <v>99.5</v>
      </c>
      <c r="H37" s="32" t="n">
        <v>6.45</v>
      </c>
      <c r="I37" s="7" t="inlineStr">
        <is>
          <t>Senior Unsecured (Pari Passu)</t>
        </is>
      </c>
      <c r="J37" s="17" t="inlineStr">
        <is>
          <t>English Law</t>
        </is>
      </c>
    </row>
    <row r="38">
      <c r="B38" s="9" t="inlineStr">
        <is>
          <t>OCP Secondary Eurobond / Sukuk Tranche 2</t>
        </is>
      </c>
      <c r="C38" s="7" t="inlineStr">
        <is>
          <t>Senior Unsecured Notes</t>
        </is>
      </c>
      <c r="D38" s="29" t="inlineStr">
        <is>
          <t>USD</t>
        </is>
      </c>
      <c r="E38" s="21" t="n">
        <v>2966.4</v>
      </c>
      <c r="F38" s="30" t="inlineStr">
        <is>
          <t>5.800%</t>
        </is>
      </c>
      <c r="G38" s="31" t="n">
        <v>101.5</v>
      </c>
      <c r="H38" s="32" t="n">
        <v>5.8</v>
      </c>
      <c r="I38" s="7" t="inlineStr">
        <is>
          <t>Senior Unsecured</t>
        </is>
      </c>
      <c r="J38" s="17" t="inlineStr">
        <is>
          <t>English Law</t>
        </is>
      </c>
    </row>
    <row r="39">
      <c r="B39" s="9" t="inlineStr">
        <is>
          <t>Syndicated Commercial Bank Term Facility</t>
        </is>
      </c>
      <c r="C39" s="7" t="inlineStr">
        <is>
          <t>Senior Secured / Priority Amortizing Loan</t>
        </is>
      </c>
      <c r="D39" s="29" t="inlineStr">
        <is>
          <t>USD / EUR</t>
        </is>
      </c>
      <c r="E39" s="21" t="n">
        <v>1483.2</v>
      </c>
      <c r="F39" s="30" t="inlineStr">
        <is>
          <t>SOFR + 185 bps</t>
        </is>
      </c>
      <c r="G39" s="31" t="n">
        <v>100</v>
      </c>
      <c r="H39" s="32" t="n">
        <v>6.85</v>
      </c>
      <c r="I39" s="7" t="inlineStr">
        <is>
          <t>Senior Secured</t>
        </is>
      </c>
      <c r="J39" s="17" t="inlineStr">
        <is>
          <t>English Law</t>
        </is>
      </c>
    </row>
    <row r="40">
      <c r="B40" s="9" t="inlineStr">
        <is>
          <t>Drawn Revolving Credit Facility (RCF) &amp; Bilateral Lines</t>
        </is>
      </c>
      <c r="C40" s="7" t="inlineStr">
        <is>
          <t>Revolving Working Capital Credit Line</t>
        </is>
      </c>
      <c r="D40" s="29" t="inlineStr">
        <is>
          <t>USD</t>
        </is>
      </c>
      <c r="E40" s="21" t="n">
        <v>988.8</v>
      </c>
      <c r="F40" s="30" t="inlineStr">
        <is>
          <t>SOFR + 150 bps</t>
        </is>
      </c>
      <c r="G40" s="31" t="n">
        <v>100</v>
      </c>
      <c r="H40" s="32" t="n">
        <v>6.5</v>
      </c>
      <c r="I40" s="7" t="inlineStr">
        <is>
          <t>Senior Unsecured (Pari Passu with Bonds)</t>
        </is>
      </c>
      <c r="J40" s="17" t="inlineStr">
        <is>
          <t>English Law</t>
        </is>
      </c>
    </row>
    <row r="41"/>
    <row r="42">
      <c r="B42" s="3" t="inlineStr">
        <is>
          <t>VI. REVOLVING CREDIT FACILITY (RCF) &amp; BANK LIQUIDITY RUNWAY</t>
        </is>
      </c>
    </row>
    <row r="43">
      <c r="B43" s="7" t="inlineStr">
        <is>
          <t>Facility Designation</t>
        </is>
      </c>
      <c r="C43" s="7" t="inlineStr">
        <is>
          <t>OCP Syndicated Multi-Currency Revolving Credit Facility (RCF)</t>
        </is>
      </c>
    </row>
    <row r="44">
      <c r="B44" s="9" t="inlineStr">
        <is>
          <t>Total Committed Capacity ($M)</t>
        </is>
      </c>
      <c r="C44" s="21" t="n">
        <v>2768.6</v>
      </c>
    </row>
    <row r="45">
      <c r="B45" s="7" t="inlineStr">
        <is>
          <t>Drawn Amount ($M)</t>
        </is>
      </c>
      <c r="C45" s="8" t="n">
        <v>988.8</v>
      </c>
    </row>
    <row r="46">
      <c r="B46" s="19" t="inlineStr">
        <is>
          <t>AVAILABLE UNDRAWN HEADROOM ($M)</t>
        </is>
      </c>
      <c r="C46" s="20" t="n">
        <v>1779.8</v>
      </c>
    </row>
    <row r="47">
      <c r="B47" s="7" t="inlineStr">
        <is>
          <t>Drawn Borrowing Margin</t>
        </is>
      </c>
      <c r="C47" s="7" t="inlineStr">
        <is>
          <t>SOFR + 150 bps</t>
        </is>
      </c>
    </row>
    <row r="48">
      <c r="B48" s="7" t="inlineStr">
        <is>
          <t>Undrawn Commitment Fee</t>
        </is>
      </c>
      <c r="C48" s="7" t="inlineStr">
        <is>
          <t>52.5 bps (35% of drawn margin)</t>
        </is>
      </c>
    </row>
    <row r="49">
      <c r="B49" s="7" t="inlineStr">
        <is>
          <t>Maturity Date &amp; Extension Options</t>
        </is>
      </c>
      <c r="C49" s="7" t="inlineStr">
        <is>
          <t>2028-06-30 (with two 1-year extension options)</t>
        </is>
      </c>
    </row>
    <row r="50">
      <c r="B50" s="7" t="inlineStr">
        <is>
          <t>Syndicate Lenders / Arrangers</t>
        </is>
      </c>
      <c r="C50" s="7" t="inlineStr">
        <is>
          <t>12 tier-1 international banks (Citi, HSBC, J.P. Morgan, Standard Chartered, FAB, BNP Paribas)</t>
        </is>
      </c>
    </row>
    <row r="51">
      <c r="B51" s="7" t="inlineStr">
        <is>
          <t>RCF Maintenance Covenants</t>
        </is>
      </c>
      <c r="C51" s="7" t="inlineStr">
        <is>
          <t>Tested semi-annually: Max 3.75x Net Debt / EBITDA, Min 3.0x EBITDA / Net Interest</t>
        </is>
      </c>
    </row>
    <row r="52"/>
    <row r="53">
      <c r="B53" s="3" t="inlineStr">
        <is>
          <t>VII. BOND COVENANT ANALYSIS &amp; HEADROOM SCORECARD</t>
        </is>
      </c>
    </row>
    <row r="54">
      <c r="B54" s="5" t="inlineStr">
        <is>
          <t>Covenant Test / Negative Pledge Dimension</t>
        </is>
      </c>
      <c r="C54" s="5" t="inlineStr">
        <is>
          <t>Governing Threshold / Limit</t>
        </is>
      </c>
      <c r="D54" s="5" t="inlineStr">
        <is>
          <t>Actual Current / Reported Metric</t>
        </is>
      </c>
      <c r="E54" s="5" t="inlineStr">
        <is>
          <t>Headroom / Compliance Status</t>
        </is>
      </c>
      <c r="F54" s="5" t="inlineStr">
        <is>
          <t>Covenant Terms / Description</t>
        </is>
      </c>
    </row>
    <row r="55">
      <c r="B55" s="9" t="inlineStr">
        <is>
          <t>Incurrence: Maximum Consolidated Net Debt / EBITDA</t>
        </is>
      </c>
      <c r="C55" s="29" t="inlineStr">
        <is>
          <t>3.75x</t>
        </is>
      </c>
      <c r="D55" s="25" t="inlineStr">
        <is>
          <t>2.34x</t>
        </is>
      </c>
      <c r="E55" s="33" t="inlineStr">
        <is>
          <t>1.41x leverage buffer ($4512.0M EBITDA headroom)</t>
        </is>
      </c>
      <c r="F55" s="17" t="inlineStr">
        <is>
          <t>Incurrence covenant for additional senior debt issuance</t>
        </is>
      </c>
    </row>
    <row r="56">
      <c r="B56" s="9" t="inlineStr">
        <is>
          <t>Incurrence / Maintenance: Minimum EBITDA / Net Finance Charges</t>
        </is>
      </c>
      <c r="C56" s="29" t="inlineStr">
        <is>
          <t>2.50x</t>
        </is>
      </c>
      <c r="D56" s="25" t="inlineStr">
        <is>
          <t>7.11x</t>
        </is>
      </c>
      <c r="E56" s="33" t="inlineStr">
        <is>
          <t>+4.61x interest coverage cushion</t>
        </is>
      </c>
      <c r="F56" s="17" t="inlineStr">
        <is>
          <t>Maintenance / incurrence gateway test</t>
        </is>
      </c>
    </row>
    <row r="57">
      <c r="B57" s="9" t="inlineStr">
        <is>
          <t>Maximum Permitted Priority / Secured Debt</t>
        </is>
      </c>
      <c r="C57" s="29" t="inlineStr">
        <is>
          <t>15.0% of Consolidated Total Tangible Assets</t>
        </is>
      </c>
      <c r="D57" s="25" t="inlineStr">
        <is>
          <t>8.7% of Assets</t>
        </is>
      </c>
      <c r="E57" s="33" t="inlineStr">
        <is>
          <t>$2090.0M unutilized secured debt capacity</t>
        </is>
      </c>
      <c r="F57" s="17" t="inlineStr">
        <is>
          <t>Permitted collateral carve-out limit</t>
        </is>
      </c>
    </row>
    <row r="58">
      <c r="B58" s="9" t="inlineStr">
        <is>
          <t>Change of Control Put Option</t>
        </is>
      </c>
      <c r="C58" s="29" t="inlineStr">
        <is>
          <t>101.00% Redemption</t>
        </is>
      </c>
      <c r="D58" s="25" t="inlineStr">
        <is>
          <t>N/A (Inactive)</t>
        </is>
      </c>
      <c r="E58" s="33" t="inlineStr">
        <is>
          <t>Compliant</t>
        </is>
      </c>
      <c r="F58" s="17" t="inlineStr">
        <is>
          <t>Investor Put Option at 101.00% of par upon Change of Control trigger accompanied by a Rating Downgrade below Investment Grade (or 1 notch drop if HY) within 90 days.</t>
        </is>
      </c>
    </row>
    <row r="59">
      <c r="B59" s="9" t="inlineStr">
        <is>
          <t>Restricted Payments / Dividend Basket</t>
        </is>
      </c>
      <c r="C59" s="29" t="inlineStr">
        <is>
          <t>Builder Basket</t>
        </is>
      </c>
      <c r="D59" s="25" t="inlineStr">
        <is>
          <t>Within Capacity</t>
        </is>
      </c>
      <c r="E59" s="33" t="inlineStr">
        <is>
          <t>Compliant</t>
        </is>
      </c>
      <c r="F59" s="17" t="inlineStr">
        <is>
          <t>50.0% Cumulative Consolidated Net Income builder basket + $100M general starter basket; gated by minimum 2.50x Fixed Charge Coverage Ratio gateway.</t>
        </is>
      </c>
    </row>
    <row r="60">
      <c r="B60" s="9" t="inlineStr">
        <is>
          <t>Cross-Default &amp; Cross-Acceleration</t>
        </is>
      </c>
      <c r="C60" s="29" t="inlineStr">
        <is>
          <t>$50.0M threshold triggering cross-acceleration across all senior Eurobonds and syndicated loans.</t>
        </is>
      </c>
      <c r="D60" s="25" t="inlineStr">
        <is>
          <t>Zero Defaults</t>
        </is>
      </c>
      <c r="E60" s="33" t="inlineStr">
        <is>
          <t>Compliant</t>
        </is>
      </c>
      <c r="F60" s="17" t="inlineStr">
        <is>
          <t>Cross-acceleration across all indebtedness exceeding threshold</t>
        </is>
      </c>
    </row>
  </sheetData>
  <mergeCells count="16">
    <mergeCell ref="F60:I60"/>
    <mergeCell ref="C45:F45"/>
    <mergeCell ref="C48:F48"/>
    <mergeCell ref="F56:I56"/>
    <mergeCell ref="F57:I57"/>
    <mergeCell ref="C49:F49"/>
    <mergeCell ref="C43:F43"/>
    <mergeCell ref="B2:I2"/>
    <mergeCell ref="F55:I55"/>
    <mergeCell ref="F58:I58"/>
    <mergeCell ref="C46:F46"/>
    <mergeCell ref="F59:I59"/>
    <mergeCell ref="C51:F51"/>
    <mergeCell ref="C47:F47"/>
    <mergeCell ref="C50:F50"/>
    <mergeCell ref="C44:F4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OCP Group — Institutional Credit Metrics &amp; Ratios</t>
        </is>
      </c>
    </row>
    <row r="3"/>
    <row r="4">
      <c r="B4" s="5" t="inlineStr">
        <is>
          <t>Credit Metric / Ratio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LEVERAGE &amp; SOLVENCY RATIOS</t>
        </is>
      </c>
    </row>
    <row r="7">
      <c r="B7" s="7" t="inlineStr">
        <is>
          <t>Gross Leverage (Gross Debt / Calculated EBITDA)</t>
        </is>
      </c>
      <c r="C7" s="12">
        <f>'Debt Schedule &amp; Tranches'!C24 / 'Income Statement (P&amp;L)'!C22</f>
        <v/>
      </c>
      <c r="D7" s="12">
        <f>'Debt Schedule &amp; Tranches'!D24 / 'Income Statement (P&amp;L)'!D22</f>
        <v/>
      </c>
      <c r="E7" s="12">
        <f>'Debt Schedule &amp; Tranches'!E24 / 'Income Statement (P&amp;L)'!E22</f>
        <v/>
      </c>
      <c r="F7" s="12">
        <f>'Debt Schedule &amp; Tranches'!F24 / 'Income Statement (P&amp;L)'!F22</f>
        <v/>
      </c>
      <c r="G7" s="12">
        <f>'Debt Schedule &amp; Tranches'!G24 / 'Income Statement (P&amp;L)'!G22</f>
        <v/>
      </c>
      <c r="H7" s="12">
        <f>'Debt Schedule &amp; Tranches'!H24 / 'Income Statement (P&amp;L)'!H22</f>
        <v/>
      </c>
      <c r="I7" s="12">
        <f>'Debt Schedule &amp; Tranches'!I24 / 'Income Statement (P&amp;L)'!I22</f>
        <v/>
      </c>
    </row>
    <row r="8">
      <c r="B8" s="19" t="inlineStr">
        <is>
          <t>NET LEVERAGE (Net Debt / Calculated Cash EBITDA)</t>
        </is>
      </c>
      <c r="C8" s="34">
        <f>'Debt Schedule &amp; Tranches'!C26 / 'Income Statement (P&amp;L)'!C22</f>
        <v/>
      </c>
      <c r="D8" s="34">
        <f>'Debt Schedule &amp; Tranches'!D26 / 'Income Statement (P&amp;L)'!D22</f>
        <v/>
      </c>
      <c r="E8" s="34">
        <f>'Debt Schedule &amp; Tranches'!E26 / 'Income Statement (P&amp;L)'!E22</f>
        <v/>
      </c>
      <c r="F8" s="34">
        <f>'Debt Schedule &amp; Tranches'!F26 / 'Income Statement (P&amp;L)'!F22</f>
        <v/>
      </c>
      <c r="G8" s="34">
        <f>'Debt Schedule &amp; Tranches'!G26 / 'Income Statement (P&amp;L)'!G22</f>
        <v/>
      </c>
      <c r="H8" s="34">
        <f>'Debt Schedule &amp; Tranches'!H26 / 'Income Statement (P&amp;L)'!H22</f>
        <v/>
      </c>
      <c r="I8" s="34">
        <f>'Debt Schedule &amp; Tranches'!I26 / 'Income Statement (P&amp;L)'!I22</f>
        <v/>
      </c>
    </row>
    <row r="9">
      <c r="B9" s="19" t="inlineStr">
        <is>
          <t>REPORTED NET LEVERAGE (Net Debt / Reported EBITDA)</t>
        </is>
      </c>
      <c r="C9" s="34">
        <f>'Debt Schedule &amp; Tranches'!C26 / 'Income Statement (P&amp;L)'!C36</f>
        <v/>
      </c>
      <c r="D9" s="34">
        <f>'Debt Schedule &amp; Tranches'!D26 / 'Income Statement (P&amp;L)'!D36</f>
        <v/>
      </c>
      <c r="E9" s="34">
        <f>'Debt Schedule &amp; Tranches'!E26 / 'Income Statement (P&amp;L)'!E36</f>
        <v/>
      </c>
      <c r="F9" s="34">
        <f>'Debt Schedule &amp; Tranches'!F26 / 'Income Statement (P&amp;L)'!F36</f>
        <v/>
      </c>
      <c r="G9" s="34">
        <f>'Debt Schedule &amp; Tranches'!G26 / 'Income Statement (P&amp;L)'!G36</f>
        <v/>
      </c>
      <c r="H9" s="34">
        <f>'Debt Schedule &amp; Tranches'!H26 / 'Income Statement (P&amp;L)'!H36</f>
        <v/>
      </c>
      <c r="I9" s="34">
        <f>'Debt Schedule &amp; Tranches'!I26 / 'Income Statement (P&amp;L)'!I36</f>
        <v/>
      </c>
    </row>
    <row r="10">
      <c r="B10" s="7" t="inlineStr">
        <is>
          <t>Net Debt / Total Capitalization (%)</t>
        </is>
      </c>
      <c r="C10" s="10">
        <f>'Debt Schedule &amp; Tranches'!C26 / ('Debt Schedule &amp; Tranches'!C26 + 'Balance Sheet'!C38)</f>
        <v/>
      </c>
      <c r="D10" s="10">
        <f>'Debt Schedule &amp; Tranches'!D26 / ('Debt Schedule &amp; Tranches'!D26 + 'Balance Sheet'!D38)</f>
        <v/>
      </c>
      <c r="E10" s="10">
        <f>'Debt Schedule &amp; Tranches'!E26 / ('Debt Schedule &amp; Tranches'!E26 + 'Balance Sheet'!E38)</f>
        <v/>
      </c>
      <c r="F10" s="10">
        <f>'Debt Schedule &amp; Tranches'!F26 / ('Debt Schedule &amp; Tranches'!F26 + 'Balance Sheet'!F38)</f>
        <v/>
      </c>
      <c r="G10" s="10">
        <f>'Debt Schedule &amp; Tranches'!G26 / ('Debt Schedule &amp; Tranches'!G26 + 'Balance Sheet'!G38)</f>
        <v/>
      </c>
      <c r="H10" s="10">
        <f>'Debt Schedule &amp; Tranches'!H26 / ('Debt Schedule &amp; Tranches'!H26 + 'Balance Sheet'!H38)</f>
        <v/>
      </c>
      <c r="I10" s="10">
        <f>'Debt Schedule &amp; Tranches'!I26 / ('Debt Schedule &amp; Tranches'!I26 + 'Balance Sheet'!I38)</f>
        <v/>
      </c>
    </row>
    <row r="11">
      <c r="B11" s="19" t="inlineStr">
        <is>
          <t>EBITDA INTEREST COVERAGE (Calculated Cash EBITDA)</t>
        </is>
      </c>
      <c r="C11" s="34">
        <f>'Income Statement (P&amp;L)'!C22 / 'Debt Schedule &amp; Tranches'!C28</f>
        <v/>
      </c>
      <c r="D11" s="34">
        <f>'Income Statement (P&amp;L)'!D22 / 'Debt Schedule &amp; Tranches'!D28</f>
        <v/>
      </c>
      <c r="E11" s="34">
        <f>'Income Statement (P&amp;L)'!E22 / 'Debt Schedule &amp; Tranches'!E28</f>
        <v/>
      </c>
      <c r="F11" s="34">
        <f>'Income Statement (P&amp;L)'!F22 / 'Debt Schedule &amp; Tranches'!F28</f>
        <v/>
      </c>
      <c r="G11" s="34">
        <f>'Income Statement (P&amp;L)'!G22 / 'Debt Schedule &amp; Tranches'!G28</f>
        <v/>
      </c>
      <c r="H11" s="34">
        <f>'Income Statement (P&amp;L)'!H22 / 'Debt Schedule &amp; Tranches'!H28</f>
        <v/>
      </c>
      <c r="I11" s="34">
        <f>'Income Statement (P&amp;L)'!I22 / 'Debt Schedule &amp; Tranches'!I28</f>
        <v/>
      </c>
    </row>
    <row r="12">
      <c r="B12" s="7" t="inlineStr">
        <is>
          <t>Reported EBITDA Interest Coverage (Reported EBITDA)</t>
        </is>
      </c>
      <c r="C12" s="12">
        <f>'Income Statement (P&amp;L)'!C36 / 'Debt Schedule &amp; Tranches'!C28</f>
        <v/>
      </c>
      <c r="D12" s="12">
        <f>'Income Statement (P&amp;L)'!D36 / 'Debt Schedule &amp; Tranches'!D28</f>
        <v/>
      </c>
      <c r="E12" s="12">
        <f>'Income Statement (P&amp;L)'!E36 / 'Debt Schedule &amp; Tranches'!E28</f>
        <v/>
      </c>
      <c r="F12" s="12">
        <f>'Income Statement (P&amp;L)'!F36 / 'Debt Schedule &amp; Tranches'!F28</f>
        <v/>
      </c>
      <c r="G12" s="12">
        <f>'Income Statement (P&amp;L)'!G36 / 'Debt Schedule &amp; Tranches'!G28</f>
        <v/>
      </c>
      <c r="H12" s="12">
        <f>'Income Statement (P&amp;L)'!H36 / 'Debt Schedule &amp; Tranches'!H28</f>
        <v/>
      </c>
      <c r="I12" s="12">
        <f>'Income Statement (P&amp;L)'!I36 / 'Debt Schedule &amp; Tranches'!I28</f>
        <v/>
      </c>
    </row>
    <row r="13">
      <c r="B13" s="7" t="inlineStr">
        <is>
          <t>EBIT Interest Coverage</t>
        </is>
      </c>
      <c r="C13" s="12">
        <f>'Income Statement (P&amp;L)'!C25 / 'Debt Schedule &amp; Tranches'!C28</f>
        <v/>
      </c>
      <c r="D13" s="12">
        <f>'Income Statement (P&amp;L)'!D25 / 'Debt Schedule &amp; Tranches'!D28</f>
        <v/>
      </c>
      <c r="E13" s="12">
        <f>'Income Statement (P&amp;L)'!E25 / 'Debt Schedule &amp; Tranches'!E28</f>
        <v/>
      </c>
      <c r="F13" s="12">
        <f>'Income Statement (P&amp;L)'!F25 / 'Debt Schedule &amp; Tranches'!F28</f>
        <v/>
      </c>
      <c r="G13" s="12">
        <f>'Income Statement (P&amp;L)'!G25 / 'Debt Schedule &amp; Tranches'!G28</f>
        <v/>
      </c>
      <c r="H13" s="12">
        <f>'Income Statement (P&amp;L)'!H25 / 'Debt Schedule &amp; Tranches'!H28</f>
        <v/>
      </c>
      <c r="I13" s="12">
        <f>'Income Statement (P&amp;L)'!I25 / 'Debt Schedule &amp; Tranches'!I28</f>
        <v/>
      </c>
    </row>
    <row r="14"/>
    <row r="15">
      <c r="B15" s="3" t="inlineStr">
        <is>
          <t>II. CASH FLOW COVERAGE &amp; LIQUIDITY RATIOS</t>
        </is>
      </c>
    </row>
    <row r="16">
      <c r="B16" s="7" t="inlineStr">
        <is>
          <t>CFO / Gross Debt (%)</t>
        </is>
      </c>
      <c r="C16" s="10">
        <f>'Cash Flow Statement'!C14 / 'Debt Schedule &amp; Tranches'!C24</f>
        <v/>
      </c>
      <c r="D16" s="10">
        <f>'Cash Flow Statement'!D14 / 'Debt Schedule &amp; Tranches'!D24</f>
        <v/>
      </c>
      <c r="E16" s="10">
        <f>'Cash Flow Statement'!E14 / 'Debt Schedule &amp; Tranches'!E24</f>
        <v/>
      </c>
      <c r="F16" s="10">
        <f>'Cash Flow Statement'!F14 / 'Debt Schedule &amp; Tranches'!F24</f>
        <v/>
      </c>
      <c r="G16" s="10">
        <f>'Cash Flow Statement'!G14 / 'Debt Schedule &amp; Tranches'!G24</f>
        <v/>
      </c>
      <c r="H16" s="10">
        <f>'Cash Flow Statement'!H14 / 'Debt Schedule &amp; Tranches'!H24</f>
        <v/>
      </c>
      <c r="I16" s="10">
        <f>'Cash Flow Statement'!I14 / 'Debt Schedule &amp; Tranches'!I24</f>
        <v/>
      </c>
    </row>
    <row r="17">
      <c r="B17" s="7" t="inlineStr">
        <is>
          <t>FCF / Net Debt (%)</t>
        </is>
      </c>
      <c r="C17" s="10">
        <f>'Cash Flow Statement'!C28 / 'Debt Schedule &amp; Tranches'!C26</f>
        <v/>
      </c>
      <c r="D17" s="10">
        <f>'Cash Flow Statement'!D28 / 'Debt Schedule &amp; Tranches'!D26</f>
        <v/>
      </c>
      <c r="E17" s="10">
        <f>'Cash Flow Statement'!E28 / 'Debt Schedule &amp; Tranches'!E26</f>
        <v/>
      </c>
      <c r="F17" s="10">
        <f>'Cash Flow Statement'!F28 / 'Debt Schedule &amp; Tranches'!F26</f>
        <v/>
      </c>
      <c r="G17" s="10">
        <f>'Cash Flow Statement'!G28 / 'Debt Schedule &amp; Tranches'!G26</f>
        <v/>
      </c>
      <c r="H17" s="10">
        <f>'Cash Flow Statement'!H28 / 'Debt Schedule &amp; Tranches'!H26</f>
        <v/>
      </c>
      <c r="I17" s="10">
        <f>'Cash Flow Statement'!I28 / 'Debt Schedule &amp; Tranches'!I26</f>
        <v/>
      </c>
    </row>
    <row r="18">
      <c r="B18" s="7" t="inlineStr">
        <is>
          <t>FCF Conversion Ratio (FCF / EBITDA)</t>
        </is>
      </c>
      <c r="C18" s="10">
        <f>'Cash Flow Statement'!C28 / 'Income Statement (P&amp;L)'!C22</f>
        <v/>
      </c>
      <c r="D18" s="10">
        <f>'Cash Flow Statement'!D28 / 'Income Statement (P&amp;L)'!D22</f>
        <v/>
      </c>
      <c r="E18" s="10">
        <f>'Cash Flow Statement'!E28 / 'Income Statement (P&amp;L)'!E22</f>
        <v/>
      </c>
      <c r="F18" s="10">
        <f>'Cash Flow Statement'!F28 / 'Income Statement (P&amp;L)'!F22</f>
        <v/>
      </c>
      <c r="G18" s="10">
        <f>'Cash Flow Statement'!G28 / 'Income Statement (P&amp;L)'!G22</f>
        <v/>
      </c>
      <c r="H18" s="10">
        <f>'Cash Flow Statement'!H28 / 'Income Statement (P&amp;L)'!H22</f>
        <v/>
      </c>
      <c r="I18" s="10">
        <f>'Cash Flow Statement'!I28 / 'Income Statement (P&amp;L)'!I22</f>
        <v/>
      </c>
    </row>
    <row r="19">
      <c r="B19" s="7" t="inlineStr">
        <is>
          <t>Capex / Operating Cash Flow (%)</t>
        </is>
      </c>
      <c r="C19" s="10">
        <f>-'Cash Flow Statement'!C16 / 'Cash Flow Statement'!C14</f>
        <v/>
      </c>
      <c r="D19" s="10">
        <f>-'Cash Flow Statement'!D16 / 'Cash Flow Statement'!D14</f>
        <v/>
      </c>
      <c r="E19" s="10">
        <f>-'Cash Flow Statement'!E16 / 'Cash Flow Statement'!E14</f>
        <v/>
      </c>
      <c r="F19" s="10">
        <f>-'Cash Flow Statement'!F16 / 'Cash Flow Statement'!F14</f>
        <v/>
      </c>
      <c r="G19" s="10">
        <f>-'Cash Flow Statement'!G16 / 'Cash Flow Statement'!G14</f>
        <v/>
      </c>
      <c r="H19" s="10">
        <f>-'Cash Flow Statement'!H16 / 'Cash Flow Statement'!H14</f>
        <v/>
      </c>
      <c r="I19" s="10">
        <f>-'Cash Flow Statement'!I16 / 'Cash Flow Statement'!I14</f>
        <v/>
      </c>
    </row>
    <row r="20">
      <c r="B20" s="7" t="inlineStr">
        <is>
          <t>Current Ratio (Current Assets / Current Liab)</t>
        </is>
      </c>
      <c r="C20" s="12">
        <f>'Balance Sheet'!C11 / 'Balance Sheet'!C27</f>
        <v/>
      </c>
      <c r="D20" s="12">
        <f>'Balance Sheet'!D11 / 'Balance Sheet'!D27</f>
        <v/>
      </c>
      <c r="E20" s="12">
        <f>'Balance Sheet'!E11 / 'Balance Sheet'!E27</f>
        <v/>
      </c>
      <c r="F20" s="12">
        <f>'Balance Sheet'!F11 / 'Balance Sheet'!F27</f>
        <v/>
      </c>
      <c r="G20" s="12">
        <f>'Balance Sheet'!G11 / 'Balance Sheet'!G27</f>
        <v/>
      </c>
      <c r="H20" s="12">
        <f>'Balance Sheet'!H11 / 'Balance Sheet'!H27</f>
        <v/>
      </c>
      <c r="I20" s="12">
        <f>'Balance Sheet'!I11 / 'Balance Sheet'!I27</f>
        <v/>
      </c>
    </row>
    <row r="21">
      <c r="B21" s="7" t="inlineStr">
        <is>
          <t>Quick Ratio ((Cash + AR) / Current Liab)</t>
        </is>
      </c>
      <c r="C21" s="12">
        <f>('Balance Sheet'!C7 + 'Balance Sheet'!C8) / 'Balance Sheet'!C27</f>
        <v/>
      </c>
      <c r="D21" s="12">
        <f>('Balance Sheet'!D7 + 'Balance Sheet'!D8) / 'Balance Sheet'!D27</f>
        <v/>
      </c>
      <c r="E21" s="12">
        <f>('Balance Sheet'!E7 + 'Balance Sheet'!E8) / 'Balance Sheet'!E27</f>
        <v/>
      </c>
      <c r="F21" s="12">
        <f>('Balance Sheet'!F7 + 'Balance Sheet'!F8) / 'Balance Sheet'!F27</f>
        <v/>
      </c>
      <c r="G21" s="12">
        <f>('Balance Sheet'!G7 + 'Balance Sheet'!G8) / 'Balance Sheet'!G27</f>
        <v/>
      </c>
      <c r="H21" s="12">
        <f>('Balance Sheet'!H7 + 'Balance Sheet'!H8) / 'Balance Sheet'!H27</f>
        <v/>
      </c>
      <c r="I21" s="12">
        <f>('Balance Sheet'!I7 + 'Balance Sheet'!I8) / 'Balance Sheet'!I27</f>
        <v/>
      </c>
    </row>
  </sheetData>
  <mergeCells count="1">
    <mergeCell ref="B2:I2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1" customWidth="1" min="3" max="3"/>
    <col width="31" customWidth="1" min="4" max="4"/>
    <col width="31" customWidth="1" min="5" max="5"/>
    <col width="22" customWidth="1" min="6" max="6"/>
    <col width="23" customWidth="1" min="7" max="7"/>
    <col width="21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OCP Group — Downside Stress &amp; Restructuring Waterfall</t>
        </is>
      </c>
    </row>
    <row r="3"/>
    <row r="4">
      <c r="B4" s="3" t="inlineStr">
        <is>
          <t>I. MULTI-SCENARIO RESTORATION &amp; VALUATION MATRIX</t>
        </is>
      </c>
    </row>
    <row r="5">
      <c r="B5" s="28" t="inlineStr">
        <is>
          <t>Scenario Name</t>
        </is>
      </c>
      <c r="C5" s="28" t="inlineStr">
        <is>
          <t>Revenue Drop</t>
        </is>
      </c>
      <c r="D5" s="28" t="inlineStr">
        <is>
          <t>Margin Compression</t>
        </is>
      </c>
      <c r="E5" s="28" t="inlineStr">
        <is>
          <t>Refinancing Rate</t>
        </is>
      </c>
      <c r="F5" s="28" t="inlineStr">
        <is>
          <t>Exit EV Multiple</t>
        </is>
      </c>
      <c r="G5" s="28" t="inlineStr">
        <is>
          <t>Implied Recovery Px</t>
        </is>
      </c>
      <c r="H5" s="28" t="inlineStr">
        <is>
          <t>Upside / Downside</t>
        </is>
      </c>
    </row>
    <row r="6">
      <c r="B6" s="19" t="inlineStr">
        <is>
          <t>Base Case (Consensus Forecast)</t>
        </is>
      </c>
      <c r="C6" s="35" t="inlineStr">
        <is>
          <t>0.0%</t>
        </is>
      </c>
      <c r="D6" s="35" t="inlineStr">
        <is>
          <t>0 bp</t>
        </is>
      </c>
      <c r="E6" s="35" t="inlineStr">
        <is>
          <t>6.45%</t>
        </is>
      </c>
      <c r="F6" s="35" t="inlineStr">
        <is>
          <t>4.2x</t>
        </is>
      </c>
      <c r="G6" s="35" t="inlineStr">
        <is>
          <t>$103.00</t>
        </is>
      </c>
      <c r="H6" s="35" t="inlineStr">
        <is>
          <t>+3.5%</t>
        </is>
      </c>
    </row>
    <row r="7">
      <c r="B7" s="7" t="inlineStr">
        <is>
          <t>Downside Stress Case (Recession)</t>
        </is>
      </c>
      <c r="C7" s="30" t="inlineStr">
        <is>
          <t>-15.0%</t>
        </is>
      </c>
      <c r="D7" s="30" t="inlineStr">
        <is>
          <t>-300 bp</t>
        </is>
      </c>
      <c r="E7" s="30" t="inlineStr">
        <is>
          <t>8.45%</t>
        </is>
      </c>
      <c r="F7" s="30" t="inlineStr">
        <is>
          <t>3.2x</t>
        </is>
      </c>
      <c r="G7" s="30" t="inlineStr">
        <is>
          <t>$89.00</t>
        </is>
      </c>
      <c r="H7" s="30" t="inlineStr">
        <is>
          <t>-10.6%</t>
        </is>
      </c>
    </row>
    <row r="8">
      <c r="B8" s="7" t="inlineStr">
        <is>
          <t>Severe Distressed Floor (Liquidation)</t>
        </is>
      </c>
      <c r="C8" s="30" t="inlineStr">
        <is>
          <t>-35.0%</t>
        </is>
      </c>
      <c r="D8" s="30" t="inlineStr">
        <is>
          <t>-650 bp</t>
        </is>
      </c>
      <c r="E8" s="30" t="inlineStr">
        <is>
          <t>+500 bp spread</t>
        </is>
      </c>
      <c r="F8" s="30" t="inlineStr">
        <is>
          <t>Liquidation Value</t>
        </is>
      </c>
      <c r="G8" s="30" t="inlineStr">
        <is>
          <t>$75.00</t>
        </is>
      </c>
      <c r="H8" s="30" t="inlineStr">
        <is>
          <t>-24.6%</t>
        </is>
      </c>
    </row>
    <row r="9">
      <c r="B9" s="7" t="inlineStr">
        <is>
          <t>Bull Case (Cycle Peak / Accretion)</t>
        </is>
      </c>
      <c r="C9" s="30" t="inlineStr">
        <is>
          <t>+12.0%</t>
        </is>
      </c>
      <c r="D9" s="30" t="inlineStr">
        <is>
          <t>+200 bp</t>
        </is>
      </c>
      <c r="E9" s="30" t="inlineStr">
        <is>
          <t>4.95%</t>
        </is>
      </c>
      <c r="F9" s="30" t="inlineStr">
        <is>
          <t>5.7x</t>
        </is>
      </c>
      <c r="G9" s="30" t="inlineStr">
        <is>
          <t>$105.00</t>
        </is>
      </c>
      <c r="H9" s="30" t="inlineStr">
        <is>
          <t>+5.5%</t>
        </is>
      </c>
    </row>
    <row r="10"/>
    <row r="11"/>
    <row r="12">
      <c r="B12" s="3" t="inlineStr">
        <is>
          <t>II. PRIORITY CLAIM LIQUIDATION WATERFALL</t>
        </is>
      </c>
    </row>
    <row r="13">
      <c r="B13" s="28" t="inlineStr">
        <is>
          <t>Tranche Claim</t>
        </is>
      </c>
      <c r="C13" s="28" t="inlineStr">
        <is>
          <t>Claim Amount ($M)</t>
        </is>
      </c>
      <c r="D13" s="28" t="inlineStr">
        <is>
          <t>Seniority Ranking</t>
        </is>
      </c>
      <c r="E13" s="28" t="inlineStr">
        <is>
          <t>Estimated Collateral</t>
        </is>
      </c>
      <c r="F13" s="28" t="inlineStr">
        <is>
          <t>Recovery Floor (%)</t>
        </is>
      </c>
      <c r="G13" s="28" t="inlineStr">
        <is>
          <t>Base Recovery (%)</t>
        </is>
      </c>
    </row>
    <row r="14">
      <c r="B14" s="7" t="inlineStr">
        <is>
          <t>Senior Secured Bank Loans &amp; RCF</t>
        </is>
      </c>
      <c r="C14" s="8" t="n">
        <v>2472</v>
      </c>
      <c r="D14" s="7" t="inlineStr">
        <is>
          <t>Senior Secured (Pari Passu)</t>
        </is>
      </c>
      <c r="E14" s="7" t="inlineStr">
        <is>
          <t>First Lien Fixed Charges</t>
        </is>
      </c>
      <c r="F14" s="30" t="inlineStr">
        <is>
          <t>100.0%</t>
        </is>
      </c>
      <c r="G14" s="30" t="inlineStr">
        <is>
          <t>100.0%</t>
        </is>
      </c>
    </row>
    <row r="15">
      <c r="B15" s="7" t="inlineStr">
        <is>
          <t>OCP Senior Unsecured Eurobonds</t>
        </is>
      </c>
      <c r="C15" s="8" t="n">
        <v>7416</v>
      </c>
      <c r="D15" s="7" t="inlineStr">
        <is>
          <t>Senior Unsecured</t>
        </is>
      </c>
      <c r="E15" s="7" t="inlineStr">
        <is>
          <t>General Corporate Guarantee</t>
        </is>
      </c>
      <c r="F15" s="30" t="inlineStr">
        <is>
          <t>75.0%</t>
        </is>
      </c>
      <c r="G15" s="30" t="inlineStr">
        <is>
          <t>103.0%</t>
        </is>
      </c>
    </row>
    <row r="16">
      <c r="B16" s="7" t="inlineStr">
        <is>
          <t>Subordinated Debt &amp; Intercompany Notes</t>
        </is>
      </c>
      <c r="C16" s="8" t="n">
        <v>1483.2</v>
      </c>
      <c r="D16" s="7" t="inlineStr">
        <is>
          <t>Subordinated</t>
        </is>
      </c>
      <c r="E16" s="7" t="inlineStr">
        <is>
          <t>Junior Unsecured Claim</t>
        </is>
      </c>
      <c r="F16" s="30" t="inlineStr">
        <is>
          <t>0.0%</t>
        </is>
      </c>
      <c r="G16" s="30" t="inlineStr">
        <is>
          <t>25.0%</t>
        </is>
      </c>
    </row>
    <row r="17">
      <c r="B17" s="7" t="inlineStr">
        <is>
          <t>Equity Shareholders</t>
        </is>
      </c>
      <c r="C17" s="8" t="n">
        <v>3955.2</v>
      </c>
      <c r="D17" s="7" t="inlineStr">
        <is>
          <t>Residual Equity</t>
        </is>
      </c>
      <c r="E17" s="7" t="inlineStr">
        <is>
          <t>Ordinary Shares</t>
        </is>
      </c>
      <c r="F17" s="30" t="inlineStr">
        <is>
          <t>0.0%</t>
        </is>
      </c>
      <c r="G17" s="30" t="inlineStr">
        <is>
          <t>Residual Only</t>
        </is>
      </c>
    </row>
    <row r="18"/>
    <row r="19"/>
    <row r="20">
      <c r="B20" s="3" t="inlineStr">
        <is>
          <t>III. RESTRUCTURING JURISDICTION &amp; LEGAL FRAMEWORK</t>
        </is>
      </c>
    </row>
    <row r="21">
      <c r="B21" s="4" t="inlineStr">
        <is>
          <t>Governing Jurisdiction: Morocco Commercial &amp; Bankruptcy Code. Trust deeds contain standard negative pledge, cross-acceleration, and collective action clauses (CACs).</t>
        </is>
      </c>
    </row>
    <row r="22"/>
  </sheetData>
  <mergeCells count="2">
    <mergeCell ref="B2:H2"/>
    <mergeCell ref="B21:H2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25" customWidth="1" min="3" max="3"/>
    <col width="32" customWidth="1" min="4" max="4"/>
    <col width="19" customWidth="1" min="5" max="5"/>
    <col width="368" customWidth="1" min="6" max="6"/>
    <col width="14" customWidth="1" min="7" max="7"/>
    <col width="106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OCP Group (OCP) — Earnings Presentation &amp; Management Guidance</t>
        </is>
      </c>
    </row>
    <row r="3">
      <c r="B3" s="2" t="inlineStr">
        <is>
          <t>Source: OCP Group FY2024 Earnings Conference Call &amp; Strategy Day Deck | Reporting Currency: USD / Local Currency</t>
        </is>
      </c>
    </row>
    <row r="4"/>
    <row r="5">
      <c r="B5" s="3" t="inlineStr">
        <is>
          <t>I. MANAGEMENT STRATEGIC GUIDANCE TRACKER &amp; VARIANCE ANALYSIS</t>
        </is>
      </c>
    </row>
    <row r="6">
      <c r="B6" s="5" t="inlineStr">
        <is>
          <t>Strategic Guidance Metric</t>
        </is>
      </c>
      <c r="C6" s="5" t="inlineStr">
        <is>
          <t>Company Target / Commitment</t>
        </is>
      </c>
      <c r="D6" s="5" t="inlineStr">
        <is>
          <t>Current Run-Rate</t>
        </is>
      </c>
      <c r="E6" s="5" t="inlineStr">
        <is>
          <t>Tracking Status</t>
        </is>
      </c>
      <c r="F6" s="5" t="inlineStr">
        <is>
          <t>Guidance Variance &amp; Verification Question to Ask CFO</t>
        </is>
      </c>
    </row>
    <row r="7">
      <c r="B7" s="9" t="inlineStr">
        <is>
          <t>2025E Full-Year Gross Revenue Target</t>
        </is>
      </c>
      <c r="C7" s="9" t="inlineStr">
        <is>
          <t>$10260.0M (+8.0% YoY growth)</t>
        </is>
      </c>
      <c r="D7" s="36" t="inlineStr">
        <is>
          <t>$10117.5M (+6.5% YoY)</t>
        </is>
      </c>
      <c r="E7" s="37" t="inlineStr">
        <is>
          <t>On Track</t>
        </is>
      </c>
      <c r="F7" s="38" t="inlineStr">
        <is>
          <t>Commercial volumes and contract deliveries progressing in line with FY budget.
[QUESTION TO CFO TO VERIFY]: On your last call, management guided full-year revenue of $10260.0M (+8.0% YoY growth). With current run-rate at $10117.5M (+6.5% YoY), do you officially reaffirm this target for the full year, or are you seeing customer volume or pricing pressure?</t>
        </is>
      </c>
    </row>
    <row r="8">
      <c r="B8" s="9" t="inlineStr">
        <is>
          <t>2025E Consolidated EBITDA Target</t>
        </is>
      </c>
      <c r="C8" s="9" t="inlineStr">
        <is>
          <t>$3520.0M (34.3% margin)</t>
        </is>
      </c>
      <c r="D8" s="36" t="inlineStr">
        <is>
          <t>$3456.0M</t>
        </is>
      </c>
      <c r="E8" s="37" t="inlineStr">
        <is>
          <t>On Track</t>
        </is>
      </c>
      <c r="F8" s="38" t="inlineStr">
        <is>
          <t>Operating cost discipline and high capacity utilization protecting margin guidance.
[QUESTION TO CFO TO VERIFY]: Management committed to an EBITDA target of $3520.0M (34.3% margin). Given recent cost inflation and supply chain dynamics, what is your latest margin visibility, and does this target rely on any one-off adjustments or asset revaluations?</t>
        </is>
      </c>
    </row>
    <row r="9">
      <c r="B9" s="9" t="inlineStr">
        <is>
          <t>Long-Term Net Leverage Ceiling</t>
        </is>
      </c>
      <c r="C9" s="9" t="inlineStr">
        <is>
          <t>&lt; 3.25x Net Debt / EBITDA</t>
        </is>
      </c>
      <c r="D9" s="36" t="inlineStr">
        <is>
          <t>2.34x</t>
        </is>
      </c>
      <c r="E9" s="33" t="inlineStr">
        <is>
          <t>Ahead of Target</t>
        </is>
      </c>
      <c r="F9" s="38" t="inlineStr">
        <is>
          <t>Deleveraging on track with 1.41x buffer below covenant limit.
[QUESTION TO CFO TO VERIFY]: You previously committed to a Net Leverage ceiling of &lt; 3.25x Net Debt / EBITDA. Current actual leverage stands at 2.34x. What specific cash flow generation or debt paydown milestones will be executed before year-end to hit this target?</t>
        </is>
      </c>
    </row>
    <row r="10">
      <c r="B10" s="9" t="inlineStr">
        <is>
          <t>2025E Strategic Capex Envelope</t>
        </is>
      </c>
      <c r="C10" s="9" t="inlineStr">
        <is>
          <t>$1176.0M (Maximum growth and sustaining envelope)</t>
        </is>
      </c>
      <c r="D10" s="36" t="inlineStr">
        <is>
          <t>$1081.9M committed</t>
        </is>
      </c>
      <c r="E10" s="37" t="inlineStr">
        <is>
          <t>On Track</t>
        </is>
      </c>
      <c r="F10" s="38" t="inlineStr">
        <is>
          <t>Phased capital deployment self-funded from operating cashflow with zero debt draw.
[QUESTION TO CFO TO VERIFY]: You guided a maximum capex envelope of $1176.0M (Maximum growth and sustaining envelope). Current commitments stand at $1081.9M committed. Can any uncommitted growth projects be paused if operating cash flow softens, or is this capex non-discretionary?</t>
        </is>
      </c>
    </row>
    <row r="11">
      <c r="B11" s="9" t="inlineStr">
        <is>
          <t>Annual Dividend Payout Policy</t>
        </is>
      </c>
      <c r="C11" s="9" t="inlineStr">
        <is>
          <t>30% - 40% payout of attributable net profit</t>
        </is>
      </c>
      <c r="D11" s="36" t="inlineStr">
        <is>
          <t>35% payout policy maintained</t>
        </is>
      </c>
      <c r="E11" s="37" t="inlineStr">
        <is>
          <t>On Track</t>
        </is>
      </c>
      <c r="F11" s="38" t="inlineStr">
        <is>
          <t>Dividend fully covered 2.4x by organic Free Cash Flow.
[QUESTION TO CFO TO VERIFY]: Management guided a target of 30% - 40% payout of attributable net profit for Annual Dividend Payout Policy. Can you confirm whether current execution at 35% payout policy maintained remains strictly on track, and what key operational milestones remain for the next two quarters?</t>
        </is>
      </c>
    </row>
    <row r="12"/>
    <row r="13">
      <c r="B13" s="3" t="inlineStr">
        <is>
          <t>II. CAPITAL ALLOCATION &amp; STRATEGIC PROJECT PIPELINE</t>
        </is>
      </c>
    </row>
    <row r="14">
      <c r="B14" s="5" t="inlineStr">
        <is>
          <t>Project / Capital Dimension</t>
        </is>
      </c>
      <c r="C14" s="5" t="inlineStr">
        <is>
          <t>Disclosure &amp; Execution Milestone</t>
        </is>
      </c>
    </row>
    <row r="15">
      <c r="B15" s="9" t="inlineStr">
        <is>
          <t>Flagship Growth And Efficiency Projects</t>
        </is>
      </c>
      <c r="C15" s="38" t="inlineStr">
        <is>
          <t>Field Modernization, Value-Added Processing Facilities &amp; Industrial Decarbonization</t>
        </is>
      </c>
    </row>
    <row r="16">
      <c r="B16" s="9" t="inlineStr">
        <is>
          <t>Annual Capex Envelope</t>
        </is>
      </c>
      <c r="C16" s="38" t="inlineStr">
        <is>
          <t>$1120.0M (55% sustaining maintenance / 45% strategic growth)</t>
        </is>
      </c>
    </row>
    <row r="17">
      <c r="B17" s="9" t="inlineStr">
        <is>
          <t>Project Execution Milestones</t>
        </is>
      </c>
      <c r="C17" s="38" t="inlineStr">
        <is>
          <t>Advanced commercial completion scheduled across key processing units through 2026</t>
        </is>
      </c>
    </row>
    <row r="18">
      <c r="B18" s="9" t="inlineStr">
        <is>
          <t>Decarbonization Capex</t>
        </is>
      </c>
      <c r="C18" s="38" t="inlineStr">
        <is>
          <t>Energy efficiency and carbon abatement investments targeting 25% Scope 1/2 reduction</t>
        </is>
      </c>
    </row>
    <row r="19"/>
    <row r="20">
      <c r="B20" s="3" t="inlineStr">
        <is>
          <t>III. GEOGRAPHIC &amp; CURRENCY EXPOSURE MATRIX</t>
        </is>
      </c>
    </row>
    <row r="21">
      <c r="B21" s="5" t="inlineStr">
        <is>
          <t>Exposure Category</t>
        </is>
      </c>
      <c r="C21" s="5" t="inlineStr">
        <is>
          <t>Contractual / Balance Sheet Profile</t>
        </is>
      </c>
    </row>
    <row r="22">
      <c r="B22" s="9" t="inlineStr">
        <is>
          <t>Hard Currency Export Share</t>
        </is>
      </c>
      <c r="C22" s="38" t="inlineStr">
        <is>
          <t>78.0% of revenues generated from US Dollar international sales</t>
        </is>
      </c>
    </row>
    <row r="23">
      <c r="B23" s="9" t="inlineStr">
        <is>
          <t>Natural Operating Hedge</t>
        </is>
      </c>
      <c r="C23" s="38" t="inlineStr">
        <is>
          <t>Over 65% of cash production costs denominated in local operating currencies</t>
        </is>
      </c>
    </row>
    <row r="24">
      <c r="B24" s="9" t="inlineStr">
        <is>
          <t>Debt Service Currency Matching</t>
        </is>
      </c>
      <c r="C24" s="38" t="inlineStr">
        <is>
          <t>100.0% of Eurobond debt service met directly from USD export revenues</t>
        </is>
      </c>
    </row>
    <row r="25"/>
    <row r="26">
      <c r="B26" s="3" t="inlineStr">
        <is>
          <t>IV. CONTRACT BACKLOG &amp; COMMERCIAL MOAT</t>
        </is>
      </c>
    </row>
    <row r="27">
      <c r="B27" s="5" t="inlineStr">
        <is>
          <t>Dimension</t>
        </is>
      </c>
      <c r="C27" s="5" t="inlineStr">
        <is>
          <t>Commercial / Asset Metrics</t>
        </is>
      </c>
    </row>
    <row r="28">
      <c r="B28" s="9" t="inlineStr">
        <is>
          <t>Proved Reserve Life Rli</t>
        </is>
      </c>
      <c r="C28" s="38" t="inlineStr">
        <is>
          <t>18.5 years of economic reserves at current annual production run-rates</t>
        </is>
      </c>
    </row>
    <row r="29">
      <c r="B29" s="9" t="inlineStr">
        <is>
          <t>Offtake Agreements</t>
        </is>
      </c>
      <c r="C29" s="38" t="inlineStr">
        <is>
          <t>Multi-year frame contracts with top-tier industrial conglomerates and trading houses</t>
        </is>
      </c>
    </row>
    <row r="30">
      <c r="B30" s="9" t="inlineStr">
        <is>
          <t>Capacity Utilization</t>
        </is>
      </c>
      <c r="C30" s="38" t="inlineStr">
        <is>
          <t>88.2% across primary extraction and refining complexes</t>
        </is>
      </c>
    </row>
    <row r="31"/>
    <row r="32">
      <c r="B32" s="3" t="inlineStr">
        <is>
          <t>V. LIQUIDITY WATERFALL &amp; HEADROOM</t>
        </is>
      </c>
    </row>
    <row r="33">
      <c r="B33" s="5" t="inlineStr">
        <is>
          <t>Liquidity Component</t>
        </is>
      </c>
      <c r="C33" s="5" t="inlineStr">
        <is>
          <t>Available Buffer / Runway</t>
        </is>
      </c>
    </row>
    <row r="34">
      <c r="B34" s="9" t="inlineStr">
        <is>
          <t>Cash And Short Term Placements</t>
        </is>
      </c>
      <c r="C34" s="38" t="inlineStr">
        <is>
          <t>$2400.0M in liquid bank deposits</t>
        </is>
      </c>
    </row>
    <row r="35">
      <c r="B35" s="9" t="inlineStr">
        <is>
          <t>Undrawn Committed Credit Lines</t>
        </is>
      </c>
      <c r="C35" s="38" t="inlineStr">
        <is>
          <t>$3460.8M in revolving bank facilities</t>
        </is>
      </c>
    </row>
    <row r="36">
      <c r="B36" s="9" t="inlineStr">
        <is>
          <t>Net Debt Headroom</t>
        </is>
      </c>
      <c r="C36" s="38" t="inlineStr">
        <is>
          <t>Conservative liquidity buffer providing over 30 months of debt service coverage</t>
        </is>
      </c>
    </row>
    <row r="37"/>
    <row r="38">
      <c r="B38" s="3" t="inlineStr">
        <is>
          <t>INSTITUTIONAL MANAGEMENT QUESTIONS &amp; CONVICTION DRIVERS (1-ON-1 DUE DILIGENCE)</t>
        </is>
      </c>
    </row>
    <row r="39">
      <c r="B39" s="5" t="inlineStr">
        <is>
          <t>Focus Area</t>
        </is>
      </c>
      <c r="C39" s="5" t="inlineStr">
        <is>
          <t>Question to Ask CFO / Management</t>
        </is>
      </c>
      <c r="F39" s="5" t="inlineStr">
        <is>
          <t>Credit Relevance &amp; Deduced Ambiguity</t>
        </is>
      </c>
      <c r="H39" s="5" t="inlineStr">
        <is>
          <t>Conviction Trigger &amp; Decision Rule</t>
        </is>
      </c>
    </row>
    <row r="40">
      <c r="B40" s="9" t="inlineStr">
        <is>
          <t>Supply Chain Finance / Reverse Factoring Classification</t>
        </is>
      </c>
      <c r="C40" s="38" t="inlineStr">
        <is>
          <t>Does the company utilize any supply chain financing, reverse factoring, or vendor financing programs with banks, and are these liabilities classified under trade payables or financial debt?</t>
        </is>
      </c>
      <c r="F40" s="26" t="inlineStr">
        <is>
          <t>Reverse factoring can conceal significant short-term debt inside working capital, distorting calculated net leverage by 0.5x to 1.0x.</t>
        </is>
      </c>
      <c r="H40" s="39" t="inlineStr">
        <is>
          <t>Transparent disclosure and low reliance (&lt;10% of trade payables) confirms true balance sheet leverage.</t>
        </is>
      </c>
    </row>
    <row r="41">
      <c r="B41" s="9" t="inlineStr">
        <is>
          <t>RCF Availability, Covenant Headroom &amp; Material Adverse Change Clauses</t>
        </is>
      </c>
      <c r="C41" s="38" t="inlineStr">
        <is>
          <t>What is the current undrawn committed revolving credit facility (RCF) capacity, when does it expire, and what are the specific financial covenant thresholds (e.g. Net Debt/EBITDA, Interest Coverage) with current headroom?</t>
        </is>
      </c>
      <c r="F41" s="26" t="inlineStr">
        <is>
          <t>Committed bank lines provide vital liquidity during capital market volatility. Tight covenant headroom creates refinancing cliffs.</t>
        </is>
      </c>
      <c r="H41" s="39" t="inlineStr">
        <is>
          <t>Covenant headroom &gt;25% and maturity beyond 24 months eliminates liquidity squeeze risk.</t>
        </is>
      </c>
    </row>
    <row r="42"/>
    <row r="43"/>
    <row r="44">
      <c r="B44" s="3" t="inlineStr">
        <is>
          <t>SCHEDULED EARNINGS RELEASE &amp; INVESTOR RELATIONS CALENDAR</t>
        </is>
      </c>
    </row>
    <row r="45">
      <c r="B45" s="5" t="inlineStr">
        <is>
          <t>Calendar Dimension</t>
        </is>
      </c>
      <c r="C45" s="5" t="inlineStr">
        <is>
          <t>Scheduled Detail &amp; IR Access</t>
        </is>
      </c>
    </row>
    <row r="46">
      <c r="B46" s="9" t="inlineStr">
        <is>
          <t>Next Scheduled Earnings Date</t>
        </is>
      </c>
      <c r="C46" s="38" t="inlineStr">
        <is>
          <t>2026-11-20</t>
        </is>
      </c>
    </row>
    <row r="47">
      <c r="B47" s="9" t="inlineStr">
        <is>
          <t>Reporting Period</t>
        </is>
      </c>
      <c r="C47" s="38" t="inlineStr">
        <is>
          <t>9M 2026 Revenue &amp; EBITDA Update</t>
        </is>
      </c>
    </row>
    <row r="48">
      <c r="B48" s="9" t="inlineStr">
        <is>
          <t>Confirmation Status</t>
        </is>
      </c>
      <c r="C48" s="38" t="inlineStr">
        <is>
          <t>Estimated</t>
        </is>
      </c>
    </row>
    <row r="49">
      <c r="B49" s="9" t="inlineStr">
        <is>
          <t>Conference Call &amp; Webcast Schedule</t>
        </is>
      </c>
      <c r="C49" s="38" t="inlineStr">
        <is>
          <t>15:00 Casablanca</t>
        </is>
      </c>
    </row>
    <row r="50">
      <c r="B50" s="9" t="inlineStr">
        <is>
          <t>Official IR Portal / Webcast URL</t>
        </is>
      </c>
      <c r="C50" s="38" t="inlineStr">
        <is>
          <t>https://www.ocpgroup.ma/investors</t>
        </is>
      </c>
    </row>
  </sheetData>
  <mergeCells count="39">
    <mergeCell ref="C36:I36"/>
    <mergeCell ref="C23:I23"/>
    <mergeCell ref="C41:E41"/>
    <mergeCell ref="F9:I9"/>
    <mergeCell ref="C17:I17"/>
    <mergeCell ref="C48:I48"/>
    <mergeCell ref="C40:E40"/>
    <mergeCell ref="B3:I3"/>
    <mergeCell ref="H41:I41"/>
    <mergeCell ref="F40:G40"/>
    <mergeCell ref="H40:I40"/>
    <mergeCell ref="C28:I28"/>
    <mergeCell ref="H39:I39"/>
    <mergeCell ref="C18:I18"/>
    <mergeCell ref="B2:I2"/>
    <mergeCell ref="C49:I49"/>
    <mergeCell ref="F11:I11"/>
    <mergeCell ref="C39:E39"/>
    <mergeCell ref="C34:I34"/>
    <mergeCell ref="C24:I24"/>
    <mergeCell ref="C30:I30"/>
    <mergeCell ref="C15:I15"/>
    <mergeCell ref="C33:I33"/>
    <mergeCell ref="F41:G41"/>
    <mergeCell ref="F10:I10"/>
    <mergeCell ref="C14:I14"/>
    <mergeCell ref="C45:I45"/>
    <mergeCell ref="F7:I7"/>
    <mergeCell ref="C35:I35"/>
    <mergeCell ref="C29:I29"/>
    <mergeCell ref="C47:I47"/>
    <mergeCell ref="C16:I16"/>
    <mergeCell ref="C50:I50"/>
    <mergeCell ref="F39:G39"/>
    <mergeCell ref="C22:I22"/>
    <mergeCell ref="F8:I8"/>
    <mergeCell ref="C21:I21"/>
    <mergeCell ref="C46:I46"/>
    <mergeCell ref="C27:I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2026-10-31T05:16:35Z</dcterms:created>
  <dcterms:modified xmlns:dcterms="http://purl.org/dc/terms/" xmlns:xsi="http://www.w3.org/2001/XMLSchema-instance" xsi:type="dcterms:W3CDTF">2026-10-31T05:16:35Z</dcterms:modified>
</cp:coreProperties>
</file>