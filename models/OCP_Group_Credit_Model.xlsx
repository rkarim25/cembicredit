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(+$31.2M)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(+$38.4M)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(+$43.2M)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(+$48.0M)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(+$52.8M)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(+$56.6M)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(+$31.2M)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(+$38.4M)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(+$43.2M)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(+$48.0M)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(+$52.8M)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(+$56.6M)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Institutional Credit Model</t>
        </is>
      </c>
    </row>
    <row r="3">
      <c r="B3" s="2" t="inlineStr">
        <is>
          <t>Sector: Materials | Country: Morocco | Rating: BBB- / Baa3 | Benchmark: OCP 6.45% 2034 @ $99.50 (6.45% YTM / +155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Controls 70% of world's phosphate rock reserves; $3.2B EBITDA (34% margin); &gt;85% hard currency export revenues.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OCP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4449.6</v>
      </c>
      <c r="F26" s="7" t="inlineStr">
        <is>
          <t>6.45%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OCP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2966.4</v>
      </c>
      <c r="F27" s="7" t="inlineStr">
        <is>
          <t>5.70%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2472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3876</v>
      </c>
      <c r="D15" s="8" t="n">
        <v>4674</v>
      </c>
      <c r="E15" s="8" t="n">
        <v>5244</v>
      </c>
      <c r="F15" s="8" t="n">
        <v>5700</v>
      </c>
      <c r="G15" s="8" t="n">
        <v>6156</v>
      </c>
      <c r="H15" s="8" t="n">
        <v>6555</v>
      </c>
      <c r="I15" s="8" t="n">
        <v>6840</v>
      </c>
    </row>
    <row r="16">
      <c r="B16" s="7" t="inlineStr">
        <is>
          <t>High-Margin Value-Added Products</t>
        </is>
      </c>
      <c r="C16" s="8" t="n">
        <v>1808.8</v>
      </c>
      <c r="D16" s="8" t="n">
        <v>2181.2</v>
      </c>
      <c r="E16" s="8" t="n">
        <v>2447.2</v>
      </c>
      <c r="F16" s="8" t="n">
        <v>2660</v>
      </c>
      <c r="G16" s="8" t="n">
        <v>2872.8</v>
      </c>
      <c r="H16" s="8" t="n">
        <v>3059</v>
      </c>
      <c r="I16" s="8" t="n">
        <v>3192</v>
      </c>
    </row>
    <row r="17">
      <c r="B17" s="7" t="inlineStr">
        <is>
          <t>By-Product Processing &amp; Industrial Logistics</t>
        </is>
      </c>
      <c r="C17" s="8" t="n">
        <v>775.2</v>
      </c>
      <c r="D17" s="8" t="n">
        <v>934.8</v>
      </c>
      <c r="E17" s="8" t="n">
        <v>1048.8</v>
      </c>
      <c r="F17" s="8" t="n">
        <v>1140</v>
      </c>
      <c r="G17" s="8" t="n">
        <v>1231.2</v>
      </c>
      <c r="H17" s="8" t="n">
        <v>1311</v>
      </c>
      <c r="I17" s="8" t="n">
        <v>1368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31.2</v>
      </c>
      <c r="D35" s="24" t="n">
        <v>38.4</v>
      </c>
      <c r="E35" s="24" t="n">
        <v>43.2</v>
      </c>
      <c r="F35" s="24" t="n">
        <v>48</v>
      </c>
      <c r="G35" s="24" t="n">
        <v>52.8</v>
      </c>
      <c r="H35" s="24" t="n">
        <v>56.6</v>
      </c>
      <c r="I35" s="24" t="n">
        <v>59.5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(+$31.2M)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(+$38.4M)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(+$43.2M)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(+$48.0M)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(+$52.8M)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(+$56.6M)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9690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2261</v>
      </c>
      <c r="D36" s="8" t="n">
        <v>2261</v>
      </c>
      <c r="E36" s="8" t="n">
        <v>2261</v>
      </c>
      <c r="F36" s="8" t="n">
        <v>2261</v>
      </c>
      <c r="G36" s="8" t="n">
        <v>2261</v>
      </c>
      <c r="H36" s="8" t="n">
        <v>2261</v>
      </c>
      <c r="I36" s="8" t="n">
        <v>2261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-988</v>
      </c>
      <c r="D16" s="8" t="n">
        <v>-1728</v>
      </c>
      <c r="E16" s="8" t="n">
        <v>-1944</v>
      </c>
      <c r="F16" s="8" t="n">
        <v>-1840</v>
      </c>
      <c r="G16" s="8" t="n">
        <v>-1672</v>
      </c>
      <c r="H16" s="8" t="n">
        <v>-1793.6</v>
      </c>
      <c r="I16" s="8" t="n">
        <v>-1884.8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1320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288.5</v>
      </c>
      <c r="D32" s="8" t="n">
        <v>622.1</v>
      </c>
      <c r="E32" s="8" t="n">
        <v>701.9</v>
      </c>
      <c r="F32" s="8" t="n">
        <v>431.5</v>
      </c>
      <c r="G32" s="8" t="n">
        <v>457.6</v>
      </c>
      <c r="H32" s="8" t="n">
        <v>480.2</v>
      </c>
      <c r="I32" s="8" t="n">
        <v>495.6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OCP Benchmark Eurobond Notes</t>
        </is>
      </c>
    </row>
    <row r="7">
      <c r="B7" s="7" t="inlineStr">
        <is>
          <t xml:space="preserve">  Beginning Principal Balance</t>
        </is>
      </c>
      <c r="C7" s="8" t="n">
        <v>3782.2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1260.7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840.5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0.0645</f>
        <v/>
      </c>
      <c r="D11" s="8">
        <f>D10 * 0.0645</f>
        <v/>
      </c>
      <c r="E11" s="8">
        <f>E10 * 0.0645</f>
        <v/>
      </c>
      <c r="F11" s="8">
        <f>F10 * 0.0645</f>
        <v/>
      </c>
      <c r="G11" s="8">
        <f>G10 * 0.0645</f>
        <v/>
      </c>
      <c r="H11" s="8">
        <f>H10 * 0.0645</f>
        <v/>
      </c>
      <c r="I11" s="8">
        <f>I10 * 0.0645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4622.6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1186.6</v>
      </c>
      <c r="C32" s="8" t="n">
        <v>2175.4</v>
      </c>
      <c r="D32" s="8" t="n">
        <v>2768.6</v>
      </c>
      <c r="E32" s="8" t="n">
        <v>1779.8</v>
      </c>
      <c r="F32" s="8" t="n">
        <v>1186.6</v>
      </c>
      <c r="G32" s="8" t="n">
        <v>791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OCP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4449.6</v>
      </c>
      <c r="F37" s="30" t="inlineStr">
        <is>
          <t>6.450%</t>
        </is>
      </c>
      <c r="G37" s="31" t="n">
        <v>99.5</v>
      </c>
      <c r="H37" s="32" t="n">
        <v>6.45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OCP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2966.4</v>
      </c>
      <c r="F38" s="30" t="inlineStr">
        <is>
          <t>5.800%</t>
        </is>
      </c>
      <c r="G38" s="31" t="n">
        <v>101.5</v>
      </c>
      <c r="H38" s="32" t="n">
        <v>5.8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1483.2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988.8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OCP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2768.6</v>
      </c>
    </row>
    <row r="45">
      <c r="B45" s="7" t="inlineStr">
        <is>
          <t>Drawn Amount ($M)</t>
        </is>
      </c>
      <c r="C45" s="8" t="n">
        <v>988.8</v>
      </c>
    </row>
    <row r="46">
      <c r="B46" s="19" t="inlineStr">
        <is>
          <t>AVAILABLE UNDRAWN HEADROOM ($M)</t>
        </is>
      </c>
      <c r="C46" s="20" t="n">
        <v>1779.8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2.34x</t>
        </is>
      </c>
      <c r="E55" s="33" t="inlineStr">
        <is>
          <t>1.41x leverage buffer ($4512.0M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7.11x</t>
        </is>
      </c>
      <c r="E56" s="33" t="inlineStr">
        <is>
          <t>+4.61x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8.7% of Assets</t>
        </is>
      </c>
      <c r="E57" s="33" t="inlineStr">
        <is>
          <t>$2090.0M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6.45%</t>
        </is>
      </c>
      <c r="F6" s="35" t="inlineStr">
        <is>
          <t>4.2x</t>
        </is>
      </c>
      <c r="G6" s="35" t="inlineStr">
        <is>
          <t>$103.00</t>
        </is>
      </c>
      <c r="H6" s="35" t="inlineStr">
        <is>
          <t>+3.5%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8.45%</t>
        </is>
      </c>
      <c r="F7" s="30" t="inlineStr">
        <is>
          <t>3.2x</t>
        </is>
      </c>
      <c r="G7" s="30" t="inlineStr">
        <is>
          <t>$89.00</t>
        </is>
      </c>
      <c r="H7" s="30" t="inlineStr">
        <is>
          <t>-10.6%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-24.6%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4.95%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2472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OCP Senior Unsecured Eurobonds</t>
        </is>
      </c>
      <c r="C15" s="8" t="n">
        <v>7416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103.0%</t>
        </is>
      </c>
    </row>
    <row r="16">
      <c r="B16" s="7" t="inlineStr">
        <is>
          <t>Subordinated Debt &amp; Intercompany Notes</t>
        </is>
      </c>
      <c r="C16" s="8" t="n">
        <v>1483.2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3955.2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Morocco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8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OCP Group (OCP) — Earnings Presentation &amp; Management Guidance</t>
        </is>
      </c>
    </row>
    <row r="3">
      <c r="B3" s="2" t="inlineStr">
        <is>
          <t>Source: OCP Group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$10260.0M (+8.0% YoY growth)</t>
        </is>
      </c>
      <c r="D7" s="36" t="inlineStr">
        <is>
          <t>$10117.5M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$10260.0M (+8.0% YoY growth). With current run-rate at $10117.5M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$3520.0M (34.3% margin)</t>
        </is>
      </c>
      <c r="D8" s="36" t="inlineStr">
        <is>
          <t>$3456.0M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$3520.0M (34.3%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2.34x</t>
        </is>
      </c>
      <c r="E9" s="33" t="inlineStr">
        <is>
          <t>Ahead of Target</t>
        </is>
      </c>
      <c r="F9" s="38" t="inlineStr">
        <is>
          <t>Deleveraging on track with 1.41x buffer below covenant limit.
[QUESTION TO CFO TO VERIFY]: You previously committed to a Net Leverage ceiling of &lt; 3.25x Net Debt / EBITDA. Current actual leverage stands at 2.34x.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6" t="inlineStr">
        <is>
          <t>$1081.9M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$1176.0M (Maximum growth and sustaining envelope). Current commitments stand at $1081.9M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$1120.0M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$2400.0M in liquid bank deposits</t>
        </is>
      </c>
    </row>
    <row r="35">
      <c r="B35" s="9" t="inlineStr">
        <is>
          <t>Undrawn Committed Credit Lines</t>
        </is>
      </c>
      <c r="C35" s="38" t="inlineStr">
        <is>
          <t>$3460.8M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2026-11-20</t>
        </is>
      </c>
    </row>
    <row r="47">
      <c r="B47" s="9" t="inlineStr">
        <is>
          <t>Reporting Period</t>
        </is>
      </c>
      <c r="C47" s="38" t="inlineStr">
        <is>
          <t>9M 2026 Revenue &amp; EBITDA Update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15:00 Casablanca</t>
        </is>
      </c>
    </row>
    <row r="50">
      <c r="B50" s="9" t="inlineStr">
        <is>
          <t>Official IR Portal / Webcast URL</t>
        </is>
      </c>
      <c r="C50" s="38" t="inlineStr">
        <is>
          <t>https://www.ocpgroup.ma/investors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2026-10-01T04:15:49Z</dcterms:created>
  <dcterms:modified xmlns:dcterms="http://purl.org/dc/terms/" xmlns:xsi="http://www.w3.org/2001/XMLSchema-instance" xsi:type="dcterms:W3CDTF">2026-10-01T04:15:49Z</dcterms:modified>
</cp:coreProperties>
</file>