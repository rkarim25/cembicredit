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OCP Group</t>
        </is>
      </c>
    </row>
    <row r="3">
      <c r="B3" s="2" t="inlineStr">
        <is>
          <t>CEMBI CEEMEA Institutional Credit Assessment | Country: Morocco (Africa) | Sector: Materials | Benchmark: OCP 6.45% 2034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OCP 6.45% 2034</t>
        </is>
      </c>
      <c r="C6" s="5" t="inlineStr">
        <is>
          <t>6.45% (+155 bp)</t>
        </is>
      </c>
      <c r="D6" s="4" t="inlineStr">
        <is>
          <t>BBB- / Baa3 | IG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$75.00</t>
        </is>
      </c>
      <c r="D7" s="4" t="inlineStr">
        <is>
          <t>Base Case Fair Value</t>
        </is>
      </c>
      <c r="E7" s="5" t="inlineStr">
        <is>
          <t>$103.00</t>
        </is>
      </c>
    </row>
    <row r="9">
      <c r="B9" s="6" t="inlineStr">
        <is>
          <t>INSTITUTIONAL INVESTMENT THESIS</t>
        </is>
      </c>
    </row>
    <row r="10">
      <c r="B10" s="7" t="inlineStr">
        <is>
          <t>Controls 70% of world's phosphate rock reserves; $3.2B EBITDA (34% margin); &gt;85% hard currency export revenues.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OCP Group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6460</v>
      </c>
      <c r="D7" s="13" t="n">
        <v>7790</v>
      </c>
      <c r="E7" s="13" t="n">
        <v>8740</v>
      </c>
      <c r="F7" s="13" t="n">
        <v>9500</v>
      </c>
      <c r="G7" s="14" t="n">
        <v>10260</v>
      </c>
      <c r="H7" s="14" t="n">
        <v>10925</v>
      </c>
      <c r="I7" s="14" t="n">
        <v>11400</v>
      </c>
    </row>
    <row r="8">
      <c r="B8" s="12" t="inlineStr">
        <is>
          <t>EBITDA</t>
        </is>
      </c>
      <c r="C8" s="13" t="n">
        <v>2080</v>
      </c>
      <c r="D8" s="13" t="n">
        <v>2560</v>
      </c>
      <c r="E8" s="13" t="n">
        <v>2880</v>
      </c>
      <c r="F8" s="13" t="n">
        <v>3200</v>
      </c>
      <c r="G8" s="14" t="n">
        <v>3520</v>
      </c>
      <c r="H8" s="14" t="n">
        <v>3776</v>
      </c>
      <c r="I8" s="14" t="n">
        <v>3968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270</v>
      </c>
      <c r="D10" s="17" t="n">
        <v>337.6</v>
      </c>
      <c r="E10" s="17" t="n">
        <v>405.1</v>
      </c>
      <c r="F10" s="17" t="n">
        <v>450.1</v>
      </c>
      <c r="G10" s="18" t="n">
        <v>432.1</v>
      </c>
      <c r="H10" s="18" t="n">
        <v>414.1</v>
      </c>
      <c r="I10" s="18" t="n">
        <v>396.1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1686.4</v>
      </c>
      <c r="D12" s="13" t="n">
        <v>2121.6</v>
      </c>
      <c r="E12" s="13" t="n">
        <v>2393.6</v>
      </c>
      <c r="F12" s="13" t="n">
        <v>2720</v>
      </c>
      <c r="G12" s="14" t="n">
        <v>2992</v>
      </c>
      <c r="H12" s="14" t="n">
        <v>3209.6</v>
      </c>
      <c r="I12" s="14" t="n">
        <v>3400</v>
      </c>
    </row>
    <row r="13">
      <c r="B13" s="5" t="inlineStr">
        <is>
          <t>Capital Expenditures (Capex)</t>
        </is>
      </c>
      <c r="C13" s="17" t="n">
        <v>784</v>
      </c>
      <c r="D13" s="17" t="n">
        <v>952</v>
      </c>
      <c r="E13" s="17" t="n">
        <v>1064</v>
      </c>
      <c r="F13" s="17" t="n">
        <v>1120</v>
      </c>
      <c r="G13" s="18" t="n">
        <v>1176</v>
      </c>
      <c r="H13" s="18" t="n">
        <v>1142.4</v>
      </c>
      <c r="I13" s="18" t="n">
        <v>1097.6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1320</v>
      </c>
      <c r="D16" s="13" t="n">
        <v>1680</v>
      </c>
      <c r="E16" s="13" t="n">
        <v>2040</v>
      </c>
      <c r="F16" s="13" t="n">
        <v>2400</v>
      </c>
      <c r="G16" s="14" t="n">
        <v>2832</v>
      </c>
      <c r="H16" s="14" t="n">
        <v>3240</v>
      </c>
      <c r="I16" s="14" t="n">
        <v>3600</v>
      </c>
    </row>
    <row r="17">
      <c r="B17" s="12" t="inlineStr">
        <is>
          <t>Gross Total Debt</t>
        </is>
      </c>
      <c r="C17" s="13" t="n">
        <v>8404.799999999999</v>
      </c>
      <c r="D17" s="13" t="n">
        <v>9097</v>
      </c>
      <c r="E17" s="13" t="n">
        <v>9690.200000000001</v>
      </c>
      <c r="F17" s="13" t="n">
        <v>9888</v>
      </c>
      <c r="G17" s="14" t="n">
        <v>9690.200000000001</v>
      </c>
      <c r="H17" s="14" t="n">
        <v>9393.6</v>
      </c>
      <c r="I17" s="14" t="n">
        <v>8899.200000000001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OCP Group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6.45%</t>
        </is>
      </c>
      <c r="F6" s="21" t="inlineStr">
        <is>
          <t>2028 / 2029</t>
        </is>
      </c>
      <c r="G6" s="17" t="n">
        <v>4449.6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2472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1483.2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988.8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494.4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2040</v>
      </c>
    </row>
    <row r="15">
      <c r="B15" t="inlineStr">
        <is>
          <t>Committed Undrawn RCF Capacity</t>
        </is>
      </c>
      <c r="C15" s="22" t="n">
        <v>1280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1636.6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OCP Group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3200</v>
      </c>
      <c r="D6" s="17" t="n">
        <v>2720</v>
      </c>
      <c r="E6" s="25" t="n">
        <v>2080</v>
      </c>
    </row>
    <row r="7">
      <c r="B7" s="5" t="inlineStr">
        <is>
          <t>Free Cash Flow ($M)</t>
        </is>
      </c>
      <c r="C7" s="17" t="n">
        <v>1600</v>
      </c>
      <c r="D7" s="17" t="n">
        <v>960</v>
      </c>
      <c r="E7" s="25" t="n">
        <v>240</v>
      </c>
    </row>
    <row r="8">
      <c r="B8" s="12" t="inlineStr">
        <is>
          <t>Net Leverage Ratio (x)</t>
        </is>
      </c>
      <c r="C8" s="26" t="n">
        <v>2.34</v>
      </c>
      <c r="D8" s="26" t="n">
        <v>2.92</v>
      </c>
      <c r="E8" s="27" t="n">
        <v>4.33</v>
      </c>
    </row>
    <row r="9">
      <c r="B9" s="5" t="inlineStr">
        <is>
          <t>Interest Coverage Ratio (x)</t>
        </is>
      </c>
      <c r="C9" s="26" t="n">
        <v>7.11</v>
      </c>
      <c r="D9" s="26" t="n">
        <v>5.55</v>
      </c>
      <c r="E9" s="27" t="n">
        <v>3.2</v>
      </c>
    </row>
    <row r="10">
      <c r="B10" s="12" t="inlineStr">
        <is>
          <t>Implied Senior Paper Trading / Recovery ($)</t>
        </is>
      </c>
      <c r="C10" s="12" t="inlineStr">
        <is>
          <t>$103.00</t>
        </is>
      </c>
      <c r="D10" s="12" t="inlineStr">
        <is>
          <t>$87.00</t>
        </is>
      </c>
      <c r="E10" s="28" t="inlineStr">
        <is>
          <t>$75.00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