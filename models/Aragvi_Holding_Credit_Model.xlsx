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$8.1M after capex, interest, working capital, and tax.</t>
      </text>
    </comment>
    <comment ref="D34" authorId="0" shapeId="0">
      <text>
        <t>CEMBI Credit Desk FCF Bridge (2022A):
Formula: EBITDA - Capex - Cash Interest - ΔNWC - Tax
FCF generation of $2.3M after capex, interest, working capital, and tax.</t>
      </text>
    </comment>
    <comment ref="E34" authorId="0" shapeId="0">
      <text>
        <t>CEMBI Credit Desk FCF Bridge (2023A):
Formula: EBITDA - Capex - Cash Interest - ΔNWC - Tax
FCF generation of $2.7M after capex, interest, working capital, and tax.</t>
      </text>
    </comment>
    <comment ref="F34" authorId="0" shapeId="0">
      <text>
        <t>CEMBI Credit Desk FCF Bridge (2024A):
Formula: EBITDA - Capex - Cash Interest - ΔNWC - Tax
FCF generation of $-88.5M after capex, interest, working capital, and tax.</t>
      </text>
    </comment>
    <comment ref="G34" authorId="0" shapeId="0">
      <text>
        <t>CEMBI Credit Desk FCF Bridge (2025E):
Formula: EBITDA - Capex - Cash Interest - ΔNWC - Tax
FCF generation of $-76.2M after capex, interest, working capital, and tax.</t>
      </text>
    </comment>
    <comment ref="H34" authorId="0" shapeId="0">
      <text>
        <t>CEMBI Credit Desk FCF Bridge (2026E):
Formula: EBITDA - Capex - Cash Interest - ΔNWC - Tax
FCF generation of $-139.8M after capex, interest, working capital, and tax.</t>
      </text>
    </comment>
    <comment ref="I34" authorId="0" shapeId="0">
      <text>
        <t>CEMBI Credit Desk FCF Bridge (2027E):
Formula: EBITDA - Capex - Cash Interest - ΔNWC - Tax
FCF generation of $-53.7M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392.085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261.39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217.825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746.5</v>
      </c>
      <c r="D15" s="8" t="n">
        <v>1471.4</v>
      </c>
      <c r="E15" s="8" t="n">
        <v>1173.9</v>
      </c>
      <c r="F15" s="8" t="n">
        <v>1270.3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380</v>
      </c>
      <c r="D16" s="8" t="n">
        <v>749.1</v>
      </c>
      <c r="E16" s="8" t="n">
        <v>597.6</v>
      </c>
      <c r="F16" s="8" t="n">
        <v>646.7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230.7</v>
      </c>
      <c r="D17" s="8" t="n">
        <v>454.8</v>
      </c>
      <c r="E17" s="8" t="n">
        <v>362.8</v>
      </c>
      <c r="F17" s="8" t="n">
        <v>392.6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2035.9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475.1</v>
      </c>
      <c r="D36" s="8" t="n">
        <v>475.1</v>
      </c>
      <c r="E36" s="8" t="n">
        <v>475.1</v>
      </c>
      <c r="F36" s="8" t="n">
        <v>475.1</v>
      </c>
      <c r="G36" s="8" t="n">
        <v>475.1</v>
      </c>
      <c r="H36" s="8" t="n">
        <v>475.1</v>
      </c>
      <c r="I36" s="8" t="n">
        <v>475.1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18</v>
      </c>
      <c r="D16" s="8" t="n">
        <v>13.4</v>
      </c>
      <c r="E16" s="8" t="n">
        <v>40.3</v>
      </c>
      <c r="F16" s="8" t="n">
        <v>22.4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67.3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9.6</v>
      </c>
      <c r="D32" s="8" t="n">
        <v>29.2</v>
      </c>
      <c r="E32" s="8" t="n">
        <v>36.7</v>
      </c>
      <c r="F32" s="8" t="n">
        <v>141.1</v>
      </c>
      <c r="G32" s="8" t="n">
        <v>150.9</v>
      </c>
      <c r="H32" s="8" t="n">
        <v>202.8</v>
      </c>
      <c r="I32" s="8" t="n">
        <v>235.9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303.3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67.40000000000001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104.6</v>
      </c>
      <c r="C32" s="8" t="n">
        <v>191.7</v>
      </c>
      <c r="D32" s="8" t="n">
        <v>244</v>
      </c>
      <c r="E32" s="8" t="n">
        <v>156.8</v>
      </c>
      <c r="F32" s="8" t="n">
        <v>104.6</v>
      </c>
      <c r="G32" s="8" t="n">
        <v>69.7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217.8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653.5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130.7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348.5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2026-10-25T05:16:57Z</dcterms:created>
  <dcterms:modified xmlns:dcterms="http://purl.org/dc/terms/" xmlns:xsi="http://www.w3.org/2001/XMLSchema-instance" xsi:type="dcterms:W3CDTF">2026-10-25T05:16:57Z</dcterms:modified>
</cp:coreProperties>
</file>