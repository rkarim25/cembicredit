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Broker Note] Working Capital &amp; Export Moat: Vertical integration and proprietary supply chain protect gross margins; grain/poultry export revenues in USD/EUR outpace local inflation.
• [Macro Risk Assessment] Geopolitical Transmission: Dedicated logistics corridors and diversified processing hubs mitigate regional supply disruption risks.
• Downside Recovery Floor: $54.0 (Base: $93.0)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Aragvi / Trans-Oil</t>
        </is>
      </c>
    </row>
    <row r="3">
      <c r="B3" s="2" t="inlineStr">
        <is>
          <t>CEMBI CEEMEA Assessment | Country: Moldova | Sector: Consumer | Benchmark: ARAGVI 12.15%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$89.00 (12.15% YTM)</t>
        </is>
      </c>
      <c r="D6" s="4" t="inlineStr">
        <is>
          <t>B / B- (+780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Sunflower Crude &amp; Refined Oil Exports (54%), Grain Origination &amp; Trading (34%), Port Stevedoring (12%)</t>
        </is>
      </c>
      <c r="D7" s="4" t="inlineStr">
        <is>
          <t>Recovery Floor</t>
        </is>
      </c>
      <c r="E7" s="5" t="inlineStr">
        <is>
          <t>$54.00 (Base $93.00)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$93.00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$73.50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$54.00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Aragvi / Trans-Oil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986</v>
      </c>
      <c r="D7" s="15" t="n">
        <v>1189</v>
      </c>
      <c r="E7" s="15" t="n">
        <v>1334</v>
      </c>
      <c r="F7" s="15" t="n">
        <v>1450</v>
      </c>
      <c r="G7" s="16" t="n">
        <v>1566</v>
      </c>
      <c r="H7" s="16" t="n">
        <v>1667.5</v>
      </c>
      <c r="I7" s="16" t="n">
        <v>1740</v>
      </c>
    </row>
    <row r="8">
      <c r="B8" s="5" t="inlineStr">
        <is>
          <t>Cost of Goods Sold (COGS)</t>
        </is>
      </c>
      <c r="C8" s="17" t="n">
        <v>588.7</v>
      </c>
      <c r="D8" s="17" t="n">
        <v>714.8</v>
      </c>
      <c r="E8" s="17" t="n">
        <v>782.1</v>
      </c>
      <c r="F8" s="17" t="n">
        <v>841</v>
      </c>
      <c r="G8" s="18" t="n">
        <v>899.9</v>
      </c>
      <c r="H8" s="18" t="n">
        <v>950.3</v>
      </c>
      <c r="I8" s="18" t="n">
        <v>992.4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323.3</v>
      </c>
      <c r="D11" s="17" t="n">
        <v>368.2</v>
      </c>
      <c r="E11" s="17" t="n">
        <v>413.1</v>
      </c>
      <c r="F11" s="17" t="n">
        <v>449</v>
      </c>
      <c r="G11" s="18" t="n">
        <v>475.9</v>
      </c>
      <c r="H11" s="18" t="n">
        <v>502.9</v>
      </c>
      <c r="I11" s="18" t="n">
        <v>520.8</v>
      </c>
    </row>
    <row r="12">
      <c r="B12" s="14" t="inlineStr">
        <is>
          <t>EBITDA</t>
        </is>
      </c>
      <c r="C12" s="15" t="n">
        <v>104</v>
      </c>
      <c r="D12" s="15" t="n">
        <v>128</v>
      </c>
      <c r="E12" s="15" t="n">
        <v>144</v>
      </c>
      <c r="F12" s="15" t="n">
        <v>160</v>
      </c>
      <c r="G12" s="16" t="n">
        <v>176</v>
      </c>
      <c r="H12" s="16" t="n">
        <v>188.8</v>
      </c>
      <c r="I12" s="16" t="n">
        <v>198.4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44.8</v>
      </c>
      <c r="D14" s="17" t="n">
        <v>49.3</v>
      </c>
      <c r="E14" s="17" t="n">
        <v>53.2</v>
      </c>
      <c r="F14" s="17" t="n">
        <v>56</v>
      </c>
      <c r="G14" s="18" t="n">
        <v>58.8</v>
      </c>
      <c r="H14" s="18" t="n">
        <v>61.6</v>
      </c>
      <c r="I14" s="18" t="n">
        <v>64.40000000000001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21.3</v>
      </c>
      <c r="D16" s="17" t="n">
        <v>26.7</v>
      </c>
      <c r="E16" s="17" t="n">
        <v>32</v>
      </c>
      <c r="F16" s="17" t="n">
        <v>35.6</v>
      </c>
      <c r="G16" s="18" t="n">
        <v>34.1</v>
      </c>
      <c r="H16" s="18" t="n">
        <v>32.7</v>
      </c>
      <c r="I16" s="18" t="n">
        <v>31.3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77.40000000000001</v>
      </c>
      <c r="D20" s="15" t="n">
        <v>97.3</v>
      </c>
      <c r="E20" s="15" t="n">
        <v>109.8</v>
      </c>
      <c r="F20" s="15" t="n">
        <v>124.8</v>
      </c>
      <c r="G20" s="16" t="n">
        <v>137.3</v>
      </c>
      <c r="H20" s="16" t="n">
        <v>147.3</v>
      </c>
      <c r="I20" s="16" t="n">
        <v>156</v>
      </c>
    </row>
    <row r="21">
      <c r="B21" s="5" t="inlineStr">
        <is>
          <t>Capital Expenditures (Capex)</t>
        </is>
      </c>
      <c r="C21" s="17" t="n">
        <v>81.2</v>
      </c>
      <c r="D21" s="17" t="n">
        <v>98.59999999999999</v>
      </c>
      <c r="E21" s="17" t="n">
        <v>110.2</v>
      </c>
      <c r="F21" s="17" t="n">
        <v>116</v>
      </c>
      <c r="G21" s="18" t="n">
        <v>121.8</v>
      </c>
      <c r="H21" s="18" t="n">
        <v>118.3</v>
      </c>
      <c r="I21" s="18" t="n">
        <v>113.7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143.6</v>
      </c>
      <c r="D24" s="17" t="n">
        <v>182.7</v>
      </c>
      <c r="E24" s="17" t="n">
        <v>221.8</v>
      </c>
      <c r="F24" s="17" t="n">
        <v>261</v>
      </c>
      <c r="G24" s="18" t="n">
        <v>308</v>
      </c>
      <c r="H24" s="18" t="n">
        <v>352.4</v>
      </c>
      <c r="I24" s="18" t="n">
        <v>391.5</v>
      </c>
    </row>
    <row r="25">
      <c r="B25" s="14" t="inlineStr">
        <is>
          <t>Gross Debt (Loans + Eurobonds/Sukuk)</t>
        </is>
      </c>
      <c r="C25" s="15" t="n">
        <v>493.8</v>
      </c>
      <c r="D25" s="15" t="n">
        <v>534.5</v>
      </c>
      <c r="E25" s="15" t="n">
        <v>569.4</v>
      </c>
      <c r="F25" s="15" t="n">
        <v>581</v>
      </c>
      <c r="G25" s="16" t="n">
        <v>569.4</v>
      </c>
      <c r="H25" s="16" t="n">
        <v>551.9</v>
      </c>
      <c r="I25" s="16" t="n">
        <v>522.9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