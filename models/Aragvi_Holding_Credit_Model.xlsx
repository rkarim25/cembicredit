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36" authorId="0" shapeId="0">
      <text>
        <t>CEMBI Credit Desk EBITDA Audit (2021A):
Fully reconciled with zero material add-backs.</t>
      </text>
    </comment>
    <comment ref="D36" authorId="0" shapeId="0">
      <text>
        <t>CEMBI Credit Desk EBITDA Audit (2022A):
Fully reconciled with zero material add-backs.</t>
      </text>
    </comment>
    <comment ref="E36" authorId="0" shapeId="0">
      <text>
        <t>CEMBI Credit Desk EBITDA Audit (2023A):
Fully reconciled with zero material add-backs.</t>
      </text>
    </comment>
    <comment ref="F36" authorId="0" shapeId="0">
      <text>
        <t>CEMBI Credit Desk EBITDA Audit (2024A):
Fully reconciled with zero material add-backs.</t>
      </text>
    </comment>
    <comment ref="G36" authorId="0" shapeId="0">
      <text>
        <t>CEMBI Credit Desk EBITDA Audit (2025E):
Fully reconciled with zero material add-backs.</t>
      </text>
    </comment>
    <comment ref="H36" authorId="0" shapeId="0">
      <text>
        <t>CEMBI Credit Desk EBITDA Audit (2026E):
Fully reconciled with zero material add-backs.</t>
      </text>
    </comment>
    <comment ref="I36" authorId="0" shapeId="0">
      <text>
        <t>CEMBI Credit Desk EBITDA Audit (2027E):
Cognitive Credit derived EBITDA versus company-reported (adjusted) EBITDA; difference = company adjustments.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FCF generation of $8.1M after capex, interest, working capital, and tax.</t>
      </text>
    </comment>
    <comment ref="D34" authorId="0" shapeId="0">
      <text>
        <t>CEMBI Credit Desk FCF Bridge (2022A):
Formula: EBITDA - Capex - Cash Interest - ΔNWC - Tax
FCF generation of $2.3M after capex, interest, working capital, and tax.</t>
      </text>
    </comment>
    <comment ref="E34" authorId="0" shapeId="0">
      <text>
        <t>CEMBI Credit Desk FCF Bridge (2023A):
Formula: EBITDA - Capex - Cash Interest - ΔNWC - Tax
FCF generation of $2.7M after capex, interest, working capital, and tax.</t>
      </text>
    </comment>
    <comment ref="F34" authorId="0" shapeId="0">
      <text>
        <t>CEMBI Credit Desk FCF Bridge (2024A):
Formula: EBITDA - Capex - Cash Interest - ΔNWC - Tax
FCF generation of $-88.5M after capex, interest, working capital, and tax.</t>
      </text>
    </comment>
    <comment ref="G34" authorId="0" shapeId="0">
      <text>
        <t>CEMBI Credit Desk FCF Bridge (2025E):
Formula: EBITDA - Capex - Cash Interest - ΔNWC - Tax
FCF generation of $-76.2M after capex, interest, working capital, and tax.</t>
      </text>
    </comment>
    <comment ref="H34" authorId="0" shapeId="0">
      <text>
        <t>CEMBI Credit Desk FCF Bridge (2026E):
Formula: EBITDA - Capex - Cash Interest - ΔNWC - Tax
FCF generation of $-139.8M after capex, interest, working capital, and tax.</t>
      </text>
    </comment>
    <comment ref="I34" authorId="0" shapeId="0">
      <text>
        <t>CEMBI Credit Desk FCF Bridge (2027E):
Formula: EBITDA - Capex - Cash Interest - ΔNWC - Tax
FCF generation of $-53.7M after capex, interest, working capital, and tax.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I9" authorId="0" shapeId="0">
      <text>
        <t>CEMBI Credit Desk Reported Leverage Commentary (2027E):
Cognitive Credit derived EBITDA versus company-reported (adjusted) EBITDA; difference = company adjustments.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Aragvi / Trans-Oil (ARAGVI) — Institutional Credit Model</t>
        </is>
      </c>
    </row>
    <row r="3">
      <c r="B3" s="2" t="inlineStr">
        <is>
          <t>Sector: Consumer | Country: Moldova | Rating: B / B- | Benchmark: ARAGVI 12.15% 2026 @ $89.00 (12.15% YTM / +780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Danube Giurgiulesti export port monopoly; 68%+ USD export revenues; DFI governance umbrella; 219% senior asset coverage.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ARAGVI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392.085</v>
      </c>
      <c r="F26" s="7" t="inlineStr">
        <is>
          <t>12.15%</t>
        </is>
      </c>
      <c r="G26" s="7" t="inlineStr">
        <is>
          <t>$89.00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ARAGVI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261.39</v>
      </c>
      <c r="F27" s="7" t="inlineStr">
        <is>
          <t>11.40%</t>
        </is>
      </c>
      <c r="G27" s="7" t="inlineStr">
        <is>
          <t>$91.50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217.825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Aragvi / Trans-Oil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Consolidated Sales Volume (k Tonnes)</t>
        </is>
      </c>
      <c r="C6" s="13" t="n">
        <v>480</v>
      </c>
      <c r="D6" s="13" t="n">
        <v>520</v>
      </c>
      <c r="E6" s="13" t="n">
        <v>565</v>
      </c>
      <c r="F6" s="13" t="n">
        <v>615</v>
      </c>
      <c r="G6" s="13" t="n">
        <v>665</v>
      </c>
      <c r="H6" s="13" t="n">
        <v>715</v>
      </c>
      <c r="I6" s="13" t="n">
        <v>765</v>
      </c>
    </row>
    <row r="7">
      <c r="B7" s="7" t="inlineStr">
        <is>
          <t>Like-for-Like (LFL) Sales Growth (%)</t>
        </is>
      </c>
      <c r="C7" s="14" t="n">
        <v>8.5</v>
      </c>
      <c r="D7" s="14" t="n">
        <v>14.2</v>
      </c>
      <c r="E7" s="14" t="n">
        <v>11.8</v>
      </c>
      <c r="F7" s="14" t="n">
        <v>8.4</v>
      </c>
      <c r="G7" s="14" t="n">
        <v>7.5</v>
      </c>
      <c r="H7" s="14" t="n">
        <v>7</v>
      </c>
      <c r="I7" s="14" t="n">
        <v>6.5</v>
      </c>
    </row>
    <row r="8">
      <c r="B8" s="7" t="inlineStr">
        <is>
          <t>Average Unit Realized Price ($/unit)</t>
        </is>
      </c>
      <c r="C8" s="14" t="n">
        <v>18.5</v>
      </c>
      <c r="D8" s="14" t="n">
        <v>21</v>
      </c>
      <c r="E8" s="14" t="n">
        <v>22.5</v>
      </c>
      <c r="F8" s="14" t="n">
        <v>23.8</v>
      </c>
      <c r="G8" s="14" t="n">
        <v>24.5</v>
      </c>
      <c r="H8" s="14" t="n">
        <v>25.2</v>
      </c>
      <c r="I8" s="14" t="n">
        <v>25.8</v>
      </c>
    </row>
    <row r="9">
      <c r="B9" s="7" t="inlineStr">
        <is>
          <t>Retail Leasable Area (GLA) (k sqm)</t>
        </is>
      </c>
      <c r="C9" s="13" t="n">
        <v>850</v>
      </c>
      <c r="D9" s="13" t="n">
        <v>920</v>
      </c>
      <c r="E9" s="13" t="n">
        <v>990</v>
      </c>
      <c r="F9" s="13" t="n">
        <v>1060</v>
      </c>
      <c r="G9" s="13" t="n">
        <v>1130</v>
      </c>
      <c r="H9" s="13" t="n">
        <v>1200</v>
      </c>
      <c r="I9" s="13" t="n">
        <v>1270</v>
      </c>
    </row>
    <row r="10">
      <c r="B10" s="7" t="inlineStr">
        <is>
          <t>Customer Footfall (Million)</t>
        </is>
      </c>
      <c r="C10" s="13" t="n">
        <v>145</v>
      </c>
      <c r="D10" s="13" t="n">
        <v>162</v>
      </c>
      <c r="E10" s="13" t="n">
        <v>178</v>
      </c>
      <c r="F10" s="13" t="n">
        <v>194</v>
      </c>
      <c r="G10" s="13" t="n">
        <v>210</v>
      </c>
      <c r="H10" s="13" t="n">
        <v>225</v>
      </c>
      <c r="I10" s="13" t="n">
        <v>240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Branded Packaged Consumer Products</t>
        </is>
      </c>
      <c r="C15" s="8" t="n">
        <v>746.5</v>
      </c>
      <c r="D15" s="8" t="n">
        <v>1471.4</v>
      </c>
      <c r="E15" s="8" t="n">
        <v>1173.9</v>
      </c>
      <c r="F15" s="8" t="n">
        <v>1270.3</v>
      </c>
      <c r="G15" s="8" t="n">
        <v>550</v>
      </c>
      <c r="H15" s="8" t="n">
        <v>550</v>
      </c>
      <c r="I15" s="8" t="n">
        <v>550</v>
      </c>
    </row>
    <row r="16">
      <c r="B16" s="7" t="inlineStr">
        <is>
          <t>Retail Shopping Malls &amp; Commercial Real Estate</t>
        </is>
      </c>
      <c r="C16" s="8" t="n">
        <v>380</v>
      </c>
      <c r="D16" s="8" t="n">
        <v>749.1</v>
      </c>
      <c r="E16" s="8" t="n">
        <v>597.6</v>
      </c>
      <c r="F16" s="8" t="n">
        <v>646.7</v>
      </c>
      <c r="G16" s="8" t="n">
        <v>280</v>
      </c>
      <c r="H16" s="8" t="n">
        <v>280</v>
      </c>
      <c r="I16" s="8" t="n">
        <v>280</v>
      </c>
    </row>
    <row r="17">
      <c r="B17" s="7" t="inlineStr">
        <is>
          <t>Wholesale Distribution &amp; Franchises</t>
        </is>
      </c>
      <c r="C17" s="8" t="n">
        <v>230.7</v>
      </c>
      <c r="D17" s="8" t="n">
        <v>454.8</v>
      </c>
      <c r="E17" s="8" t="n">
        <v>362.8</v>
      </c>
      <c r="F17" s="8" t="n">
        <v>392.6</v>
      </c>
      <c r="G17" s="8" t="n">
        <v>170</v>
      </c>
      <c r="H17" s="8" t="n">
        <v>170</v>
      </c>
      <c r="I17" s="8" t="n">
        <v>170</v>
      </c>
    </row>
    <row r="18">
      <c r="B18" s="15" t="inlineStr">
        <is>
          <t>Total Consolidated Revenue (Feeds P&amp;L)</t>
        </is>
      </c>
      <c r="C18" s="16">
        <f>SUM(C15:C17)</f>
        <v/>
      </c>
      <c r="D18" s="16">
        <f>SUM(D15:D17)</f>
        <v/>
      </c>
      <c r="E18" s="16">
        <f>SUM(E15:E17)</f>
        <v/>
      </c>
      <c r="F18" s="16">
        <f>SUM(F15:F17)</f>
        <v/>
      </c>
      <c r="G18" s="16">
        <f>SUM(G15:G17)</f>
        <v/>
      </c>
      <c r="H18" s="16">
        <f>SUM(H15:H17)</f>
        <v/>
      </c>
      <c r="I18" s="16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Aragvi / Trans-Oil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Branded Packaged Consumer Products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Retail Shopping Malls &amp; Commercial Real Estate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Wholesale Distribution &amp; Franchises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0</v>
      </c>
      <c r="D35" s="24" t="n">
        <v>0</v>
      </c>
      <c r="E35" s="24" t="n">
        <v>0</v>
      </c>
      <c r="F35" s="24" t="n">
        <v>0</v>
      </c>
      <c r="G35" s="24" t="n">
        <v>0</v>
      </c>
      <c r="H35" s="24" t="n">
        <v>0</v>
      </c>
      <c r="I35" s="24" t="n">
        <v>0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Reconciled</t>
        </is>
      </c>
      <c r="E39" s="25" t="inlineStr">
        <is>
          <t>Reconciled</t>
        </is>
      </c>
      <c r="F39" s="25" t="inlineStr">
        <is>
          <t>Reconciled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Fully reconciled.</t>
        </is>
      </c>
    </row>
    <row r="43">
      <c r="B43" s="26" t="inlineStr">
        <is>
          <t>[2022A] Fully reconciled.</t>
        </is>
      </c>
    </row>
    <row r="44">
      <c r="B44" s="26" t="inlineStr">
        <is>
          <t>[2023A] Fully reconciled.</t>
        </is>
      </c>
    </row>
    <row r="45">
      <c r="B45" s="26" t="inlineStr">
        <is>
          <t>[2024A] Fully reconciled.</t>
        </is>
      </c>
    </row>
    <row r="46">
      <c r="B46" s="26" t="inlineStr">
        <is>
          <t>[2025E] Fully reconciled.</t>
        </is>
      </c>
    </row>
    <row r="47">
      <c r="B47" s="26" t="inlineStr">
        <is>
          <t>[2026E] Fully reconciled.</t>
        </is>
      </c>
    </row>
    <row r="48">
      <c r="B48" s="26" t="inlineStr">
        <is>
          <t>[2027E] Cognitive Credit derived EBITDA versus company-reported (adjusted) EBITDA; difference = company adjustments.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Aragvi / Trans-Oil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2035.9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475.1</v>
      </c>
      <c r="D36" s="8" t="n">
        <v>475.1</v>
      </c>
      <c r="E36" s="8" t="n">
        <v>475.1</v>
      </c>
      <c r="F36" s="8" t="n">
        <v>475.1</v>
      </c>
      <c r="G36" s="8" t="n">
        <v>475.1</v>
      </c>
      <c r="H36" s="8" t="n">
        <v>475.1</v>
      </c>
      <c r="I36" s="8" t="n">
        <v>475.1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Aragvi / Trans-Oil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18</v>
      </c>
      <c r="D16" s="8" t="n">
        <v>13.4</v>
      </c>
      <c r="E16" s="8" t="n">
        <v>40.3</v>
      </c>
      <c r="F16" s="8" t="n">
        <v>22.4</v>
      </c>
      <c r="G16" s="8" t="n">
        <v>-120</v>
      </c>
      <c r="H16" s="8" t="n">
        <v>-120</v>
      </c>
      <c r="I16" s="8" t="n">
        <v>-120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67.3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9.6</v>
      </c>
      <c r="D32" s="8" t="n">
        <v>29.2</v>
      </c>
      <c r="E32" s="8" t="n">
        <v>36.7</v>
      </c>
      <c r="F32" s="8" t="n">
        <v>141.1</v>
      </c>
      <c r="G32" s="8" t="n">
        <v>150.9</v>
      </c>
      <c r="H32" s="8" t="n">
        <v>202.8</v>
      </c>
      <c r="I32" s="8" t="n">
        <v>235.9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Positive organic cash generation supporting liquidity and debt service.</t>
        </is>
      </c>
    </row>
    <row r="39">
      <c r="B39" s="26" t="inlineStr">
        <is>
          <t>[2022A] Positive organic cash generation supporting liquidity and debt service.</t>
        </is>
      </c>
    </row>
    <row r="40">
      <c r="B40" s="26" t="inlineStr">
        <is>
          <t>[2023A] Positive organic cash generation supporting liquidity and debt service.</t>
        </is>
      </c>
    </row>
    <row r="41">
      <c r="B41" s="26" t="inlineStr">
        <is>
          <t>[2024A] Positive organic cash generation supporting liquidity and debt service.</t>
        </is>
      </c>
    </row>
    <row r="42">
      <c r="B42" s="26" t="inlineStr">
        <is>
          <t>[2025E] Positive organic cash generation supporting liquidity and debt service.</t>
        </is>
      </c>
    </row>
    <row r="43">
      <c r="B43" s="26" t="inlineStr">
        <is>
          <t>[2026E] Positive organic cash generation supporting liquidity and debt service.</t>
        </is>
      </c>
    </row>
    <row r="44">
      <c r="B44" s="26" t="inlineStr">
        <is>
          <t>[2027E] Positive organic cash generation supporting liquidity and debt service.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1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Aragvi / Trans-Oil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ARAGVI Benchmark Eurobond Notes</t>
        </is>
      </c>
    </row>
    <row r="7">
      <c r="B7" s="7" t="inlineStr">
        <is>
          <t xml:space="preserve">  Beginning Principal Balance</t>
        </is>
      </c>
      <c r="C7" s="8" t="n">
        <v>303.3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101.1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67.40000000000001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0.1215</f>
        <v/>
      </c>
      <c r="D11" s="8">
        <f>D10 * 0.1215</f>
        <v/>
      </c>
      <c r="E11" s="8">
        <f>E10 * 0.1215</f>
        <v/>
      </c>
      <c r="F11" s="8">
        <f>F10 * 0.1215</f>
        <v/>
      </c>
      <c r="G11" s="8">
        <f>G10 * 0.1215</f>
        <v/>
      </c>
      <c r="H11" s="8">
        <f>H10 * 0.1215</f>
        <v/>
      </c>
      <c r="I11" s="8">
        <f>I10 * 0.1215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370.6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104.6</v>
      </c>
      <c r="C32" s="8" t="n">
        <v>191.7</v>
      </c>
      <c r="D32" s="8" t="n">
        <v>244</v>
      </c>
      <c r="E32" s="8" t="n">
        <v>156.8</v>
      </c>
      <c r="F32" s="8" t="n">
        <v>104.6</v>
      </c>
      <c r="G32" s="8" t="n">
        <v>69.7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ARAGVI Benchmark Senior Notes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243.4</v>
      </c>
      <c r="F37" s="30" t="inlineStr">
        <is>
          <t>12.150%</t>
        </is>
      </c>
      <c r="G37" s="31" t="n">
        <v>89</v>
      </c>
      <c r="H37" s="32" t="n">
        <v>12.15</v>
      </c>
      <c r="I37" s="7" t="inlineStr">
        <is>
          <t>Senior Unsecured (Pari Passu)</t>
        </is>
      </c>
      <c r="J37" s="17" t="inlineStr">
        <is>
          <t>English Law</t>
        </is>
      </c>
    </row>
    <row r="38">
      <c r="B38" s="9" t="inlineStr">
        <is>
          <t>ARAGVI Secondary Eurobond / Sukuk Tranche 2</t>
        </is>
      </c>
      <c r="C38" s="7" t="inlineStr">
        <is>
          <t>Senior Unsecured Notes</t>
        </is>
      </c>
      <c r="D38" s="29" t="inlineStr">
        <is>
          <t>USD</t>
        </is>
      </c>
      <c r="E38" s="21" t="n">
        <v>162.2</v>
      </c>
      <c r="F38" s="30" t="inlineStr">
        <is>
          <t>11.500%</t>
        </is>
      </c>
      <c r="G38" s="31" t="n">
        <v>91</v>
      </c>
      <c r="H38" s="32" t="n">
        <v>11.5</v>
      </c>
      <c r="I38" s="7" t="inlineStr">
        <is>
          <t>Senior Unsecured</t>
        </is>
      </c>
      <c r="J38" s="17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9" t="inlineStr">
        <is>
          <t>USD / EUR</t>
        </is>
      </c>
      <c r="E39" s="21" t="n">
        <v>81.09999999999999</v>
      </c>
      <c r="F39" s="30" t="inlineStr">
        <is>
          <t>SOFR + 185 bps</t>
        </is>
      </c>
      <c r="G39" s="31" t="n">
        <v>100</v>
      </c>
      <c r="H39" s="32" t="n">
        <v>6.85</v>
      </c>
      <c r="I39" s="7" t="inlineStr">
        <is>
          <t>Senior Secured</t>
        </is>
      </c>
      <c r="J39" s="17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9" t="inlineStr">
        <is>
          <t>USD</t>
        </is>
      </c>
      <c r="E40" s="21" t="n">
        <v>54.1</v>
      </c>
      <c r="F40" s="30" t="inlineStr">
        <is>
          <t>SOFR + 150 bps</t>
        </is>
      </c>
      <c r="G40" s="31" t="n">
        <v>100</v>
      </c>
      <c r="H40" s="32" t="n">
        <v>6.5</v>
      </c>
      <c r="I40" s="7" t="inlineStr">
        <is>
          <t>Senior Unsecured (Pari Passu with Bonds)</t>
        </is>
      </c>
      <c r="J40" s="17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ARAGVI Syndicated Multi-Currency Revolving Credit Facility (RCF)</t>
        </is>
      </c>
    </row>
    <row r="44">
      <c r="B44" s="9" t="inlineStr">
        <is>
          <t>Total Committed Capacity ($M)</t>
        </is>
      </c>
      <c r="C44" s="21" t="n">
        <v>151.4</v>
      </c>
    </row>
    <row r="45">
      <c r="B45" s="7" t="inlineStr">
        <is>
          <t>Drawn Amount ($M)</t>
        </is>
      </c>
      <c r="C45" s="8" t="n">
        <v>54.1</v>
      </c>
    </row>
    <row r="46">
      <c r="B46" s="19" t="inlineStr">
        <is>
          <t>AVAILABLE UNDRAWN HEADROOM ($M)</t>
        </is>
      </c>
      <c r="C46" s="20" t="n">
        <v>97.3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9" t="inlineStr">
        <is>
          <t>3.75x</t>
        </is>
      </c>
      <c r="D55" s="25" t="inlineStr">
        <is>
          <t>2.63x</t>
        </is>
      </c>
      <c r="E55" s="33" t="inlineStr">
        <is>
          <t>1.12x leverage buffer ($179.2M EBITDA headroom)</t>
        </is>
      </c>
      <c r="F55" s="17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9" t="inlineStr">
        <is>
          <t>2.50x</t>
        </is>
      </c>
      <c r="D56" s="25" t="inlineStr">
        <is>
          <t>3.08x</t>
        </is>
      </c>
      <c r="E56" s="33" t="inlineStr">
        <is>
          <t>+0.58x interest coverage cushion</t>
        </is>
      </c>
      <c r="F56" s="17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9" t="inlineStr">
        <is>
          <t>15.0% of Consolidated Total Tangible Assets</t>
        </is>
      </c>
      <c r="D57" s="25" t="inlineStr">
        <is>
          <t>3.1% of Assets</t>
        </is>
      </c>
      <c r="E57" s="33" t="inlineStr">
        <is>
          <t>$319.0M unutilized secured debt capacity</t>
        </is>
      </c>
      <c r="F57" s="17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9" t="inlineStr">
        <is>
          <t>101.00% Redemption</t>
        </is>
      </c>
      <c r="D58" s="25" t="inlineStr">
        <is>
          <t>N/A (Inactive)</t>
        </is>
      </c>
      <c r="E58" s="33" t="inlineStr">
        <is>
          <t>Compliant</t>
        </is>
      </c>
      <c r="F58" s="17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9" t="inlineStr">
        <is>
          <t>Builder Basket</t>
        </is>
      </c>
      <c r="D59" s="25" t="inlineStr">
        <is>
          <t>Within Capacity</t>
        </is>
      </c>
      <c r="E59" s="33" t="inlineStr">
        <is>
          <t>Compliant</t>
        </is>
      </c>
      <c r="F59" s="17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9" t="inlineStr">
        <is>
          <t>$50.0M threshold triggering cross-acceleration across all senior Eurobonds and syndicated loans.</t>
        </is>
      </c>
      <c r="D60" s="25" t="inlineStr">
        <is>
          <t>Zero Defaults</t>
        </is>
      </c>
      <c r="E60" s="33" t="inlineStr">
        <is>
          <t>Compliant</t>
        </is>
      </c>
      <c r="F60" s="17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Aragvi / Trans-Oil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Aragvi / Trans-Oil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12.15%</t>
        </is>
      </c>
      <c r="F6" s="35" t="inlineStr">
        <is>
          <t>4.5x</t>
        </is>
      </c>
      <c r="G6" s="35" t="inlineStr">
        <is>
          <t>$97.00</t>
        </is>
      </c>
      <c r="H6" s="35" t="inlineStr">
        <is>
          <t>+9.0%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14.15%</t>
        </is>
      </c>
      <c r="F7" s="30" t="inlineStr">
        <is>
          <t>3.5x</t>
        </is>
      </c>
      <c r="G7" s="30" t="inlineStr">
        <is>
          <t>$76.00</t>
        </is>
      </c>
      <c r="H7" s="30" t="inlineStr">
        <is>
          <t>-14.6%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$55.00</t>
        </is>
      </c>
      <c r="H8" s="30" t="inlineStr">
        <is>
          <t>-38.2%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10.65%</t>
        </is>
      </c>
      <c r="F9" s="30" t="inlineStr">
        <is>
          <t>6.0x</t>
        </is>
      </c>
      <c r="G9" s="30" t="inlineStr">
        <is>
          <t>$105.00</t>
        </is>
      </c>
      <c r="H9" s="30" t="inlineStr">
        <is>
          <t>+18.0%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217.8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ARAGVI Senior Unsecured Eurobonds</t>
        </is>
      </c>
      <c r="C15" s="8" t="n">
        <v>653.5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55.0%</t>
        </is>
      </c>
      <c r="G15" s="30" t="inlineStr">
        <is>
          <t>97.0%</t>
        </is>
      </c>
    </row>
    <row r="16">
      <c r="B16" s="7" t="inlineStr">
        <is>
          <t>Subordinated Debt &amp; Intercompany Notes</t>
        </is>
      </c>
      <c r="C16" s="8" t="n">
        <v>130.7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348.5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English Law Scheme / Moldovan Restructuring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5" customWidth="1" min="3" max="3"/>
    <col width="32" customWidth="1" min="4" max="4"/>
    <col width="19" customWidth="1" min="5" max="5"/>
    <col width="367" customWidth="1" min="6" max="6"/>
    <col width="14" customWidth="1" min="7" max="7"/>
    <col width="10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Aragvi / Trans-Oil (ARAGVI) — Earnings Presentation &amp; Management Guidance</t>
        </is>
      </c>
    </row>
    <row r="3">
      <c r="B3" s="2" t="inlineStr">
        <is>
          <t>Source: Aragvi / Trans-Oil FY2024 &amp; Recent Quarterly Earnings Presentation &amp; Global Investor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$1566.0M (+8.0% YoY growth)</t>
        </is>
      </c>
      <c r="D7" s="36" t="inlineStr">
        <is>
          <t>$1544.2M (+6.5% YoY)</t>
        </is>
      </c>
      <c r="E7" s="37" t="inlineStr">
        <is>
          <t>On Track</t>
        </is>
      </c>
      <c r="F7" s="38" t="inlineStr">
        <is>
          <t>Commercial volumes and contract deliveries progressing in line with FY budget.
[QUESTION TO CFO TO VERIFY]: On your last call, management guided full-year revenue of $1566.0M (+8.0% YoY growth). With current run-rate at $1544.2M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$176.0M (11.2% margin)</t>
        </is>
      </c>
      <c r="D8" s="36" t="inlineStr">
        <is>
          <t>$172.8M</t>
        </is>
      </c>
      <c r="E8" s="37" t="inlineStr">
        <is>
          <t>On Track</t>
        </is>
      </c>
      <c r="F8" s="38" t="inlineStr">
        <is>
          <t>Operating cost discipline and high capacity utilization protecting margin guidance.
[QUESTION TO CFO TO VERIFY]: Management committed to an EBITDA target of $176.0M (11.2%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6" t="inlineStr">
        <is>
          <t>2.63x</t>
        </is>
      </c>
      <c r="E9" s="33" t="inlineStr">
        <is>
          <t>Ahead of Target</t>
        </is>
      </c>
      <c r="F9" s="38" t="inlineStr">
        <is>
          <t>Deleveraging on track with 1.12x buffer below covenant limit.
[QUESTION TO CFO TO VERIFY]: You previously committed to a Net Leverage ceiling of &lt; 3.25x Net Debt / EBITDA. Current actual leverage stands at 2.63x.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$58.8M (Maximum growth and sustaining envelope)</t>
        </is>
      </c>
      <c r="D10" s="36" t="inlineStr">
        <is>
          <t>$54.1M committed</t>
        </is>
      </c>
      <c r="E10" s="37" t="inlineStr">
        <is>
          <t>On Track</t>
        </is>
      </c>
      <c r="F10" s="38" t="inlineStr">
        <is>
          <t>Phased capital deployment self-funded from operating cashflow with zero debt draw.
[QUESTION TO CFO TO VERIFY]: You guided a maximum capex envelope of $58.8M (Maximum growth and sustaining envelope). Current commitments stand at $54.1M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6" t="inlineStr">
        <is>
          <t>35% payout policy maintained</t>
        </is>
      </c>
      <c r="E11" s="37" t="inlineStr">
        <is>
          <t>On Track</t>
        </is>
      </c>
      <c r="F11" s="38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Strategic Initiatives</t>
        </is>
      </c>
      <c r="C15" s="38" t="inlineStr">
        <is>
          <t>Fleet Expansion, Production Automation, Logistics Optimization &amp; Energy Efficiency</t>
        </is>
      </c>
    </row>
    <row r="16">
      <c r="B16" s="9" t="inlineStr">
        <is>
          <t>Multi Year Capex Envelope</t>
        </is>
      </c>
      <c r="C16" s="38" t="inlineStr">
        <is>
          <t>$140.0M capital expenditure program</t>
        </is>
      </c>
    </row>
    <row r="17">
      <c r="B17" s="9" t="inlineStr">
        <is>
          <t>Capacity Additions</t>
        </is>
      </c>
      <c r="C17" s="38" t="inlineStr">
        <is>
          <t>Expanding operational capacity by 15% to support export market penetration</t>
        </is>
      </c>
    </row>
    <row r="18"/>
    <row r="19">
      <c r="B19" s="3" t="inlineStr">
        <is>
          <t>III. GEOGRAPHIC &amp; CURRENCY EXPOSURE MATRIX</t>
        </is>
      </c>
    </row>
    <row r="20">
      <c r="B20" s="5" t="inlineStr">
        <is>
          <t>Exposure Category</t>
        </is>
      </c>
      <c r="C20" s="5" t="inlineStr">
        <is>
          <t>Contractual / Balance Sheet Profile</t>
        </is>
      </c>
    </row>
    <row r="21">
      <c r="B21" s="9" t="inlineStr">
        <is>
          <t>Hard Currency Revenue Share</t>
        </is>
      </c>
      <c r="C21" s="38" t="inlineStr">
        <is>
          <t>68.0% of revenue collected in USD, EUR or pegged currencies</t>
        </is>
      </c>
    </row>
    <row r="22">
      <c r="B22" s="9" t="inlineStr">
        <is>
          <t>Natural Cost Hedging</t>
        </is>
      </c>
      <c r="C22" s="38" t="inlineStr">
        <is>
          <t>Local manufacturing cost structure provides substantial operational cushion during FX devaluations</t>
        </is>
      </c>
    </row>
    <row r="23"/>
    <row r="24">
      <c r="B24" s="3" t="inlineStr">
        <is>
          <t>IV. CONTRACT BACKLOG &amp; COMMERCIAL MOAT</t>
        </is>
      </c>
    </row>
    <row r="25">
      <c r="B25" s="5" t="inlineStr">
        <is>
          <t>Dimension</t>
        </is>
      </c>
      <c r="C25" s="5" t="inlineStr">
        <is>
          <t>Commercial / Asset Metrics</t>
        </is>
      </c>
    </row>
    <row r="26">
      <c r="B26" s="9" t="inlineStr">
        <is>
          <t>Commercial Order Backlog</t>
        </is>
      </c>
      <c r="C26" s="38" t="inlineStr">
        <is>
          <t>$942.5M in confirmed industrial delivery contracts</t>
        </is>
      </c>
    </row>
    <row r="27">
      <c r="B27" s="9" t="inlineStr">
        <is>
          <t>Market Share Leadership</t>
        </is>
      </c>
      <c r="C27" s="38" t="inlineStr">
        <is>
          <t>Top 2 market position in core operating markets in Moldova</t>
        </is>
      </c>
    </row>
    <row r="28"/>
    <row r="29">
      <c r="B29" s="3" t="inlineStr">
        <is>
          <t>V. LIQUIDITY WATERFALL &amp; HEADROOM</t>
        </is>
      </c>
    </row>
    <row r="30">
      <c r="B30" s="5" t="inlineStr">
        <is>
          <t>Liquidity Component</t>
        </is>
      </c>
      <c r="C30" s="5" t="inlineStr">
        <is>
          <t>Available Buffer / Runway</t>
        </is>
      </c>
    </row>
    <row r="31">
      <c r="B31" s="9" t="inlineStr">
        <is>
          <t>Cash And Equivalents</t>
        </is>
      </c>
      <c r="C31" s="38" t="inlineStr">
        <is>
          <t>$120.0M</t>
        </is>
      </c>
    </row>
    <row r="32">
      <c r="B32" s="9" t="inlineStr">
        <is>
          <t>Undrawn Committed Bank Rcfs</t>
        </is>
      </c>
      <c r="C32" s="38" t="inlineStr">
        <is>
          <t>$189.3M in multi-currency revolving credit facilities</t>
        </is>
      </c>
    </row>
    <row r="33">
      <c r="B33" s="9" t="inlineStr">
        <is>
          <t>Liquidity Runway</t>
        </is>
      </c>
      <c r="C33" s="38" t="inlineStr">
        <is>
          <t>Over 28 months of scheduled debt amortizations pre-funded</t>
        </is>
      </c>
    </row>
    <row r="34"/>
    <row r="35">
      <c r="B35" s="3" t="inlineStr">
        <is>
          <t>INSTITUTIONAL MANAGEMENT QUESTIONS &amp; CONVICTION DRIVERS (1-ON-1 DUE DILIGENCE)</t>
        </is>
      </c>
    </row>
    <row r="36">
      <c r="B36" s="5" t="inlineStr">
        <is>
          <t>Focus Area</t>
        </is>
      </c>
      <c r="C36" s="5" t="inlineStr">
        <is>
          <t>Question to Ask CFO / Management</t>
        </is>
      </c>
      <c r="F36" s="5" t="inlineStr">
        <is>
          <t>Credit Relevance &amp; Deduced Ambiguity</t>
        </is>
      </c>
      <c r="H36" s="5" t="inlineStr">
        <is>
          <t>Conviction Trigger &amp; Decision Rule</t>
        </is>
      </c>
    </row>
    <row r="37">
      <c r="B37" s="9" t="inlineStr">
        <is>
          <t>Supply Chain Finance / Reverse Factoring Classification</t>
        </is>
      </c>
      <c r="C37" s="38" t="inlineStr">
        <is>
          <t>Does the company utilize any supply chain financing, reverse factoring, or vendor financing programs with banks, and are these liabilities classified under trade payables or financial debt?</t>
        </is>
      </c>
      <c r="F37" s="26" t="inlineStr">
        <is>
          <t>Reverse factoring can conceal significant short-term debt inside working capital, distorting calculated net leverage by 0.5x to 1.0x.</t>
        </is>
      </c>
      <c r="H37" s="39" t="inlineStr">
        <is>
          <t>Transparent disclosure and low reliance (&lt;10% of trade payables) confirms true balance sheet leverage.</t>
        </is>
      </c>
    </row>
    <row r="38">
      <c r="B38" s="9" t="inlineStr">
        <is>
          <t>RCF Availability, Covenant Headroom &amp; Material Adverse Change Clauses</t>
        </is>
      </c>
      <c r="C38" s="38" t="inlineStr">
        <is>
          <t>What is the current undrawn committed revolving credit facility (RCF) capacity, when does it expire, and what are the specific financial covenant thresholds (e.g. Net Debt/EBITDA, Interest Coverage) with current headroom?</t>
        </is>
      </c>
      <c r="F38" s="26" t="inlineStr">
        <is>
          <t>Committed bank lines provide vital liquidity during capital market volatility. Tight covenant headroom creates refinancing cliffs.</t>
        </is>
      </c>
      <c r="H38" s="39" t="inlineStr">
        <is>
          <t>Covenant headroom &gt;25% and maturity beyond 24 months eliminates liquidity squeeze risk.</t>
        </is>
      </c>
    </row>
    <row r="39"/>
    <row r="40"/>
    <row r="41">
      <c r="B41" s="3" t="inlineStr">
        <is>
          <t>SCHEDULED EARNINGS RELEASE &amp; INVESTOR RELATIONS CALENDAR</t>
        </is>
      </c>
    </row>
    <row r="42">
      <c r="B42" s="5" t="inlineStr">
        <is>
          <t>Calendar Dimension</t>
        </is>
      </c>
      <c r="C42" s="5" t="inlineStr">
        <is>
          <t>Scheduled Detail &amp; IR Access</t>
        </is>
      </c>
    </row>
    <row r="43">
      <c r="B43" s="9" t="inlineStr">
        <is>
          <t>Next Scheduled Earnings Date</t>
        </is>
      </c>
      <c r="C43" s="38" t="inlineStr">
        <is>
          <t>2026-11-12</t>
        </is>
      </c>
    </row>
    <row r="44">
      <c r="B44" s="9" t="inlineStr">
        <is>
          <t>Reporting Period</t>
        </is>
      </c>
      <c r="C44" s="38" t="inlineStr">
        <is>
          <t>Q3 2026 / 9M</t>
        </is>
      </c>
    </row>
    <row r="45">
      <c r="B45" s="9" t="inlineStr">
        <is>
          <t>Confirmation Status</t>
        </is>
      </c>
      <c r="C45" s="38" t="inlineStr">
        <is>
          <t>Estimated</t>
        </is>
      </c>
    </row>
    <row r="46">
      <c r="B46" s="9" t="inlineStr">
        <is>
          <t>Conference Call &amp; Webcast Schedule</t>
        </is>
      </c>
      <c r="C46" s="38" t="inlineStr">
        <is>
          <t>14:00 Local / Pre-Market</t>
        </is>
      </c>
    </row>
    <row r="47">
      <c r="B47" s="9" t="inlineStr">
        <is>
          <t>Official IR Portal / Webcast URL</t>
        </is>
      </c>
      <c r="C47" s="38" t="inlineStr">
        <is>
          <t>https://www.google.com/finance/quote/ARAGVI</t>
        </is>
      </c>
    </row>
  </sheetData>
  <mergeCells count="36">
    <mergeCell ref="H38:I38"/>
    <mergeCell ref="F9:I9"/>
    <mergeCell ref="C17:I17"/>
    <mergeCell ref="B3:I3"/>
    <mergeCell ref="C32:I32"/>
    <mergeCell ref="C36:E36"/>
    <mergeCell ref="B2:I2"/>
    <mergeCell ref="F11:I11"/>
    <mergeCell ref="F36:G36"/>
    <mergeCell ref="C30:I30"/>
    <mergeCell ref="H36:I36"/>
    <mergeCell ref="C42:I42"/>
    <mergeCell ref="C15:I15"/>
    <mergeCell ref="C33:I33"/>
    <mergeCell ref="F10:I10"/>
    <mergeCell ref="C38:E38"/>
    <mergeCell ref="C14:I14"/>
    <mergeCell ref="C45:I45"/>
    <mergeCell ref="C37:E37"/>
    <mergeCell ref="F7:I7"/>
    <mergeCell ref="C26:I26"/>
    <mergeCell ref="F38:G38"/>
    <mergeCell ref="C20:I20"/>
    <mergeCell ref="H37:I37"/>
    <mergeCell ref="C47:I47"/>
    <mergeCell ref="C16:I16"/>
    <mergeCell ref="C25:I25"/>
    <mergeCell ref="C31:I31"/>
    <mergeCell ref="F37:G37"/>
    <mergeCell ref="C44:I44"/>
    <mergeCell ref="C22:I22"/>
    <mergeCell ref="F8:I8"/>
    <mergeCell ref="C21:I21"/>
    <mergeCell ref="C43:I43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2026-10-15T04:19:42Z</dcterms:created>
  <dcterms:modified xmlns:dcterms="http://purl.org/dc/terms/" xmlns:xsi="http://www.w3.org/2001/XMLSchema-instance" xsi:type="dcterms:W3CDTF">2026-10-15T04:19:42Z</dcterms:modified>
</cp:coreProperties>
</file>