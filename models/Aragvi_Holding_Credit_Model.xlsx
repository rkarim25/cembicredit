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Institutional Credit Model</t>
        </is>
      </c>
    </row>
    <row r="3">
      <c r="B3" s="2" t="inlineStr">
        <is>
          <t>Sector: Consumer | Country: Moldova | Rating: B / B- | Benchmark: ARAGVI 12.15% 2026 @ $89.00 (12.15% YTM / +780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Danube Giurgiulesti export port terminal; 100% USD grain &amp; sunflower oil exports; Oaktree Capital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ARAGVI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243.36</v>
      </c>
      <c r="F26" s="7" t="inlineStr">
        <is>
          <t>12.15%</t>
        </is>
      </c>
      <c r="G26" s="7" t="inlineStr">
        <is>
          <t>$89.00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ARAGVI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162.24</v>
      </c>
      <c r="F27" s="7" t="inlineStr">
        <is>
          <t>11.40%</t>
        </is>
      </c>
      <c r="G27" s="7" t="inlineStr">
        <is>
          <t>$91.50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135.2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542.3</v>
      </c>
      <c r="D15" s="8" t="n">
        <v>654</v>
      </c>
      <c r="E15" s="8" t="n">
        <v>733.7</v>
      </c>
      <c r="F15" s="8" t="n">
        <v>797.5</v>
      </c>
      <c r="G15" s="8" t="n">
        <v>861.3</v>
      </c>
      <c r="H15" s="8" t="n">
        <v>917.1</v>
      </c>
      <c r="I15" s="8" t="n">
        <v>957</v>
      </c>
    </row>
    <row r="16">
      <c r="B16" s="7" t="inlineStr">
        <is>
          <t>Retail Shopping Malls &amp; Commercial Real Estate</t>
        </is>
      </c>
      <c r="C16" s="8" t="n">
        <v>276.1</v>
      </c>
      <c r="D16" s="8" t="n">
        <v>332.9</v>
      </c>
      <c r="E16" s="8" t="n">
        <v>373.5</v>
      </c>
      <c r="F16" s="8" t="n">
        <v>406</v>
      </c>
      <c r="G16" s="8" t="n">
        <v>438.5</v>
      </c>
      <c r="H16" s="8" t="n">
        <v>466.9</v>
      </c>
      <c r="I16" s="8" t="n">
        <v>487.2</v>
      </c>
    </row>
    <row r="17">
      <c r="B17" s="7" t="inlineStr">
        <is>
          <t>Wholesale Distribution &amp; Franchises</t>
        </is>
      </c>
      <c r="C17" s="8" t="n">
        <v>167.6</v>
      </c>
      <c r="D17" s="8" t="n">
        <v>202.1</v>
      </c>
      <c r="E17" s="8" t="n">
        <v>226.8</v>
      </c>
      <c r="F17" s="8" t="n">
        <v>246.5</v>
      </c>
      <c r="G17" s="8" t="n">
        <v>266.2</v>
      </c>
      <c r="H17" s="8" t="n">
        <v>283.5</v>
      </c>
      <c r="I17" s="8" t="n">
        <v>295.8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1479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345.1</v>
      </c>
      <c r="D36" s="8" t="n">
        <v>345.1</v>
      </c>
      <c r="E36" s="8" t="n">
        <v>345.1</v>
      </c>
      <c r="F36" s="8" t="n">
        <v>345.1</v>
      </c>
      <c r="G36" s="8" t="n">
        <v>345.1</v>
      </c>
      <c r="H36" s="8" t="n">
        <v>345.1</v>
      </c>
      <c r="I36" s="8" t="n">
        <v>345.1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-39.2</v>
      </c>
      <c r="D16" s="8" t="n">
        <v>-47.6</v>
      </c>
      <c r="E16" s="8" t="n">
        <v>-53.2</v>
      </c>
      <c r="F16" s="8" t="n">
        <v>-56</v>
      </c>
      <c r="G16" s="8" t="n">
        <v>-58.8</v>
      </c>
      <c r="H16" s="8" t="n">
        <v>-57.1</v>
      </c>
      <c r="I16" s="8" t="n">
        <v>-54.9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ARAGVI Benchmark Eurobond Notes</t>
        </is>
      </c>
    </row>
    <row r="7">
      <c r="B7" s="7" t="inlineStr">
        <is>
          <t xml:space="preserve">  Beginning Principal Balance</t>
        </is>
      </c>
      <c r="C7" s="8" t="n">
        <v>206.9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0.1215</f>
        <v/>
      </c>
      <c r="D11" s="8">
        <f>D10 * 0.1215</f>
        <v/>
      </c>
      <c r="E11" s="8">
        <f>E10 * 0.1215</f>
        <v/>
      </c>
      <c r="F11" s="8">
        <f>F10 * 0.1215</f>
        <v/>
      </c>
      <c r="G11" s="8">
        <f>G10 * 0.1215</f>
        <v/>
      </c>
      <c r="H11" s="8">
        <f>H10 * 0.1215</f>
        <v/>
      </c>
      <c r="I11" s="8">
        <f>I10 * 0.1215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252.8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64.90000000000001</v>
      </c>
      <c r="C32" s="8" t="n">
        <v>119</v>
      </c>
      <c r="D32" s="8" t="n">
        <v>151.4</v>
      </c>
      <c r="E32" s="8" t="n">
        <v>97.3</v>
      </c>
      <c r="F32" s="8" t="n">
        <v>64.90000000000001</v>
      </c>
      <c r="G32" s="8" t="n">
        <v>43.3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12.15%</t>
        </is>
      </c>
      <c r="F6" s="27" t="inlineStr">
        <is>
          <t>4.2x</t>
        </is>
      </c>
      <c r="G6" s="27" t="inlineStr">
        <is>
          <t>$93.00</t>
        </is>
      </c>
      <c r="H6" s="27" t="inlineStr">
        <is>
          <t>+4.5%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14.15%</t>
        </is>
      </c>
      <c r="F7" s="28" t="inlineStr">
        <is>
          <t>3.2x</t>
        </is>
      </c>
      <c r="G7" s="28" t="inlineStr">
        <is>
          <t>$73.50</t>
        </is>
      </c>
      <c r="H7" s="28" t="inlineStr">
        <is>
          <t>-17.4%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$54.00</t>
        </is>
      </c>
      <c r="H8" s="28" t="inlineStr">
        <is>
          <t>-39.3%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10.65%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+18.0%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135.2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ARAGVI Senior Unsecured Eurobonds</t>
        </is>
      </c>
      <c r="C15" s="8" t="n">
        <v>405.6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54.0%</t>
        </is>
      </c>
      <c r="G15" s="28" t="inlineStr">
        <is>
          <t>93.0%</t>
        </is>
      </c>
    </row>
    <row r="16">
      <c r="B16" s="7" t="inlineStr">
        <is>
          <t>Subordinated Debt &amp; Intercompany Notes</t>
        </is>
      </c>
      <c r="C16" s="8" t="n">
        <v>81.09999999999999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216.3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Moldova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2026-09-19T21:03:30Z</dcterms:created>
  <dcterms:modified xmlns:dcterms="http://purl.org/dc/terms/" xmlns:xsi="http://www.w3.org/2001/XMLSchema-instance" xsi:type="dcterms:W3CDTF">2026-09-19T21:03:30Z</dcterms:modified>
</cp:coreProperties>
</file>