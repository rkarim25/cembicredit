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Fully reconciled with zero material add-backs.</t>
      </text>
    </comment>
    <comment ref="G36" authorId="0" shapeId="0">
      <text>
        <t>CEMBI Credit Desk EBITDA Audit (2025E):
Fully reconciled with zero material add-backs.</t>
      </text>
    </comment>
    <comment ref="H36" authorId="0" shapeId="0">
      <text>
        <t>CEMBI Credit Desk EBITDA Audit (2026E):
Fully reconciled with zero material add-backs.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$8.1M after capex, interest, working capital, and tax.</t>
      </text>
    </comment>
    <comment ref="D34" authorId="0" shapeId="0">
      <text>
        <t>CEMBI Credit Desk FCF Bridge (2022A):
Formula: EBITDA - Capex - Cash Interest - ΔNWC - Tax
FCF generation of $2.3M after capex, interest, working capital, and tax.</t>
      </text>
    </comment>
    <comment ref="E34" authorId="0" shapeId="0">
      <text>
        <t>CEMBI Credit Desk FCF Bridge (2023A):
Formula: EBITDA - Capex - Cash Interest - ΔNWC - Tax
FCF generation of $2.7M after capex, interest, working capital, and tax.</t>
      </text>
    </comment>
    <comment ref="F34" authorId="0" shapeId="0">
      <text>
        <t>CEMBI Credit Desk FCF Bridge (2024A):
Formula: EBITDA - Capex - Cash Interest - ΔNWC - Tax
FCF generation of $-88.5M after capex, interest, working capital, and tax.</t>
      </text>
    </comment>
    <comment ref="G34" authorId="0" shapeId="0">
      <text>
        <t>CEMBI Credit Desk FCF Bridge (2025E):
Formula: EBITDA - Capex - Cash Interest - ΔNWC - Tax
FCF generation of $-76.2M after capex, interest, working capital, and tax.</t>
      </text>
    </comment>
    <comment ref="H34" authorId="0" shapeId="0">
      <text>
        <t>CEMBI Credit Desk FCF Bridge (2026E):
Formula: EBITDA - Capex - Cash Interest - ΔNWC - Tax
FCF generation of $-139.8M after capex, interest, working capital, and tax.</t>
      </text>
    </comment>
    <comment ref="I34" authorId="0" shapeId="0">
      <text>
        <t>CEMBI Credit Desk FCF Bridge (2027E):
Formula: EBITDA - Capex - Cash Interest - ΔNWC - Tax
FCF generation of $-53.7M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Institutional Credit Model</t>
        </is>
      </c>
    </row>
    <row r="3">
      <c r="B3" s="2" t="inlineStr">
        <is>
          <t>Sector: Consumer | Country: Moldova | Rating: B / B- | Benchmark: ARAGVI 12.15% 2026 @ $89.00 (12.15% YTM / +780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Danube Giurgiulesti export port monopoly; 68%+ USD export revenues; DFI governance umbrella; 219% senior asset coverage.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ARAGVI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392.085</v>
      </c>
      <c r="F26" s="7" t="inlineStr">
        <is>
          <t>12.15%</t>
        </is>
      </c>
      <c r="G26" s="7" t="inlineStr">
        <is>
          <t>$89.00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ARAGVI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261.39</v>
      </c>
      <c r="F27" s="7" t="inlineStr">
        <is>
          <t>11.40%</t>
        </is>
      </c>
      <c r="G27" s="7" t="inlineStr">
        <is>
          <t>$91.50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217.825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Sales Volume (k Tonnes)</t>
        </is>
      </c>
      <c r="C6" s="13" t="n">
        <v>480</v>
      </c>
      <c r="D6" s="13" t="n">
        <v>520</v>
      </c>
      <c r="E6" s="13" t="n">
        <v>565</v>
      </c>
      <c r="F6" s="13" t="n">
        <v>615</v>
      </c>
      <c r="G6" s="13" t="n">
        <v>665</v>
      </c>
      <c r="H6" s="13" t="n">
        <v>715</v>
      </c>
      <c r="I6" s="13" t="n">
        <v>765</v>
      </c>
    </row>
    <row r="7">
      <c r="B7" s="7" t="inlineStr">
        <is>
          <t>Like-for-Like (LFL) Sales Growth (%)</t>
        </is>
      </c>
      <c r="C7" s="14" t="n">
        <v>8.5</v>
      </c>
      <c r="D7" s="14" t="n">
        <v>14.2</v>
      </c>
      <c r="E7" s="14" t="n">
        <v>11.8</v>
      </c>
      <c r="F7" s="14" t="n">
        <v>8.4</v>
      </c>
      <c r="G7" s="14" t="n">
        <v>7.5</v>
      </c>
      <c r="H7" s="14" t="n">
        <v>7</v>
      </c>
      <c r="I7" s="14" t="n">
        <v>6.5</v>
      </c>
    </row>
    <row r="8">
      <c r="B8" s="7" t="inlineStr">
        <is>
          <t>Average Unit Realized Price ($/unit)</t>
        </is>
      </c>
      <c r="C8" s="14" t="n">
        <v>18.5</v>
      </c>
      <c r="D8" s="14" t="n">
        <v>21</v>
      </c>
      <c r="E8" s="14" t="n">
        <v>22.5</v>
      </c>
      <c r="F8" s="14" t="n">
        <v>23.8</v>
      </c>
      <c r="G8" s="14" t="n">
        <v>24.5</v>
      </c>
      <c r="H8" s="14" t="n">
        <v>25.2</v>
      </c>
      <c r="I8" s="14" t="n">
        <v>25.8</v>
      </c>
    </row>
    <row r="9">
      <c r="B9" s="7" t="inlineStr">
        <is>
          <t>Retail Leasable Area (GLA) (k sqm)</t>
        </is>
      </c>
      <c r="C9" s="13" t="n">
        <v>850</v>
      </c>
      <c r="D9" s="13" t="n">
        <v>920</v>
      </c>
      <c r="E9" s="13" t="n">
        <v>990</v>
      </c>
      <c r="F9" s="13" t="n">
        <v>1060</v>
      </c>
      <c r="G9" s="13" t="n">
        <v>1130</v>
      </c>
      <c r="H9" s="13" t="n">
        <v>1200</v>
      </c>
      <c r="I9" s="13" t="n">
        <v>1270</v>
      </c>
    </row>
    <row r="10">
      <c r="B10" s="7" t="inlineStr">
        <is>
          <t>Customer Footfall (Million)</t>
        </is>
      </c>
      <c r="C10" s="13" t="n">
        <v>145</v>
      </c>
      <c r="D10" s="13" t="n">
        <v>162</v>
      </c>
      <c r="E10" s="13" t="n">
        <v>178</v>
      </c>
      <c r="F10" s="13" t="n">
        <v>194</v>
      </c>
      <c r="G10" s="13" t="n">
        <v>210</v>
      </c>
      <c r="H10" s="13" t="n">
        <v>225</v>
      </c>
      <c r="I10" s="13" t="n">
        <v>240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Branded Packaged Consumer Products</t>
        </is>
      </c>
      <c r="C15" s="8" t="n">
        <v>746.5</v>
      </c>
      <c r="D15" s="8" t="n">
        <v>1471.4</v>
      </c>
      <c r="E15" s="8" t="n">
        <v>1173.9</v>
      </c>
      <c r="F15" s="8" t="n">
        <v>1270.3</v>
      </c>
      <c r="G15" s="8" t="n">
        <v>550</v>
      </c>
      <c r="H15" s="8" t="n">
        <v>550</v>
      </c>
      <c r="I15" s="8" t="n">
        <v>550</v>
      </c>
    </row>
    <row r="16">
      <c r="B16" s="7" t="inlineStr">
        <is>
          <t>Retail Shopping Malls &amp; Commercial Real Estate</t>
        </is>
      </c>
      <c r="C16" s="8" t="n">
        <v>380</v>
      </c>
      <c r="D16" s="8" t="n">
        <v>749.1</v>
      </c>
      <c r="E16" s="8" t="n">
        <v>597.6</v>
      </c>
      <c r="F16" s="8" t="n">
        <v>646.7</v>
      </c>
      <c r="G16" s="8" t="n">
        <v>280</v>
      </c>
      <c r="H16" s="8" t="n">
        <v>280</v>
      </c>
      <c r="I16" s="8" t="n">
        <v>280</v>
      </c>
    </row>
    <row r="17">
      <c r="B17" s="7" t="inlineStr">
        <is>
          <t>Wholesale Distribution &amp; Franchises</t>
        </is>
      </c>
      <c r="C17" s="8" t="n">
        <v>230.7</v>
      </c>
      <c r="D17" s="8" t="n">
        <v>454.8</v>
      </c>
      <c r="E17" s="8" t="n">
        <v>362.8</v>
      </c>
      <c r="F17" s="8" t="n">
        <v>392.6</v>
      </c>
      <c r="G17" s="8" t="n">
        <v>170</v>
      </c>
      <c r="H17" s="8" t="n">
        <v>170</v>
      </c>
      <c r="I17" s="8" t="n">
        <v>170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Branded Packaged Consumer Products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Retail Shopping Malls &amp; Commercial Real Estate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Wholesale Distribution &amp; Franchises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Fully reconciled.</t>
        </is>
      </c>
    </row>
    <row r="46">
      <c r="B46" s="26" t="inlineStr">
        <is>
          <t>[2025E] Fully reconciled.</t>
        </is>
      </c>
    </row>
    <row r="47">
      <c r="B47" s="26" t="inlineStr">
        <is>
          <t>[2026E] Fully reconciled.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2035.9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475.1</v>
      </c>
      <c r="D36" s="8" t="n">
        <v>475.1</v>
      </c>
      <c r="E36" s="8" t="n">
        <v>475.1</v>
      </c>
      <c r="F36" s="8" t="n">
        <v>475.1</v>
      </c>
      <c r="G36" s="8" t="n">
        <v>475.1</v>
      </c>
      <c r="H36" s="8" t="n">
        <v>475.1</v>
      </c>
      <c r="I36" s="8" t="n">
        <v>475.1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18</v>
      </c>
      <c r="D16" s="8" t="n">
        <v>13.4</v>
      </c>
      <c r="E16" s="8" t="n">
        <v>40.3</v>
      </c>
      <c r="F16" s="8" t="n">
        <v>22.4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67.3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9.6</v>
      </c>
      <c r="D32" s="8" t="n">
        <v>29.2</v>
      </c>
      <c r="E32" s="8" t="n">
        <v>36.7</v>
      </c>
      <c r="F32" s="8" t="n">
        <v>141.1</v>
      </c>
      <c r="G32" s="8" t="n">
        <v>150.9</v>
      </c>
      <c r="H32" s="8" t="n">
        <v>202.8</v>
      </c>
      <c r="I32" s="8" t="n">
        <v>235.9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ARAGVI Benchmark Eurobond Notes</t>
        </is>
      </c>
    </row>
    <row r="7">
      <c r="B7" s="7" t="inlineStr">
        <is>
          <t xml:space="preserve">  Beginning Principal Balance</t>
        </is>
      </c>
      <c r="C7" s="8" t="n">
        <v>303.3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101.1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67.40000000000001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0.1215</f>
        <v/>
      </c>
      <c r="D11" s="8">
        <f>D10 * 0.1215</f>
        <v/>
      </c>
      <c r="E11" s="8">
        <f>E10 * 0.1215</f>
        <v/>
      </c>
      <c r="F11" s="8">
        <f>F10 * 0.1215</f>
        <v/>
      </c>
      <c r="G11" s="8">
        <f>G10 * 0.1215</f>
        <v/>
      </c>
      <c r="H11" s="8">
        <f>H10 * 0.1215</f>
        <v/>
      </c>
      <c r="I11" s="8">
        <f>I10 * 0.1215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370.6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104.6</v>
      </c>
      <c r="C32" s="8" t="n">
        <v>191.7</v>
      </c>
      <c r="D32" s="8" t="n">
        <v>244</v>
      </c>
      <c r="E32" s="8" t="n">
        <v>156.8</v>
      </c>
      <c r="F32" s="8" t="n">
        <v>104.6</v>
      </c>
      <c r="G32" s="8" t="n">
        <v>69.7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ARAGVI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243.4</v>
      </c>
      <c r="F37" s="30" t="inlineStr">
        <is>
          <t>12.150%</t>
        </is>
      </c>
      <c r="G37" s="31" t="n">
        <v>89</v>
      </c>
      <c r="H37" s="32" t="n">
        <v>12.15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ARAGVI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162.2</v>
      </c>
      <c r="F38" s="30" t="inlineStr">
        <is>
          <t>11.500%</t>
        </is>
      </c>
      <c r="G38" s="31" t="n">
        <v>91</v>
      </c>
      <c r="H38" s="32" t="n">
        <v>11.5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81.09999999999999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54.1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ARAGVI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151.4</v>
      </c>
    </row>
    <row r="45">
      <c r="B45" s="7" t="inlineStr">
        <is>
          <t>Drawn Amount ($M)</t>
        </is>
      </c>
      <c r="C45" s="8" t="n">
        <v>54.1</v>
      </c>
    </row>
    <row r="46">
      <c r="B46" s="19" t="inlineStr">
        <is>
          <t>AVAILABLE UNDRAWN HEADROOM ($M)</t>
        </is>
      </c>
      <c r="C46" s="20" t="n">
        <v>97.3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2.63x</t>
        </is>
      </c>
      <c r="E55" s="33" t="inlineStr">
        <is>
          <t>1.12x leverage buffer ($179.2M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3.08x</t>
        </is>
      </c>
      <c r="E56" s="33" t="inlineStr">
        <is>
          <t>+0.58x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$319.0M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12.15%</t>
        </is>
      </c>
      <c r="F6" s="35" t="inlineStr">
        <is>
          <t>4.5x</t>
        </is>
      </c>
      <c r="G6" s="35" t="inlineStr">
        <is>
          <t>$97.00</t>
        </is>
      </c>
      <c r="H6" s="35" t="inlineStr">
        <is>
          <t>+9.0%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14.15%</t>
        </is>
      </c>
      <c r="F7" s="30" t="inlineStr">
        <is>
          <t>3.5x</t>
        </is>
      </c>
      <c r="G7" s="30" t="inlineStr">
        <is>
          <t>$76.00</t>
        </is>
      </c>
      <c r="H7" s="30" t="inlineStr">
        <is>
          <t>-14.6%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$55.00</t>
        </is>
      </c>
      <c r="H8" s="30" t="inlineStr">
        <is>
          <t>-38.2%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10.65%</t>
        </is>
      </c>
      <c r="F9" s="30" t="inlineStr">
        <is>
          <t>6.0x</t>
        </is>
      </c>
      <c r="G9" s="30" t="inlineStr">
        <is>
          <t>$105.00</t>
        </is>
      </c>
      <c r="H9" s="30" t="inlineStr">
        <is>
          <t>+18.0%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217.8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ARAGVI Senior Unsecured Eurobonds</t>
        </is>
      </c>
      <c r="C15" s="8" t="n">
        <v>653.5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55.0%</t>
        </is>
      </c>
      <c r="G15" s="30" t="inlineStr">
        <is>
          <t>97.0%</t>
        </is>
      </c>
    </row>
    <row r="16">
      <c r="B16" s="7" t="inlineStr">
        <is>
          <t>Subordinated Debt &amp; Intercompany Notes</t>
        </is>
      </c>
      <c r="C16" s="8" t="n">
        <v>130.7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348.5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Scheme / Moldovan Restructuring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Aragvi / Trans-Oil (ARAGVI) — Earnings Presentation &amp; Management Guidance</t>
        </is>
      </c>
    </row>
    <row r="3">
      <c r="B3" s="2" t="inlineStr">
        <is>
          <t>Source: Aragvi / Trans-Oil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$1566.0M (+8.0% YoY growth)</t>
        </is>
      </c>
      <c r="D7" s="36" t="inlineStr">
        <is>
          <t>$1544.2M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$1566.0M (+8.0% YoY growth). With current run-rate at $1544.2M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$176.0M (11.2% margin)</t>
        </is>
      </c>
      <c r="D8" s="36" t="inlineStr">
        <is>
          <t>$172.8M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$176.0M (11.2%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2.63x</t>
        </is>
      </c>
      <c r="E9" s="33" t="inlineStr">
        <is>
          <t>Ahead of Target</t>
        </is>
      </c>
      <c r="F9" s="38" t="inlineStr">
        <is>
          <t>Deleveraging on track with 1.12x buffer below covenant limit.
[QUESTION TO CFO TO VERIFY]: You previously committed to a Net Leverage ceiling of &lt; 3.25x Net Debt / EBITDA. Current actual leverage stands at 2.63x.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$58.8M (Maximum growth and sustaining envelope)</t>
        </is>
      </c>
      <c r="D10" s="36" t="inlineStr">
        <is>
          <t>$54.1M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$58.8M (Maximum growth and sustaining envelope). Current commitments stand at $54.1M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$140.0M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$942.5M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Moldova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$120.0M</t>
        </is>
      </c>
    </row>
    <row r="32">
      <c r="B32" s="9" t="inlineStr">
        <is>
          <t>Undrawn Committed Bank Rcfs</t>
        </is>
      </c>
      <c r="C32" s="38" t="inlineStr">
        <is>
          <t>$189.3M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INSTITUTIONAL MANAGEMENT QUESTIONS &amp; CONVICTION DRIVERS (1-ON-1 DUE DILIGENCE)</t>
        </is>
      </c>
    </row>
    <row r="36">
      <c r="B36" s="5" t="inlineStr">
        <is>
          <t>Focus Area</t>
        </is>
      </c>
      <c r="C36" s="5" t="inlineStr">
        <is>
          <t>Question to Ask CFO / Management</t>
        </is>
      </c>
      <c r="F36" s="5" t="inlineStr">
        <is>
          <t>Credit Relevance &amp; Deduced Ambiguity</t>
        </is>
      </c>
      <c r="H36" s="5" t="inlineStr">
        <is>
          <t>Conviction Trigger &amp; Decision Rule</t>
        </is>
      </c>
    </row>
    <row r="37">
      <c r="B37" s="9" t="inlineStr">
        <is>
          <t>Supply Chain Finance / Reverse Factoring Classification</t>
        </is>
      </c>
      <c r="C37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37" s="26" t="inlineStr">
        <is>
          <t>Reverse factoring can conceal significant short-term debt inside working capital, distorting calculated net leverage by 0.5x to 1.0x.</t>
        </is>
      </c>
      <c r="H37" s="39" t="inlineStr">
        <is>
          <t>Transparent disclosure and low reliance (&lt;10% of trade payables) confirms true balance sheet leverage.</t>
        </is>
      </c>
    </row>
    <row r="38">
      <c r="B38" s="9" t="inlineStr">
        <is>
          <t>RCF Availability, Covenant Headroom &amp; Material Adverse Change Clauses</t>
        </is>
      </c>
      <c r="C38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38" s="26" t="inlineStr">
        <is>
          <t>Committed bank lines provide vital liquidity during capital market volatility. Tight covenant headroom creates refinancing cliffs.</t>
        </is>
      </c>
      <c r="H38" s="39" t="inlineStr">
        <is>
          <t>Covenant headroom &gt;25% and maturity beyond 24 months eliminates liquidity squeeze risk.</t>
        </is>
      </c>
    </row>
    <row r="39"/>
    <row r="40"/>
    <row r="41">
      <c r="B41" s="3" t="inlineStr">
        <is>
          <t>SCHEDULED EARNINGS RELEASE &amp; INVESTOR RELATIONS CALENDAR</t>
        </is>
      </c>
    </row>
    <row r="42">
      <c r="B42" s="5" t="inlineStr">
        <is>
          <t>Calendar Dimension</t>
        </is>
      </c>
      <c r="C42" s="5" t="inlineStr">
        <is>
          <t>Scheduled Detail &amp; IR Access</t>
        </is>
      </c>
    </row>
    <row r="43">
      <c r="B43" s="9" t="inlineStr">
        <is>
          <t>Next Scheduled Earnings Date</t>
        </is>
      </c>
      <c r="C43" s="38" t="inlineStr">
        <is>
          <t>2026-11-12</t>
        </is>
      </c>
    </row>
    <row r="44">
      <c r="B44" s="9" t="inlineStr">
        <is>
          <t>Reporting Period</t>
        </is>
      </c>
      <c r="C44" s="38" t="inlineStr">
        <is>
          <t>Q3 2026 / 9M</t>
        </is>
      </c>
    </row>
    <row r="45">
      <c r="B45" s="9" t="inlineStr">
        <is>
          <t>Confirmation Status</t>
        </is>
      </c>
      <c r="C45" s="38" t="inlineStr">
        <is>
          <t>Estimated</t>
        </is>
      </c>
    </row>
    <row r="46">
      <c r="B46" s="9" t="inlineStr">
        <is>
          <t>Conference Call &amp; Webcast Schedule</t>
        </is>
      </c>
      <c r="C46" s="38" t="inlineStr">
        <is>
          <t>14:00 Local / Pre-Market</t>
        </is>
      </c>
    </row>
    <row r="47">
      <c r="B47" s="9" t="inlineStr">
        <is>
          <t>Official IR Portal / Webcast URL</t>
        </is>
      </c>
      <c r="C47" s="38" t="inlineStr">
        <is>
          <t>https://www.google.com/finance/quote/ARAGVI</t>
        </is>
      </c>
    </row>
  </sheetData>
  <mergeCells count="36">
    <mergeCell ref="H38:I38"/>
    <mergeCell ref="F9:I9"/>
    <mergeCell ref="C17:I17"/>
    <mergeCell ref="B3:I3"/>
    <mergeCell ref="C32:I32"/>
    <mergeCell ref="C36:E36"/>
    <mergeCell ref="B2:I2"/>
    <mergeCell ref="F11:I11"/>
    <mergeCell ref="F36:G36"/>
    <mergeCell ref="C30:I30"/>
    <mergeCell ref="H36:I36"/>
    <mergeCell ref="C42:I42"/>
    <mergeCell ref="C15:I15"/>
    <mergeCell ref="C33:I33"/>
    <mergeCell ref="F10:I10"/>
    <mergeCell ref="C38:E38"/>
    <mergeCell ref="C14:I14"/>
    <mergeCell ref="C45:I45"/>
    <mergeCell ref="C37:E37"/>
    <mergeCell ref="F7:I7"/>
    <mergeCell ref="C26:I26"/>
    <mergeCell ref="F38:G38"/>
    <mergeCell ref="C20:I20"/>
    <mergeCell ref="H37:I37"/>
    <mergeCell ref="C47:I47"/>
    <mergeCell ref="C16:I16"/>
    <mergeCell ref="C25:I25"/>
    <mergeCell ref="C31:I31"/>
    <mergeCell ref="F37:G37"/>
    <mergeCell ref="C44:I44"/>
    <mergeCell ref="C22:I22"/>
    <mergeCell ref="F8:I8"/>
    <mergeCell ref="C21:I21"/>
    <mergeCell ref="C43:I43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2026-10-16T04:16:58Z</dcterms:created>
  <dcterms:modified xmlns:dcterms="http://purl.org/dc/terms/" xmlns:xsi="http://www.w3.org/2001/XMLSchema-instance" xsi:type="dcterms:W3CDTF">2026-10-16T04:16:58Z</dcterms:modified>
</cp:coreProperties>
</file>