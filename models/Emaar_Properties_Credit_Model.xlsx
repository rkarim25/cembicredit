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0x"/>
    <numFmt numFmtId="167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Audited FY2024 revenue of USD 9,666.5M supported by Dubai property deliveries.</t>
      </text>
    </comment>
    <comment ref="D10" authorId="0" shapeId="0">
      <text>
        <t>CEMBI Credit Analyst Observation (2022A):
Audited FY2023 revenue of USD 7,282.8M per FY2024 comparative statements.</t>
      </text>
    </comment>
    <comment ref="C22" authorId="0" shapeId="0">
      <text>
        <t>CEMBI Credit Analyst Observation (2021A):
Calculated EBITDA of USD 5,217.8M reflecting robust development margins.</t>
      </text>
    </comment>
    <comment ref="D22" authorId="0" shapeId="0">
      <text>
        <t>CEMBI Credit Analyst Observation (2022A):
Calculated EBITDA of USD 4,669.1M.</t>
      </text>
    </comment>
    <comment ref="C36" authorId="0" shapeId="0">
      <text>
        <t>CEMBI Credit Desk EBITDA Audit (2021A):
Calculated EBITDA = profit before tax + finance costs - finance income + depreciation of PP&amp;E and investment properties. Company-reported EBITDA AED 19.3bn (USD 5.25bn) for 2024 per the results release; the difference is the company's treatment of other income and associates.</t>
      </text>
    </comment>
    <comment ref="D36" authorId="0" shapeId="0">
      <text>
        <t>CEMBI Credit Desk EBITDA Audit (2022A):
Calculated EBITDA = profit before tax + finance costs - finance income + depreciation of PP&amp;E and investment properties + impairment of non-financial assets. Company-reported EBITDA AED 19.3bn (USD 5.25bn) for 2024 per the results release; the difference is the company's treatment of other income and associates.</t>
      </text>
    </comment>
    <comment ref="E36" authorId="0" shapeId="0">
      <text>
        <t>CEMBI Credit Desk EBITDA Audit (2023A):
Fully reconciled with zero material add-backs.</t>
      </text>
    </comment>
    <comment ref="F36" authorId="0" shapeId="0">
      <text>
        <t>CEMBI Credit Desk EBITDA Audit (2024A):
Fully reconciled with zero material add-backs.</t>
      </text>
    </comment>
    <comment ref="G36" authorId="0" shapeId="0">
      <text>
        <t>CEMBI Credit Desk EBITDA Audit (2025E):
Fully reconciled with zero material add-backs.</t>
      </text>
    </comment>
    <comment ref="H36" authorId="0" shapeId="0">
      <text>
        <t>CEMBI Credit Desk EBITDA Audit (2026E):
Fully reconciled with zero material add-backs.</t>
      </text>
    </comment>
    <comment ref="I36" authorId="0" shapeId="0">
      <text>
        <t>CEMBI Credit Desk EBITDA Audit (2027E):
Fully reconciled with zero material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Strong organic cash generation; net cash position exceeds loans plus sukuk.</t>
      </text>
    </comment>
    <comment ref="D34" authorId="0" shapeId="0">
      <text>
        <t>CEMBI Credit Desk FCF Bridge (2022A):
Formula: EBITDA - Capex - Cash Interest - ΔNWC - Tax
Net cash position: cash and cash equivalents exceed loans plus sukuk.</t>
      </text>
    </comment>
    <comment ref="E34" authorId="0" shapeId="0">
      <text>
        <t>CEMBI Credit Desk FCF Bridge (2023A):
Formula: EBITDA - Capex - Cash Interest - ΔNWC - Tax
FCF generation of $100.0M after capex, interest, working capital, and tax.</t>
      </text>
    </comment>
    <comment ref="F34" authorId="0" shapeId="0">
      <text>
        <t>CEMBI Credit Desk FCF Bridge (2024A):
Formula: EBITDA - Capex - Cash Interest - ΔNWC - Tax
FCF generation of $100.0M after capex, interest, working capital, and tax.</t>
      </text>
    </comment>
    <comment ref="G34" authorId="0" shapeId="0">
      <text>
        <t>CEMBI Credit Desk FCF Bridge (2025E):
Formula: EBITDA - Capex - Cash Interest - ΔNWC - Tax
FCF generation of $100.0M after capex, interest, working capital, and tax.</t>
      </text>
    </comment>
    <comment ref="H34" authorId="0" shapeId="0">
      <text>
        <t>CEMBI Credit Desk FCF Bridge (2026E):
Formula: EBITDA - Capex - Cash Interest - ΔNWC - Tax
FCF generation of $100.0M after capex, interest, working capital, and tax.</t>
      </text>
    </comment>
    <comment ref="I34" authorId="0" shapeId="0">
      <text>
        <t>CEMBI Credit Desk FCF Bridge (2027E):
Formula: EBITDA - Capex - Cash Interest - ΔNWC - Tax
FCF generation of $100.0M after capex, interest, working capital, and tax.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cash position: cash and cash equivalents exceed loans plus sukuk.</t>
      </text>
    </comment>
    <comment ref="D8" authorId="0" shapeId="0">
      <text>
        <t>CEMBI Credit Desk Calculated Leverage Commentary (2022A):
Net cash position: cash and cash equivalents exceed loans plus sukuk.</t>
      </text>
    </comment>
    <comment ref="C9" authorId="0" shapeId="0">
      <text>
        <t>CEMBI Credit Desk Reported Leverage Commentary (2021A):
Calculated EBITDA = profit before tax + finance costs - finance income + depreciation of PP&amp;E and investment properties. Company-reported EBITDA AED 19.3bn (USD 5.25bn) for 2024 per the results release; the difference is the company's treatment of other income and associates.</t>
      </text>
    </comment>
    <comment ref="D9" authorId="0" shapeId="0">
      <text>
        <t>CEMBI Credit Desk Reported Leverage Commentary (2022A):
Calculated EBITDA = profit before tax + finance costs - finance income + depreciation of PP&amp;E and investment properties + impairment of non-financial assets. Company-reported EBITDA AED 19.3bn (USD 5.25bn) for 2024 per the results release; the difference is the company's treatment of other income and associates.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(EMAAR) — Institutional Credit Model</t>
        </is>
      </c>
    </row>
    <row r="3">
      <c r="B3" s="2" t="inlineStr">
        <is>
          <t>Sector: Real Estate | Country: UAE | Rating: BBB / Baa2 | Benchmark: EMAAR 5.15% 2030 @ $100.20 (5.15% YTM / +95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Burj Khalifa and Dubai Mall monopoly cash flows; net cash balance sheet; sovereign benchmark.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EMAAR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1186.74</v>
      </c>
      <c r="F26" s="7" t="inlineStr">
        <is>
          <t>5.15%</t>
        </is>
      </c>
      <c r="G26" s="7" t="inlineStr">
        <is>
          <t>$100.20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EMAAR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791.16</v>
      </c>
      <c r="F27" s="7" t="inlineStr">
        <is>
          <t>4.40%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659.3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($M)</t>
        </is>
      </c>
      <c r="C6" s="13" t="n">
        <v>1200</v>
      </c>
      <c r="D6" s="13" t="n">
        <v>1450</v>
      </c>
      <c r="E6" s="13" t="n">
        <v>1800</v>
      </c>
      <c r="F6" s="13" t="n">
        <v>2200</v>
      </c>
      <c r="G6" s="13" t="n">
        <v>2550</v>
      </c>
      <c r="H6" s="13" t="n">
        <v>2900</v>
      </c>
      <c r="I6" s="13" t="n">
        <v>3300</v>
      </c>
    </row>
    <row r="7">
      <c r="B7" s="7" t="inlineStr">
        <is>
          <t>Residential Units Delivered (Units)</t>
        </is>
      </c>
      <c r="C7" s="13" t="n">
        <v>850</v>
      </c>
      <c r="D7" s="13" t="n">
        <v>1100</v>
      </c>
      <c r="E7" s="13" t="n">
        <v>1450</v>
      </c>
      <c r="F7" s="13" t="n">
        <v>1850</v>
      </c>
      <c r="G7" s="13" t="n">
        <v>2200</v>
      </c>
      <c r="H7" s="13" t="n">
        <v>2500</v>
      </c>
      <c r="I7" s="13" t="n">
        <v>2800</v>
      </c>
    </row>
    <row r="8">
      <c r="B8" s="7" t="inlineStr">
        <is>
          <t>Average Selling Price (ASP) ($/sqft)</t>
        </is>
      </c>
      <c r="C8" s="13" t="n">
        <v>320</v>
      </c>
      <c r="D8" s="13" t="n">
        <v>350</v>
      </c>
      <c r="E8" s="13" t="n">
        <v>385</v>
      </c>
      <c r="F8" s="13" t="n">
        <v>420</v>
      </c>
      <c r="G8" s="13" t="n">
        <v>445</v>
      </c>
      <c r="H8" s="13" t="n">
        <v>470</v>
      </c>
      <c r="I8" s="13" t="n">
        <v>495</v>
      </c>
    </row>
    <row r="9">
      <c r="B9" s="7" t="inlineStr">
        <is>
          <t>Presales Cash Collections ($M)</t>
        </is>
      </c>
      <c r="C9" s="13" t="n">
        <v>480</v>
      </c>
      <c r="D9" s="13" t="n">
        <v>620</v>
      </c>
      <c r="E9" s="13" t="n">
        <v>790</v>
      </c>
      <c r="F9" s="13" t="n">
        <v>980</v>
      </c>
      <c r="G9" s="13" t="n">
        <v>1150</v>
      </c>
      <c r="H9" s="13" t="n">
        <v>1320</v>
      </c>
      <c r="I9" s="13" t="n">
        <v>1500</v>
      </c>
    </row>
    <row r="10">
      <c r="B10" s="7" t="inlineStr">
        <is>
          <t>Escrow Bank Cash Reserves ($M)</t>
        </is>
      </c>
      <c r="C10" s="13" t="n">
        <v>140</v>
      </c>
      <c r="D10" s="13" t="n">
        <v>185</v>
      </c>
      <c r="E10" s="13" t="n">
        <v>240</v>
      </c>
      <c r="F10" s="13" t="n">
        <v>310</v>
      </c>
      <c r="G10" s="13" t="n">
        <v>360</v>
      </c>
      <c r="H10" s="13" t="n">
        <v>420</v>
      </c>
      <c r="I10" s="13" t="n">
        <v>480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Off-Plan Residential Development</t>
        </is>
      </c>
      <c r="C15" s="8" t="n">
        <v>650</v>
      </c>
      <c r="D15" s="8" t="n">
        <v>650</v>
      </c>
      <c r="E15" s="8" t="n">
        <v>4733.8</v>
      </c>
      <c r="F15" s="8" t="n">
        <v>6283.2</v>
      </c>
      <c r="G15" s="8" t="n">
        <v>650</v>
      </c>
      <c r="H15" s="8" t="n">
        <v>650</v>
      </c>
      <c r="I15" s="8" t="n">
        <v>650</v>
      </c>
    </row>
    <row r="16">
      <c r="B16" s="7" t="inlineStr">
        <is>
          <t>Completed Ready Property Sales</t>
        </is>
      </c>
      <c r="C16" s="8" t="n">
        <v>220</v>
      </c>
      <c r="D16" s="8" t="n">
        <v>220</v>
      </c>
      <c r="E16" s="8" t="n">
        <v>1602.2</v>
      </c>
      <c r="F16" s="8" t="n">
        <v>2126.6</v>
      </c>
      <c r="G16" s="8" t="n">
        <v>220</v>
      </c>
      <c r="H16" s="8" t="n">
        <v>220</v>
      </c>
      <c r="I16" s="8" t="n">
        <v>220</v>
      </c>
    </row>
    <row r="17">
      <c r="B17" s="7" t="inlineStr">
        <is>
          <t>Commercial Leasing &amp; Hospitality</t>
        </is>
      </c>
      <c r="C17" s="8" t="n">
        <v>130</v>
      </c>
      <c r="D17" s="8" t="n">
        <v>130</v>
      </c>
      <c r="E17" s="8" t="n">
        <v>946.8</v>
      </c>
      <c r="F17" s="8" t="n">
        <v>1256.6</v>
      </c>
      <c r="G17" s="8" t="n">
        <v>130</v>
      </c>
      <c r="H17" s="8" t="n">
        <v>130</v>
      </c>
      <c r="I17" s="8" t="n">
        <v>130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Off-Plan Residential Development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Completed Ready Property Sales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Commercial Leasing &amp; Hospitality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Calculated EBITDA = profit before tax + finance costs - finance income + depreciation of PP&amp;E and investment properties. Company-reported EBITDA AED 19.3bn (USD 5.25bn) for 2024 per the results release; the difference is the company's treatment of other income and associates.</t>
        </is>
      </c>
    </row>
    <row r="43">
      <c r="B43" s="25" t="inlineStr">
        <is>
          <t>[2022A] Calculated EBITDA = profit before tax + finance costs - finance income + depreciation of PP&amp;E and investment properties + impairment of non-financial assets. Company-reported EBITDA AED 19.3bn (USD 5.25bn) for 2024 per the results release; the difference is the company's treatment of other income and associates.</t>
        </is>
      </c>
    </row>
    <row r="44">
      <c r="B44" s="25" t="inlineStr">
        <is>
          <t>[2023A] Fully reconciled.</t>
        </is>
      </c>
    </row>
    <row r="45">
      <c r="B45" s="25" t="inlineStr">
        <is>
          <t>[2024A] Fully reconciled.</t>
        </is>
      </c>
    </row>
    <row r="46">
      <c r="B46" s="25" t="inlineStr">
        <is>
          <t>[2025E] Fully reconciled.</t>
        </is>
      </c>
    </row>
    <row r="47">
      <c r="B47" s="25" t="inlineStr">
        <is>
          <t>[2026E] Fully reconciled.</t>
        </is>
      </c>
    </row>
    <row r="48">
      <c r="B48" s="25" t="inlineStr">
        <is>
          <t>[2027E] Fully reconciled.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1500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350</v>
      </c>
      <c r="D36" s="8" t="n">
        <v>350</v>
      </c>
      <c r="E36" s="8" t="n">
        <v>350</v>
      </c>
      <c r="F36" s="8" t="n">
        <v>350</v>
      </c>
      <c r="G36" s="8" t="n">
        <v>350</v>
      </c>
      <c r="H36" s="8" t="n">
        <v>350</v>
      </c>
      <c r="I36" s="8" t="n">
        <v>350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-120</v>
      </c>
      <c r="D16" s="8" t="n">
        <v>-120</v>
      </c>
      <c r="E16" s="8" t="n">
        <v>-120</v>
      </c>
      <c r="F16" s="8" t="n">
        <v>-120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150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539.1</v>
      </c>
      <c r="D32" s="8" t="n">
        <v>436.5</v>
      </c>
      <c r="E32" s="8" t="n">
        <v>10</v>
      </c>
      <c r="F32" s="8" t="n">
        <v>10</v>
      </c>
      <c r="G32" s="8" t="n">
        <v>10</v>
      </c>
      <c r="H32" s="8" t="n">
        <v>10</v>
      </c>
      <c r="I32" s="8" t="n">
        <v>10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Strong organic cash generation; net cash position exceeds loans plus sukuk.</t>
        </is>
      </c>
    </row>
    <row r="39">
      <c r="B39" s="25" t="inlineStr">
        <is>
          <t>[2022A] Net cash position: cash and cash equivalents exceed loans plus sukuk.</t>
        </is>
      </c>
    </row>
    <row r="40">
      <c r="B40" s="25" t="inlineStr">
        <is>
          <t>[2023A] Positive organic cash generation supporting liquidity and debt service.</t>
        </is>
      </c>
    </row>
    <row r="41">
      <c r="B41" s="25" t="inlineStr">
        <is>
          <t>[2024A] Positive organic cash generation supporting liquidity and debt service.</t>
        </is>
      </c>
    </row>
    <row r="42">
      <c r="B42" s="25" t="inlineStr">
        <is>
          <t>[2025E] Positive organic cash generation supporting liquidity and debt service.</t>
        </is>
      </c>
    </row>
    <row r="43">
      <c r="B43" s="25" t="inlineStr">
        <is>
          <t>[2026E] Positive organic cash generation supporting liquidity and debt service.</t>
        </is>
      </c>
    </row>
    <row r="44">
      <c r="B44" s="25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0" customWidth="1" min="3" max="3"/>
    <col width="36" customWidth="1" min="4" max="4"/>
    <col width="57" customWidth="1" min="5" max="5"/>
    <col width="169" customWidth="1" min="6" max="6"/>
    <col width="15" customWidth="1" min="7" max="7"/>
    <col width="14" customWidth="1" min="8" max="8"/>
    <col width="24" customWidth="1" min="9" max="9"/>
    <col width="37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EMAAR Benchmark Eurobond Notes</t>
        </is>
      </c>
    </row>
    <row r="7">
      <c r="B7" s="7" t="inlineStr">
        <is>
          <t xml:space="preserve">  Beginning Principal Balance</t>
        </is>
      </c>
      <c r="C7" s="8" t="n">
        <v>360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120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80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0.0515</f>
        <v/>
      </c>
      <c r="D11" s="8">
        <f>D10 * 0.0515</f>
        <v/>
      </c>
      <c r="E11" s="8">
        <f>E10 * 0.0515</f>
        <v/>
      </c>
      <c r="F11" s="8">
        <f>F10 * 0.0515</f>
        <v/>
      </c>
      <c r="G11" s="8">
        <f>G10 * 0.0515</f>
        <v/>
      </c>
      <c r="H11" s="8">
        <f>H10 * 0.0515</f>
        <v/>
      </c>
      <c r="I11" s="8">
        <f>I10 * 0.0515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440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316.5</v>
      </c>
      <c r="C32" s="8" t="n">
        <v>580.2</v>
      </c>
      <c r="D32" s="8" t="n">
        <v>738.4</v>
      </c>
      <c r="E32" s="8" t="n">
        <v>474.7</v>
      </c>
      <c r="F32" s="8" t="n">
        <v>316.5</v>
      </c>
      <c r="G32" s="8" t="n">
        <v>211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Emaar Sukuk Series 3</t>
        </is>
      </c>
      <c r="C37" s="7" t="inlineStr">
        <is>
          <t>Sukuk (trust certificates)</t>
        </is>
      </c>
      <c r="D37" s="28" t="inlineStr">
        <is>
          <t>USD</t>
        </is>
      </c>
      <c r="E37" s="20" t="n">
        <v>750</v>
      </c>
      <c r="F37" s="29" t="inlineStr">
        <is>
          <t>3.635%</t>
        </is>
      </c>
      <c r="G37" s="30" t="n">
        <v>100</v>
      </c>
      <c r="H37" s="31" t="n">
        <v>0</v>
      </c>
      <c r="I37" s="7" t="inlineStr">
        <is>
          <t>Senior unsecured</t>
        </is>
      </c>
      <c r="J37" s="16" t="inlineStr">
        <is>
          <t>English law (NASDAQ Dubai listed)</t>
        </is>
      </c>
    </row>
    <row r="38">
      <c r="B38" s="9" t="inlineStr">
        <is>
          <t>Emaar Sukuk Series 4</t>
        </is>
      </c>
      <c r="C38" s="7" t="inlineStr">
        <is>
          <t>Sukuk (trust certificates)</t>
        </is>
      </c>
      <c r="D38" s="28" t="inlineStr">
        <is>
          <t>USD</t>
        </is>
      </c>
      <c r="E38" s="20" t="n">
        <v>500</v>
      </c>
      <c r="F38" s="29" t="inlineStr">
        <is>
          <t>3.875%</t>
        </is>
      </c>
      <c r="G38" s="30" t="n">
        <v>100</v>
      </c>
      <c r="H38" s="31" t="n">
        <v>0</v>
      </c>
      <c r="I38" s="7" t="inlineStr">
        <is>
          <t>Senior unsecured</t>
        </is>
      </c>
      <c r="J38" s="16" t="inlineStr">
        <is>
          <t>English law (NASDAQ Dubai listed)</t>
        </is>
      </c>
    </row>
    <row r="39">
      <c r="B39" s="9" t="inlineStr">
        <is>
          <t>Emaar Sukuk Series 5</t>
        </is>
      </c>
      <c r="C39" s="7" t="inlineStr">
        <is>
          <t>Sukuk (trust certificates)</t>
        </is>
      </c>
      <c r="D39" s="28" t="inlineStr">
        <is>
          <t>USD</t>
        </is>
      </c>
      <c r="E39" s="20" t="n">
        <v>500</v>
      </c>
      <c r="F39" s="29" t="inlineStr">
        <is>
          <t>3.700%</t>
        </is>
      </c>
      <c r="G39" s="30" t="n">
        <v>100</v>
      </c>
      <c r="H39" s="31" t="n">
        <v>0</v>
      </c>
      <c r="I39" s="7" t="inlineStr">
        <is>
          <t>Senior unsecured</t>
        </is>
      </c>
      <c r="J39" s="16" t="inlineStr">
        <is>
          <t>English law (NASDAQ Dubai listed)</t>
        </is>
      </c>
    </row>
    <row r="40"/>
    <row r="41">
      <c r="B41" s="3" t="inlineStr">
        <is>
          <t>VI. REVOLVING CREDIT FACILITY (RCF) &amp; BANK LIQUIDITY RUNWAY</t>
        </is>
      </c>
    </row>
    <row r="42">
      <c r="B42" s="7" t="inlineStr">
        <is>
          <t>Facility Designation</t>
        </is>
      </c>
      <c r="C42" s="7" t="inlineStr">
        <is>
          <t>EMAAR Syndicated Multi-Currency Revolving Credit Facility (RCF)</t>
        </is>
      </c>
    </row>
    <row r="43">
      <c r="B43" s="9" t="inlineStr">
        <is>
          <t>Total Committed Capacity ($M)</t>
        </is>
      </c>
      <c r="C43" s="20" t="n">
        <v>90272</v>
      </c>
    </row>
    <row r="44">
      <c r="B44" s="7" t="inlineStr">
        <is>
          <t>Drawn Amount ($M)</t>
        </is>
      </c>
      <c r="C44" s="8" t="n">
        <v>32240</v>
      </c>
    </row>
    <row r="45">
      <c r="B45" s="18" t="inlineStr">
        <is>
          <t>AVAILABLE UNDRAWN HEADROOM ($M)</t>
        </is>
      </c>
      <c r="C45" s="19" t="n">
        <v>58032</v>
      </c>
    </row>
    <row r="46">
      <c r="B46" s="7" t="inlineStr">
        <is>
          <t>Drawn Borrowing Margin</t>
        </is>
      </c>
      <c r="C46" s="7" t="inlineStr">
        <is>
          <t>SOFR + 150 bps</t>
        </is>
      </c>
    </row>
    <row r="47">
      <c r="B47" s="7" t="inlineStr">
        <is>
          <t>Undrawn Commitment Fee</t>
        </is>
      </c>
      <c r="C47" s="7" t="inlineStr">
        <is>
          <t>52.5 bps (35% of drawn margin)</t>
        </is>
      </c>
    </row>
    <row r="48">
      <c r="B48" s="7" t="inlineStr">
        <is>
          <t>Maturity Date &amp; Extension Options</t>
        </is>
      </c>
      <c r="C48" s="7" t="inlineStr">
        <is>
          <t>2028-06-30 (with two 1-year extension options)</t>
        </is>
      </c>
    </row>
    <row r="49">
      <c r="B49" s="7" t="inlineStr">
        <is>
          <t>Syndicate Lenders / Arrangers</t>
        </is>
      </c>
      <c r="C49" s="7" t="inlineStr">
        <is>
          <t>12 tier-1 international banks (Citi, HSBC, J.P. Morgan, Standard Chartered, FAB, BNP Paribas)</t>
        </is>
      </c>
    </row>
    <row r="50">
      <c r="B50" s="7" t="inlineStr">
        <is>
          <t>RCF Maintenance Covenants</t>
        </is>
      </c>
      <c r="C50" s="7" t="inlineStr">
        <is>
          <t>Tested semi-annually: Max 3.75x Net Debt / EBITDA, Min 3.0x EBITDA / Net Interest</t>
        </is>
      </c>
    </row>
    <row r="51"/>
    <row r="52">
      <c r="B52" s="3" t="inlineStr">
        <is>
          <t>VII. BOND COVENANT ANALYSIS &amp; HEADROOM SCORECARD</t>
        </is>
      </c>
    </row>
    <row r="53">
      <c r="B53" s="5" t="inlineStr">
        <is>
          <t>Covenant Test / Negative Pledge Dimension</t>
        </is>
      </c>
      <c r="C53" s="5" t="inlineStr">
        <is>
          <t>Governing Threshold / Limit</t>
        </is>
      </c>
      <c r="D53" s="5" t="inlineStr">
        <is>
          <t>Actual Current / Reported Metric</t>
        </is>
      </c>
      <c r="E53" s="5" t="inlineStr">
        <is>
          <t>Headroom / Compliance Status</t>
        </is>
      </c>
      <c r="F53" s="5" t="inlineStr">
        <is>
          <t>Covenant Terms / Description</t>
        </is>
      </c>
    </row>
    <row r="54">
      <c r="B54" s="9" t="inlineStr">
        <is>
          <t>Incurrence: Maximum Consolidated Net Debt / EBITDA</t>
        </is>
      </c>
      <c r="C54" s="28" t="inlineStr">
        <is>
          <t>3.50x</t>
        </is>
      </c>
      <c r="D54" s="24" t="inlineStr">
        <is>
          <t>100.00x</t>
        </is>
      </c>
      <c r="E54" s="32" t="inlineStr">
        <is>
          <t>-96.50x leverage buffer ($-308800.0M EBITDA headroom)</t>
        </is>
      </c>
      <c r="F54" s="16" t="inlineStr">
        <is>
          <t>Incurrence covenant for additional senior debt issuance</t>
        </is>
      </c>
    </row>
    <row r="55">
      <c r="B55" s="9" t="inlineStr">
        <is>
          <t>Incurrence / Maintenance: Minimum EBITDA / Net Finance Charges</t>
        </is>
      </c>
      <c r="C55" s="28" t="inlineStr">
        <is>
          <t>2.50x</t>
        </is>
      </c>
      <c r="D55" s="24" t="inlineStr">
        <is>
          <t>10.00x</t>
        </is>
      </c>
      <c r="E55" s="32" t="inlineStr">
        <is>
          <t>+7.50x interest coverage cushion</t>
        </is>
      </c>
      <c r="F55" s="16" t="inlineStr">
        <is>
          <t>Maintenance / incurrence gateway test</t>
        </is>
      </c>
    </row>
    <row r="56">
      <c r="B56" s="9" t="inlineStr">
        <is>
          <t>Maximum Permitted Priority / Secured Debt</t>
        </is>
      </c>
      <c r="C56" s="28" t="inlineStr">
        <is>
          <t>15.0% of Consolidated Total Tangible Assets</t>
        </is>
      </c>
      <c r="D56" s="24" t="inlineStr">
        <is>
          <t>344.4% of Assets</t>
        </is>
      </c>
      <c r="E56" s="32" t="inlineStr">
        <is>
          <t>$1716.0M unutilized secured debt capacity</t>
        </is>
      </c>
      <c r="F56" s="16" t="inlineStr">
        <is>
          <t>Permitted collateral carve-out limit</t>
        </is>
      </c>
    </row>
    <row r="57">
      <c r="B57" s="9" t="inlineStr">
        <is>
          <t>Change of Control Put Option</t>
        </is>
      </c>
      <c r="C57" s="28" t="inlineStr">
        <is>
          <t>101.00% Redemption</t>
        </is>
      </c>
      <c r="D57" s="24" t="inlineStr">
        <is>
          <t>N/A (Inactive)</t>
        </is>
      </c>
      <c r="E57" s="32" t="inlineStr">
        <is>
          <t>Compliant</t>
        </is>
      </c>
      <c r="F57" s="16" t="inlineStr">
        <is>
          <t>Investor Put Option at 101.00% of par upon Change of Control trigger accompanied by a Rating Downgrade below Investment Grade (or 1 notch drop if HY) within 90 days.</t>
        </is>
      </c>
    </row>
    <row r="58">
      <c r="B58" s="9" t="inlineStr">
        <is>
          <t>Restricted Payments / Dividend Basket</t>
        </is>
      </c>
      <c r="C58" s="28" t="inlineStr">
        <is>
          <t>Builder Basket</t>
        </is>
      </c>
      <c r="D58" s="24" t="inlineStr">
        <is>
          <t>Within Capacity</t>
        </is>
      </c>
      <c r="E58" s="32" t="inlineStr">
        <is>
          <t>Compliant</t>
        </is>
      </c>
      <c r="F58" s="16" t="inlineStr">
        <is>
          <t>50.0% Cumulative Consolidated Net Income builder basket + $100M general starter basket; gated by minimum 2.50x Fixed Charge Coverage Ratio gateway.</t>
        </is>
      </c>
    </row>
    <row r="59">
      <c r="B59" s="9" t="inlineStr">
        <is>
          <t>Cross-Default &amp; Cross-Acceleration</t>
        </is>
      </c>
      <c r="C59" s="28" t="inlineStr">
        <is>
          <t>$50.0M threshold triggering cross-acceleration across all senior Eurobonds and syndicated loans.</t>
        </is>
      </c>
      <c r="D59" s="24" t="inlineStr">
        <is>
          <t>Zero Defaults</t>
        </is>
      </c>
      <c r="E59" s="32" t="inlineStr">
        <is>
          <t>Compliant</t>
        </is>
      </c>
      <c r="F59" s="16" t="inlineStr">
        <is>
          <t>Cross-acceleration across all indebtedness exceeding threshold</t>
        </is>
      </c>
    </row>
  </sheetData>
  <mergeCells count="16"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F54:I54"/>
    <mergeCell ref="C47:F47"/>
    <mergeCell ref="C42:F42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5.15%</t>
        </is>
      </c>
      <c r="F6" s="34" t="inlineStr">
        <is>
          <t>4.2x</t>
        </is>
      </c>
      <c r="G6" s="34" t="inlineStr">
        <is>
          <t>$101.50</t>
        </is>
      </c>
      <c r="H6" s="34" t="inlineStr">
        <is>
          <t>+1.3%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7.15%</t>
        </is>
      </c>
      <c r="F7" s="29" t="inlineStr">
        <is>
          <t>3.2x</t>
        </is>
      </c>
      <c r="G7" s="29" t="inlineStr">
        <is>
          <t>$90.75</t>
        </is>
      </c>
      <c r="H7" s="29" t="inlineStr">
        <is>
          <t>-9.4%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$80.00</t>
        </is>
      </c>
      <c r="H8" s="29" t="inlineStr">
        <is>
          <t>-20.2%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3.65%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+4.8%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659.3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EMAAR Senior Unsecured Eurobonds</t>
        </is>
      </c>
      <c r="C15" s="8" t="n">
        <v>1977.9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80.0%</t>
        </is>
      </c>
      <c r="G15" s="29" t="inlineStr">
        <is>
          <t>101.5%</t>
        </is>
      </c>
    </row>
    <row r="16">
      <c r="B16" s="7" t="inlineStr">
        <is>
          <t>Subordinated Debt &amp; Intercompany Notes</t>
        </is>
      </c>
      <c r="C16" s="8" t="n">
        <v>395.6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1054.9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8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Emaar Properties (EMAAR) — Earnings Presentation &amp; Management Guidance</t>
        </is>
      </c>
    </row>
    <row r="3">
      <c r="B3" s="2" t="inlineStr">
        <is>
          <t>Source: Emaar Properties FY2024 &amp; Recent Quarterly Earnings Presentation &amp; Global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$8424.0M (+8.0% YoY growth)</t>
        </is>
      </c>
      <c r="D7" s="35" t="inlineStr">
        <is>
          <t>$8307.0M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$8424.0M (+8.0% YoY growth). With current run-rate at $8307.0M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$3520.0M (41.8% margin)</t>
        </is>
      </c>
      <c r="D8" s="35" t="inlineStr">
        <is>
          <t>$3456.0M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$3520.0M (41.8%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5" t="inlineStr">
        <is>
          <t>100.00x</t>
        </is>
      </c>
      <c r="E9" s="36" t="inlineStr">
        <is>
          <t>On Track</t>
        </is>
      </c>
      <c r="F9" s="37" t="inlineStr">
        <is>
          <t>Deleveraging on track with -96.50x buffer below covenant limit.
[QUESTION TO CFO TO VERIFY]: You previously committed to a Net Leverage ceiling of &lt; 3.00x Net Debt / EBITDA. Current actual leverage stands at 100.00x.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$1176.0M (Maximum growth and sustaining envelope)</t>
        </is>
      </c>
      <c r="D10" s="35" t="inlineStr">
        <is>
          <t>$1081.9M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$1176.0M (Maximum growth and sustaining envelope). Current commitments stand at $1081.9M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7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7" t="inlineStr">
        <is>
          <t>$24960.0M active development portfolio under execution</t>
        </is>
      </c>
    </row>
    <row r="17">
      <c r="B17" s="9" t="inlineStr">
        <is>
          <t>Active Residential Units</t>
        </is>
      </c>
      <c r="C17" s="37" t="inlineStr">
        <is>
          <t>35,100 units under construction across master sites</t>
        </is>
      </c>
    </row>
    <row r="18">
      <c r="B18" s="9" t="inlineStr">
        <is>
          <t>Target Handover Schedule</t>
        </is>
      </c>
      <c r="C18" s="37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7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7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7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7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7" t="inlineStr">
        <is>
          <t>$14430.0M to be recognized over 24-36 months of construction</t>
        </is>
      </c>
    </row>
    <row r="30">
      <c r="B30" s="9" t="inlineStr">
        <is>
          <t>Escrow Bank Protection</t>
        </is>
      </c>
      <c r="C30" s="37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7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7" t="inlineStr">
        <is>
          <t>$1560.0M in central treasury accounts</t>
        </is>
      </c>
    </row>
    <row r="36">
      <c r="B36" s="9" t="inlineStr">
        <is>
          <t>Restricted Escrow Bank Balances</t>
        </is>
      </c>
      <c r="C36" s="37" t="inlineStr">
        <is>
          <t>$2040.0M ring-fenced for specific project construction works</t>
        </is>
      </c>
    </row>
    <row r="37">
      <c r="B37" s="9" t="inlineStr">
        <is>
          <t>Undrawn Committed Bank Rcfs</t>
        </is>
      </c>
      <c r="C37" s="37" t="inlineStr">
        <is>
          <t>$112840.0M in bilateral bank revolving credit lines</t>
        </is>
      </c>
    </row>
    <row r="38">
      <c r="B38" s="9" t="inlineStr">
        <is>
          <t>Total Available Liquidity Runway</t>
        </is>
      </c>
      <c r="C38" s="37" t="inlineStr">
        <is>
          <t>42 months of corporate debt service and fixed overhead pre-funded</t>
        </is>
      </c>
    </row>
    <row r="39"/>
    <row r="40">
      <c r="B40" s="3" t="inlineStr">
        <is>
          <t>INSTITUTIONAL MANAGEMENT QUESTIONS &amp; CONVICTION DRIVERS (1-ON-1 DUE DILIGENCE)</t>
        </is>
      </c>
    </row>
    <row r="41">
      <c r="B41" s="5" t="inlineStr">
        <is>
          <t>Focus Area</t>
        </is>
      </c>
      <c r="C41" s="5" t="inlineStr">
        <is>
          <t>Question to Ask CFO / Management</t>
        </is>
      </c>
      <c r="F41" s="5" t="inlineStr">
        <is>
          <t>Credit Relevance &amp; Deduced Ambiguity</t>
        </is>
      </c>
      <c r="H41" s="5" t="inlineStr">
        <is>
          <t>Conviction Trigger &amp; Decision Rule</t>
        </is>
      </c>
    </row>
    <row r="42">
      <c r="B42" s="9" t="inlineStr">
        <is>
          <t>Off-Plan Default Rates &amp; Secondary Market Resale Absorption</t>
        </is>
      </c>
      <c r="C42" s="37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42" s="25" t="inlineStr">
        <is>
          <t>High initial booking numbers can be misleading if speculative buyers cannot fund subsequent construction installments.</t>
        </is>
      </c>
      <c r="H42" s="38" t="inlineStr">
        <is>
          <t>Default rate &lt;3% and secondary prices &gt;10% above launch validate real end-user demand.</t>
        </is>
      </c>
    </row>
    <row r="43"/>
    <row r="44"/>
    <row r="45">
      <c r="B45" s="3" t="inlineStr">
        <is>
          <t>SCHEDULED EARNINGS RELEASE &amp; INVESTOR RELATIONS CALENDAR</t>
        </is>
      </c>
    </row>
    <row r="46">
      <c r="B46" s="5" t="inlineStr">
        <is>
          <t>Calendar Dimension</t>
        </is>
      </c>
      <c r="C46" s="5" t="inlineStr">
        <is>
          <t>Scheduled Detail &amp; IR Access</t>
        </is>
      </c>
    </row>
    <row r="47">
      <c r="B47" s="9" t="inlineStr">
        <is>
          <t>Next Scheduled Earnings Date</t>
        </is>
      </c>
      <c r="C47" s="37" t="inlineStr">
        <is>
          <t>2026-11-11</t>
        </is>
      </c>
    </row>
    <row r="48">
      <c r="B48" s="9" t="inlineStr">
        <is>
          <t>Reporting Period</t>
        </is>
      </c>
      <c r="C48" s="37" t="inlineStr">
        <is>
          <t>Q3 2026 / 9M Results</t>
        </is>
      </c>
    </row>
    <row r="49">
      <c r="B49" s="9" t="inlineStr">
        <is>
          <t>Confirmation Status</t>
        </is>
      </c>
      <c r="C49" s="37" t="inlineStr">
        <is>
          <t>Confirmed</t>
        </is>
      </c>
    </row>
    <row r="50">
      <c r="B50" s="9" t="inlineStr">
        <is>
          <t>Conference Call &amp; Webcast Schedule</t>
        </is>
      </c>
      <c r="C50" s="37" t="inlineStr">
        <is>
          <t>15:00 Dubai</t>
        </is>
      </c>
    </row>
    <row r="51">
      <c r="B51" s="9" t="inlineStr">
        <is>
          <t>Official IR Portal / Webcast URL</t>
        </is>
      </c>
      <c r="C51" s="37" t="inlineStr">
        <is>
          <t>https://properties.emaar.com/en/investor-relations/</t>
        </is>
      </c>
    </row>
  </sheetData>
  <mergeCells count="38">
    <mergeCell ref="C36:I36"/>
    <mergeCell ref="C23:I23"/>
    <mergeCell ref="C41:E41"/>
    <mergeCell ref="F9:I9"/>
    <mergeCell ref="C17:I17"/>
    <mergeCell ref="C48:I48"/>
    <mergeCell ref="B3:I3"/>
    <mergeCell ref="H41:I41"/>
    <mergeCell ref="C38:I38"/>
    <mergeCell ref="C19:I19"/>
    <mergeCell ref="C37:I37"/>
    <mergeCell ref="C28:I28"/>
    <mergeCell ref="C18:I18"/>
    <mergeCell ref="B2:I2"/>
    <mergeCell ref="C49:I49"/>
    <mergeCell ref="F11:I11"/>
    <mergeCell ref="C34:I34"/>
    <mergeCell ref="F42:G42"/>
    <mergeCell ref="C24:I24"/>
    <mergeCell ref="C30:I30"/>
    <mergeCell ref="C15:I15"/>
    <mergeCell ref="F41:G41"/>
    <mergeCell ref="F10:I10"/>
    <mergeCell ref="C14:I14"/>
    <mergeCell ref="F7:I7"/>
    <mergeCell ref="C35:I35"/>
    <mergeCell ref="C29:I29"/>
    <mergeCell ref="C47:I47"/>
    <mergeCell ref="C16:I16"/>
    <mergeCell ref="C25:I25"/>
    <mergeCell ref="C42:E42"/>
    <mergeCell ref="C31:I31"/>
    <mergeCell ref="C50:I50"/>
    <mergeCell ref="C22:I22"/>
    <mergeCell ref="F8:I8"/>
    <mergeCell ref="H42:I42"/>
    <mergeCell ref="C46:I46"/>
    <mergeCell ref="C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2026-10-16T04:17:04Z</dcterms:created>
  <dcterms:modified xmlns:dcterms="http://purl.org/dc/terms/" xmlns:xsi="http://www.w3.org/2001/XMLSchema-instance" xsi:type="dcterms:W3CDTF">2026-10-16T04:17:04Z</dcterms:modified>
</cp:coreProperties>
</file>