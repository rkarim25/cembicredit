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Net leverage preserved within rating tolerance via presales escrow funding.</t>
      </text>
    </comment>
    <comment ref="D8" authorId="0" shapeId="0">
      <text>
        <t>CEMBI Credit Desk Leverage Commentary (2022A):
Deleveraging begins as cash collections build up in regulated escrow accounts.</t>
      </text>
    </comment>
    <comment ref="E8" authorId="0" shapeId="0">
      <text>
        <t>CEMBI Credit Desk Leverage Commentary (2023A):
Net debt contracts; leverage comfortably below bond covenant thresholds.</t>
      </text>
    </comment>
    <comment ref="F8" authorId="0" shapeId="0">
      <text>
        <t>CEMBI Credit Desk Leverage Commentary (2024A):
Conservative leverage profile providing substantial headroom under all debt incurrence tests.</t>
      </text>
    </comment>
    <comment ref="G8" authorId="0" shapeId="0">
      <text>
        <t>CEMBI Credit Desk Leverage Commentary (2025E):
Net leverage continues downward trajectory toward conservative investment-grade parameters.</t>
      </text>
    </comment>
    <comment ref="H8" authorId="0" shapeId="0">
      <text>
        <t>CEMBI Credit Desk Leverage Commentary (2026E):
Substantial net debt reduction providing full coverage for near-term debt maturities.</t>
      </text>
    </comment>
    <comment ref="I8" authorId="0" shapeId="0">
      <text>
        <t>CEMBI Credit Desk Leverage Commentary (2027E):
Minimal net leverage with net cash position achievable under base-case handover pacing.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Institutional Credit Model</t>
        </is>
      </c>
    </row>
    <row r="3">
      <c r="B3" s="2" t="inlineStr">
        <is>
          <t>Sector: Real Estate | Country: UAE | Rating: BBB / Baa2 | Benchmark: EMAAR 5.15% 2030 @ $100.20 (5.15% YTM / +95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Burj Khalifa and Dubai Mall monopoly cash flows; net cash balance sheet; sovereign benchmark.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EMAAR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145080</v>
      </c>
      <c r="F26" s="7" t="inlineStr">
        <is>
          <t>5.15%</t>
        </is>
      </c>
      <c r="G26" s="7" t="inlineStr">
        <is>
          <t>$100.20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EMAAR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96720</v>
      </c>
      <c r="F27" s="7" t="inlineStr">
        <is>
          <t>4.40%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80600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3447.6</v>
      </c>
      <c r="D15" s="8" t="n">
        <v>4157.4</v>
      </c>
      <c r="E15" s="8" t="n">
        <v>4664.4</v>
      </c>
      <c r="F15" s="8" t="n">
        <v>5070</v>
      </c>
      <c r="G15" s="8" t="n">
        <v>5475.6</v>
      </c>
      <c r="H15" s="8" t="n">
        <v>5830.5</v>
      </c>
      <c r="I15" s="8" t="n">
        <v>6084</v>
      </c>
    </row>
    <row r="16">
      <c r="B16" s="7" t="inlineStr">
        <is>
          <t>Completed Ready Property Sales</t>
        </is>
      </c>
      <c r="C16" s="8" t="n">
        <v>1166.9</v>
      </c>
      <c r="D16" s="8" t="n">
        <v>1407.1</v>
      </c>
      <c r="E16" s="8" t="n">
        <v>1578.7</v>
      </c>
      <c r="F16" s="8" t="n">
        <v>1716</v>
      </c>
      <c r="G16" s="8" t="n">
        <v>1853.3</v>
      </c>
      <c r="H16" s="8" t="n">
        <v>1973.4</v>
      </c>
      <c r="I16" s="8" t="n">
        <v>2059.2</v>
      </c>
    </row>
    <row r="17">
      <c r="B17" s="7" t="inlineStr">
        <is>
          <t>Commercial Leasing &amp; Hospitality</t>
        </is>
      </c>
      <c r="C17" s="8" t="n">
        <v>689.5</v>
      </c>
      <c r="D17" s="8" t="n">
        <v>831.5</v>
      </c>
      <c r="E17" s="8" t="n">
        <v>932.9</v>
      </c>
      <c r="F17" s="8" t="n">
        <v>1014</v>
      </c>
      <c r="G17" s="8" t="n">
        <v>1095.1</v>
      </c>
      <c r="H17" s="8" t="n">
        <v>1166.1</v>
      </c>
      <c r="I17" s="8" t="n">
        <v>1216.8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7956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1856.4</v>
      </c>
      <c r="D36" s="8" t="n">
        <v>1856.4</v>
      </c>
      <c r="E36" s="8" t="n">
        <v>1856.4</v>
      </c>
      <c r="F36" s="8" t="n">
        <v>1856.4</v>
      </c>
      <c r="G36" s="8" t="n">
        <v>1856.4</v>
      </c>
      <c r="H36" s="8" t="n">
        <v>1856.4</v>
      </c>
      <c r="I36" s="8" t="n">
        <v>1856.4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-784</v>
      </c>
      <c r="D16" s="8" t="n">
        <v>-952</v>
      </c>
      <c r="E16" s="8" t="n">
        <v>-1064</v>
      </c>
      <c r="F16" s="8" t="n">
        <v>-1120</v>
      </c>
      <c r="G16" s="8" t="n">
        <v>-1176</v>
      </c>
      <c r="H16" s="8" t="n">
        <v>-1142.4</v>
      </c>
      <c r="I16" s="8" t="n">
        <v>-1097.6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1320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7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EMAAR Benchmark Eurobond Notes</t>
        </is>
      </c>
    </row>
    <row r="7">
      <c r="B7" s="7" t="inlineStr">
        <is>
          <t xml:space="preserve">  Beginning Principal Balance</t>
        </is>
      </c>
      <c r="C7" s="8" t="n">
        <v>123318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41106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27404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0.0515</f>
        <v/>
      </c>
      <c r="D11" s="8">
        <f>D10 * 0.0515</f>
        <v/>
      </c>
      <c r="E11" s="8">
        <f>E10 * 0.0515</f>
        <v/>
      </c>
      <c r="F11" s="8">
        <f>F10 * 0.0515</f>
        <v/>
      </c>
      <c r="G11" s="8">
        <f>G10 * 0.0515</f>
        <v/>
      </c>
      <c r="H11" s="8">
        <f>H10 * 0.0515</f>
        <v/>
      </c>
      <c r="I11" s="8">
        <f>I10 * 0.0515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150722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38688</v>
      </c>
      <c r="C32" s="8" t="n">
        <v>70928</v>
      </c>
      <c r="D32" s="8" t="n">
        <v>90272</v>
      </c>
      <c r="E32" s="8" t="n">
        <v>58032</v>
      </c>
      <c r="F32" s="8" t="n">
        <v>38688</v>
      </c>
      <c r="G32" s="8" t="n">
        <v>25792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EMAAR Benchmark Senior Notes</t>
        </is>
      </c>
      <c r="C37" s="7" t="inlineStr">
        <is>
          <t>Senior Unsecured RegS/144A Eurobond</t>
        </is>
      </c>
      <c r="D37" s="25" t="inlineStr">
        <is>
          <t>USD</t>
        </is>
      </c>
      <c r="E37" s="20" t="n">
        <v>145080</v>
      </c>
      <c r="F37" s="26" t="inlineStr">
        <is>
          <t>5.150%</t>
        </is>
      </c>
      <c r="G37" s="27" t="n">
        <v>100.2</v>
      </c>
      <c r="H37" s="28" t="n">
        <v>5.15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EMAAR Secondary Eurobond / Sukuk Tranche 2</t>
        </is>
      </c>
      <c r="C38" s="7" t="inlineStr">
        <is>
          <t>Senior Unsecured Notes</t>
        </is>
      </c>
      <c r="D38" s="25" t="inlineStr">
        <is>
          <t>USD</t>
        </is>
      </c>
      <c r="E38" s="20" t="n">
        <v>96720</v>
      </c>
      <c r="F38" s="26" t="inlineStr">
        <is>
          <t>4.500%</t>
        </is>
      </c>
      <c r="G38" s="27" t="n">
        <v>101.5</v>
      </c>
      <c r="H38" s="28" t="n">
        <v>4.5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5" t="inlineStr">
        <is>
          <t>USD / EUR</t>
        </is>
      </c>
      <c r="E39" s="20" t="n">
        <v>48360</v>
      </c>
      <c r="F39" s="26" t="inlineStr">
        <is>
          <t>SOFR + 185 bps</t>
        </is>
      </c>
      <c r="G39" s="27" t="n">
        <v>100</v>
      </c>
      <c r="H39" s="28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5" t="inlineStr">
        <is>
          <t>USD</t>
        </is>
      </c>
      <c r="E40" s="20" t="n">
        <v>32240</v>
      </c>
      <c r="F40" s="26" t="inlineStr">
        <is>
          <t>SOFR + 150 bps</t>
        </is>
      </c>
      <c r="G40" s="27" t="n">
        <v>100</v>
      </c>
      <c r="H40" s="28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EMAAR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90272</v>
      </c>
    </row>
    <row r="45">
      <c r="B45" s="7" t="inlineStr">
        <is>
          <t>Drawn Amount ($M)</t>
        </is>
      </c>
      <c r="C45" s="8" t="n">
        <v>32240</v>
      </c>
    </row>
    <row r="46">
      <c r="B46" s="18" t="inlineStr">
        <is>
          <t>AVAILABLE UNDRAWN HEADROOM ($M)</t>
        </is>
      </c>
      <c r="C46" s="19" t="n">
        <v>58032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5" t="inlineStr">
        <is>
          <t>3.50x</t>
        </is>
      </c>
      <c r="D55" s="29" t="inlineStr">
        <is>
          <t>100.00x</t>
        </is>
      </c>
      <c r="E55" s="30" t="inlineStr">
        <is>
          <t>-96.50x leverage buffer ($-308800.0M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5" t="inlineStr">
        <is>
          <t>2.50x</t>
        </is>
      </c>
      <c r="D56" s="29" t="inlineStr">
        <is>
          <t>10.00x</t>
        </is>
      </c>
      <c r="E56" s="30" t="inlineStr">
        <is>
          <t>+7.50x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5" t="inlineStr">
        <is>
          <t>15.0% of Consolidated Total Tangible Assets</t>
        </is>
      </c>
      <c r="D57" s="29" t="inlineStr">
        <is>
          <t>344.4% of Assets</t>
        </is>
      </c>
      <c r="E57" s="30" t="inlineStr">
        <is>
          <t>$1716.0M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5" t="inlineStr">
        <is>
          <t>101.00% Redemption</t>
        </is>
      </c>
      <c r="D58" s="29" t="inlineStr">
        <is>
          <t>N/A (Inactive)</t>
        </is>
      </c>
      <c r="E58" s="30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5" t="inlineStr">
        <is>
          <t>Builder Basket</t>
        </is>
      </c>
      <c r="D59" s="29" t="inlineStr">
        <is>
          <t>Within Capacity</t>
        </is>
      </c>
      <c r="E59" s="30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5" t="inlineStr">
        <is>
          <t>$50.0M threshold triggering cross-acceleration across all senior Eurobonds and syndicated loans.</t>
        </is>
      </c>
      <c r="D60" s="29" t="inlineStr">
        <is>
          <t>Zero Defaults</t>
        </is>
      </c>
      <c r="E60" s="30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31">
        <f>'Debt Schedule &amp; Tranches'!C26 / 'Income Statement (P&amp;L)'!C22</f>
        <v/>
      </c>
      <c r="D8" s="31">
        <f>'Debt Schedule &amp; Tranches'!D26 / 'Income Statement (P&amp;L)'!D22</f>
        <v/>
      </c>
      <c r="E8" s="31">
        <f>'Debt Schedule &amp; Tranches'!E26 / 'Income Statement (P&amp;L)'!E22</f>
        <v/>
      </c>
      <c r="F8" s="31">
        <f>'Debt Schedule &amp; Tranches'!F26 / 'Income Statement (P&amp;L)'!F22</f>
        <v/>
      </c>
      <c r="G8" s="31">
        <f>'Debt Schedule &amp; Tranches'!G26 / 'Income Statement (P&amp;L)'!G22</f>
        <v/>
      </c>
      <c r="H8" s="31">
        <f>'Debt Schedule &amp; Tranches'!H26 / 'Income Statement (P&amp;L)'!H22</f>
        <v/>
      </c>
      <c r="I8" s="31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31">
        <f>'Income Statement (P&amp;L)'!C22 / 'Debt Schedule &amp; Tranches'!C28</f>
        <v/>
      </c>
      <c r="D10" s="31">
        <f>'Income Statement (P&amp;L)'!D22 / 'Debt Schedule &amp; Tranches'!D28</f>
        <v/>
      </c>
      <c r="E10" s="31">
        <f>'Income Statement (P&amp;L)'!E22 / 'Debt Schedule &amp; Tranches'!E28</f>
        <v/>
      </c>
      <c r="F10" s="31">
        <f>'Income Statement (P&amp;L)'!F22 / 'Debt Schedule &amp; Tranches'!F28</f>
        <v/>
      </c>
      <c r="G10" s="31">
        <f>'Income Statement (P&amp;L)'!G22 / 'Debt Schedule &amp; Tranches'!G28</f>
        <v/>
      </c>
      <c r="H10" s="31">
        <f>'Income Statement (P&amp;L)'!H22 / 'Debt Schedule &amp; Tranches'!H28</f>
        <v/>
      </c>
      <c r="I10" s="31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32" t="inlineStr">
        <is>
          <t>0.0%</t>
        </is>
      </c>
      <c r="D6" s="32" t="inlineStr">
        <is>
          <t>0 bp</t>
        </is>
      </c>
      <c r="E6" s="32" t="inlineStr">
        <is>
          <t>5.15%</t>
        </is>
      </c>
      <c r="F6" s="32" t="inlineStr">
        <is>
          <t>4.2x</t>
        </is>
      </c>
      <c r="G6" s="32" t="inlineStr">
        <is>
          <t>$101.50</t>
        </is>
      </c>
      <c r="H6" s="32" t="inlineStr">
        <is>
          <t>+1.3%</t>
        </is>
      </c>
    </row>
    <row r="7">
      <c r="B7" s="7" t="inlineStr">
        <is>
          <t>Downside Stress Case (Recession)</t>
        </is>
      </c>
      <c r="C7" s="26" t="inlineStr">
        <is>
          <t>-15.0%</t>
        </is>
      </c>
      <c r="D7" s="26" t="inlineStr">
        <is>
          <t>-300 bp</t>
        </is>
      </c>
      <c r="E7" s="26" t="inlineStr">
        <is>
          <t>7.15%</t>
        </is>
      </c>
      <c r="F7" s="26" t="inlineStr">
        <is>
          <t>3.2x</t>
        </is>
      </c>
      <c r="G7" s="26" t="inlineStr">
        <is>
          <t>$90.75</t>
        </is>
      </c>
      <c r="H7" s="26" t="inlineStr">
        <is>
          <t>-9.4%</t>
        </is>
      </c>
    </row>
    <row r="8">
      <c r="B8" s="7" t="inlineStr">
        <is>
          <t>Severe Distressed Floor (Liquidation)</t>
        </is>
      </c>
      <c r="C8" s="26" t="inlineStr">
        <is>
          <t>-35.0%</t>
        </is>
      </c>
      <c r="D8" s="26" t="inlineStr">
        <is>
          <t>-650 bp</t>
        </is>
      </c>
      <c r="E8" s="26" t="inlineStr">
        <is>
          <t>+500 bp spread</t>
        </is>
      </c>
      <c r="F8" s="26" t="inlineStr">
        <is>
          <t>Liquidation Value</t>
        </is>
      </c>
      <c r="G8" s="26" t="inlineStr">
        <is>
          <t>$80.00</t>
        </is>
      </c>
      <c r="H8" s="26" t="inlineStr">
        <is>
          <t>-20.2%</t>
        </is>
      </c>
    </row>
    <row r="9">
      <c r="B9" s="7" t="inlineStr">
        <is>
          <t>Bull Case (Cycle Peak / Accretion)</t>
        </is>
      </c>
      <c r="C9" s="26" t="inlineStr">
        <is>
          <t>+12.0%</t>
        </is>
      </c>
      <c r="D9" s="26" t="inlineStr">
        <is>
          <t>+200 bp</t>
        </is>
      </c>
      <c r="E9" s="26" t="inlineStr">
        <is>
          <t>3.65%</t>
        </is>
      </c>
      <c r="F9" s="26" t="inlineStr">
        <is>
          <t>5.7x</t>
        </is>
      </c>
      <c r="G9" s="26" t="inlineStr">
        <is>
          <t>$105.00</t>
        </is>
      </c>
      <c r="H9" s="26" t="inlineStr">
        <is>
          <t>+4.8%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80600</v>
      </c>
      <c r="D14" s="7" t="inlineStr">
        <is>
          <t>Senior Secured (Pari Passu)</t>
        </is>
      </c>
      <c r="E14" s="7" t="inlineStr">
        <is>
          <t>First Lien Fixed Charges</t>
        </is>
      </c>
      <c r="F14" s="26" t="inlineStr">
        <is>
          <t>100.0%</t>
        </is>
      </c>
      <c r="G14" s="26" t="inlineStr">
        <is>
          <t>100.0%</t>
        </is>
      </c>
    </row>
    <row r="15">
      <c r="B15" s="7" t="inlineStr">
        <is>
          <t>EMAAR Senior Unsecured Eurobonds</t>
        </is>
      </c>
      <c r="C15" s="8" t="n">
        <v>241800</v>
      </c>
      <c r="D15" s="7" t="inlineStr">
        <is>
          <t>Senior Unsecured</t>
        </is>
      </c>
      <c r="E15" s="7" t="inlineStr">
        <is>
          <t>General Corporate Guarantee</t>
        </is>
      </c>
      <c r="F15" s="26" t="inlineStr">
        <is>
          <t>80.0%</t>
        </is>
      </c>
      <c r="G15" s="26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48360</v>
      </c>
      <c r="D16" s="7" t="inlineStr">
        <is>
          <t>Subordinated</t>
        </is>
      </c>
      <c r="E16" s="7" t="inlineStr">
        <is>
          <t>Junior Unsecured Claim</t>
        </is>
      </c>
      <c r="F16" s="26" t="inlineStr">
        <is>
          <t>0.0%</t>
        </is>
      </c>
      <c r="G16" s="26" t="inlineStr">
        <is>
          <t>25.0%</t>
        </is>
      </c>
    </row>
    <row r="17">
      <c r="B17" s="7" t="inlineStr">
        <is>
          <t>Equity Shareholders</t>
        </is>
      </c>
      <c r="C17" s="8" t="n">
        <v>128960</v>
      </c>
      <c r="D17" s="7" t="inlineStr">
        <is>
          <t>Residual Equity</t>
        </is>
      </c>
      <c r="E17" s="7" t="inlineStr">
        <is>
          <t>Ordinary Shares</t>
        </is>
      </c>
      <c r="F17" s="26" t="inlineStr">
        <is>
          <t>0.0%</t>
        </is>
      </c>
      <c r="G17" s="26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Emaar Properties (EMAAR) — Earnings Presentation &amp; Management Guidance</t>
        </is>
      </c>
    </row>
    <row r="3">
      <c r="B3" s="2" t="inlineStr">
        <is>
          <t>Source: Emaar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$8424.0M (+8.0% YoY growth)</t>
        </is>
      </c>
      <c r="D7" s="33" t="inlineStr">
        <is>
          <t>$8307.0M (+6.5% YoY)</t>
        </is>
      </c>
      <c r="E7" s="34" t="inlineStr">
        <is>
          <t>On Track</t>
        </is>
      </c>
      <c r="F7" s="35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$3520.0M (41.8% margin)</t>
        </is>
      </c>
      <c r="D8" s="33" t="inlineStr">
        <is>
          <t>$3456.0M</t>
        </is>
      </c>
      <c r="E8" s="34" t="inlineStr">
        <is>
          <t>On Track</t>
        </is>
      </c>
      <c r="F8" s="35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3" t="inlineStr">
        <is>
          <t>100.00x</t>
        </is>
      </c>
      <c r="E9" s="34" t="inlineStr">
        <is>
          <t>On Track</t>
        </is>
      </c>
      <c r="F9" s="35" t="inlineStr">
        <is>
          <t>Deleveraging on track with -96.50x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$1176.0M (Maximum growth and sustaining envelope)</t>
        </is>
      </c>
      <c r="D10" s="33" t="inlineStr">
        <is>
          <t>$1081.9M committed</t>
        </is>
      </c>
      <c r="E10" s="34" t="inlineStr">
        <is>
          <t>On Track</t>
        </is>
      </c>
      <c r="F10" s="35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3" t="inlineStr">
        <is>
          <t>35% payout policy maintained</t>
        </is>
      </c>
      <c r="E11" s="34" t="inlineStr">
        <is>
          <t>On Track</t>
        </is>
      </c>
      <c r="F11" s="35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5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5" t="inlineStr">
        <is>
          <t>$24960.0M active development portfolio under execution</t>
        </is>
      </c>
    </row>
    <row r="17">
      <c r="B17" s="9" t="inlineStr">
        <is>
          <t>Active Residential Units</t>
        </is>
      </c>
      <c r="C17" s="35" t="inlineStr">
        <is>
          <t>35,100 units under construction across master sites</t>
        </is>
      </c>
    </row>
    <row r="18">
      <c r="B18" s="9" t="inlineStr">
        <is>
          <t>Target Handover Schedule</t>
        </is>
      </c>
      <c r="C18" s="35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5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5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5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5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5" t="inlineStr">
        <is>
          <t>$14430.0M to be recognized over 24-36 months of construction</t>
        </is>
      </c>
    </row>
    <row r="30">
      <c r="B30" s="9" t="inlineStr">
        <is>
          <t>Escrow Bank Protection</t>
        </is>
      </c>
      <c r="C30" s="35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5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5" t="inlineStr">
        <is>
          <t>$1560.0M in central treasury accounts</t>
        </is>
      </c>
    </row>
    <row r="36">
      <c r="B36" s="9" t="inlineStr">
        <is>
          <t>Restricted Escrow Bank Balances</t>
        </is>
      </c>
      <c r="C36" s="35" t="inlineStr">
        <is>
          <t>$2040.0M ring-fenced for specific project construction works</t>
        </is>
      </c>
    </row>
    <row r="37">
      <c r="B37" s="9" t="inlineStr">
        <is>
          <t>Undrawn Committed Bank Rcfs</t>
        </is>
      </c>
      <c r="C37" s="35" t="inlineStr">
        <is>
          <t>$112840.0M in bilateral bank revolving credit lines</t>
        </is>
      </c>
    </row>
    <row r="38">
      <c r="B38" s="9" t="inlineStr">
        <is>
          <t>Total Available Liquidity Runway</t>
        </is>
      </c>
      <c r="C38" s="35" t="inlineStr">
        <is>
          <t>42 months of corporate debt service and fixed overhead pre-funded</t>
        </is>
      </c>
    </row>
  </sheetData>
  <mergeCells count="26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15:I15"/>
    <mergeCell ref="F10:I10"/>
    <mergeCell ref="C14:I14"/>
    <mergeCell ref="F7:I7"/>
    <mergeCell ref="C35:I35"/>
    <mergeCell ref="C29:I29"/>
    <mergeCell ref="C16:I16"/>
    <mergeCell ref="C25:I25"/>
    <mergeCell ref="C31:I31"/>
    <mergeCell ref="C22:I22"/>
    <mergeCell ref="F8:I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2026-09-19T21:34:04Z</dcterms:created>
  <dcterms:modified xmlns:dcterms="http://purl.org/dc/terms/" xmlns:xsi="http://www.w3.org/2001/XMLSchema-instance" xsi:type="dcterms:W3CDTF">2026-09-19T21:34:04Z</dcterms:modified>
</cp:coreProperties>
</file>