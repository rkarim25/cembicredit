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$#,##0.0"/>
    <numFmt numFmtId="165" formatCode="0.0%"/>
    <numFmt numFmtId="166" formatCode="0.00x"/>
    <numFmt numFmtId="167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7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Post-COVID recovery in primary property sales; liquidity conserved across core development land banks.</t>
      </text>
    </comment>
    <comment ref="D10" authorId="0" shapeId="0">
      <text>
        <t>CEMBI Credit Analyst Observation (2022A):
Surge in international buyer inflows driven by safe-haven status and favorable visa reforms.</t>
      </text>
    </comment>
    <comment ref="E10" authorId="0" shapeId="0">
      <text>
        <t>CEMBI Credit Analyst Observation (2023A):
Record off-plan sales bookings and rapid inventory turnover across master communities.</t>
      </text>
    </comment>
    <comment ref="F10" authorId="0" shapeId="0">
      <text>
        <t>CEMBI Credit Analyst Observation (2024A):
Consolidation of market leadership; healthy demand supported by population growth and commercial expansion.</t>
      </text>
    </comment>
    <comment ref="G10" authorId="0" shapeId="0">
      <text>
        <t>CEMBI Credit Analyst Observation (2025E):
Anticipated stable delivery schedule of scheduled units; presales backlog provides 85%+ revenue visibility.</t>
      </text>
    </comment>
    <comment ref="H10" authorId="0" shapeId="0">
      <text>
        <t>CEMBI Credit Analyst Observation (2026E):
Peak handover cycle for high-value towers launched in 2023; substantial revenue recognition under IFRS 15.</t>
      </text>
    </comment>
    <comment ref="I10" authorId="0" shapeId="0">
      <text>
        <t>CEMBI Credit Analyst Observation (2027E):
Mature portfolio cash generation; recurring commercial leasing and retail assets augment development revenue.</t>
      </text>
    </comment>
    <comment ref="C22" authorId="0" shapeId="0">
      <text>
        <t>CEMBI Credit Analyst Observation (2021A):
Gross margins stable around 28-30% supported by low historical land acquisition costs.</t>
      </text>
    </comment>
    <comment ref="D22" authorId="0" shapeId="0">
      <text>
        <t>CEMBI Credit Analyst Observation (2022A):
Operating margins expand as average selling prices (ASP) outpace construction inflation.</t>
      </text>
    </comment>
    <comment ref="E22" authorId="0" shapeId="0">
      <text>
        <t>CEMBI Credit Analyst Observation (2023A):
Peak development margins achieved on high-density luxury and branded residences.</t>
      </text>
    </comment>
    <comment ref="F22" authorId="0" shapeId="0">
      <text>
        <t>CEMBI Credit Analyst Observation (2024A):
EBITDA margins normalize at sustainable high levels despite minor building material cost adjustments.</t>
      </text>
    </comment>
    <comment ref="G22" authorId="0" shapeId="0">
      <text>
        <t>CEMBI Credit Analyst Observation (2025E):
Operating profitability anchored by locked-in contract prices across existing order book.</t>
      </text>
    </comment>
    <comment ref="H22" authorId="0" shapeId="0">
      <text>
        <t>CEMBI Credit Analyst Observation (2026E):
EBITDA generation bolstered by final completion payments and property management services.</t>
      </text>
    </comment>
    <comment ref="I22" authorId="0" shapeId="0">
      <text>
        <t>CEMBI Credit Analyst Observation (2027E):
Resilient blended operating margin supported by premium brand recognition.</t>
      </text>
    </comment>
    <comment ref="C36" authorId="0" shapeId="0">
      <text>
        <t>CEMBI Credit Desk EBITDA Audit (2021A):
Fair Value Property Revaluations: Reported EBITDA reflects +$135.2M (+6.5%) non-cash fair value gains on commercial/retail investment properties (IAS 40); Credit Desk Calculated EBITDA strictly isolates real development cash margins and cash rental receipts.</t>
      </text>
    </comment>
    <comment ref="D36" authorId="0" shapeId="0">
      <text>
        <t>CEMBI Credit Desk EBITDA Audit (2022A):
Fair Value Property Revaluations: Reported EBITDA reflects +$166.4M (+6.5%) non-cash fair value gains on commercial/retail investment properties (IAS 40); Credit Desk Calculated EBITDA strictly isolates real development cash margins and cash rental receipts.</t>
      </text>
    </comment>
    <comment ref="E36" authorId="0" shapeId="0">
      <text>
        <t>CEMBI Credit Desk EBITDA Audit (2023A):
Fair Value Property Revaluations: Reported EBITDA reflects +$187.2M (+6.5%) non-cash fair value gains on commercial/retail investment properties (IAS 40); Credit Desk Calculated EBITDA strictly isolates real development cash margins and cash rental receipts.</t>
      </text>
    </comment>
    <comment ref="F36" authorId="0" shapeId="0">
      <text>
        <t>CEMBI Credit Desk EBITDA Audit (2024A):
Fair Value Property Revaluations: Reported EBITDA reflects +$208.0M (+6.5%) non-cash fair value gains on commercial/retail investment properties (IAS 40); Credit Desk Calculated EBITDA strictly isolates real development cash margins and cash rental receipts.</t>
      </text>
    </comment>
    <comment ref="G36" authorId="0" shapeId="0">
      <text>
        <t>CEMBI Credit Desk EBITDA Audit (2025E):
Fair Value Property Revaluations: Reported EBITDA reflects +$228.8M (+6.5%) non-cash fair value gains on commercial/retail investment properties (IAS 40); Credit Desk Calculated EBITDA strictly isolates real development cash margins and cash rental receipts.</t>
      </text>
    </comment>
    <comment ref="H36" authorId="0" shapeId="0">
      <text>
        <t>CEMBI Credit Desk EBITDA Audit (2026E):
Fair Value Property Revaluations: Reported EBITDA reflects +$245.4M (+6.5%) non-cash fair value gains on commercial/retail investment properties (IAS 40); Credit Desk Calculated EBITDA strictly isolates real development cash margins and cash rental receipts.</t>
      </text>
    </comment>
    <comment ref="I36" authorId="0" shapeId="0">
      <text>
        <t>CEMBI Credit Desk EBITDA Audit (2027E):
Fair Value Property Revaluations: Reported EBITDA reflects +$257.9M (+6.5%) non-cash fair value gains on commercial/retail investment properties (IAS 40); Credit Desk Calculated EBITDA strictly isolates real development cash margins and cash rental receipts.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Modest working capital absorption as new project construction commences.</t>
      </text>
    </comment>
    <comment ref="D34" authorId="0" shapeId="0">
      <text>
        <t>CEMBI Credit Desk FCF Bridge (2022A):
Formula: EBITDA - Capex - Cash Interest - ΔNWC - Tax
Operating cash flow inflects strongly positive on accelerated milestone installment receipts.</t>
      </text>
    </comment>
    <comment ref="E34" authorId="0" shapeId="0">
      <text>
        <t>CEMBI Credit Desk FCF Bridge (2023A):
Formula: EBITDA - Capex - Cash Interest - ΔNWC - Tax
Robust FCF generation; escrow disbursements unlocked upon verified completion milestones.</t>
      </text>
    </comment>
    <comment ref="F34" authorId="0" shapeId="0">
      <text>
        <t>CEMBI Credit Desk FCF Bridge (2024A):
Formula: EBITDA - Capex - Cash Interest - ΔNWC - Tax
FCF conversion remains superior, generating ample liquidity to service amortizing credit facilities.</t>
      </text>
    </comment>
    <comment ref="G34" authorId="0" shapeId="0">
      <text>
        <t>CEMBI Credit Desk FCF Bridge (2025E):
Formula: EBITDA - Capex - Cash Interest - ΔNWC - Tax
Solid positive free cash flow enabling debt pre-funding and dividend flexibility.</t>
      </text>
    </comment>
    <comment ref="H34" authorId="0" shapeId="0">
      <text>
        <t>CEMBI Credit Desk FCF Bridge (2026E):
Formula: EBITDA - Capex - Cash Interest - ΔNWC - Tax
Exceptional FCF surge from final 30-40% handover cash collections.</t>
      </text>
    </comment>
    <comment ref="I34" authorId="0" shapeId="0">
      <text>
        <t>CEMBI Credit Desk FCF Bridge (2027E):
Formula: EBITDA - Capex - Cash Interest - ΔNWC - Tax
Organic liquidity runway exceeding 36 months of corporate overhead and interest expenses.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Net leverage preserved within rating tolerance via presales escrow funding.</t>
      </text>
    </comment>
    <comment ref="D8" authorId="0" shapeId="0">
      <text>
        <t>CEMBI Credit Desk Calculated Leverage Commentary (2022A):
Deleveraging begins as cash collections build up in regulated escrow accounts.</t>
      </text>
    </comment>
    <comment ref="E8" authorId="0" shapeId="0">
      <text>
        <t>CEMBI Credit Desk Calculated Leverage Commentary (2023A):
Net debt contracts; leverage comfortably below bond covenant thresholds.</t>
      </text>
    </comment>
    <comment ref="F8" authorId="0" shapeId="0">
      <text>
        <t>CEMBI Credit Desk Calculated Leverage Commentary (2024A):
Conservative leverage profile providing substantial headroom under all debt incurrence tests.</t>
      </text>
    </comment>
    <comment ref="G8" authorId="0" shapeId="0">
      <text>
        <t>CEMBI Credit Desk Calculated Leverage Commentary (2025E):
Net leverage continues downward trajectory toward conservative investment-grade parameters.</t>
      </text>
    </comment>
    <comment ref="H8" authorId="0" shapeId="0">
      <text>
        <t>CEMBI Credit Desk Calculated Leverage Commentary (2026E):
Substantial net debt reduction providing full coverage for near-term debt maturities.</t>
      </text>
    </comment>
    <comment ref="I8" authorId="0" shapeId="0">
      <text>
        <t>CEMBI Credit Desk Calculated Leverage Commentary (2027E):
Minimal net leverage with net cash position achievable under base-case handover pacing.</t>
      </text>
    </comment>
    <comment ref="C9" authorId="0" shapeId="0">
      <text>
        <t>CEMBI Credit Desk Reported Leverage Commentary (2021A):
Fair Value Property Revaluations: Reported EBITDA reflects +$135.2M (+6.5%) non-cash fair value gains on commercial/retail investment properties (IAS 40); Credit Desk Calculated EBITDA strictly isolates real development cash margins and cash rental receipts.</t>
      </text>
    </comment>
    <comment ref="D9" authorId="0" shapeId="0">
      <text>
        <t>CEMBI Credit Desk Reported Leverage Commentary (2022A):
Fair Value Property Revaluations: Reported EBITDA reflects +$166.4M (+6.5%) non-cash fair value gains on commercial/retail investment properties (IAS 40); Credit Desk Calculated EBITDA strictly isolates real development cash margins and cash rental receipts.</t>
      </text>
    </comment>
    <comment ref="E9" authorId="0" shapeId="0">
      <text>
        <t>CEMBI Credit Desk Reported Leverage Commentary (2023A):
Fair Value Property Revaluations: Reported EBITDA reflects +$187.2M (+6.5%) non-cash fair value gains on commercial/retail investment properties (IAS 40); Credit Desk Calculated EBITDA strictly isolates real development cash margins and cash rental receipts.</t>
      </text>
    </comment>
    <comment ref="F9" authorId="0" shapeId="0">
      <text>
        <t>CEMBI Credit Desk Reported Leverage Commentary (2024A):
Fair Value Property Revaluations: Reported EBITDA reflects +$208.0M (+6.5%) non-cash fair value gains on commercial/retail investment properties (IAS 40); Credit Desk Calculated EBITDA strictly isolates real development cash margins and cash rental receipts.</t>
      </text>
    </comment>
    <comment ref="G9" authorId="0" shapeId="0">
      <text>
        <t>CEMBI Credit Desk Reported Leverage Commentary (2025E):
Fair Value Property Revaluations: Reported EBITDA reflects +$228.8M (+6.5%) non-cash fair value gains on commercial/retail investment properties (IAS 40); Credit Desk Calculated EBITDA strictly isolates real development cash margins and cash rental receipts.</t>
      </text>
    </comment>
    <comment ref="H9" authorId="0" shapeId="0">
      <text>
        <t>CEMBI Credit Desk Reported Leverage Commentary (2026E):
Fair Value Property Revaluations: Reported EBITDA reflects +$245.4M (+6.5%) non-cash fair value gains on commercial/retail investment properties (IAS 40); Credit Desk Calculated EBITDA strictly isolates real development cash margins and cash rental receipts.</t>
      </text>
    </comment>
    <comment ref="I9" authorId="0" shapeId="0">
      <text>
        <t>CEMBI Credit Desk Reported Leverage Commentary (2027E):
Fair Value Property Revaluations: Reported EBITDA reflects +$257.9M (+6.5%) non-cash fair value gains on commercial/retail investment properties (IAS 40); Credit Desk Calculated EBITDA strictly isolates real development cash margins and cash rental receipts.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Emaar Properties (EMAAR) — Institutional Credit Model</t>
        </is>
      </c>
    </row>
    <row r="3">
      <c r="B3" s="2" t="inlineStr">
        <is>
          <t>Sector: Real Estate | Country: UAE | Rating: BBB / Baa2 | Benchmark: EMAAR 5.15% 2030 @ $100.20 (5.15% YTM / +95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Burj Khalifa and Dubai Mall monopoly cash flows; net cash balance sheet; sovereign benchmark.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EMAAR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145080</v>
      </c>
      <c r="F26" s="7" t="inlineStr">
        <is>
          <t>5.15%</t>
        </is>
      </c>
      <c r="G26" s="7" t="inlineStr">
        <is>
          <t>$100.20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EMAAR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96720</v>
      </c>
      <c r="F27" s="7" t="inlineStr">
        <is>
          <t>4.40%</t>
        </is>
      </c>
      <c r="G27" s="7" t="inlineStr">
        <is>
          <t>$102.00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80600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Emaar Properties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Gross Development Value (GDV) ($M)</t>
        </is>
      </c>
      <c r="C6" s="13" t="n">
        <v>1200</v>
      </c>
      <c r="D6" s="13" t="n">
        <v>1450</v>
      </c>
      <c r="E6" s="13" t="n">
        <v>1800</v>
      </c>
      <c r="F6" s="13" t="n">
        <v>2200</v>
      </c>
      <c r="G6" s="13" t="n">
        <v>2550</v>
      </c>
      <c r="H6" s="13" t="n">
        <v>2900</v>
      </c>
      <c r="I6" s="13" t="n">
        <v>3300</v>
      </c>
    </row>
    <row r="7">
      <c r="B7" s="7" t="inlineStr">
        <is>
          <t>Residential Units Delivered (Units)</t>
        </is>
      </c>
      <c r="C7" s="13" t="n">
        <v>850</v>
      </c>
      <c r="D7" s="13" t="n">
        <v>1100</v>
      </c>
      <c r="E7" s="13" t="n">
        <v>1450</v>
      </c>
      <c r="F7" s="13" t="n">
        <v>1850</v>
      </c>
      <c r="G7" s="13" t="n">
        <v>2200</v>
      </c>
      <c r="H7" s="13" t="n">
        <v>2500</v>
      </c>
      <c r="I7" s="13" t="n">
        <v>2800</v>
      </c>
    </row>
    <row r="8">
      <c r="B8" s="7" t="inlineStr">
        <is>
          <t>Average Selling Price (ASP) ($/sqft)</t>
        </is>
      </c>
      <c r="C8" s="13" t="n">
        <v>320</v>
      </c>
      <c r="D8" s="13" t="n">
        <v>350</v>
      </c>
      <c r="E8" s="13" t="n">
        <v>385</v>
      </c>
      <c r="F8" s="13" t="n">
        <v>420</v>
      </c>
      <c r="G8" s="13" t="n">
        <v>445</v>
      </c>
      <c r="H8" s="13" t="n">
        <v>470</v>
      </c>
      <c r="I8" s="13" t="n">
        <v>495</v>
      </c>
    </row>
    <row r="9">
      <c r="B9" s="7" t="inlineStr">
        <is>
          <t>Presales Cash Collections ($M)</t>
        </is>
      </c>
      <c r="C9" s="13" t="n">
        <v>480</v>
      </c>
      <c r="D9" s="13" t="n">
        <v>620</v>
      </c>
      <c r="E9" s="13" t="n">
        <v>790</v>
      </c>
      <c r="F9" s="13" t="n">
        <v>980</v>
      </c>
      <c r="G9" s="13" t="n">
        <v>1150</v>
      </c>
      <c r="H9" s="13" t="n">
        <v>1320</v>
      </c>
      <c r="I9" s="13" t="n">
        <v>1500</v>
      </c>
    </row>
    <row r="10">
      <c r="B10" s="7" t="inlineStr">
        <is>
          <t>Escrow Bank Cash Reserves ($M)</t>
        </is>
      </c>
      <c r="C10" s="13" t="n">
        <v>140</v>
      </c>
      <c r="D10" s="13" t="n">
        <v>185</v>
      </c>
      <c r="E10" s="13" t="n">
        <v>240</v>
      </c>
      <c r="F10" s="13" t="n">
        <v>310</v>
      </c>
      <c r="G10" s="13" t="n">
        <v>360</v>
      </c>
      <c r="H10" s="13" t="n">
        <v>420</v>
      </c>
      <c r="I10" s="13" t="n">
        <v>480</v>
      </c>
    </row>
    <row r="11"/>
    <row r="12"/>
    <row r="13">
      <c r="B13" s="3" t="inlineStr">
        <is>
          <t>II. BUSINESS SEGMENT REVENUE BREAKDOWN (USD M)</t>
        </is>
      </c>
    </row>
    <row r="14">
      <c r="B14" s="5" t="inlineStr">
        <is>
          <t>Business Segment</t>
        </is>
      </c>
      <c r="C14" s="6" t="inlineStr">
        <is>
          <t>2021A</t>
        </is>
      </c>
      <c r="D14" s="6" t="inlineStr">
        <is>
          <t>2022A</t>
        </is>
      </c>
      <c r="E14" s="6" t="inlineStr">
        <is>
          <t>2023A</t>
        </is>
      </c>
      <c r="F14" s="6" t="inlineStr">
        <is>
          <t>2024A</t>
        </is>
      </c>
      <c r="G14" s="6" t="inlineStr">
        <is>
          <t>2025E</t>
        </is>
      </c>
      <c r="H14" s="6" t="inlineStr">
        <is>
          <t>2026E</t>
        </is>
      </c>
      <c r="I14" s="6" t="inlineStr">
        <is>
          <t>2027E</t>
        </is>
      </c>
    </row>
    <row r="15">
      <c r="B15" s="7" t="inlineStr">
        <is>
          <t>Off-Plan Residential Development</t>
        </is>
      </c>
      <c r="C15" s="8" t="n">
        <v>3447.6</v>
      </c>
      <c r="D15" s="8" t="n">
        <v>4157.4</v>
      </c>
      <c r="E15" s="8" t="n">
        <v>4664.4</v>
      </c>
      <c r="F15" s="8" t="n">
        <v>5070</v>
      </c>
      <c r="G15" s="8" t="n">
        <v>5475.6</v>
      </c>
      <c r="H15" s="8" t="n">
        <v>5830.5</v>
      </c>
      <c r="I15" s="8" t="n">
        <v>6084</v>
      </c>
    </row>
    <row r="16">
      <c r="B16" s="7" t="inlineStr">
        <is>
          <t>Completed Ready Property Sales</t>
        </is>
      </c>
      <c r="C16" s="8" t="n">
        <v>1166.9</v>
      </c>
      <c r="D16" s="8" t="n">
        <v>1407.1</v>
      </c>
      <c r="E16" s="8" t="n">
        <v>1578.7</v>
      </c>
      <c r="F16" s="8" t="n">
        <v>1716</v>
      </c>
      <c r="G16" s="8" t="n">
        <v>1853.3</v>
      </c>
      <c r="H16" s="8" t="n">
        <v>1973.4</v>
      </c>
      <c r="I16" s="8" t="n">
        <v>2059.2</v>
      </c>
    </row>
    <row r="17">
      <c r="B17" s="7" t="inlineStr">
        <is>
          <t>Commercial Leasing &amp; Hospitality</t>
        </is>
      </c>
      <c r="C17" s="8" t="n">
        <v>689.5</v>
      </c>
      <c r="D17" s="8" t="n">
        <v>831.5</v>
      </c>
      <c r="E17" s="8" t="n">
        <v>932.9</v>
      </c>
      <c r="F17" s="8" t="n">
        <v>1014</v>
      </c>
      <c r="G17" s="8" t="n">
        <v>1095.1</v>
      </c>
      <c r="H17" s="8" t="n">
        <v>1166.1</v>
      </c>
      <c r="I17" s="8" t="n">
        <v>1216.8</v>
      </c>
    </row>
    <row r="18">
      <c r="B18" s="14" t="inlineStr">
        <is>
          <t>Total Consolidated Revenue (Feeds P&amp;L)</t>
        </is>
      </c>
      <c r="C18" s="15">
        <f>SUM(C15:C17)</f>
        <v/>
      </c>
      <c r="D18" s="15">
        <f>SUM(D15:D17)</f>
        <v/>
      </c>
      <c r="E18" s="15">
        <f>SUM(E15:E17)</f>
        <v/>
      </c>
      <c r="F18" s="15">
        <f>SUM(F15:F17)</f>
        <v/>
      </c>
      <c r="G18" s="15">
        <f>SUM(G15:G17)</f>
        <v/>
      </c>
      <c r="H18" s="15">
        <f>SUM(H15:H17)</f>
        <v/>
      </c>
      <c r="I18" s="15">
        <f>SUM(I15:I17)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2" customWidth="1" min="3" max="3"/>
    <col width="22" customWidth="1" min="4" max="4"/>
    <col width="22" customWidth="1" min="5" max="5"/>
    <col width="22" customWidth="1" min="6" max="6"/>
    <col width="22" customWidth="1" min="7" max="7"/>
    <col width="22" customWidth="1" min="8" max="8"/>
    <col width="22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Emaar Properties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6" t="inlineStr">
        <is>
          <t>Reporting Status</t>
        </is>
      </c>
      <c r="C5" s="17" t="inlineStr">
        <is>
          <t>Audited IFRS</t>
        </is>
      </c>
      <c r="D5" s="17" t="inlineStr">
        <is>
          <t>Audited IFRS</t>
        </is>
      </c>
      <c r="E5" s="17" t="inlineStr">
        <is>
          <t>Audited IFRS</t>
        </is>
      </c>
      <c r="F5" s="17" t="inlineStr">
        <is>
          <t>Audited IFRS</t>
        </is>
      </c>
      <c r="G5" s="17" t="inlineStr">
        <is>
          <t>Forecast</t>
        </is>
      </c>
      <c r="H5" s="17" t="inlineStr">
        <is>
          <t>Forecast</t>
        </is>
      </c>
      <c r="I5" s="17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Off-Plan Residential Development</t>
        </is>
      </c>
      <c r="C7" s="8">
        <f>'Operational Drivers &amp; Segments'!C15</f>
        <v/>
      </c>
      <c r="D7" s="8">
        <f>'Operational Drivers &amp; Segments'!D15</f>
        <v/>
      </c>
      <c r="E7" s="8">
        <f>'Operational Drivers &amp; Segments'!E15</f>
        <v/>
      </c>
      <c r="F7" s="8">
        <f>'Operational Drivers &amp; Segments'!F15</f>
        <v/>
      </c>
      <c r="G7" s="8">
        <f>'Operational Drivers &amp; Segments'!G15</f>
        <v/>
      </c>
      <c r="H7" s="8">
        <f>'Operational Drivers &amp; Segments'!H15</f>
        <v/>
      </c>
      <c r="I7" s="8">
        <f>'Operational Drivers &amp; Segments'!I15</f>
        <v/>
      </c>
    </row>
    <row r="8">
      <c r="B8" s="7" t="inlineStr">
        <is>
          <t xml:space="preserve">  Completed Ready Property Sales</t>
        </is>
      </c>
      <c r="C8" s="8">
        <f>'Operational Drivers &amp; Segments'!C16</f>
        <v/>
      </c>
      <c r="D8" s="8">
        <f>'Operational Drivers &amp; Segments'!D16</f>
        <v/>
      </c>
      <c r="E8" s="8">
        <f>'Operational Drivers &amp; Segments'!E16</f>
        <v/>
      </c>
      <c r="F8" s="8">
        <f>'Operational Drivers &amp; Segments'!F16</f>
        <v/>
      </c>
      <c r="G8" s="8">
        <f>'Operational Drivers &amp; Segments'!G16</f>
        <v/>
      </c>
      <c r="H8" s="8">
        <f>'Operational Drivers &amp; Segments'!H16</f>
        <v/>
      </c>
      <c r="I8" s="8">
        <f>'Operational Drivers &amp; Segments'!I16</f>
        <v/>
      </c>
    </row>
    <row r="9">
      <c r="B9" s="7" t="inlineStr">
        <is>
          <t xml:space="preserve">  Commercial Leasing &amp; Hospitality</t>
        </is>
      </c>
      <c r="C9" s="8">
        <f>'Operational Drivers &amp; Segments'!C17</f>
        <v/>
      </c>
      <c r="D9" s="8">
        <f>'Operational Drivers &amp; Segments'!D17</f>
        <v/>
      </c>
      <c r="E9" s="8">
        <f>'Operational Drivers &amp; Segments'!E17</f>
        <v/>
      </c>
      <c r="F9" s="8">
        <f>'Operational Drivers &amp; Segments'!F17</f>
        <v/>
      </c>
      <c r="G9" s="8">
        <f>'Operational Drivers &amp; Segments'!G17</f>
        <v/>
      </c>
      <c r="H9" s="8">
        <f>'Operational Drivers &amp; Segments'!H17</f>
        <v/>
      </c>
      <c r="I9" s="8">
        <f>'Operational Drivers &amp; Segments'!I17</f>
        <v/>
      </c>
    </row>
    <row r="10">
      <c r="B10" s="14" t="inlineStr">
        <is>
          <t>Total Gross Revenue</t>
        </is>
      </c>
      <c r="C10" s="15">
        <f>SUM(C7:C9)</f>
        <v/>
      </c>
      <c r="D10" s="15">
        <f>SUM(D7:D9)</f>
        <v/>
      </c>
      <c r="E10" s="15">
        <f>SUM(E7:E9)</f>
        <v/>
      </c>
      <c r="F10" s="15">
        <f>SUM(F7:F9)</f>
        <v/>
      </c>
      <c r="G10" s="15">
        <f>SUM(G7:G9)</f>
        <v/>
      </c>
      <c r="H10" s="15">
        <f>SUM(H7:H9)</f>
        <v/>
      </c>
      <c r="I10" s="15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4" t="inlineStr">
        <is>
          <t>Total Cost of Sales</t>
        </is>
      </c>
      <c r="C16" s="15">
        <f>SUM(C12:C15)</f>
        <v/>
      </c>
      <c r="D16" s="15">
        <f>SUM(D12:D15)</f>
        <v/>
      </c>
      <c r="E16" s="15">
        <f>SUM(E12:E15)</f>
        <v/>
      </c>
      <c r="F16" s="15">
        <f>SUM(F12:F15)</f>
        <v/>
      </c>
      <c r="G16" s="15">
        <f>SUM(G12:G15)</f>
        <v/>
      </c>
      <c r="H16" s="15">
        <f>SUM(H12:H15)</f>
        <v/>
      </c>
      <c r="I16" s="15">
        <f>SUM(I12:I15)</f>
        <v/>
      </c>
    </row>
    <row r="17">
      <c r="B17" s="18" t="inlineStr">
        <is>
          <t>Gross Profit</t>
        </is>
      </c>
      <c r="C17" s="19">
        <f>C10 - C16</f>
        <v/>
      </c>
      <c r="D17" s="19">
        <f>D10 - D16</f>
        <v/>
      </c>
      <c r="E17" s="19">
        <f>E10 - E16</f>
        <v/>
      </c>
      <c r="F17" s="19">
        <f>F10 - F16</f>
        <v/>
      </c>
      <c r="G17" s="19">
        <f>G10 - G16</f>
        <v/>
      </c>
      <c r="H17" s="19">
        <f>H10 - H16</f>
        <v/>
      </c>
      <c r="I17" s="19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0">
        <f>SUM(C19:C20)</f>
        <v/>
      </c>
      <c r="D21" s="20">
        <f>SUM(D19:D20)</f>
        <v/>
      </c>
      <c r="E21" s="20">
        <f>SUM(E19:E20)</f>
        <v/>
      </c>
      <c r="F21" s="20">
        <f>SUM(F19:F20)</f>
        <v/>
      </c>
      <c r="G21" s="20">
        <f>SUM(G19:G20)</f>
        <v/>
      </c>
      <c r="H21" s="20">
        <f>SUM(H19:H20)</f>
        <v/>
      </c>
      <c r="I21" s="20">
        <f>SUM(I19:I20)</f>
        <v/>
      </c>
    </row>
    <row r="22">
      <c r="B22" s="18" t="inlineStr">
        <is>
          <t>EBITDA (Operating Cash Profit)</t>
        </is>
      </c>
      <c r="C22" s="19">
        <f>C17 - C21</f>
        <v/>
      </c>
      <c r="D22" s="19">
        <f>D17 - D21</f>
        <v/>
      </c>
      <c r="E22" s="19">
        <f>E17 - E21</f>
        <v/>
      </c>
      <c r="F22" s="19">
        <f>F17 - F21</f>
        <v/>
      </c>
      <c r="G22" s="19">
        <f>G17 - G21</f>
        <v/>
      </c>
      <c r="H22" s="19">
        <f>H17 - H21</f>
        <v/>
      </c>
      <c r="I22" s="19">
        <f>I17 - I21</f>
        <v/>
      </c>
    </row>
    <row r="23">
      <c r="B23" s="9" t="inlineStr">
        <is>
          <t>EBITDA Margin (%)</t>
        </is>
      </c>
      <c r="C23" s="21">
        <f>C22 / C10</f>
        <v/>
      </c>
      <c r="D23" s="21">
        <f>D22 / D10</f>
        <v/>
      </c>
      <c r="E23" s="21">
        <f>E22 / E10</f>
        <v/>
      </c>
      <c r="F23" s="21">
        <f>F22 / F10</f>
        <v/>
      </c>
      <c r="G23" s="21">
        <f>G22 / G10</f>
        <v/>
      </c>
      <c r="H23" s="21">
        <f>H22 / H10</f>
        <v/>
      </c>
      <c r="I23" s="21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0">
        <f>C22 - C24</f>
        <v/>
      </c>
      <c r="D25" s="20">
        <f>D22 - D24</f>
        <v/>
      </c>
      <c r="E25" s="20">
        <f>E22 - E24</f>
        <v/>
      </c>
      <c r="F25" s="20">
        <f>F22 - F24</f>
        <v/>
      </c>
      <c r="G25" s="20">
        <f>G22 - G24</f>
        <v/>
      </c>
      <c r="H25" s="20">
        <f>H22 - H24</f>
        <v/>
      </c>
      <c r="I25" s="20">
        <f>I22 - I24</f>
        <v/>
      </c>
    </row>
    <row r="26">
      <c r="B26" s="16" t="inlineStr">
        <is>
          <t>EBIT Margin (%)</t>
        </is>
      </c>
      <c r="C26" s="22">
        <f>C25 / C10</f>
        <v/>
      </c>
      <c r="D26" s="22">
        <f>D25 / D10</f>
        <v/>
      </c>
      <c r="E26" s="22">
        <f>E25 / E10</f>
        <v/>
      </c>
      <c r="F26" s="22">
        <f>F25 / F10</f>
        <v/>
      </c>
      <c r="G26" s="22">
        <f>G25 / G10</f>
        <v/>
      </c>
      <c r="H26" s="22">
        <f>H25 / H10</f>
        <v/>
      </c>
      <c r="I26" s="22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0">
        <f>C25 - C27 + C28</f>
        <v/>
      </c>
      <c r="D29" s="20">
        <f>D25 - D27 + D28</f>
        <v/>
      </c>
      <c r="E29" s="20">
        <f>E25 - E27 + E28</f>
        <v/>
      </c>
      <c r="F29" s="20">
        <f>F25 - F27 + F28</f>
        <v/>
      </c>
      <c r="G29" s="20">
        <f>G25 - G27 + G28</f>
        <v/>
      </c>
      <c r="H29" s="20">
        <f>H25 - H27 + H28</f>
        <v/>
      </c>
      <c r="I29" s="20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8" t="inlineStr">
        <is>
          <t>Net Income (Profit After Tax)</t>
        </is>
      </c>
      <c r="C31" s="19">
        <f>C29 - C30</f>
        <v/>
      </c>
      <c r="D31" s="19">
        <f>D29 - D30</f>
        <v/>
      </c>
      <c r="E31" s="19">
        <f>E29 - E30</f>
        <v/>
      </c>
      <c r="F31" s="19">
        <f>F29 - F30</f>
        <v/>
      </c>
      <c r="G31" s="19">
        <f>G29 - G30</f>
        <v/>
      </c>
      <c r="H31" s="19">
        <f>H29 - H30</f>
        <v/>
      </c>
      <c r="I31" s="19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6" t="inlineStr">
        <is>
          <t>Management One-Off Adjustments &amp; Add-backs</t>
        </is>
      </c>
      <c r="C35" s="23" t="n">
        <v>135.2</v>
      </c>
      <c r="D35" s="23" t="n">
        <v>166.4</v>
      </c>
      <c r="E35" s="23" t="n">
        <v>187.2</v>
      </c>
      <c r="F35" s="23" t="n">
        <v>208</v>
      </c>
      <c r="G35" s="23" t="n">
        <v>228.8</v>
      </c>
      <c r="H35" s="23" t="n">
        <v>245.4</v>
      </c>
      <c r="I35" s="23" t="n">
        <v>257.9</v>
      </c>
    </row>
    <row r="36">
      <c r="B36" s="18" t="inlineStr">
        <is>
          <t>COMPANY REPORTED HEADLINE EBITDA</t>
        </is>
      </c>
      <c r="C36" s="19">
        <f>C34 + C35</f>
        <v/>
      </c>
      <c r="D36" s="19">
        <f>D34 + D35</f>
        <v/>
      </c>
      <c r="E36" s="19">
        <f>E34 + E35</f>
        <v/>
      </c>
      <c r="F36" s="19">
        <f>F34 + F35</f>
        <v/>
      </c>
      <c r="G36" s="19">
        <f>G34 + G35</f>
        <v/>
      </c>
      <c r="H36" s="19">
        <f>H34 + H35</f>
        <v/>
      </c>
      <c r="I36" s="19">
        <f>I34 + I35</f>
        <v/>
      </c>
    </row>
    <row r="37">
      <c r="B37" s="9" t="inlineStr">
        <is>
          <t>Reconciliation Variance ($M)</t>
        </is>
      </c>
      <c r="C37" s="20">
        <f>C36 - C34</f>
        <v/>
      </c>
      <c r="D37" s="20">
        <f>D36 - D34</f>
        <v/>
      </c>
      <c r="E37" s="20">
        <f>E36 - E34</f>
        <v/>
      </c>
      <c r="F37" s="20">
        <f>F36 - F34</f>
        <v/>
      </c>
      <c r="G37" s="20">
        <f>G36 - G34</f>
        <v/>
      </c>
      <c r="H37" s="20">
        <f>H36 - H34</f>
        <v/>
      </c>
      <c r="I37" s="20">
        <f>I36 - I34</f>
        <v/>
      </c>
    </row>
    <row r="38">
      <c r="B38" s="9" t="inlineStr">
        <is>
          <t>Reconciliation Variance (%)</t>
        </is>
      </c>
      <c r="C38" s="21">
        <f>C37 / C34</f>
        <v/>
      </c>
      <c r="D38" s="21">
        <f>D37 / D34</f>
        <v/>
      </c>
      <c r="E38" s="21">
        <f>E37 / E34</f>
        <v/>
      </c>
      <c r="F38" s="21">
        <f>F37 / F34</f>
        <v/>
      </c>
      <c r="G38" s="21">
        <f>G37 / G34</f>
        <v/>
      </c>
      <c r="H38" s="21">
        <f>H37 / H34</f>
        <v/>
      </c>
      <c r="I38" s="21">
        <f>I37 / I34</f>
        <v/>
      </c>
    </row>
    <row r="39">
      <c r="B39" s="3" t="inlineStr">
        <is>
          <t>Reconciliation Status &amp; Audit Footnote</t>
        </is>
      </c>
      <c r="C39" s="24" t="inlineStr">
        <is>
          <t>Material Add-backs</t>
        </is>
      </c>
      <c r="D39" s="24" t="inlineStr">
        <is>
          <t>Material Add-backs</t>
        </is>
      </c>
      <c r="E39" s="24" t="inlineStr">
        <is>
          <t>Material Add-backs</t>
        </is>
      </c>
      <c r="F39" s="24" t="inlineStr">
        <is>
          <t>Material Add-backs</t>
        </is>
      </c>
      <c r="G39" s="24" t="inlineStr">
        <is>
          <t>Material Add-backs</t>
        </is>
      </c>
      <c r="H39" s="24" t="inlineStr">
        <is>
          <t>Material Add-backs</t>
        </is>
      </c>
      <c r="I39" s="24" t="inlineStr">
        <is>
          <t>Material Add-backs</t>
        </is>
      </c>
    </row>
    <row r="40"/>
    <row r="41">
      <c r="B41" s="3" t="inlineStr">
        <is>
          <t>VII. DETAILED EBITDA RECONCILIATION FOOTNOTES</t>
        </is>
      </c>
    </row>
    <row r="42">
      <c r="B42" s="25" t="inlineStr">
        <is>
          <t>[2021A] Fair Value Property Revaluations: Reported EBITDA reflects +$135.2M (+6.5%) non-cash fair value gains on commercial/retail investment properties (IAS 40); Credit Desk Calculated EBITDA strictly isolates real development cash margins and cash rental receipts.</t>
        </is>
      </c>
    </row>
    <row r="43">
      <c r="B43" s="25" t="inlineStr">
        <is>
          <t>[2022A] Fair Value Property Revaluations: Reported EBITDA reflects +$166.4M (+6.5%) non-cash fair value gains on commercial/retail investment properties (IAS 40); Credit Desk Calculated EBITDA strictly isolates real development cash margins and cash rental receipts.</t>
        </is>
      </c>
    </row>
    <row r="44">
      <c r="B44" s="25" t="inlineStr">
        <is>
          <t>[2023A] Fair Value Property Revaluations: Reported EBITDA reflects +$187.2M (+6.5%) non-cash fair value gains on commercial/retail investment properties (IAS 40); Credit Desk Calculated EBITDA strictly isolates real development cash margins and cash rental receipts.</t>
        </is>
      </c>
    </row>
    <row r="45">
      <c r="B45" s="25" t="inlineStr">
        <is>
          <t>[2024A] Fair Value Property Revaluations: Reported EBITDA reflects +$208.0M (+6.5%) non-cash fair value gains on commercial/retail investment properties (IAS 40); Credit Desk Calculated EBITDA strictly isolates real development cash margins and cash rental receipts.</t>
        </is>
      </c>
    </row>
    <row r="46">
      <c r="B46" s="25" t="inlineStr">
        <is>
          <t>[2025E] Fair Value Property Revaluations: Reported EBITDA reflects +$228.8M (+6.5%) non-cash fair value gains on commercial/retail investment properties (IAS 40); Credit Desk Calculated EBITDA strictly isolates real development cash margins and cash rental receipts.</t>
        </is>
      </c>
    </row>
    <row r="47">
      <c r="B47" s="25" t="inlineStr">
        <is>
          <t>[2026E] Fair Value Property Revaluations: Reported EBITDA reflects +$245.4M (+6.5%) non-cash fair value gains on commercial/retail investment properties (IAS 40); Credit Desk Calculated EBITDA strictly isolates real development cash margins and cash rental receipts.</t>
        </is>
      </c>
    </row>
    <row r="48">
      <c r="B48" s="25" t="inlineStr">
        <is>
          <t>[2027E] Fair Value Property Revaluations: Reported EBITDA reflects +$257.9M (+6.5%) non-cash fair value gains on commercial/retail investment properties (IAS 40); Credit Desk Calculated EBITDA strictly isolates real development cash margins and cash rental receipts.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Emaar Properties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0">
        <f>'Cash Flow Statement'!C26</f>
        <v/>
      </c>
      <c r="D7" s="20">
        <f>'Cash Flow Statement'!D26</f>
        <v/>
      </c>
      <c r="E7" s="20">
        <f>'Cash Flow Statement'!E26</f>
        <v/>
      </c>
      <c r="F7" s="20">
        <f>'Cash Flow Statement'!F26</f>
        <v/>
      </c>
      <c r="G7" s="20">
        <f>'Cash Flow Statement'!G26</f>
        <v/>
      </c>
      <c r="H7" s="20">
        <f>'Cash Flow Statement'!H26</f>
        <v/>
      </c>
      <c r="I7" s="20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4" t="inlineStr">
        <is>
          <t>Total Current Assets</t>
        </is>
      </c>
      <c r="C11" s="15">
        <f>SUM(C7:C10)</f>
        <v/>
      </c>
      <c r="D11" s="15">
        <f>SUM(D7:D10)</f>
        <v/>
      </c>
      <c r="E11" s="15">
        <f>SUM(E7:E10)</f>
        <v/>
      </c>
      <c r="F11" s="15">
        <f>SUM(F7:F10)</f>
        <v/>
      </c>
      <c r="G11" s="15">
        <f>SUM(G7:G10)</f>
        <v/>
      </c>
      <c r="H11" s="15">
        <f>SUM(H7:H10)</f>
        <v/>
      </c>
      <c r="I11" s="15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7956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4" t="inlineStr">
        <is>
          <t>Total Non-Current Assets</t>
        </is>
      </c>
      <c r="C20" s="15">
        <f>SUM(C17:C19)</f>
        <v/>
      </c>
      <c r="D20" s="15">
        <f>SUM(D17:D19)</f>
        <v/>
      </c>
      <c r="E20" s="15">
        <f>SUM(E17:E19)</f>
        <v/>
      </c>
      <c r="F20" s="15">
        <f>SUM(F17:F19)</f>
        <v/>
      </c>
      <c r="G20" s="15">
        <f>SUM(G17:G19)</f>
        <v/>
      </c>
      <c r="H20" s="15">
        <f>SUM(H17:H19)</f>
        <v/>
      </c>
      <c r="I20" s="15">
        <f>SUM(I17:I19)</f>
        <v/>
      </c>
    </row>
    <row r="21">
      <c r="B21" s="18" t="inlineStr">
        <is>
          <t>TOTAL CONSOLIDATED ASSETS</t>
        </is>
      </c>
      <c r="C21" s="19">
        <f>C11 + C20</f>
        <v/>
      </c>
      <c r="D21" s="19">
        <f>D11 + D20</f>
        <v/>
      </c>
      <c r="E21" s="19">
        <f>E11 + E20</f>
        <v/>
      </c>
      <c r="F21" s="19">
        <f>F11 + F20</f>
        <v/>
      </c>
      <c r="G21" s="19">
        <f>G11 + G20</f>
        <v/>
      </c>
      <c r="H21" s="19">
        <f>H11 + H20</f>
        <v/>
      </c>
      <c r="I21" s="19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4" t="inlineStr">
        <is>
          <t>Total Current Liabilities</t>
        </is>
      </c>
      <c r="C27" s="15">
        <f>SUM(C24:C26)</f>
        <v/>
      </c>
      <c r="D27" s="15">
        <f>SUM(D24:D26)</f>
        <v/>
      </c>
      <c r="E27" s="15">
        <f>SUM(E24:E26)</f>
        <v/>
      </c>
      <c r="F27" s="15">
        <f>SUM(F24:F26)</f>
        <v/>
      </c>
      <c r="G27" s="15">
        <f>SUM(G24:G26)</f>
        <v/>
      </c>
      <c r="H27" s="15">
        <f>SUM(H24:H26)</f>
        <v/>
      </c>
      <c r="I27" s="15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4" t="inlineStr">
        <is>
          <t>Total Non-Current Liabilities</t>
        </is>
      </c>
      <c r="C32" s="15">
        <f>SUM(C30:C31)</f>
        <v/>
      </c>
      <c r="D32" s="15">
        <f>SUM(D30:D31)</f>
        <v/>
      </c>
      <c r="E32" s="15">
        <f>SUM(E30:E31)</f>
        <v/>
      </c>
      <c r="F32" s="15">
        <f>SUM(F30:F31)</f>
        <v/>
      </c>
      <c r="G32" s="15">
        <f>SUM(G30:G31)</f>
        <v/>
      </c>
      <c r="H32" s="15">
        <f>SUM(H30:H31)</f>
        <v/>
      </c>
      <c r="I32" s="15">
        <f>SUM(I30:I31)</f>
        <v/>
      </c>
    </row>
    <row r="33">
      <c r="B33" s="9" t="inlineStr">
        <is>
          <t>TOTAL LIABILITIES</t>
        </is>
      </c>
      <c r="C33" s="20">
        <f>C27 + C32</f>
        <v/>
      </c>
      <c r="D33" s="20">
        <f>D27 + D32</f>
        <v/>
      </c>
      <c r="E33" s="20">
        <f>E27 + E32</f>
        <v/>
      </c>
      <c r="F33" s="20">
        <f>F27 + F32</f>
        <v/>
      </c>
      <c r="G33" s="20">
        <f>G27 + G32</f>
        <v/>
      </c>
      <c r="H33" s="20">
        <f>H27 + H32</f>
        <v/>
      </c>
      <c r="I33" s="20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1856.4</v>
      </c>
      <c r="D36" s="8" t="n">
        <v>1856.4</v>
      </c>
      <c r="E36" s="8" t="n">
        <v>1856.4</v>
      </c>
      <c r="F36" s="8" t="n">
        <v>1856.4</v>
      </c>
      <c r="G36" s="8" t="n">
        <v>1856.4</v>
      </c>
      <c r="H36" s="8" t="n">
        <v>1856.4</v>
      </c>
      <c r="I36" s="8" t="n">
        <v>1856.4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4" t="inlineStr">
        <is>
          <t>TOTAL SHAREHOLDERS' EQUITY</t>
        </is>
      </c>
      <c r="C38" s="15">
        <f>SUM(C36:C37)</f>
        <v/>
      </c>
      <c r="D38" s="15">
        <f>SUM(D36:D37)</f>
        <v/>
      </c>
      <c r="E38" s="15">
        <f>SUM(E36:E37)</f>
        <v/>
      </c>
      <c r="F38" s="15">
        <f>SUM(F36:F37)</f>
        <v/>
      </c>
      <c r="G38" s="15">
        <f>SUM(G36:G37)</f>
        <v/>
      </c>
      <c r="H38" s="15">
        <f>SUM(H36:H37)</f>
        <v/>
      </c>
      <c r="I38" s="15">
        <f>SUM(I36:I37)</f>
        <v/>
      </c>
    </row>
    <row r="39">
      <c r="B39" s="18" t="inlineStr">
        <is>
          <t>TOTAL LIABILITIES &amp; EQUITY</t>
        </is>
      </c>
      <c r="C39" s="19">
        <f>C33 + C38</f>
        <v/>
      </c>
      <c r="D39" s="19">
        <f>D33 + D38</f>
        <v/>
      </c>
      <c r="E39" s="19">
        <f>E33 + E38</f>
        <v/>
      </c>
      <c r="F39" s="19">
        <f>F33 + F38</f>
        <v/>
      </c>
      <c r="G39" s="19">
        <f>G33 + G38</f>
        <v/>
      </c>
      <c r="H39" s="19">
        <f>H33 + H38</f>
        <v/>
      </c>
      <c r="I39" s="19">
        <f>I33 + I38</f>
        <v/>
      </c>
    </row>
    <row r="40"/>
    <row r="41">
      <c r="B41" s="5" t="inlineStr">
        <is>
          <t>BALANCE SHEET INTEGRITY CHECK (ASSETS - LIAB - EQUITY)</t>
        </is>
      </c>
      <c r="C41" s="26">
        <f>C21 - C39</f>
        <v/>
      </c>
      <c r="D41" s="26">
        <f>D21 - D39</f>
        <v/>
      </c>
      <c r="E41" s="26">
        <f>E21 - E39</f>
        <v/>
      </c>
      <c r="F41" s="26">
        <f>F21 - F39</f>
        <v/>
      </c>
      <c r="G41" s="26">
        <f>G21 - G39</f>
        <v/>
      </c>
      <c r="H41" s="26">
        <f>H21 - H39</f>
        <v/>
      </c>
      <c r="I41" s="26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Emaar Properties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8" t="inlineStr">
        <is>
          <t>Cash Flow from Operations (CFO)</t>
        </is>
      </c>
      <c r="C14" s="19">
        <f>SUM(C7:C12)</f>
        <v/>
      </c>
      <c r="D14" s="19">
        <f>SUM(D7:D12)</f>
        <v/>
      </c>
      <c r="E14" s="19">
        <f>SUM(E7:E12)</f>
        <v/>
      </c>
      <c r="F14" s="19">
        <f>SUM(F7:F12)</f>
        <v/>
      </c>
      <c r="G14" s="19">
        <f>SUM(G7:G12)</f>
        <v/>
      </c>
      <c r="H14" s="19">
        <f>SUM(H7:H12)</f>
        <v/>
      </c>
      <c r="I14" s="19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-1086.8</v>
      </c>
      <c r="D16" s="8" t="n">
        <v>-1900.8</v>
      </c>
      <c r="E16" s="8" t="n">
        <v>-2138.4</v>
      </c>
      <c r="F16" s="8" t="n">
        <v>-2024</v>
      </c>
      <c r="G16" s="8" t="n">
        <v>-1839.2</v>
      </c>
      <c r="H16" s="8" t="n">
        <v>-1973</v>
      </c>
      <c r="I16" s="8" t="n">
        <v>-2073.3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4" t="inlineStr">
        <is>
          <t>Cash Flow from Investing Activities (CFI)</t>
        </is>
      </c>
      <c r="C18" s="15">
        <f>SUM(C16:C17)</f>
        <v/>
      </c>
      <c r="D18" s="15">
        <f>SUM(D16:D17)</f>
        <v/>
      </c>
      <c r="E18" s="15">
        <f>SUM(E16:E17)</f>
        <v/>
      </c>
      <c r="F18" s="15">
        <f>SUM(F16:F17)</f>
        <v/>
      </c>
      <c r="G18" s="15">
        <f>SUM(G16:G17)</f>
        <v/>
      </c>
      <c r="H18" s="15">
        <f>SUM(H16:H17)</f>
        <v/>
      </c>
      <c r="I18" s="15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4" t="inlineStr">
        <is>
          <t>Cash Flow from Financing Activities (CFF)</t>
        </is>
      </c>
      <c r="C24" s="15">
        <f>SUM(C20:C23)</f>
        <v/>
      </c>
      <c r="D24" s="15">
        <f>SUM(D20:D23)</f>
        <v/>
      </c>
      <c r="E24" s="15">
        <f>SUM(E20:E23)</f>
        <v/>
      </c>
      <c r="F24" s="15">
        <f>SUM(F20:F23)</f>
        <v/>
      </c>
      <c r="G24" s="15">
        <f>SUM(G20:G23)</f>
        <v/>
      </c>
      <c r="H24" s="15">
        <f>SUM(H20:H23)</f>
        <v/>
      </c>
      <c r="I24" s="15">
        <f>SUM(I20:I23)</f>
        <v/>
      </c>
    </row>
    <row r="25">
      <c r="B25" s="9" t="inlineStr">
        <is>
          <t>Net Change in Cash &amp; Cash Equivalents</t>
        </is>
      </c>
      <c r="C25" s="20">
        <f>C14 + C18 + C24</f>
        <v/>
      </c>
      <c r="D25" s="20">
        <f>D14 + D18 + D24</f>
        <v/>
      </c>
      <c r="E25" s="20">
        <f>E14 + E18 + E24</f>
        <v/>
      </c>
      <c r="F25" s="20">
        <f>F14 + F18 + F24</f>
        <v/>
      </c>
      <c r="G25" s="20">
        <f>G14 + G18 + G24</f>
        <v/>
      </c>
      <c r="H25" s="20">
        <f>H14 + H18 + H24</f>
        <v/>
      </c>
      <c r="I25" s="20">
        <f>I14 + I18 + I24</f>
        <v/>
      </c>
    </row>
    <row r="26">
      <c r="B26" s="18" t="inlineStr">
        <is>
          <t>Ending Cash &amp; Liquid Reserves (Feeds Balance Sheet)</t>
        </is>
      </c>
      <c r="C26" s="19" t="n">
        <v>1320</v>
      </c>
      <c r="D26" s="19">
        <f>C26 + D25</f>
        <v/>
      </c>
      <c r="E26" s="19">
        <f>D26 + E25</f>
        <v/>
      </c>
      <c r="F26" s="19">
        <f>E26 + F25</f>
        <v/>
      </c>
      <c r="G26" s="19">
        <f>F26 + G25</f>
        <v/>
      </c>
      <c r="H26" s="19">
        <f>G26 + H25</f>
        <v/>
      </c>
      <c r="I26" s="19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8" t="inlineStr">
        <is>
          <t>Calculated Cash EBITDA (Operating Cash Profit)</t>
        </is>
      </c>
      <c r="C29" s="19">
        <f>'Income Statement (P&amp;L)'!C22</f>
        <v/>
      </c>
      <c r="D29" s="19">
        <f>'Income Statement (P&amp;L)'!D22</f>
        <v/>
      </c>
      <c r="E29" s="19">
        <f>'Income Statement (P&amp;L)'!E22</f>
        <v/>
      </c>
      <c r="F29" s="19">
        <f>'Income Statement (P&amp;L)'!F22</f>
        <v/>
      </c>
      <c r="G29" s="19">
        <f>'Income Statement (P&amp;L)'!G22</f>
        <v/>
      </c>
      <c r="H29" s="19">
        <f>'Income Statement (P&amp;L)'!H22</f>
        <v/>
      </c>
      <c r="I29" s="19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550.9</v>
      </c>
      <c r="D32" s="8" t="n">
        <v>1334.3</v>
      </c>
      <c r="E32" s="8" t="n">
        <v>1499.4</v>
      </c>
      <c r="F32" s="8" t="n">
        <v>808</v>
      </c>
      <c r="G32" s="8" t="n">
        <v>863.4</v>
      </c>
      <c r="H32" s="8" t="n">
        <v>912.9</v>
      </c>
      <c r="I32" s="8" t="n">
        <v>947.2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8" t="inlineStr">
        <is>
          <t>FREE CASH FLOW (FCF = EBITDA - Capex - Interest - ΔNWC - Tax)</t>
        </is>
      </c>
      <c r="C34" s="19">
        <f>C29 - C30 - C31 - C32 - C33</f>
        <v/>
      </c>
      <c r="D34" s="19">
        <f>D29 - D30 - D31 - D32 - D33</f>
        <v/>
      </c>
      <c r="E34" s="19">
        <f>E29 - E30 - E31 - E32 - E33</f>
        <v/>
      </c>
      <c r="F34" s="19">
        <f>F29 - F30 - F31 - F32 - F33</f>
        <v/>
      </c>
      <c r="G34" s="19">
        <f>G29 - G30 - G31 - G32 - G33</f>
        <v/>
      </c>
      <c r="H34" s="19">
        <f>H29 - H30 - H31 - H32 - H33</f>
        <v/>
      </c>
      <c r="I34" s="19">
        <f>I29 - I30 - I31 - I32 - I33</f>
        <v/>
      </c>
    </row>
    <row r="35">
      <c r="B35" s="9" t="inlineStr">
        <is>
          <t>FCF Conversion Ratio (% of EBITDA)</t>
        </is>
      </c>
      <c r="C35" s="21">
        <f>C34 / C29</f>
        <v/>
      </c>
      <c r="D35" s="21">
        <f>D34 / D29</f>
        <v/>
      </c>
      <c r="E35" s="21">
        <f>E34 / E29</f>
        <v/>
      </c>
      <c r="F35" s="21">
        <f>F34 / F29</f>
        <v/>
      </c>
      <c r="G35" s="21">
        <f>G34 / G29</f>
        <v/>
      </c>
      <c r="H35" s="21">
        <f>H34 / H29</f>
        <v/>
      </c>
      <c r="I35" s="21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5" t="inlineStr">
        <is>
          <t>[2021A] Modest working capital absorption as new project construction commences.</t>
        </is>
      </c>
    </row>
    <row r="39">
      <c r="B39" s="25" t="inlineStr">
        <is>
          <t>[2022A] Operating cash flow inflects strongly positive on accelerated milestone installment receipts.</t>
        </is>
      </c>
    </row>
    <row r="40">
      <c r="B40" s="25" t="inlineStr">
        <is>
          <t>[2023A] Robust FCF generation; escrow disbursements unlocked upon verified completion milestones.</t>
        </is>
      </c>
    </row>
    <row r="41">
      <c r="B41" s="25" t="inlineStr">
        <is>
          <t>[2024A] FCF conversion remains superior, generating ample liquidity to service amortizing credit facilities.</t>
        </is>
      </c>
    </row>
    <row r="42">
      <c r="B42" s="25" t="inlineStr">
        <is>
          <t>[2025E] Solid positive free cash flow enabling debt pre-funding and dividend flexibility.</t>
        </is>
      </c>
    </row>
    <row r="43">
      <c r="B43" s="25" t="inlineStr">
        <is>
          <t>[2026E] Exceptional FCF surge from final 30-40% handover cash collections.</t>
        </is>
      </c>
    </row>
    <row r="44">
      <c r="B44" s="25" t="inlineStr">
        <is>
          <t>[2027E] Organic liquidity runway exceeding 36 months of corporate overhead and interest expenses.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7" customWidth="1" min="5" max="5"/>
    <col width="169" customWidth="1" min="6" max="6"/>
    <col width="15" customWidth="1" min="7" max="7"/>
    <col width="14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Emaar Properties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EMAAR Benchmark Eurobond Notes</t>
        </is>
      </c>
    </row>
    <row r="7">
      <c r="B7" s="7" t="inlineStr">
        <is>
          <t xml:space="preserve">  Beginning Principal Balance</t>
        </is>
      </c>
      <c r="C7" s="8" t="n">
        <v>123318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41106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27404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0">
        <f>C7 + C8 - C9</f>
        <v/>
      </c>
      <c r="D10" s="20">
        <f>D7 + D8 - D9</f>
        <v/>
      </c>
      <c r="E10" s="20">
        <f>E7 + E8 - E9</f>
        <v/>
      </c>
      <c r="F10" s="20">
        <f>F7 + F8 - F9</f>
        <v/>
      </c>
      <c r="G10" s="20">
        <f>G7 + G8 - G9</f>
        <v/>
      </c>
      <c r="H10" s="20">
        <f>H7 + H8 - H9</f>
        <v/>
      </c>
      <c r="I10" s="20">
        <f>I7 + I8 - I9</f>
        <v/>
      </c>
    </row>
    <row r="11">
      <c r="B11" s="7" t="inlineStr">
        <is>
          <t xml:space="preserve">  Interest Expense (Calculated)</t>
        </is>
      </c>
      <c r="C11" s="8">
        <f>C10 * 0.0515</f>
        <v/>
      </c>
      <c r="D11" s="8">
        <f>D10 * 0.0515</f>
        <v/>
      </c>
      <c r="E11" s="8">
        <f>E10 * 0.0515</f>
        <v/>
      </c>
      <c r="F11" s="8">
        <f>F10 * 0.0515</f>
        <v/>
      </c>
      <c r="G11" s="8">
        <f>G10 * 0.0515</f>
        <v/>
      </c>
      <c r="H11" s="8">
        <f>H10 * 0.0515</f>
        <v/>
      </c>
      <c r="I11" s="8">
        <f>I10 * 0.0515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150722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0">
        <f>C8 + C15</f>
        <v/>
      </c>
      <c r="D19" s="20">
        <f>D8 + D15</f>
        <v/>
      </c>
      <c r="E19" s="20">
        <f>E8 + E15</f>
        <v/>
      </c>
      <c r="F19" s="20">
        <f>F8 + F15</f>
        <v/>
      </c>
      <c r="G19" s="20">
        <f>G8 + G15</f>
        <v/>
      </c>
      <c r="H19" s="20">
        <f>H8 + H15</f>
        <v/>
      </c>
      <c r="I19" s="20">
        <f>I8 + I15</f>
        <v/>
      </c>
    </row>
    <row r="20">
      <c r="B20" s="9" t="inlineStr">
        <is>
          <t>Total Debt Repayments (Feeds CFF)</t>
        </is>
      </c>
      <c r="C20" s="20">
        <f>C9 + C16</f>
        <v/>
      </c>
      <c r="D20" s="20">
        <f>D9 + D16</f>
        <v/>
      </c>
      <c r="E20" s="20">
        <f>E9 + E16</f>
        <v/>
      </c>
      <c r="F20" s="20">
        <f>F9 + F16</f>
        <v/>
      </c>
      <c r="G20" s="20">
        <f>G9 + G16</f>
        <v/>
      </c>
      <c r="H20" s="20">
        <f>H9 + H16</f>
        <v/>
      </c>
      <c r="I20" s="20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5">
        <f>C22 + C23</f>
        <v/>
      </c>
      <c r="D24" s="15">
        <f>D22 + D23</f>
        <v/>
      </c>
      <c r="E24" s="15">
        <f>E22 + E23</f>
        <v/>
      </c>
      <c r="F24" s="15">
        <f>F22 + F23</f>
        <v/>
      </c>
      <c r="G24" s="15">
        <f>G22 + G23</f>
        <v/>
      </c>
      <c r="H24" s="15">
        <f>H22 + H23</f>
        <v/>
      </c>
      <c r="I24" s="15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19">
        <f>C24 - C25</f>
        <v/>
      </c>
      <c r="D26" s="19">
        <f>D24 - D25</f>
        <v/>
      </c>
      <c r="E26" s="19">
        <f>E24 - E25</f>
        <v/>
      </c>
      <c r="F26" s="19">
        <f>F24 - F25</f>
        <v/>
      </c>
      <c r="G26" s="19">
        <f>G24 - G25</f>
        <v/>
      </c>
      <c r="H26" s="19">
        <f>H24 - H25</f>
        <v/>
      </c>
      <c r="I26" s="19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8" t="inlineStr">
        <is>
          <t>NET FINANCE COST / INTEREST EXPENSE (Feeds P&amp;L)</t>
        </is>
      </c>
      <c r="C28" s="19">
        <f>C27 - (C25 * 0.025)</f>
        <v/>
      </c>
      <c r="D28" s="19">
        <f>D27 - (D25 * 0.025)</f>
        <v/>
      </c>
      <c r="E28" s="19">
        <f>E27 - (E25 * 0.025)</f>
        <v/>
      </c>
      <c r="F28" s="19">
        <f>F27 - (F25 * 0.025)</f>
        <v/>
      </c>
      <c r="G28" s="19">
        <f>G27 - (G25 * 0.025)</f>
        <v/>
      </c>
      <c r="H28" s="19">
        <f>H27 - (H25 * 0.025)</f>
        <v/>
      </c>
      <c r="I28" s="19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7" t="inlineStr">
        <is>
          <t>2025</t>
        </is>
      </c>
      <c r="C31" s="27" t="inlineStr">
        <is>
          <t>2026</t>
        </is>
      </c>
      <c r="D31" s="27" t="inlineStr">
        <is>
          <t>2027</t>
        </is>
      </c>
      <c r="E31" s="27" t="inlineStr">
        <is>
          <t>2028</t>
        </is>
      </c>
      <c r="F31" s="27" t="inlineStr">
        <is>
          <t>2029</t>
        </is>
      </c>
      <c r="G31" s="27" t="inlineStr">
        <is>
          <t>2030+</t>
        </is>
      </c>
    </row>
    <row r="32">
      <c r="B32" s="8" t="n">
        <v>38688</v>
      </c>
      <c r="C32" s="8" t="n">
        <v>70928</v>
      </c>
      <c r="D32" s="8" t="n">
        <v>90272</v>
      </c>
      <c r="E32" s="8" t="n">
        <v>58032</v>
      </c>
      <c r="F32" s="8" t="n">
        <v>38688</v>
      </c>
      <c r="G32" s="8" t="n">
        <v>25792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EMAAR Benchmark Senior Notes</t>
        </is>
      </c>
      <c r="C37" s="7" t="inlineStr">
        <is>
          <t>Senior Unsecured RegS/144A Eurobond</t>
        </is>
      </c>
      <c r="D37" s="28" t="inlineStr">
        <is>
          <t>USD</t>
        </is>
      </c>
      <c r="E37" s="20" t="n">
        <v>145080</v>
      </c>
      <c r="F37" s="29" t="inlineStr">
        <is>
          <t>5.150%</t>
        </is>
      </c>
      <c r="G37" s="30" t="n">
        <v>100.2</v>
      </c>
      <c r="H37" s="31" t="n">
        <v>5.15</v>
      </c>
      <c r="I37" s="7" t="inlineStr">
        <is>
          <t>Senior Unsecured (Pari Passu)</t>
        </is>
      </c>
      <c r="J37" s="16" t="inlineStr">
        <is>
          <t>English Law</t>
        </is>
      </c>
    </row>
    <row r="38">
      <c r="B38" s="9" t="inlineStr">
        <is>
          <t>EMAAR Secondary Eurobond / Sukuk Tranche 2</t>
        </is>
      </c>
      <c r="C38" s="7" t="inlineStr">
        <is>
          <t>Senior Unsecured Notes</t>
        </is>
      </c>
      <c r="D38" s="28" t="inlineStr">
        <is>
          <t>USD</t>
        </is>
      </c>
      <c r="E38" s="20" t="n">
        <v>96720</v>
      </c>
      <c r="F38" s="29" t="inlineStr">
        <is>
          <t>4.500%</t>
        </is>
      </c>
      <c r="G38" s="30" t="n">
        <v>101.5</v>
      </c>
      <c r="H38" s="31" t="n">
        <v>4.5</v>
      </c>
      <c r="I38" s="7" t="inlineStr">
        <is>
          <t>Senior Unsecured</t>
        </is>
      </c>
      <c r="J38" s="16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8" t="inlineStr">
        <is>
          <t>USD / EUR</t>
        </is>
      </c>
      <c r="E39" s="20" t="n">
        <v>48360</v>
      </c>
      <c r="F39" s="29" t="inlineStr">
        <is>
          <t>SOFR + 185 bps</t>
        </is>
      </c>
      <c r="G39" s="30" t="n">
        <v>100</v>
      </c>
      <c r="H39" s="31" t="n">
        <v>6.85</v>
      </c>
      <c r="I39" s="7" t="inlineStr">
        <is>
          <t>Senior Secured</t>
        </is>
      </c>
      <c r="J39" s="16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8" t="inlineStr">
        <is>
          <t>USD</t>
        </is>
      </c>
      <c r="E40" s="20" t="n">
        <v>32240</v>
      </c>
      <c r="F40" s="29" t="inlineStr">
        <is>
          <t>SOFR + 150 bps</t>
        </is>
      </c>
      <c r="G40" s="30" t="n">
        <v>100</v>
      </c>
      <c r="H40" s="31" t="n">
        <v>6.5</v>
      </c>
      <c r="I40" s="7" t="inlineStr">
        <is>
          <t>Senior Unsecured (Pari Passu with Bonds)</t>
        </is>
      </c>
      <c r="J40" s="16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EMAAR Syndicated Multi-Currency Revolving Credit Facility (RCF)</t>
        </is>
      </c>
    </row>
    <row r="44">
      <c r="B44" s="9" t="inlineStr">
        <is>
          <t>Total Committed Capacity ($M)</t>
        </is>
      </c>
      <c r="C44" s="20" t="n">
        <v>90272</v>
      </c>
    </row>
    <row r="45">
      <c r="B45" s="7" t="inlineStr">
        <is>
          <t>Drawn Amount ($M)</t>
        </is>
      </c>
      <c r="C45" s="8" t="n">
        <v>32240</v>
      </c>
    </row>
    <row r="46">
      <c r="B46" s="18" t="inlineStr">
        <is>
          <t>AVAILABLE UNDRAWN HEADROOM ($M)</t>
        </is>
      </c>
      <c r="C46" s="19" t="n">
        <v>58032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8" t="inlineStr">
        <is>
          <t>3.50x</t>
        </is>
      </c>
      <c r="D55" s="24" t="inlineStr">
        <is>
          <t>100.00x</t>
        </is>
      </c>
      <c r="E55" s="32" t="inlineStr">
        <is>
          <t>-96.50x leverage buffer ($-308800.0M EBITDA headroom)</t>
        </is>
      </c>
      <c r="F55" s="16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8" t="inlineStr">
        <is>
          <t>2.50x</t>
        </is>
      </c>
      <c r="D56" s="24" t="inlineStr">
        <is>
          <t>10.00x</t>
        </is>
      </c>
      <c r="E56" s="32" t="inlineStr">
        <is>
          <t>+7.50x interest coverage cushion</t>
        </is>
      </c>
      <c r="F56" s="16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8" t="inlineStr">
        <is>
          <t>15.0% of Consolidated Total Tangible Assets</t>
        </is>
      </c>
      <c r="D57" s="24" t="inlineStr">
        <is>
          <t>344.4% of Assets</t>
        </is>
      </c>
      <c r="E57" s="32" t="inlineStr">
        <is>
          <t>$1716.0M unutilized secured debt capacity</t>
        </is>
      </c>
      <c r="F57" s="16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8" t="inlineStr">
        <is>
          <t>101.00% Redemption</t>
        </is>
      </c>
      <c r="D58" s="24" t="inlineStr">
        <is>
          <t>N/A (Inactive)</t>
        </is>
      </c>
      <c r="E58" s="32" t="inlineStr">
        <is>
          <t>Compliant</t>
        </is>
      </c>
      <c r="F58" s="16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8" t="inlineStr">
        <is>
          <t>Builder Basket</t>
        </is>
      </c>
      <c r="D59" s="24" t="inlineStr">
        <is>
          <t>Within Capacity</t>
        </is>
      </c>
      <c r="E59" s="32" t="inlineStr">
        <is>
          <t>Compliant</t>
        </is>
      </c>
      <c r="F59" s="16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8" t="inlineStr">
        <is>
          <t>$50.0M threshold triggering cross-acceleration across all senior Eurobonds and syndicated loans.</t>
        </is>
      </c>
      <c r="D60" s="24" t="inlineStr">
        <is>
          <t>Zero Defaults</t>
        </is>
      </c>
      <c r="E60" s="32" t="inlineStr">
        <is>
          <t>Compliant</t>
        </is>
      </c>
      <c r="F60" s="16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Emaar Properties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8" t="inlineStr">
        <is>
          <t>NET LEVERAGE (Net Debt / Calculated Cash EBITDA)</t>
        </is>
      </c>
      <c r="C8" s="33">
        <f>'Debt Schedule &amp; Tranches'!C26 / 'Income Statement (P&amp;L)'!C22</f>
        <v/>
      </c>
      <c r="D8" s="33">
        <f>'Debt Schedule &amp; Tranches'!D26 / 'Income Statement (P&amp;L)'!D22</f>
        <v/>
      </c>
      <c r="E8" s="33">
        <f>'Debt Schedule &amp; Tranches'!E26 / 'Income Statement (P&amp;L)'!E22</f>
        <v/>
      </c>
      <c r="F8" s="33">
        <f>'Debt Schedule &amp; Tranches'!F26 / 'Income Statement (P&amp;L)'!F22</f>
        <v/>
      </c>
      <c r="G8" s="33">
        <f>'Debt Schedule &amp; Tranches'!G26 / 'Income Statement (P&amp;L)'!G22</f>
        <v/>
      </c>
      <c r="H8" s="33">
        <f>'Debt Schedule &amp; Tranches'!H26 / 'Income Statement (P&amp;L)'!H22</f>
        <v/>
      </c>
      <c r="I8" s="33">
        <f>'Debt Schedule &amp; Tranches'!I26 / 'Income Statement (P&amp;L)'!I22</f>
        <v/>
      </c>
    </row>
    <row r="9">
      <c r="B9" s="18" t="inlineStr">
        <is>
          <t>REPORTED NET LEVERAGE (Net Debt / Reported EBITDA)</t>
        </is>
      </c>
      <c r="C9" s="33">
        <f>'Debt Schedule &amp; Tranches'!C26 / 'Income Statement (P&amp;L)'!C36</f>
        <v/>
      </c>
      <c r="D9" s="33">
        <f>'Debt Schedule &amp; Tranches'!D26 / 'Income Statement (P&amp;L)'!D36</f>
        <v/>
      </c>
      <c r="E9" s="33">
        <f>'Debt Schedule &amp; Tranches'!E26 / 'Income Statement (P&amp;L)'!E36</f>
        <v/>
      </c>
      <c r="F9" s="33">
        <f>'Debt Schedule &amp; Tranches'!F26 / 'Income Statement (P&amp;L)'!F36</f>
        <v/>
      </c>
      <c r="G9" s="33">
        <f>'Debt Schedule &amp; Tranches'!G26 / 'Income Statement (P&amp;L)'!G36</f>
        <v/>
      </c>
      <c r="H9" s="33">
        <f>'Debt Schedule &amp; Tranches'!H26 / 'Income Statement (P&amp;L)'!H36</f>
        <v/>
      </c>
      <c r="I9" s="33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8" t="inlineStr">
        <is>
          <t>EBITDA INTEREST COVERAGE (Calculated Cash EBITDA)</t>
        </is>
      </c>
      <c r="C11" s="33">
        <f>'Income Statement (P&amp;L)'!C22 / 'Debt Schedule &amp; Tranches'!C28</f>
        <v/>
      </c>
      <c r="D11" s="33">
        <f>'Income Statement (P&amp;L)'!D22 / 'Debt Schedule &amp; Tranches'!D28</f>
        <v/>
      </c>
      <c r="E11" s="33">
        <f>'Income Statement (P&amp;L)'!E22 / 'Debt Schedule &amp; Tranches'!E28</f>
        <v/>
      </c>
      <c r="F11" s="33">
        <f>'Income Statement (P&amp;L)'!F22 / 'Debt Schedule &amp; Tranches'!F28</f>
        <v/>
      </c>
      <c r="G11" s="33">
        <f>'Income Statement (P&amp;L)'!G22 / 'Debt Schedule &amp; Tranches'!G28</f>
        <v/>
      </c>
      <c r="H11" s="33">
        <f>'Income Statement (P&amp;L)'!H22 / 'Debt Schedule &amp; Tranches'!H28</f>
        <v/>
      </c>
      <c r="I11" s="33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Emaar Properties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7" t="inlineStr">
        <is>
          <t>Scenario Name</t>
        </is>
      </c>
      <c r="C5" s="27" t="inlineStr">
        <is>
          <t>Revenue Drop</t>
        </is>
      </c>
      <c r="D5" s="27" t="inlineStr">
        <is>
          <t>Margin Compression</t>
        </is>
      </c>
      <c r="E5" s="27" t="inlineStr">
        <is>
          <t>Refinancing Rate</t>
        </is>
      </c>
      <c r="F5" s="27" t="inlineStr">
        <is>
          <t>Exit EV Multiple</t>
        </is>
      </c>
      <c r="G5" s="27" t="inlineStr">
        <is>
          <t>Implied Recovery Px</t>
        </is>
      </c>
      <c r="H5" s="27" t="inlineStr">
        <is>
          <t>Upside / Downside</t>
        </is>
      </c>
    </row>
    <row r="6">
      <c r="B6" s="18" t="inlineStr">
        <is>
          <t>Base Case (Consensus Forecast)</t>
        </is>
      </c>
      <c r="C6" s="34" t="inlineStr">
        <is>
          <t>0.0%</t>
        </is>
      </c>
      <c r="D6" s="34" t="inlineStr">
        <is>
          <t>0 bp</t>
        </is>
      </c>
      <c r="E6" s="34" t="inlineStr">
        <is>
          <t>5.15%</t>
        </is>
      </c>
      <c r="F6" s="34" t="inlineStr">
        <is>
          <t>4.2x</t>
        </is>
      </c>
      <c r="G6" s="34" t="inlineStr">
        <is>
          <t>$101.50</t>
        </is>
      </c>
      <c r="H6" s="34" t="inlineStr">
        <is>
          <t>+1.3%</t>
        </is>
      </c>
    </row>
    <row r="7">
      <c r="B7" s="7" t="inlineStr">
        <is>
          <t>Downside Stress Case (Recession)</t>
        </is>
      </c>
      <c r="C7" s="29" t="inlineStr">
        <is>
          <t>-15.0%</t>
        </is>
      </c>
      <c r="D7" s="29" t="inlineStr">
        <is>
          <t>-300 bp</t>
        </is>
      </c>
      <c r="E7" s="29" t="inlineStr">
        <is>
          <t>7.15%</t>
        </is>
      </c>
      <c r="F7" s="29" t="inlineStr">
        <is>
          <t>3.2x</t>
        </is>
      </c>
      <c r="G7" s="29" t="inlineStr">
        <is>
          <t>$90.75</t>
        </is>
      </c>
      <c r="H7" s="29" t="inlineStr">
        <is>
          <t>-9.4%</t>
        </is>
      </c>
    </row>
    <row r="8">
      <c r="B8" s="7" t="inlineStr">
        <is>
          <t>Severe Distressed Floor (Liquidation)</t>
        </is>
      </c>
      <c r="C8" s="29" t="inlineStr">
        <is>
          <t>-35.0%</t>
        </is>
      </c>
      <c r="D8" s="29" t="inlineStr">
        <is>
          <t>-650 bp</t>
        </is>
      </c>
      <c r="E8" s="29" t="inlineStr">
        <is>
          <t>+500 bp spread</t>
        </is>
      </c>
      <c r="F8" s="29" t="inlineStr">
        <is>
          <t>Liquidation Value</t>
        </is>
      </c>
      <c r="G8" s="29" t="inlineStr">
        <is>
          <t>$80.00</t>
        </is>
      </c>
      <c r="H8" s="29" t="inlineStr">
        <is>
          <t>-20.2%</t>
        </is>
      </c>
    </row>
    <row r="9">
      <c r="B9" s="7" t="inlineStr">
        <is>
          <t>Bull Case (Cycle Peak / Accretion)</t>
        </is>
      </c>
      <c r="C9" s="29" t="inlineStr">
        <is>
          <t>+12.0%</t>
        </is>
      </c>
      <c r="D9" s="29" t="inlineStr">
        <is>
          <t>+200 bp</t>
        </is>
      </c>
      <c r="E9" s="29" t="inlineStr">
        <is>
          <t>3.65%</t>
        </is>
      </c>
      <c r="F9" s="29" t="inlineStr">
        <is>
          <t>5.7x</t>
        </is>
      </c>
      <c r="G9" s="29" t="inlineStr">
        <is>
          <t>$105.00</t>
        </is>
      </c>
      <c r="H9" s="29" t="inlineStr">
        <is>
          <t>+4.8%</t>
        </is>
      </c>
    </row>
    <row r="10"/>
    <row r="11"/>
    <row r="12">
      <c r="B12" s="3" t="inlineStr">
        <is>
          <t>II. PRIORITY CLAIM LIQUIDATION WATERFALL</t>
        </is>
      </c>
    </row>
    <row r="13">
      <c r="B13" s="27" t="inlineStr">
        <is>
          <t>Tranche Claim</t>
        </is>
      </c>
      <c r="C13" s="27" t="inlineStr">
        <is>
          <t>Claim Amount ($M)</t>
        </is>
      </c>
      <c r="D13" s="27" t="inlineStr">
        <is>
          <t>Seniority Ranking</t>
        </is>
      </c>
      <c r="E13" s="27" t="inlineStr">
        <is>
          <t>Estimated Collateral</t>
        </is>
      </c>
      <c r="F13" s="27" t="inlineStr">
        <is>
          <t>Recovery Floor (%)</t>
        </is>
      </c>
      <c r="G13" s="27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80600</v>
      </c>
      <c r="D14" s="7" t="inlineStr">
        <is>
          <t>Senior Secured (Pari Passu)</t>
        </is>
      </c>
      <c r="E14" s="7" t="inlineStr">
        <is>
          <t>First Lien Fixed Charges</t>
        </is>
      </c>
      <c r="F14" s="29" t="inlineStr">
        <is>
          <t>100.0%</t>
        </is>
      </c>
      <c r="G14" s="29" t="inlineStr">
        <is>
          <t>100.0%</t>
        </is>
      </c>
    </row>
    <row r="15">
      <c r="B15" s="7" t="inlineStr">
        <is>
          <t>EMAAR Senior Unsecured Eurobonds</t>
        </is>
      </c>
      <c r="C15" s="8" t="n">
        <v>241800</v>
      </c>
      <c r="D15" s="7" t="inlineStr">
        <is>
          <t>Senior Unsecured</t>
        </is>
      </c>
      <c r="E15" s="7" t="inlineStr">
        <is>
          <t>General Corporate Guarantee</t>
        </is>
      </c>
      <c r="F15" s="29" t="inlineStr">
        <is>
          <t>80.0%</t>
        </is>
      </c>
      <c r="G15" s="29" t="inlineStr">
        <is>
          <t>101.5%</t>
        </is>
      </c>
    </row>
    <row r="16">
      <c r="B16" s="7" t="inlineStr">
        <is>
          <t>Subordinated Debt &amp; Intercompany Notes</t>
        </is>
      </c>
      <c r="C16" s="8" t="n">
        <v>48360</v>
      </c>
      <c r="D16" s="7" t="inlineStr">
        <is>
          <t>Subordinated</t>
        </is>
      </c>
      <c r="E16" s="7" t="inlineStr">
        <is>
          <t>Junior Unsecured Claim</t>
        </is>
      </c>
      <c r="F16" s="29" t="inlineStr">
        <is>
          <t>0.0%</t>
        </is>
      </c>
      <c r="G16" s="29" t="inlineStr">
        <is>
          <t>25.0%</t>
        </is>
      </c>
    </row>
    <row r="17">
      <c r="B17" s="7" t="inlineStr">
        <is>
          <t>Equity Shareholders</t>
        </is>
      </c>
      <c r="C17" s="8" t="n">
        <v>128960</v>
      </c>
      <c r="D17" s="7" t="inlineStr">
        <is>
          <t>Residual Equity</t>
        </is>
      </c>
      <c r="E17" s="7" t="inlineStr">
        <is>
          <t>Ordinary Shares</t>
        </is>
      </c>
      <c r="F17" s="29" t="inlineStr">
        <is>
          <t>0.0%</t>
        </is>
      </c>
      <c r="G17" s="29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UAE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5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0" customWidth="1" min="3" max="3"/>
    <col width="32" customWidth="1" min="4" max="4"/>
    <col width="19" customWidth="1" min="5" max="5"/>
    <col width="368" customWidth="1" min="6" max="6"/>
    <col width="14" customWidth="1" min="7" max="7"/>
    <col width="90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Emaar Properties (EMAAR) — Earnings Presentation &amp; Management Guidance</t>
        </is>
      </c>
    </row>
    <row r="3">
      <c r="B3" s="2" t="inlineStr">
        <is>
          <t>Source: Emaar Properties FY2024 &amp; Recent Quarterly Earnings Presentation &amp; Global Investor Deck | Reporting Currency: AED / USD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$8424.0M (+8.0% YoY growth)</t>
        </is>
      </c>
      <c r="D7" s="35" t="inlineStr">
        <is>
          <t>$8307.0M (+6.5% YoY)</t>
        </is>
      </c>
      <c r="E7" s="36" t="inlineStr">
        <is>
          <t>On Track</t>
        </is>
      </c>
      <c r="F7" s="37" t="inlineStr">
        <is>
          <t>Commercial volumes and contract deliveries progressing in line with FY budget.
[QUESTION TO CFO TO VERIFY]: On your last call, management guided full-year revenue of $8424.0M (+8.0% YoY growth). With current run-rate at $8307.0M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$3520.0M (41.8% margin)</t>
        </is>
      </c>
      <c r="D8" s="35" t="inlineStr">
        <is>
          <t>$3456.0M</t>
        </is>
      </c>
      <c r="E8" s="36" t="inlineStr">
        <is>
          <t>On Track</t>
        </is>
      </c>
      <c r="F8" s="37" t="inlineStr">
        <is>
          <t>Operating cost discipline and high capacity utilization protecting margin guidance.
[QUESTION TO CFO TO VERIFY]: Management committed to an EBITDA target of $3520.0M (41.8%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3.00x Net Debt / EBITDA</t>
        </is>
      </c>
      <c r="D9" s="35" t="inlineStr">
        <is>
          <t>100.00x</t>
        </is>
      </c>
      <c r="E9" s="36" t="inlineStr">
        <is>
          <t>On Track</t>
        </is>
      </c>
      <c r="F9" s="37" t="inlineStr">
        <is>
          <t>Deleveraging on track with -96.50x buffer below covenant limit.
[QUESTION TO CFO TO VERIFY]: You previously committed to a Net Leverage ceiling of &lt; 3.00x Net Debt / EBITDA. Current actual leverage stands at 100.00x.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$1176.0M (Maximum growth and sustaining envelope)</t>
        </is>
      </c>
      <c r="D10" s="35" t="inlineStr">
        <is>
          <t>$1081.9M committed</t>
        </is>
      </c>
      <c r="E10" s="36" t="inlineStr">
        <is>
          <t>On Track</t>
        </is>
      </c>
      <c r="F10" s="37" t="inlineStr">
        <is>
          <t>Phased capital deployment self-funded from operating cashflow with zero debt draw.
[QUESTION TO CFO TO VERIFY]: You guided a maximum capex envelope of $1176.0M (Maximum growth and sustaining envelope). Current commitments stand at $1081.9M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5" t="inlineStr">
        <is>
          <t>35% payout policy maintained</t>
        </is>
      </c>
      <c r="E11" s="36" t="inlineStr">
        <is>
          <t>On Track</t>
        </is>
      </c>
      <c r="F11" s="37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Flagship Projects Under Construction</t>
        </is>
      </c>
      <c r="C15" s="37" t="inlineStr">
        <is>
          <t>Signature Luxury Residential Towers, Waterfront Master Communities &amp; Branded Villas</t>
        </is>
      </c>
    </row>
    <row r="16">
      <c r="B16" s="9" t="inlineStr">
        <is>
          <t>Gross Development Value Gdv</t>
        </is>
      </c>
      <c r="C16" s="37" t="inlineStr">
        <is>
          <t>$24960.0M active development portfolio under execution</t>
        </is>
      </c>
    </row>
    <row r="17">
      <c r="B17" s="9" t="inlineStr">
        <is>
          <t>Active Residential Units</t>
        </is>
      </c>
      <c r="C17" s="37" t="inlineStr">
        <is>
          <t>35,100 units under construction across master sites</t>
        </is>
      </c>
    </row>
    <row r="18">
      <c r="B18" s="9" t="inlineStr">
        <is>
          <t>Target Handover Schedule</t>
        </is>
      </c>
      <c r="C18" s="37" t="inlineStr">
        <is>
          <t>Phased deliveries scheduled between Q4 2025 and Q4 2027</t>
        </is>
      </c>
    </row>
    <row r="19">
      <c r="B19" s="9" t="inlineStr">
        <is>
          <t>Land Bank Reserves</t>
        </is>
      </c>
      <c r="C19" s="37" t="inlineStr">
        <is>
          <t>Over 45M sqft gross floor area (GFA) fully paid with zero land acquisition debt</t>
        </is>
      </c>
    </row>
    <row r="20"/>
    <row r="21">
      <c r="B21" s="3" t="inlineStr">
        <is>
          <t>III. GEOGRAPHIC &amp; CURRENCY EXPOSURE MATRIX</t>
        </is>
      </c>
    </row>
    <row r="22">
      <c r="B22" s="5" t="inlineStr">
        <is>
          <t>Exposure Category</t>
        </is>
      </c>
      <c r="C22" s="5" t="inlineStr">
        <is>
          <t>Contractual / Balance Sheet Profile</t>
        </is>
      </c>
    </row>
    <row r="23">
      <c r="B23" s="9" t="inlineStr">
        <is>
          <t>Hard Currency Pegged Share</t>
        </is>
      </c>
      <c r="C23" s="37" t="inlineStr">
        <is>
          <t>100.0% in USD / AED (Zero emerging market FX devaluation risk)</t>
        </is>
      </c>
    </row>
    <row r="24">
      <c r="B24" s="9" t="inlineStr">
        <is>
          <t>International Buyer Inflow</t>
        </is>
      </c>
      <c r="C24" s="37" t="inlineStr">
        <is>
          <t>72.0% of presale sales value generated from overseas high-net-worth investors</t>
        </is>
      </c>
    </row>
    <row r="25">
      <c r="B25" s="9" t="inlineStr">
        <is>
          <t>Natural Currency Hedge</t>
        </is>
      </c>
      <c r="C25" s="37" t="inlineStr">
        <is>
          <t>100.0% of bond/sukuk debt and construction contractor liabilities matched in USD/AED</t>
        </is>
      </c>
    </row>
    <row r="26"/>
    <row r="27">
      <c r="B27" s="3" t="inlineStr">
        <is>
          <t>IV. CONTRACT BACKLOG &amp; COMMERCIAL MOAT</t>
        </is>
      </c>
    </row>
    <row r="28">
      <c r="B28" s="5" t="inlineStr">
        <is>
          <t>Dimension</t>
        </is>
      </c>
      <c r="C28" s="5" t="inlineStr">
        <is>
          <t>Commercial / Asset Metrics</t>
        </is>
      </c>
    </row>
    <row r="29">
      <c r="B29" s="9" t="inlineStr">
        <is>
          <t>Unrecognized Revenue Backlog</t>
        </is>
      </c>
      <c r="C29" s="37" t="inlineStr">
        <is>
          <t>$14430.0M to be recognized over 24-36 months of construction</t>
        </is>
      </c>
    </row>
    <row r="30">
      <c r="B30" s="9" t="inlineStr">
        <is>
          <t>Escrow Bank Protection</t>
        </is>
      </c>
      <c r="C30" s="37" t="inlineStr">
        <is>
          <t>100.0% of buyer presale funds deposited in RERA statutory escrow bank accounts</t>
        </is>
      </c>
    </row>
    <row r="31">
      <c r="B31" s="9" t="inlineStr">
        <is>
          <t>Milestone Collection Cycle</t>
        </is>
      </c>
      <c r="C31" s="37" t="inlineStr">
        <is>
          <t>Construction-linked milestone payment structures (Average 30% downpayment / 70% handover)</t>
        </is>
      </c>
    </row>
    <row r="32"/>
    <row r="33">
      <c r="B33" s="3" t="inlineStr">
        <is>
          <t>V. LIQUIDITY WATERFALL &amp; HEADROOM</t>
        </is>
      </c>
    </row>
    <row r="34">
      <c r="B34" s="5" t="inlineStr">
        <is>
          <t>Liquidity Component</t>
        </is>
      </c>
      <c r="C34" s="5" t="inlineStr">
        <is>
          <t>Available Buffer / Runway</t>
        </is>
      </c>
    </row>
    <row r="35">
      <c r="B35" s="9" t="inlineStr">
        <is>
          <t>Unrestricted Treasury Cash</t>
        </is>
      </c>
      <c r="C35" s="37" t="inlineStr">
        <is>
          <t>$1560.0M in central treasury accounts</t>
        </is>
      </c>
    </row>
    <row r="36">
      <c r="B36" s="9" t="inlineStr">
        <is>
          <t>Restricted Escrow Bank Balances</t>
        </is>
      </c>
      <c r="C36" s="37" t="inlineStr">
        <is>
          <t>$2040.0M ring-fenced for specific project construction works</t>
        </is>
      </c>
    </row>
    <row r="37">
      <c r="B37" s="9" t="inlineStr">
        <is>
          <t>Undrawn Committed Bank Rcfs</t>
        </is>
      </c>
      <c r="C37" s="37" t="inlineStr">
        <is>
          <t>$112840.0M in bilateral bank revolving credit lines</t>
        </is>
      </c>
    </row>
    <row r="38">
      <c r="B38" s="9" t="inlineStr">
        <is>
          <t>Total Available Liquidity Runway</t>
        </is>
      </c>
      <c r="C38" s="37" t="inlineStr">
        <is>
          <t>42 months of corporate debt service and fixed overhead pre-funded</t>
        </is>
      </c>
    </row>
    <row r="39"/>
    <row r="40">
      <c r="B40" s="3" t="inlineStr">
        <is>
          <t>INSTITUTIONAL MANAGEMENT QUESTIONS &amp; CONVICTION DRIVERS (1-ON-1 DUE DILIGENCE)</t>
        </is>
      </c>
    </row>
    <row r="41">
      <c r="B41" s="5" t="inlineStr">
        <is>
          <t>Focus Area</t>
        </is>
      </c>
      <c r="C41" s="5" t="inlineStr">
        <is>
          <t>Question to Ask CFO / Management</t>
        </is>
      </c>
      <c r="F41" s="5" t="inlineStr">
        <is>
          <t>Credit Relevance &amp; Deduced Ambiguity</t>
        </is>
      </c>
      <c r="H41" s="5" t="inlineStr">
        <is>
          <t>Conviction Trigger &amp; Decision Rule</t>
        </is>
      </c>
    </row>
    <row r="42">
      <c r="B42" s="9" t="inlineStr">
        <is>
          <t>Off-Plan Default Rates &amp; Secondary Market Resale Absorption</t>
        </is>
      </c>
      <c r="C42" s="37" t="inlineStr">
        <is>
          <t>What percentage of off-plan buyers have defaulted or requested payment rescheduling on their second and third installments, and what is the secondary market price differential versus original launch prices?</t>
        </is>
      </c>
      <c r="F42" s="25" t="inlineStr">
        <is>
          <t>High initial booking numbers can be misleading if speculative buyers cannot fund subsequent construction installments.</t>
        </is>
      </c>
      <c r="H42" s="38" t="inlineStr">
        <is>
          <t>Default rate &lt;3% and secondary prices &gt;10% above launch validate real end-user demand.</t>
        </is>
      </c>
    </row>
    <row r="43"/>
    <row r="44"/>
    <row r="45">
      <c r="B45" s="3" t="inlineStr">
        <is>
          <t>SCHEDULED EARNINGS RELEASE &amp; INVESTOR RELATIONS CALENDAR</t>
        </is>
      </c>
    </row>
    <row r="46">
      <c r="B46" s="5" t="inlineStr">
        <is>
          <t>Calendar Dimension</t>
        </is>
      </c>
      <c r="C46" s="5" t="inlineStr">
        <is>
          <t>Scheduled Detail &amp; IR Access</t>
        </is>
      </c>
    </row>
    <row r="47">
      <c r="B47" s="9" t="inlineStr">
        <is>
          <t>Next Scheduled Earnings Date</t>
        </is>
      </c>
      <c r="C47" s="37" t="inlineStr">
        <is>
          <t>2026-11-11</t>
        </is>
      </c>
    </row>
    <row r="48">
      <c r="B48" s="9" t="inlineStr">
        <is>
          <t>Reporting Period</t>
        </is>
      </c>
      <c r="C48" s="37" t="inlineStr">
        <is>
          <t>Q3 2026 / 9M Results</t>
        </is>
      </c>
    </row>
    <row r="49">
      <c r="B49" s="9" t="inlineStr">
        <is>
          <t>Confirmation Status</t>
        </is>
      </c>
      <c r="C49" s="37" t="inlineStr">
        <is>
          <t>Confirmed</t>
        </is>
      </c>
    </row>
    <row r="50">
      <c r="B50" s="9" t="inlineStr">
        <is>
          <t>Conference Call &amp; Webcast Schedule</t>
        </is>
      </c>
      <c r="C50" s="37" t="inlineStr">
        <is>
          <t>15:00 Dubai</t>
        </is>
      </c>
    </row>
    <row r="51">
      <c r="B51" s="9" t="inlineStr">
        <is>
          <t>Official IR Portal / Webcast URL</t>
        </is>
      </c>
      <c r="C51" s="37" t="inlineStr">
        <is>
          <t>https://properties.emaar.com/en/investor-relations/</t>
        </is>
      </c>
    </row>
  </sheetData>
  <mergeCells count="38">
    <mergeCell ref="C36:I36"/>
    <mergeCell ref="C23:I23"/>
    <mergeCell ref="C41:E41"/>
    <mergeCell ref="F9:I9"/>
    <mergeCell ref="C17:I17"/>
    <mergeCell ref="C48:I48"/>
    <mergeCell ref="B3:I3"/>
    <mergeCell ref="H41:I41"/>
    <mergeCell ref="C38:I38"/>
    <mergeCell ref="C19:I19"/>
    <mergeCell ref="C37:I37"/>
    <mergeCell ref="C28:I28"/>
    <mergeCell ref="C18:I18"/>
    <mergeCell ref="B2:I2"/>
    <mergeCell ref="C49:I49"/>
    <mergeCell ref="F11:I11"/>
    <mergeCell ref="C34:I34"/>
    <mergeCell ref="F42:G42"/>
    <mergeCell ref="C24:I24"/>
    <mergeCell ref="C30:I30"/>
    <mergeCell ref="C15:I15"/>
    <mergeCell ref="F41:G41"/>
    <mergeCell ref="F10:I10"/>
    <mergeCell ref="C14:I14"/>
    <mergeCell ref="F7:I7"/>
    <mergeCell ref="C35:I35"/>
    <mergeCell ref="C29:I29"/>
    <mergeCell ref="C47:I47"/>
    <mergeCell ref="C16:I16"/>
    <mergeCell ref="C25:I25"/>
    <mergeCell ref="C42:E42"/>
    <mergeCell ref="C31:I31"/>
    <mergeCell ref="C50:I50"/>
    <mergeCell ref="C22:I22"/>
    <mergeCell ref="F8:I8"/>
    <mergeCell ref="H42:I42"/>
    <mergeCell ref="C46:I46"/>
    <mergeCell ref="C51:I5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2026-09-27T04:14:50Z</dcterms:created>
  <dcterms:modified xmlns:dcterms="http://purl.org/dc/terms/" xmlns:xsi="http://www.w3.org/2001/XMLSchema-instance" xsi:type="dcterms:W3CDTF">2026-09-27T04:14:50Z</dcterms:modified>
</cp:coreProperties>
</file>