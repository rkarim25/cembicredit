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Rwanda: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Rwanda sovereign model</t>
        </is>
      </c>
      <c r="B1" t="inlineStr"/>
      <c r="C1" t="inlineStr"/>
      <c r="D1" t="inlineStr"/>
      <c r="E1" t="inlineStr">
        <is>
          <t>built 26-Oct-26 by pipeline/sovereign_model.py from database/sovereigns/rwanda.json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8.75</v>
      </c>
      <c r="C3" t="inlineStr">
        <is>
          <t>%</t>
        </is>
      </c>
      <c r="D3" t="inlineStr">
        <is>
          <t>Aug-26</t>
        </is>
      </c>
      <c r="E3" t="inlineStr">
        <is>
          <t>BNR MPC statement as reported by Gemini in adjudicated document, unverified, no URL</t>
        </is>
      </c>
      <c r="F3" t="inlineStr">
        <is>
          <t>08-Oct-26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15.7</v>
      </c>
      <c r="C5" t="inlineStr">
        <is>
          <t>%</t>
        </is>
      </c>
      <c r="D5" t="inlineStr">
        <is>
          <t>Aug-26</t>
        </is>
      </c>
      <c r="E5" t="inlineStr">
        <is>
          <t>BNR/NISR as reported by Gemini in adjudicated document, unverified, no URL</t>
        </is>
      </c>
      <c r="F5" t="inlineStr">
        <is>
          <t>08-Oct-26</t>
        </is>
      </c>
      <c r="G5" t="inlineStr"/>
    </row>
    <row r="6">
      <c r="A6" t="inlineStr">
        <is>
          <t>real_gdp_growth_pct</t>
        </is>
      </c>
      <c r="B6" s="2" t="n">
        <v>9.699999999999999</v>
      </c>
      <c r="C6" t="inlineStr">
        <is>
          <t>%</t>
        </is>
      </c>
      <c r="D6" t="inlineStr">
        <is>
          <t>H1 2026</t>
        </is>
      </c>
      <c r="E6" t="inlineStr">
        <is>
          <t>NISR as reported by Gemini in adjudicated document, unverified, no URL</t>
        </is>
      </c>
      <c r="F6" t="inlineStr">
        <is>
          <t>08-Oct-26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77.5</v>
      </c>
      <c r="C8" t="inlineStr">
        <is>
          <t>% GDP</t>
        </is>
      </c>
      <c r="D8" t="inlineStr">
        <is>
          <t>2026E</t>
        </is>
      </c>
      <c r="E8" t="inlineStr">
        <is>
          <t>Fitch</t>
        </is>
      </c>
      <c r="F8" t="inlineStr">
        <is>
          <t>11-Sep-26</t>
        </is>
      </c>
      <c r="G8" t="inlineStr">
        <is>
          <t>central government debt (~75-80% band)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-4.8</v>
      </c>
      <c r="C10" t="inlineStr">
        <is>
          <t>% GDP</t>
        </is>
      </c>
      <c r="D10" t="inlineStr">
        <is>
          <t>FY2025/26</t>
        </is>
      </c>
      <c r="E10" t="inlineStr">
        <is>
          <t>IMF release as reported by Gemini in adjudicated document, unverified, no URL</t>
        </is>
      </c>
      <c r="F10" t="inlineStr">
        <is>
          <t>08-Oct-26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-15</v>
      </c>
      <c r="C14" t="inlineStr">
        <is>
          <t>% GDP</t>
        </is>
      </c>
      <c r="D14" t="inlineStr">
        <is>
          <t>2026E</t>
        </is>
      </c>
      <c r="E14" t="inlineStr">
        <is>
          <t>Reported near 15% of GDP deficit, Gemini in adjudicated document, unverified, no URL</t>
        </is>
      </c>
      <c r="F14" t="inlineStr">
        <is>
          <t>08-Oct-26</t>
        </is>
      </c>
      <c r="G14" t="inlineStr"/>
    </row>
    <row r="15">
      <c r="A15" t="inlineStr">
        <is>
          <t>fdi_net_pct_gdp</t>
        </is>
      </c>
      <c r="B15" s="2" t="n">
        <v>5.909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2.2</v>
      </c>
      <c r="C16" t="inlineStr">
        <is>
          <t>USD bn</t>
        </is>
      </c>
      <c r="D16" t="inlineStr">
        <is>
          <t>2026</t>
        </is>
      </c>
      <c r="E16" t="inlineStr">
        <is>
          <t>Gemini in adjudicated document, unverified, no URL</t>
        </is>
      </c>
      <c r="F16" t="inlineStr">
        <is>
          <t>08-Oct-26</t>
        </is>
      </c>
      <c r="G16" t="inlineStr">
        <is>
          <t>Definition not stated (reported ~US$2.2bn)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4</v>
      </c>
      <c r="C18" t="inlineStr">
        <is>
          <t>months</t>
        </is>
      </c>
      <c r="D18" t="inlineStr">
        <is>
          <t>2026</t>
        </is>
      </c>
      <c r="E18" t="inlineStr">
        <is>
          <t>Gemini in adjudicated document, unverified, no URL</t>
        </is>
      </c>
      <c r="F18" t="inlineStr">
        <is>
          <t>08-Oct-26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>
        <v>63</v>
      </c>
      <c r="C20" t="inlineStr">
        <is>
          <t>% GDP</t>
        </is>
      </c>
      <c r="D20" t="inlineStr">
        <is>
          <t>Not stated</t>
        </is>
      </c>
      <c r="E20" t="inlineStr">
        <is>
          <t>Fitch as reported by Gemini in adjudicated document, no URL</t>
        </is>
      </c>
      <c r="F20" t="inlineStr">
        <is>
          <t>11-Sep-26</t>
        </is>
      </c>
      <c r="G20" t="inlineStr">
        <is>
          <t>Net external debt to GDP as attributed to Fitch by Gemini; unverified (Low)</t>
        </is>
      </c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17.336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>
        <v>0.62</v>
      </c>
      <c r="C23" t="inlineStr">
        <is>
          <t>USD bn</t>
        </is>
      </c>
      <c r="D23" t="inlineStr">
        <is>
          <t>Aug-21 issue, outstanding</t>
        </is>
      </c>
      <c r="E23" t="inlineStr">
        <is>
          <t>Claude and Gemini recall of terms (US$620m 5.50% due Aug-31); prospectus not retrieved, Medium</t>
        </is>
      </c>
      <c r="F23" t="inlineStr">
        <is>
          <t>08-Oct-26</t>
        </is>
      </c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B+</t>
        </is>
      </c>
      <c r="C29" t="inlineStr">
        <is>
          <t>Stable</t>
        </is>
      </c>
      <c r="D29" t="inlineStr">
        <is>
          <t>11-Sep-26</t>
        </is>
      </c>
    </row>
    <row r="30">
      <c r="A30" t="inlineStr">
        <is>
          <t>sp</t>
        </is>
      </c>
      <c r="B30" t="inlineStr">
        <is>
          <t>B+</t>
        </is>
      </c>
      <c r="C30" t="inlineStr">
        <is>
          <t>Stable</t>
        </is>
      </c>
      <c r="D30" t="inlineStr">
        <is>
          <t>May-26</t>
        </is>
      </c>
    </row>
    <row r="31">
      <c r="A31" t="inlineStr">
        <is>
          <t>moodys</t>
        </is>
      </c>
      <c r="B31" t="inlineStr">
        <is>
          <t>B2</t>
        </is>
      </c>
      <c r="C31" t="inlineStr">
        <is>
          <t>Stable</t>
        </is>
      </c>
      <c r="D31" t="inlineStr">
        <is>
          <t>06-Oct-26</t>
        </is>
      </c>
    </row>
    <row r="33">
      <c r="A33" t="inlineStr">
        <is>
          <t>IMF</t>
        </is>
      </c>
      <c r="B33" t="inlineStr">
        <is>
          <t>ECF, 38-month (reported, unverified)</t>
        </is>
      </c>
      <c r="D33" t="inlineStr">
        <is>
          <t>Jun-26 (reported)</t>
        </is>
      </c>
      <c r="E33" t="inlineStr">
        <is>
          <t>First review: staff-level agreement 06-Oct-26 (SDR 26.43m, ~US$35.7m); Board date Dec-26 (reported)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2026E</t>
        </is>
      </c>
      <c r="E1" s="1" t="inlineStr">
        <is>
          <t>2026F</t>
        </is>
      </c>
      <c r="F1" s="1" t="inlineStr">
        <is>
          <t>2027F</t>
        </is>
      </c>
      <c r="G1" s="1" t="inlineStr">
        <is>
          <t>Source</t>
        </is>
      </c>
    </row>
    <row r="2">
      <c r="A2" t="inlineStr">
        <is>
          <t>nominal_gdp_usd_bn</t>
        </is>
      </c>
      <c r="B2" s="2" t="n"/>
      <c r="C2" s="2" t="n"/>
      <c r="D2" s="2" t="n"/>
      <c r="E2" s="2" t="n"/>
      <c r="F2" s="2" t="n"/>
      <c r="G2" t="inlineStr"/>
    </row>
    <row r="3">
      <c r="A3" t="inlineStr">
        <is>
          <t>real_gdp_growth_pct</t>
        </is>
      </c>
      <c r="B3" s="2" t="n"/>
      <c r="C3" s="2" t="n"/>
      <c r="D3" s="2" t="n">
        <v>7.8</v>
      </c>
      <c r="E3" s="2" t="n">
        <v>7.8</v>
      </c>
      <c r="F3" s="2" t="n"/>
      <c r="G3" t="inlineStr">
        <is>
          <t>Fitch 2026 forecast as reported by Gemini, no URL, unverified, 08-Oct-26</t>
        </is>
      </c>
    </row>
    <row r="4">
      <c r="A4" t="inlineStr">
        <is>
          <t>cpi_avg_pct</t>
        </is>
      </c>
      <c r="B4" s="2" t="n"/>
      <c r="C4" s="2" t="n"/>
      <c r="D4" s="2" t="n"/>
      <c r="E4" s="2" t="n"/>
      <c r="F4" s="2" t="n"/>
      <c r="G4" t="inlineStr"/>
    </row>
    <row r="5">
      <c r="A5" t="inlineStr">
        <is>
          <t>current_account_pct_gdp</t>
        </is>
      </c>
      <c r="B5" s="2" t="n"/>
      <c r="C5" s="2" t="n"/>
      <c r="D5" s="2" t="n">
        <v>-15</v>
      </c>
      <c r="E5" s="2" t="n"/>
      <c r="F5" s="2" t="n"/>
      <c r="G5" t="inlineStr">
        <is>
          <t>Gemini as reported, no URL, unverified, 08-Oct-26</t>
        </is>
      </c>
    </row>
    <row r="6">
      <c r="A6" t="inlineStr">
        <is>
          <t>fiscal_balance_pct_gdp</t>
        </is>
      </c>
      <c r="B6" s="2" t="n">
        <v>-4.8</v>
      </c>
      <c r="C6" s="2" t="n">
        <v>-4.8</v>
      </c>
      <c r="D6" s="2" t="n">
        <v>-4.5</v>
      </c>
      <c r="E6" s="2" t="n"/>
      <c r="F6" s="2" t="n">
        <v>-4.5</v>
      </c>
      <c r="G6" t="inlineStr">
        <is>
          <t>Gemini position citing IMF (FY2025/26) and Fitch (FY2026/27), unverified, 08-Oct-26</t>
        </is>
      </c>
    </row>
    <row r="7">
      <c r="A7" t="inlineStr">
        <is>
          <t>primary_balance_pct_gdp</t>
        </is>
      </c>
      <c r="B7" s="2" t="n"/>
      <c r="C7" s="2" t="n"/>
      <c r="D7" s="2" t="n"/>
      <c r="E7" s="2" t="n"/>
      <c r="F7" s="2" t="n"/>
      <c r="G7" t="inlineStr"/>
    </row>
    <row r="8">
      <c r="A8" t="inlineStr">
        <is>
          <t>gov_debt_pct_gdp</t>
        </is>
      </c>
      <c r="B8" s="2" t="n"/>
      <c r="C8" s="2" t="n"/>
      <c r="D8" s="2" t="n">
        <v>77.5</v>
      </c>
      <c r="E8" s="2" t="n"/>
      <c r="F8" s="2" t="n"/>
      <c r="G8" t="inlineStr">
        <is>
          <t>Fitch, 11-Sep-26</t>
        </is>
      </c>
    </row>
    <row r="9">
      <c r="A9" t="inlineStr">
        <is>
          <t>external_debt_pct_gdp</t>
        </is>
      </c>
      <c r="B9" s="2" t="n"/>
      <c r="C9" s="2" t="n"/>
      <c r="D9" s="2" t="n">
        <v>63</v>
      </c>
      <c r="E9" s="2" t="n"/>
      <c r="F9" s="2" t="n"/>
      <c r="G9" t="inlineStr">
        <is>
          <t>Fitch, 11-Sep-26</t>
        </is>
      </c>
    </row>
    <row r="10">
      <c r="A10" t="inlineStr">
        <is>
          <t>gross_reserves_usd_bn</t>
        </is>
      </c>
      <c r="B10" s="2" t="n"/>
      <c r="C10" s="2" t="n">
        <v>2.2</v>
      </c>
      <c r="D10" s="2" t="n">
        <v>2.2</v>
      </c>
      <c r="E10" s="2" t="n"/>
      <c r="F10" s="2" t="n"/>
      <c r="G10" t="inlineStr">
        <is>
          <t>Gemini as reported, no URL, unverified, 08-Oct-26</t>
        </is>
      </c>
    </row>
    <row r="11">
      <c r="A11" t="inlineStr">
        <is>
          <t>revenue_pct_gdp</t>
        </is>
      </c>
      <c r="B11" s="2" t="n"/>
      <c r="C11" s="2" t="n"/>
      <c r="D11" s="2" t="n"/>
      <c r="E11" s="2" t="n"/>
      <c r="F11" s="2" t="n"/>
      <c r="G11" t="inlineStr"/>
    </row>
    <row r="12">
      <c r="A12" t="inlineStr">
        <is>
          <t>interest_pct_revenue</t>
        </is>
      </c>
      <c r="B12" s="2" t="n"/>
      <c r="C12" s="2" t="n"/>
      <c r="D12" s="2" t="n"/>
      <c r="E12" s="2" t="n"/>
      <c r="F12" s="2" t="n"/>
      <c r="G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2026-10-26T07:29:45Z</dcterms:created>
  <dcterms:modified xmlns:dcterms="http://purl.org/dc/terms/" xmlns:xsi="http://www.w3.org/2001/XMLSchema-instance" xsi:type="dcterms:W3CDTF">2026-10-26T07:29:45Z</dcterms:modified>
</cp:coreProperties>
</file>