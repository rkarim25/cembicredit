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Rwanda: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Rwanda sovereign model</t>
        </is>
      </c>
      <c r="B1" t="inlineStr"/>
      <c r="C1" t="inlineStr"/>
      <c r="D1" t="inlineStr"/>
      <c r="E1" t="inlineStr">
        <is>
          <t>built 09-Oct-26 by pipeline/sovereign_model.py from database/sovereigns/rwanda.json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Aug-26</t>
        </is>
      </c>
      <c r="E3" t="inlineStr">
        <is>
          <t>Gemini position citing BNR MPC statement (reported, unverified, no URL)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15.7</v>
      </c>
      <c r="C5" t="inlineStr">
        <is>
          <t>%</t>
        </is>
      </c>
      <c r="D5" t="inlineStr">
        <is>
          <t>Aug-26</t>
        </is>
      </c>
      <c r="E5" t="inlineStr">
        <is>
          <t>Gemini position citing BNR/NISR (reported, unverified, no URL)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9.699999999999999</v>
      </c>
      <c r="C6" t="inlineStr">
        <is>
          <t>%</t>
        </is>
      </c>
      <c r="D6" t="inlineStr">
        <is>
          <t>H1 2026</t>
        </is>
      </c>
      <c r="E6" t="inlineStr">
        <is>
          <t>Gemini position citing NISR (reported, unverified, no URL)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77.5</v>
      </c>
      <c r="C8" t="inlineStr">
        <is>
          <t>% GDP</t>
        </is>
      </c>
      <c r="D8" t="inlineStr">
        <is>
          <t>2026E</t>
        </is>
      </c>
      <c r="E8" t="inlineStr">
        <is>
          <t>Fitch</t>
        </is>
      </c>
      <c r="F8" t="inlineStr">
        <is>
          <t>11-Sep-26</t>
        </is>
      </c>
      <c r="G8" t="inlineStr">
        <is>
          <t>central government debt (~75-80% band)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-4.8</v>
      </c>
      <c r="C10" t="inlineStr">
        <is>
          <t>% GDP</t>
        </is>
      </c>
      <c r="D10" t="inlineStr">
        <is>
          <t>FY2025/26</t>
        </is>
      </c>
      <c r="E10" t="inlineStr">
        <is>
          <t>Gemini position attributing to IMF release (reported, unverified, no URL)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</v>
      </c>
      <c r="C14" t="inlineStr">
        <is>
          <t>% GDP</t>
        </is>
      </c>
      <c r="D14" t="inlineStr">
        <is>
          <t>2026E</t>
        </is>
      </c>
      <c r="E14" t="inlineStr">
        <is>
          <t>Gemini position citing Fitch (reported, near 15% deficit, unverified, no URL)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5.909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2.2</v>
      </c>
      <c r="C16" t="inlineStr">
        <is>
          <t>USD bn</t>
        </is>
      </c>
      <c r="D16" t="inlineStr">
        <is>
          <t>2026</t>
        </is>
      </c>
      <c r="E16" t="inlineStr">
        <is>
          <t>Gemini position (reported, unverified, no URL)</t>
        </is>
      </c>
      <c r="F16" t="inlineStr">
        <is>
          <t>08-Oct-26</t>
        </is>
      </c>
      <c r="G16" t="inlineStr">
        <is>
          <t>not stated (reported ~US$2.2bn)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</v>
      </c>
      <c r="C18" t="inlineStr">
        <is>
          <t>months</t>
        </is>
      </c>
      <c r="D18" t="inlineStr">
        <is>
          <t>2026</t>
        </is>
      </c>
      <c r="E18" t="inlineStr">
        <is>
          <t>Gemini position (reported ~4.0 months of imports, unverified, no URL)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63</v>
      </c>
      <c r="C20" t="inlineStr">
        <is>
          <t>% GDP</t>
        </is>
      </c>
      <c r="D20" t="inlineStr">
        <is>
          <t>2026E</t>
        </is>
      </c>
      <c r="E20" t="inlineStr">
        <is>
          <t>Fitch</t>
        </is>
      </c>
      <c r="F20" t="inlineStr">
        <is>
          <t>11-Sep-26</t>
        </is>
      </c>
      <c r="G20" t="inlineStr">
        <is>
          <t>net external debt %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17.336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0.62</v>
      </c>
      <c r="C23" t="inlineStr">
        <is>
          <t>USD bn</t>
        </is>
      </c>
      <c r="D23" t="inlineStr">
        <is>
          <t>2026</t>
        </is>
      </c>
      <c r="E23" t="inlineStr">
        <is>
          <t>Claude and Gemini positions recalling US$620m 5.50% due Aug-31 (prospectus not retrieved)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B+</t>
        </is>
      </c>
      <c r="C30" t="inlineStr">
        <is>
          <t>Stable</t>
        </is>
      </c>
      <c r="D30" t="inlineStr">
        <is>
          <t>May-26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Stable</t>
        </is>
      </c>
      <c r="D31" t="inlineStr">
        <is>
          <t>06-Oct-26</t>
        </is>
      </c>
    </row>
    <row r="33">
      <c r="A33" t="inlineStr">
        <is>
          <t>IMF</t>
        </is>
      </c>
      <c r="B33" t="inlineStr">
        <is>
          <t>ECF (38-month, reported)</t>
        </is>
      </c>
      <c r="D33" t="inlineStr">
        <is>
          <t>Jun-26 (reported)</t>
        </is>
      </c>
      <c r="E33" t="inlineStr">
        <is>
          <t>Board Dec-26 (reported; first review staff-level agreement 06-Oct-26, SDR 26.43m)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>
        <v>7.8</v>
      </c>
      <c r="E3" s="2" t="n">
        <v>7.8</v>
      </c>
      <c r="F3" s="2" t="n"/>
      <c r="G3" t="inlineStr">
        <is>
          <t>Fitch forecast via Gemini position (unverified),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>
        <v>-15</v>
      </c>
      <c r="E5" s="2" t="n"/>
      <c r="F5" s="2" t="n"/>
      <c r="G5" t="inlineStr">
        <is>
          <t>Gemini position citing Fitch (unverified), 08-Oct-26</t>
        </is>
      </c>
    </row>
    <row r="6">
      <c r="A6" t="inlineStr">
        <is>
          <t>fiscal_balance_pct_gdp</t>
        </is>
      </c>
      <c r="B6" s="2" t="n">
        <v>-4.8</v>
      </c>
      <c r="C6" s="2" t="n">
        <v>-4.8</v>
      </c>
      <c r="D6" s="2" t="n">
        <v>-4.5</v>
      </c>
      <c r="E6" s="2" t="n"/>
      <c r="F6" s="2" t="n">
        <v>-4.5</v>
      </c>
      <c r="G6" t="inlineStr">
        <is>
          <t>Gemini position citing IMF (FY2025/26) and Fitch (FY2026/27), unverified, 08-Oct-26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/>
      <c r="D8" s="2" t="n">
        <v>77.5</v>
      </c>
      <c r="E8" s="2" t="n"/>
      <c r="F8" s="2" t="n"/>
      <c r="G8" t="inlineStr">
        <is>
          <t>Fitch, 11-Sep-26</t>
        </is>
      </c>
    </row>
    <row r="9">
      <c r="A9" t="inlineStr">
        <is>
          <t>external_debt_pct_gdp</t>
        </is>
      </c>
      <c r="B9" s="2" t="n"/>
      <c r="C9" s="2" t="n"/>
      <c r="D9" s="2" t="n">
        <v>63</v>
      </c>
      <c r="E9" s="2" t="n"/>
      <c r="F9" s="2" t="n"/>
      <c r="G9" t="inlineStr">
        <is>
          <t>Fitch, 11-Sep-26</t>
        </is>
      </c>
    </row>
    <row r="10">
      <c r="A10" t="inlineStr">
        <is>
          <t>gross_reserves_usd_bn</t>
        </is>
      </c>
      <c r="B10" s="2" t="n"/>
      <c r="C10" s="2" t="n">
        <v>2.2</v>
      </c>
      <c r="D10" s="2" t="n">
        <v>2.2</v>
      </c>
      <c r="E10" s="2" t="n"/>
      <c r="F10" s="2" t="n"/>
      <c r="G10" t="inlineStr">
        <is>
          <t>Gemini position (unverified),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