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23-Oct-26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26-Oct-26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CBE overnight deposit rate, MPC decision via BNOK24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12.8</v>
      </c>
      <c r="C5" t="inlineStr">
        <is>
          <t>%</t>
        </is>
      </c>
      <c r="D5" t="inlineStr">
        <is>
          <t>Sep-26</t>
        </is>
      </c>
      <c r="E5" t="inlineStr">
        <is>
          <t>CAPMAS via Arab Finance</t>
        </is>
      </c>
      <c r="F5" t="inlineStr">
        <is>
          <t>10-Oct-26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15-Oct-26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81.8</v>
      </c>
      <c r="C8" t="inlineStr">
        <is>
          <t>% GDP</t>
        </is>
      </c>
      <c r="D8" t="inlineStr">
        <is>
          <t>Jun-26</t>
        </is>
      </c>
      <c r="E8" t="inlineStr">
        <is>
          <t>Moody's via Daba Finance</t>
        </is>
      </c>
      <c r="F8" t="inlineStr">
        <is>
          <t>16-Oct-26</t>
        </is>
      </c>
      <c r="G8" t="inlineStr">
        <is>
          <t>public debt as reported by Moody's; MoF/IIF budget-sector figure is 79.7% at Q2-26 on a different perimeter</t>
        </is>
      </c>
    </row>
    <row r="9">
      <c r="A9" t="inlineStr">
        <is>
          <t>primary_balance_pct_gdp</t>
        </is>
      </c>
      <c r="B9" s="2" t="n">
        <v>4.9</v>
      </c>
      <c r="C9" t="inlineStr">
        <is>
          <t>% GDP</t>
        </is>
      </c>
      <c r="D9" t="inlineStr">
        <is>
          <t>FY25/26</t>
        </is>
      </c>
      <c r="E9" t="inlineStr">
        <is>
          <t>Moody's and S&amp;P via press</t>
        </is>
      </c>
      <c r="F9" t="inlineStr">
        <is>
          <t>16-Oct-26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deficit)</t>
        </is>
      </c>
      <c r="F10" t="inlineStr">
        <is>
          <t>15-Oct-26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59</v>
      </c>
      <c r="C12" t="inlineStr">
        <is>
          <t>%</t>
        </is>
      </c>
      <c r="D12" t="inlineStr">
        <is>
          <t>FY25/26</t>
        </is>
      </c>
      <c r="E12" t="inlineStr">
        <is>
          <t>Moody's via Daba Finance (S&amp;P puts it at 67%)</t>
        </is>
      </c>
      <c r="F12" t="inlineStr">
        <is>
          <t>16-Oct-26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 via repo record</t>
        </is>
      </c>
      <c r="F14" t="inlineStr">
        <is>
          <t>15-Oct-26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17.224</v>
      </c>
      <c r="C17" t="inlineStr">
        <is>
          <t>USD bn</t>
        </is>
      </c>
      <c r="D17" t="inlineStr">
        <is>
          <t>May-26</t>
        </is>
      </c>
      <c r="E17" t="inlineStr">
        <is>
          <t>IMF reserve template</t>
        </is>
      </c>
      <c r="F17" t="inlineStr">
        <is>
          <t>31-May-26</t>
        </is>
      </c>
      <c r="G17" t="inlineStr">
        <is>
          <t>reserves net of one-year drains (IMF reserve template); CBE reports a different net international reserves figure of 57.35 at Sep-26 that is not reconciled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CBE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15-Oct-26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11-Oct-26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16-Oct-26</t>
        </is>
      </c>
    </row>
    <row r="33">
      <c r="A33" t="inlineStr">
        <is>
          <t>IMF</t>
        </is>
      </c>
      <c r="B33" t="inlineStr">
        <is>
          <t>EFF (with RSF)</t>
        </is>
      </c>
      <c r="D33" t="inlineStr">
        <is>
          <t>Seventh Review completed 31-Jul-26, $1.8B approved ($1.5B EFF, $272M RSF)</t>
        </is>
      </c>
      <c r="E33" t="inlineStr">
        <is>
          <t>Eighth and final EFF review (with third RSF review), Q4-26, expected by mid-Dec-26; 15-Dec-26 Board date unconfirmed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FY23/24</t>
        </is>
      </c>
      <c r="G1" s="1" t="inlineStr">
        <is>
          <t>FY24/25</t>
        </is>
      </c>
      <c r="H1" s="1" t="inlineStr">
        <is>
          <t>FY25/26</t>
        </is>
      </c>
      <c r="I1" s="1" t="inlineStr">
        <is>
          <t>FY25/26E</t>
        </is>
      </c>
      <c r="J1" s="1" t="inlineStr">
        <is>
          <t>Q2-26</t>
        </is>
      </c>
      <c r="K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429.6</v>
      </c>
      <c r="F2" s="2" t="n"/>
      <c r="G2" s="2" t="n"/>
      <c r="H2" s="2" t="n"/>
      <c r="I2" s="2" t="n"/>
      <c r="J2" s="2" t="n"/>
      <c r="K2" t="inlineStr">
        <is>
          <t>IMF WEO, 15-Oct-26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>
        <v>4.2</v>
      </c>
      <c r="F3" s="2" t="n"/>
      <c r="G3" s="2" t="n"/>
      <c r="H3" s="2" t="n"/>
      <c r="I3" s="2" t="n"/>
      <c r="J3" s="2" t="n"/>
      <c r="K3" t="inlineStr">
        <is>
          <t>IMF WEO, 15-Oct-26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-4.2</v>
      </c>
      <c r="F5" s="2" t="n"/>
      <c r="G5" s="2" t="n"/>
      <c r="H5" s="2" t="n"/>
      <c r="I5" s="2" t="n"/>
      <c r="J5" s="2" t="n"/>
      <c r="K5" t="inlineStr">
        <is>
          <t>IMF WEO via repo record, 15-Oct-26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-12.1</v>
      </c>
      <c r="F6" s="2" t="n"/>
      <c r="G6" s="2" t="n"/>
      <c r="H6" s="2" t="n"/>
      <c r="I6" s="2" t="n"/>
      <c r="J6" s="2" t="n"/>
      <c r="K6" t="inlineStr">
        <is>
          <t>IMF WEO, 15-Oct-26</t>
        </is>
      </c>
    </row>
    <row r="7">
      <c r="A7" t="inlineStr">
        <is>
          <t>primary_balance_pct_gdp</t>
        </is>
      </c>
      <c r="B7" s="2" t="n"/>
      <c r="C7" s="2" t="n">
        <v>3.5</v>
      </c>
      <c r="D7" s="2" t="n">
        <v>4.9</v>
      </c>
      <c r="E7" s="2" t="n">
        <v>4</v>
      </c>
      <c r="F7" s="2" t="n"/>
      <c r="G7" s="2" t="n">
        <v>3.5</v>
      </c>
      <c r="H7" s="2" t="n">
        <v>4</v>
      </c>
      <c r="I7" s="2" t="n">
        <v>4</v>
      </c>
      <c r="J7" s="2" t="n"/>
      <c r="K7" t="inlineStr">
        <is>
          <t>Moody's and S&amp;P via press, 16-Oct-26; fiscal years ending Jun (2025 = FY24/25, 2026 = FY25/26)</t>
        </is>
      </c>
    </row>
    <row r="8">
      <c r="A8" t="inlineStr">
        <is>
          <t>gov_debt_pct_gdp</t>
        </is>
      </c>
      <c r="B8" s="2" t="n">
        <v>95.2</v>
      </c>
      <c r="C8" s="2" t="n"/>
      <c r="D8" s="2" t="n">
        <v>81.8</v>
      </c>
      <c r="E8" s="2" t="n">
        <v>79.7</v>
      </c>
      <c r="F8" s="2" t="n">
        <v>96.40000000000001</v>
      </c>
      <c r="G8" s="2" t="n"/>
      <c r="H8" s="2" t="n"/>
      <c r="I8" s="2" t="n"/>
      <c r="J8" s="2" t="n">
        <v>79.7</v>
      </c>
      <c r="K8" t="inlineStr">
        <is>
          <t>Moody's via Daba Finance, 16-Oct-26; 2026 =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t="inlineStr"/>
    </row>
    <row r="12">
      <c r="A12" t="inlineStr">
        <is>
          <t>interest_pct_revenue</t>
        </is>
      </c>
      <c r="B12" s="2" t="n"/>
      <c r="C12" s="2" t="n"/>
      <c r="D12" s="2" t="n">
        <v>59</v>
      </c>
      <c r="E12" s="2" t="n"/>
      <c r="F12" s="2" t="n"/>
      <c r="G12" s="2" t="n"/>
      <c r="H12" s="2" t="n"/>
      <c r="I12" s="2" t="n"/>
      <c r="J12" s="2" t="n"/>
      <c r="K12" t="inlineStr">
        <is>
          <t>Moody's via Daba Finance, 16-Oct-26; 2026 = FY25/26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