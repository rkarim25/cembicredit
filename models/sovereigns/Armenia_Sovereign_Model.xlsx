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eries" sheetId="3" state="visible" r:id="rId3"/>
    <sheet xmlns:r="http://schemas.openxmlformats.org/officeDocument/2006/relationships" name="Calc" sheetId="4" state="visible" r:id="rId4"/>
    <sheet xmlns:r="http://schemas.openxmlformats.org/officeDocument/2006/relationships" name="Scenar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44" customWidth="1" min="3" max="3"/>
  </cols>
  <sheetData>
    <row r="1">
      <c r="A1" s="1" t="inlineStr">
        <is>
          <t>Armenia: sovereign credit summary</t>
        </is>
      </c>
      <c r="B1" t="inlineStr">
        <is>
          <t>as of 09-Oct-26</t>
        </is>
      </c>
    </row>
    <row r="2">
      <c r="A2" t="inlineStr">
        <is>
          <t>Ratings</t>
        </is>
      </c>
      <c r="B2">
        <f>Inputs!B29&amp;" / "&amp;Inputs!B30&amp;" / "&amp;Inputs!B31</f>
        <v/>
      </c>
      <c r="C2" t="inlineStr">
        <is>
          <t>Fitch / S&amp;P / Moody's (see Inputs for dates)</t>
        </is>
      </c>
    </row>
    <row r="3">
      <c r="A3" t="inlineStr">
        <is>
          <t>Ex-ante real policy rate (%)</t>
        </is>
      </c>
      <c r="B3">
        <f>Calc!B2</f>
        <v/>
      </c>
    </row>
    <row r="4">
      <c r="A4" t="inlineStr">
        <is>
          <t>Debt-stabilising PB (% GDP)</t>
        </is>
      </c>
      <c r="B4">
        <f>Calc!B4</f>
        <v/>
      </c>
    </row>
    <row r="5">
      <c r="A5" t="inlineStr">
        <is>
          <t>PB gap (% GDP)</t>
        </is>
      </c>
      <c r="B5">
        <f>Calc!B5</f>
        <v/>
      </c>
    </row>
    <row r="6">
      <c r="A6" t="inlineStr">
        <is>
          <t>Reserves / ST ext. debt (x)</t>
        </is>
      </c>
      <c r="B6">
        <f>Calc!B6</f>
        <v/>
      </c>
    </row>
    <row r="7">
      <c r="A7" t="inlineStr">
        <is>
          <t>Debt in 5 years, baseline (% GDP)</t>
        </is>
      </c>
      <c r="B7">
        <f>Calc!F12</f>
        <v/>
      </c>
    </row>
    <row r="8">
      <c r="A8" t="inlineStr">
        <is>
          <t>Debt in 5 years, shock (% GDP)</t>
        </is>
      </c>
      <c r="B8">
        <f>Calc!F13</f>
        <v/>
      </c>
    </row>
    <row r="9">
      <c r="A9" t="inlineStr">
        <is>
          <t>Interest / revenue (%)</t>
        </is>
      </c>
      <c r="B9">
        <f>Inputs!$B$12</f>
        <v/>
      </c>
    </row>
    <row r="10">
      <c r="A10" t="inlineStr">
        <is>
          <t>Gross financing need (% GDP)</t>
        </is>
      </c>
      <c r="B10">
        <f>Inputs!$B$13</f>
        <v/>
      </c>
    </row>
    <row r="12">
      <c r="A12" t="inlineStr">
        <is>
          <t>All derived cells are formulas; inputs are blue cells on Inputs, Series and Scenarios. Sources and dates sit beside every input.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2" customWidth="1" min="4" max="4"/>
    <col width="40" customWidth="1" min="5" max="5"/>
    <col width="12" customWidth="1" min="6" max="6"/>
    <col width="40" customWidth="1" min="7" max="7"/>
  </cols>
  <sheetData>
    <row r="1">
      <c r="A1" t="inlineStr">
        <is>
          <t>Armenia sovereign model</t>
        </is>
      </c>
      <c r="B1" t="inlineStr"/>
      <c r="C1" t="inlineStr"/>
      <c r="D1" t="inlineStr"/>
      <c r="E1" t="inlineStr">
        <is>
          <t>built 26-Oct-26 by pipeline/sovereign_model.py from database/sovereigns/armenia.json</t>
        </is>
      </c>
    </row>
    <row r="2">
      <c r="A2" s="1" t="inlineStr">
        <is>
          <t>Indicator</t>
        </is>
      </c>
      <c r="B2" s="1" t="inlineStr">
        <is>
          <t>Value</t>
        </is>
      </c>
      <c r="C2" s="1" t="inlineStr">
        <is>
          <t>Unit</t>
        </is>
      </c>
      <c r="D2" s="1" t="inlineStr">
        <is>
          <t>Period</t>
        </is>
      </c>
      <c r="E2" s="1" t="inlineStr">
        <is>
          <t>Source</t>
        </is>
      </c>
      <c r="F2" s="1" t="inlineStr">
        <is>
          <t>As of</t>
        </is>
      </c>
      <c r="G2" s="1" t="inlineStr">
        <is>
          <t>Definition</t>
        </is>
      </c>
    </row>
    <row r="3">
      <c r="A3" t="inlineStr">
        <is>
          <t>policy_rate_pct</t>
        </is>
      </c>
      <c r="B3" s="2" t="n">
        <v>6.75</v>
      </c>
      <c r="C3" t="inlineStr">
        <is>
          <t>%</t>
        </is>
      </c>
      <c r="D3" t="inlineStr">
        <is>
          <t>Sep-26</t>
        </is>
      </c>
      <c r="E3" t="inlineStr">
        <is>
          <t>Central Bank of Armenia, refinancing rate decision</t>
        </is>
      </c>
      <c r="F3" t="inlineStr">
        <is>
          <t>15-Sep-26</t>
        </is>
      </c>
      <c r="G3" t="inlineStr"/>
    </row>
    <row r="4">
      <c r="A4" t="inlineStr">
        <is>
          <t>inflation_expectation_12m_pct</t>
        </is>
      </c>
      <c r="B4" s="2" t="n"/>
      <c r="C4" t="inlineStr">
        <is>
          <t>%</t>
        </is>
      </c>
      <c r="D4" t="inlineStr"/>
      <c r="E4" t="inlineStr"/>
      <c r="F4" t="inlineStr"/>
      <c r="G4" t="inlineStr"/>
    </row>
    <row r="5">
      <c r="A5" t="inlineStr">
        <is>
          <t>cpi_latest_yoy_pct</t>
        </is>
      </c>
      <c r="B5" s="2" t="n">
        <v>4.3</v>
      </c>
      <c r="C5" t="inlineStr">
        <is>
          <t>%</t>
        </is>
      </c>
      <c r="D5" t="inlineStr">
        <is>
          <t>Sep-26</t>
        </is>
      </c>
      <c r="E5" t="inlineStr">
        <is>
          <t>Armstat, Consumer Price Index</t>
        </is>
      </c>
      <c r="F5" t="inlineStr">
        <is>
          <t>30-Sep-26</t>
        </is>
      </c>
      <c r="G5" t="inlineStr"/>
    </row>
    <row r="6">
      <c r="A6" t="inlineStr">
        <is>
          <t>real_gdp_growth_pct</t>
        </is>
      </c>
      <c r="B6" s="2" t="n">
        <v>5.25</v>
      </c>
      <c r="C6" t="inlineStr">
        <is>
          <t>%</t>
        </is>
      </c>
      <c r="D6" t="inlineStr">
        <is>
          <t>2026E</t>
        </is>
      </c>
      <c r="E6" t="inlineStr">
        <is>
          <t>IMF</t>
        </is>
      </c>
      <c r="F6" t="inlineStr">
        <is>
          <t>30-Jun-26</t>
        </is>
      </c>
      <c r="G6" t="inlineStr"/>
    </row>
    <row r="7">
      <c r="A7" t="inlineStr">
        <is>
          <t>effective_interest_rate_pct</t>
        </is>
      </c>
      <c r="B7" s="2" t="n"/>
      <c r="C7" t="inlineStr">
        <is>
          <t>%</t>
        </is>
      </c>
      <c r="D7" t="inlineStr"/>
      <c r="E7" t="inlineStr"/>
      <c r="F7" t="inlineStr"/>
      <c r="G7" t="inlineStr"/>
    </row>
    <row r="8">
      <c r="A8" t="inlineStr">
        <is>
          <t>gov_debt_pct_gdp</t>
        </is>
      </c>
      <c r="B8" s="2" t="n">
        <v>50.6</v>
      </c>
      <c r="C8" t="inlineStr">
        <is>
          <t>% GDP</t>
        </is>
      </c>
      <c r="D8" t="inlineStr">
        <is>
          <t>2026E</t>
        </is>
      </c>
      <c r="E8" t="inlineStr">
        <is>
          <t>IMF WEO</t>
        </is>
      </c>
      <c r="F8" t="inlineStr">
        <is>
          <t>08-Oct-26</t>
        </is>
      </c>
      <c r="G8" t="inlineStr">
        <is>
          <t>official annual series (filled automatically; a run's sourced point replaces it)</t>
        </is>
      </c>
    </row>
    <row r="9">
      <c r="A9" t="inlineStr">
        <is>
          <t>primary_balance_pct_gdp</t>
        </is>
      </c>
      <c r="B9" s="2" t="n"/>
      <c r="C9" t="inlineStr">
        <is>
          <t>% GDP</t>
        </is>
      </c>
      <c r="D9" t="inlineStr"/>
      <c r="E9" t="inlineStr"/>
      <c r="F9" t="inlineStr"/>
      <c r="G9" t="inlineStr"/>
    </row>
    <row r="10">
      <c r="A10" t="inlineStr">
        <is>
          <t>fiscal_balance_pct_gdp</t>
        </is>
      </c>
      <c r="B10" s="2" t="n">
        <v>-3.4</v>
      </c>
      <c r="C10" t="inlineStr">
        <is>
          <t>% GDP</t>
        </is>
      </c>
      <c r="D10" t="inlineStr">
        <is>
          <t>2026 (tracking)</t>
        </is>
      </c>
      <c r="E10" t="inlineStr">
        <is>
          <t>Ministry of Finance, State Budget Execution</t>
        </is>
      </c>
      <c r="F10" t="inlineStr">
        <is>
          <t>09-Oct-26</t>
        </is>
      </c>
      <c r="G10" t="inlineStr"/>
    </row>
    <row r="11">
      <c r="A11" t="inlineStr">
        <is>
          <t>revenue_pct_gdp</t>
        </is>
      </c>
      <c r="B11" s="2" t="n"/>
      <c r="C11" t="inlineStr">
        <is>
          <t>% GDP</t>
        </is>
      </c>
      <c r="D11" t="inlineStr"/>
      <c r="E11" t="inlineStr"/>
      <c r="F11" t="inlineStr"/>
      <c r="G11" t="inlineStr"/>
    </row>
    <row r="12">
      <c r="A12" t="inlineStr">
        <is>
          <t>interest_pct_revenue</t>
        </is>
      </c>
      <c r="B12" s="2" t="n"/>
      <c r="C12" t="inlineStr">
        <is>
          <t>%</t>
        </is>
      </c>
      <c r="D12" t="inlineStr"/>
      <c r="E12" t="inlineStr"/>
      <c r="F12" t="inlineStr"/>
      <c r="G12" t="inlineStr"/>
    </row>
    <row r="13">
      <c r="A13" t="inlineStr">
        <is>
          <t>gfn_pct_gdp</t>
        </is>
      </c>
      <c r="B13" s="2" t="n"/>
      <c r="C13" t="inlineStr">
        <is>
          <t>% GDP</t>
        </is>
      </c>
      <c r="D13" t="inlineStr"/>
      <c r="E13" t="inlineStr"/>
      <c r="F13" t="inlineStr"/>
      <c r="G13" t="inlineStr"/>
    </row>
    <row r="14">
      <c r="A14" t="inlineStr">
        <is>
          <t>current_account_pct_gdp</t>
        </is>
      </c>
      <c r="B14" s="2" t="n">
        <v>-9.800000000000001</v>
      </c>
      <c r="C14" t="inlineStr">
        <is>
          <t>% GDP</t>
        </is>
      </c>
      <c r="D14" t="inlineStr">
        <is>
          <t>Q2-26</t>
        </is>
      </c>
      <c r="E14" t="inlineStr">
        <is>
          <t>Armstat, Balance of Payments Q2 2026</t>
        </is>
      </c>
      <c r="F14" t="inlineStr">
        <is>
          <t>30-Jun-26</t>
        </is>
      </c>
      <c r="G14" t="inlineStr"/>
    </row>
    <row r="15">
      <c r="A15" t="inlineStr">
        <is>
          <t>fdi_net_pct_gdp</t>
        </is>
      </c>
      <c r="B15" s="2" t="n">
        <v>2.421</v>
      </c>
      <c r="C15" t="inlineStr">
        <is>
          <t>% GDP</t>
        </is>
      </c>
      <c r="D15" t="inlineStr">
        <is>
          <t>2025</t>
        </is>
      </c>
      <c r="E15" t="inlineStr">
        <is>
          <t>World Bank WDI</t>
        </is>
      </c>
      <c r="F15" t="inlineStr">
        <is>
          <t>08-Oct-26</t>
        </is>
      </c>
      <c r="G15" t="inlineStr">
        <is>
          <t>official annual series (filled automatically; a run's sourced point replaces it)</t>
        </is>
      </c>
    </row>
    <row r="16">
      <c r="A16" t="inlineStr">
        <is>
          <t>gross_reserves_usd_bn</t>
        </is>
      </c>
      <c r="B16" s="2" t="n">
        <v>6.5</v>
      </c>
      <c r="C16" t="inlineStr">
        <is>
          <t>USD bn</t>
        </is>
      </c>
      <c r="D16" t="inlineStr">
        <is>
          <t>Sep-26</t>
        </is>
      </c>
      <c r="E16" t="inlineStr">
        <is>
          <t>Central Bank of Armenia</t>
        </is>
      </c>
      <c r="F16" t="inlineStr">
        <is>
          <t>30-Sep-26</t>
        </is>
      </c>
      <c r="G16" t="inlineStr">
        <is>
          <t>CBA gross international reserves; reported as exceeding USD 6.5bn; gold treatment not stated</t>
        </is>
      </c>
    </row>
    <row r="17">
      <c r="A17" t="inlineStr">
        <is>
          <t>net_reserves_usd_bn</t>
        </is>
      </c>
      <c r="B17" s="2" t="n"/>
      <c r="C17" t="inlineStr">
        <is>
          <t>USD bn</t>
        </is>
      </c>
      <c r="D17" t="inlineStr"/>
      <c r="E17" t="inlineStr"/>
      <c r="F17" t="inlineStr"/>
      <c r="G17" t="inlineStr"/>
    </row>
    <row r="18">
      <c r="A18" t="inlineStr">
        <is>
          <t>import_cover_months</t>
        </is>
      </c>
      <c r="B18" s="2" t="n">
        <v>5</v>
      </c>
      <c r="C18" t="inlineStr">
        <is>
          <t>months</t>
        </is>
      </c>
      <c r="D18" t="inlineStr">
        <is>
          <t>Sep-26</t>
        </is>
      </c>
      <c r="E18" t="inlineStr">
        <is>
          <t>Central Bank of Armenia (reported as more than 5 months)</t>
        </is>
      </c>
      <c r="F18" t="inlineStr">
        <is>
          <t>30-Sep-26</t>
        </is>
      </c>
      <c r="G18" t="inlineStr"/>
    </row>
    <row r="19">
      <c r="A19" t="inlineStr">
        <is>
          <t>short_term_external_debt_usd_bn</t>
        </is>
      </c>
      <c r="B19" s="2" t="n"/>
      <c r="C19" t="inlineStr">
        <is>
          <t>USD bn</t>
        </is>
      </c>
      <c r="D19" t="inlineStr"/>
      <c r="E19" t="inlineStr"/>
      <c r="F19" t="inlineStr"/>
      <c r="G19" t="inlineStr"/>
    </row>
    <row r="20">
      <c r="A20" t="inlineStr">
        <is>
          <t>external_debt_pct_gdp</t>
        </is>
      </c>
      <c r="B20" s="2" t="n"/>
      <c r="C20" t="inlineStr">
        <is>
          <t>% GDP</t>
        </is>
      </c>
      <c r="D20" t="inlineStr"/>
      <c r="E20" t="inlineStr"/>
      <c r="F20" t="inlineStr"/>
      <c r="G20" t="inlineStr"/>
    </row>
    <row r="21">
      <c r="A21" t="inlineStr">
        <is>
          <t>gefr_usd_bn</t>
        </is>
      </c>
      <c r="B21" s="2" t="n"/>
      <c r="C21" t="inlineStr">
        <is>
          <t>USD bn</t>
        </is>
      </c>
      <c r="D21" t="inlineStr"/>
      <c r="E21" t="inlineStr"/>
      <c r="F21" t="inlineStr"/>
      <c r="G21" t="inlineStr"/>
    </row>
    <row r="22">
      <c r="A22" t="inlineStr">
        <is>
          <t>nominal_gdp_usd_bn</t>
        </is>
      </c>
      <c r="B22" s="2" t="n">
        <v>31.873</v>
      </c>
      <c r="C22" t="inlineStr">
        <is>
          <t>USD bn</t>
        </is>
      </c>
      <c r="D22" t="inlineStr">
        <is>
          <t>2026E</t>
        </is>
      </c>
      <c r="E22" t="inlineStr">
        <is>
          <t>IMF WEO</t>
        </is>
      </c>
      <c r="F22" t="inlineStr">
        <is>
          <t>08-Oct-26</t>
        </is>
      </c>
      <c r="G22" t="inlineStr">
        <is>
          <t>official annual series (filled automatically; a run's sourced point replaces it)</t>
        </is>
      </c>
    </row>
    <row r="23">
      <c r="A23" t="inlineStr">
        <is>
          <t>eurobonds_outstanding_usd_bn</t>
        </is>
      </c>
      <c r="B23" s="2" t="n"/>
      <c r="C23" t="inlineStr">
        <is>
          <t>USD bn</t>
        </is>
      </c>
      <c r="D23" t="inlineStr"/>
      <c r="E23" t="inlineStr"/>
      <c r="F23" t="inlineStr"/>
      <c r="G23" t="inlineStr"/>
    </row>
    <row r="24">
      <c r="A24" t="inlineStr">
        <is>
          <t>eurobond_10y_spread_bp</t>
        </is>
      </c>
      <c r="B24" s="2" t="n"/>
      <c r="C24" t="inlineStr">
        <is>
          <t>bp</t>
        </is>
      </c>
      <c r="D24" t="inlineStr"/>
      <c r="E24" t="inlineStr"/>
      <c r="F24" t="inlineStr"/>
      <c r="G24" t="inlineStr"/>
    </row>
    <row r="25">
      <c r="A25" t="inlineStr">
        <is>
          <t>cds_5y_bp</t>
        </is>
      </c>
      <c r="B25" s="2" t="n"/>
      <c r="C25" t="inlineStr">
        <is>
          <t>bp</t>
        </is>
      </c>
      <c r="D25" t="inlineStr"/>
      <c r="E25" t="inlineStr"/>
      <c r="F25" t="inlineStr"/>
      <c r="G25" t="inlineStr"/>
    </row>
    <row r="26">
      <c r="A26" t="inlineStr">
        <is>
          <t>embi_gd_weight_pct</t>
        </is>
      </c>
      <c r="B26" s="2" t="n"/>
      <c r="C26" t="inlineStr">
        <is>
          <t>%</t>
        </is>
      </c>
      <c r="D26" t="inlineStr"/>
      <c r="E26" t="inlineStr"/>
      <c r="F26" t="inlineStr"/>
      <c r="G26" t="inlineStr"/>
    </row>
    <row r="28">
      <c r="A28" s="1" t="inlineStr">
        <is>
          <t>Ratings</t>
        </is>
      </c>
      <c r="B28" t="inlineStr">
        <is>
          <t>Rating</t>
        </is>
      </c>
      <c r="C28" t="inlineStr">
        <is>
          <t>Outlook</t>
        </is>
      </c>
      <c r="D28" t="inlineStr">
        <is>
          <t>Date</t>
        </is>
      </c>
    </row>
    <row r="29">
      <c r="A29" t="inlineStr">
        <is>
          <t>fitch</t>
        </is>
      </c>
      <c r="B29" t="inlineStr">
        <is>
          <t>BB-</t>
        </is>
      </c>
      <c r="C29" t="inlineStr">
        <is>
          <t>Positive</t>
        </is>
      </c>
      <c r="D29" t="inlineStr">
        <is>
          <t>10-Jul-26</t>
        </is>
      </c>
    </row>
    <row r="30">
      <c r="A30" t="inlineStr">
        <is>
          <t>sp</t>
        </is>
      </c>
      <c r="B30" t="inlineStr">
        <is>
          <t>BB-</t>
        </is>
      </c>
      <c r="C30" t="inlineStr">
        <is>
          <t>Positive</t>
        </is>
      </c>
      <c r="D30" t="inlineStr">
        <is>
          <t>21-Aug-26</t>
        </is>
      </c>
    </row>
    <row r="31">
      <c r="A31" t="inlineStr">
        <is>
          <t>moodys</t>
        </is>
      </c>
      <c r="B31" t="inlineStr">
        <is>
          <t>Ba3</t>
        </is>
      </c>
      <c r="C31" t="inlineStr">
        <is>
          <t>Positive</t>
        </is>
      </c>
      <c r="D31" t="inlineStr">
        <is>
          <t>28-Jul-26</t>
        </is>
      </c>
    </row>
    <row r="33">
      <c r="A33" t="inlineStr">
        <is>
          <t>IMF</t>
        </is>
      </c>
      <c r="B33" t="inlineStr">
        <is>
          <t>3-year precautionary Stand-By Arrangement</t>
        </is>
      </c>
      <c r="D33" t="inlineStr">
        <is>
          <t>Dec-25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Series (annual)</t>
        </is>
      </c>
      <c r="B1" s="1" t="inlineStr">
        <is>
          <t>2023</t>
        </is>
      </c>
      <c r="C1" s="1" t="inlineStr">
        <is>
          <t>2026E</t>
        </is>
      </c>
      <c r="D1" s="1" t="inlineStr">
        <is>
          <t>2026F</t>
        </is>
      </c>
      <c r="E1" s="1" t="inlineStr">
        <is>
          <t>Source</t>
        </is>
      </c>
    </row>
    <row r="2">
      <c r="A2" t="inlineStr">
        <is>
          <t>nominal_gdp_usd_bn</t>
        </is>
      </c>
      <c r="B2" s="2" t="n"/>
      <c r="C2" s="2" t="n"/>
      <c r="D2" s="2" t="n"/>
      <c r="E2" t="inlineStr"/>
    </row>
    <row r="3">
      <c r="A3" t="inlineStr">
        <is>
          <t>real_gdp_growth_pct</t>
        </is>
      </c>
      <c r="B3" s="2" t="n"/>
      <c r="C3" s="2" t="n">
        <v>5.25</v>
      </c>
      <c r="D3" s="2" t="n">
        <v>5.25</v>
      </c>
      <c r="E3" t="inlineStr">
        <is>
          <t>IMF, 30-Jun-26</t>
        </is>
      </c>
    </row>
    <row r="4">
      <c r="A4" t="inlineStr">
        <is>
          <t>cpi_avg_pct</t>
        </is>
      </c>
      <c r="B4" s="2" t="n"/>
      <c r="C4" s="2" t="n"/>
      <c r="D4" s="2" t="n"/>
      <c r="E4" t="inlineStr"/>
    </row>
    <row r="5">
      <c r="A5" t="inlineStr">
        <is>
          <t>current_account_pct_gdp</t>
        </is>
      </c>
      <c r="B5" s="2" t="n"/>
      <c r="C5" s="2" t="n"/>
      <c r="D5" s="2" t="n"/>
      <c r="E5" t="inlineStr"/>
    </row>
    <row r="6">
      <c r="A6" t="inlineStr">
        <is>
          <t>fiscal_balance_pct_gdp</t>
        </is>
      </c>
      <c r="B6" s="2" t="n"/>
      <c r="C6" s="2" t="n">
        <v>-3.4</v>
      </c>
      <c r="D6" s="2" t="n"/>
      <c r="E6" t="inlineStr">
        <is>
          <t>Ministry of Finance, 09-Oct-26</t>
        </is>
      </c>
    </row>
    <row r="7">
      <c r="A7" t="inlineStr">
        <is>
          <t>primary_balance_pct_gdp</t>
        </is>
      </c>
      <c r="B7" s="2" t="n"/>
      <c r="C7" s="2" t="n"/>
      <c r="D7" s="2" t="n"/>
      <c r="E7" t="inlineStr"/>
    </row>
    <row r="8">
      <c r="A8" t="inlineStr">
        <is>
          <t>gov_debt_pct_gdp</t>
        </is>
      </c>
      <c r="B8" s="2" t="n"/>
      <c r="C8" s="2" t="n"/>
      <c r="D8" s="2" t="n"/>
      <c r="E8" t="inlineStr"/>
    </row>
    <row r="9">
      <c r="A9" t="inlineStr">
        <is>
          <t>external_debt_pct_gdp</t>
        </is>
      </c>
      <c r="B9" s="2" t="n"/>
      <c r="C9" s="2" t="n"/>
      <c r="D9" s="2" t="n"/>
      <c r="E9" t="inlineStr"/>
    </row>
    <row r="10">
      <c r="A10" t="inlineStr">
        <is>
          <t>gross_reserves_usd_bn</t>
        </is>
      </c>
      <c r="B10" s="2" t="n">
        <v>3.6</v>
      </c>
      <c r="C10" s="2" t="n">
        <v>6.5</v>
      </c>
      <c r="D10" s="2" t="n"/>
      <c r="E10" t="inlineStr">
        <is>
          <t>Central Bank of Armenia, late 2023 (as cited in adjudicated document, Oct-26)</t>
        </is>
      </c>
    </row>
    <row r="11">
      <c r="A11" t="inlineStr">
        <is>
          <t>revenue_pct_gdp</t>
        </is>
      </c>
      <c r="B11" s="2" t="n"/>
      <c r="C11" s="2" t="n"/>
      <c r="D11" s="2" t="n"/>
      <c r="E11" t="inlineStr"/>
    </row>
    <row r="12">
      <c r="A12" t="inlineStr">
        <is>
          <t>interest_pct_revenue</t>
        </is>
      </c>
      <c r="B12" s="2" t="n"/>
      <c r="C12" s="2" t="n"/>
      <c r="D12" s="2" t="n"/>
      <c r="E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3" max="3"/>
  </cols>
  <sheetData>
    <row r="1">
      <c r="A1" s="1" t="inlineStr">
        <is>
          <t>Derived metric</t>
        </is>
      </c>
      <c r="B1" s="1" t="inlineStr">
        <is>
          <t>Formula result</t>
        </is>
      </c>
      <c r="C1" s="1" t="inlineStr">
        <is>
          <t>Formula / note</t>
        </is>
      </c>
    </row>
    <row r="2">
      <c r="A2" t="inlineStr">
        <is>
          <t>Ex-ante real policy rate (%)</t>
        </is>
      </c>
      <c r="B2">
        <f>IF(Inputs!$B$4="",Inputs!$B$3-Inputs!$B$5,Inputs!$B$3-Inputs!$B$4)</f>
        <v/>
      </c>
      <c r="C2" t="inlineStr">
        <is>
          <t>policy − 12m expected inflation (falls back to latest CPI)</t>
        </is>
      </c>
    </row>
    <row r="3">
      <c r="A3" t="inlineStr">
        <is>
          <t>Nominal GDP growth proxy (%)</t>
        </is>
      </c>
      <c r="B3">
        <f>((1+Inputs!$B$6/100)*(1+Inputs!$B$5/100)-1)*100</f>
        <v/>
      </c>
      <c r="C3" t="inlineStr">
        <is>
          <t>(1+g)(1+π)−1</t>
        </is>
      </c>
    </row>
    <row r="4">
      <c r="A4" t="inlineStr">
        <is>
          <t>Debt-stabilising primary balance (% GDP)</t>
        </is>
      </c>
      <c r="B4">
        <f>(Inputs!$B$7/100-B3/100)/(1+B3/100)*Inputs!$B$8</f>
        <v/>
      </c>
      <c r="C4" t="inlineStr">
        <is>
          <t>pb* = (r−g)/(1+g)·d</t>
        </is>
      </c>
    </row>
    <row r="5">
      <c r="A5" t="inlineStr">
        <is>
          <t>Primary balance gap (% GDP)</t>
        </is>
      </c>
      <c r="B5">
        <f>Inputs!$B$9-B4</f>
        <v/>
      </c>
      <c r="C5" t="inlineStr">
        <is>
          <t>actual − pb*; negative = debt rising</t>
        </is>
      </c>
    </row>
    <row r="6">
      <c r="A6" t="inlineStr">
        <is>
          <t>Reserves / short-term external debt (x)</t>
        </is>
      </c>
      <c r="B6">
        <f>IF(Inputs!$B$19&gt;0,Inputs!$B$16/Inputs!$B$19,"")</f>
        <v/>
      </c>
      <c r="C6" t="inlineStr">
        <is>
          <t>Greenspan-Guidotti; &gt;1 is adequate</t>
        </is>
      </c>
    </row>
    <row r="7">
      <c r="A7" t="inlineStr">
        <is>
          <t>GEFR / gross reserves (%)</t>
        </is>
      </c>
      <c r="B7">
        <f>IF(Inputs!$B$16&gt;0,Inputs!$B$21/Inputs!$B$16*100,"")</f>
        <v/>
      </c>
      <c r="C7" t="inlineStr"/>
    </row>
    <row r="8">
      <c r="A8" t="inlineStr">
        <is>
          <t>Interest / revenue check (%)</t>
        </is>
      </c>
      <c r="B8">
        <f>IF(AND(Inputs!$B$11&gt;0,Inputs!$B$7&gt;0),Inputs!$B$7/100*Inputs!$B$8/Inputs!$B$11*100,"")</f>
        <v/>
      </c>
      <c r="C8" t="inlineStr">
        <is>
          <t>r·d/revenue; compare with reported interest/revenue</t>
        </is>
      </c>
    </row>
    <row r="9">
      <c r="A9" t="inlineStr">
        <is>
          <t>Eurobonds / reserves (%)</t>
        </is>
      </c>
      <c r="B9">
        <f>IF(Inputs!$B$16&gt;0,Inputs!$B$23/Inputs!$B$16*100,"")</f>
        <v/>
      </c>
      <c r="C9" t="inlineStr"/>
    </row>
    <row r="11">
      <c r="A11" s="1" t="inlineStr">
        <is>
          <t>Debt projection (% GDP)</t>
        </is>
      </c>
      <c r="B11" t="inlineStr">
        <is>
          <t>Year 1</t>
        </is>
      </c>
      <c r="C11" t="inlineStr">
        <is>
          <t>Year 2</t>
        </is>
      </c>
      <c r="D11" t="inlineStr">
        <is>
          <t>Year 3</t>
        </is>
      </c>
      <c r="E11" t="inlineStr">
        <is>
          <t>Year 4</t>
        </is>
      </c>
      <c r="F11" t="inlineStr">
        <is>
          <t>Year 5</t>
        </is>
      </c>
      <c r="G11" t="inlineStr">
        <is>
          <t>d(t+1) = d(t)·(1+r)/(1+g) − pb; r, g, pb from Inputs/Scenarios</t>
        </is>
      </c>
    </row>
    <row r="12">
      <c r="A12" t="inlineStr">
        <is>
          <t>Baseline</t>
        </is>
      </c>
      <c r="B12">
        <f>Inputs!$B$8*(1+Inputs!$B$7/100)/(1+$B$3/100)-Inputs!$B$9</f>
        <v/>
      </c>
      <c r="C12">
        <f>B12*(1+Inputs!$B$7/100)/(1+$B$3/100)-Inputs!$B$9</f>
        <v/>
      </c>
      <c r="D12">
        <f>C12*(1+Inputs!$B$7/100)/(1+$B$3/100)-Inputs!$B$9</f>
        <v/>
      </c>
      <c r="E12">
        <f>D12*(1+Inputs!$B$7/100)/(1+$B$3/100)-Inputs!$B$9</f>
        <v/>
      </c>
      <c r="F12">
        <f>E12*(1+Inputs!$B$7/100)/(1+$B$3/100)-Inputs!$B$9</f>
        <v/>
      </c>
    </row>
    <row r="13">
      <c r="A13" t="inlineStr">
        <is>
          <t>Shock scenario</t>
        </is>
      </c>
      <c r="B13">
        <f>Inputs!$B$8*(1+(Inputs!$B$7+Scenarios!$B$3)/100)/(1+($B$3+Scenarios!$B$2)/100)-(Inputs!$B$9+Scenarios!$B$4)</f>
        <v/>
      </c>
      <c r="C13">
        <f>B13*(1+(Inputs!$B$7+Scenarios!$B$3)/100)/(1+($B$3+Scenarios!$B$2)/100)-(Inputs!$B$9+Scenarios!$B$4)</f>
        <v/>
      </c>
      <c r="D13">
        <f>C13*(1+(Inputs!$B$7+Scenarios!$B$3)/100)/(1+($B$3+Scenarios!$B$2)/100)-(Inputs!$B$9+Scenarios!$B$4)</f>
        <v/>
      </c>
      <c r="E13">
        <f>D13*(1+(Inputs!$B$7+Scenarios!$B$3)/100)/(1+($B$3+Scenarios!$B$2)/100)-(Inputs!$B$9+Scenarios!$B$4)</f>
        <v/>
      </c>
      <c r="F13">
        <f>E13*(1+(Inputs!$B$7+Scenarios!$B$3)/100)/(1+($B$3+Scenarios!$B$2)/100)-(Inputs!$B$9+Scenarios!$B$4)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3" max="3"/>
  </cols>
  <sheetData>
    <row r="1">
      <c r="A1" s="1" t="inlineStr">
        <is>
          <t>Shock inputs (edit the blue cells)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Nominal growth shock (pp)</t>
        </is>
      </c>
      <c r="B2" s="2" t="n">
        <v>-3</v>
      </c>
      <c r="C2" t="inlineStr">
        <is>
          <t>applied to nominal GDP growth</t>
        </is>
      </c>
    </row>
    <row r="3">
      <c r="A3" t="inlineStr">
        <is>
          <t>Effective interest rate shock (pp)</t>
        </is>
      </c>
      <c r="B3" s="2" t="n">
        <v>2</v>
      </c>
      <c r="C3" t="inlineStr">
        <is>
          <t>refinancing at higher yields</t>
        </is>
      </c>
    </row>
    <row r="4">
      <c r="A4" t="inlineStr">
        <is>
          <t>Primary balance shock (% GDP)</t>
        </is>
      </c>
      <c r="B4" s="2" t="n">
        <v>-1.5</v>
      </c>
      <c r="C4" t="inlineStr">
        <is>
          <t>fiscal slippage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2026-10-26T07:29:42Z</dcterms:created>
  <dcterms:modified xmlns:dcterms="http://purl.org/dc/terms/" xmlns:xsi="http://www.w3.org/2001/XMLSchema-instance" xsi:type="dcterms:W3CDTF">2026-10-26T07:29:42Z</dcterms:modified>
</cp:coreProperties>
</file>