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26-Oct-26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26-Oct-26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SARB MPC via EWN and Briefly</t>
        </is>
      </c>
      <c r="F3" t="inlineStr">
        <is>
          <t>24-Sep-26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12m ahead</t>
        </is>
      </c>
      <c r="E4" t="inlineStr">
        <is>
          <t>BER survey (as cited in the adjudicated document; not independently sourced)</t>
        </is>
      </c>
      <c r="F4" t="inlineStr">
        <is>
          <t>16-Oct-26</t>
        </is>
      </c>
      <c r="G4" t="inlineStr"/>
    </row>
    <row r="5">
      <c r="A5" t="inlineStr">
        <is>
          <t>cpi_latest_yoy_pct</t>
        </is>
      </c>
      <c r="B5" s="2" t="n">
        <v>4.5</v>
      </c>
      <c r="C5" t="inlineStr">
        <is>
          <t>%</t>
        </is>
      </c>
      <c r="D5" t="inlineStr">
        <is>
          <t>Sep-26</t>
        </is>
      </c>
      <c r="E5" t="inlineStr">
        <is>
          <t>SAnews (Stats SA); IMF series 4.5455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2026F</t>
        </is>
      </c>
      <c r="E6" t="inlineStr">
        <is>
          <t>National Treasury MTBPS via IOL</t>
        </is>
      </c>
      <c r="F6" t="inlineStr">
        <is>
          <t>21-Oct-26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78.2</v>
      </c>
      <c r="C8" t="inlineStr">
        <is>
          <t>% GDP</t>
        </is>
      </c>
      <c r="D8" t="inlineStr">
        <is>
          <t>FY26/27</t>
        </is>
      </c>
      <c r="E8" t="inlineStr">
        <is>
          <t>National Treasury MTBPS via IOL and EWN (press summaries)</t>
        </is>
      </c>
      <c r="F8" t="inlineStr">
        <is>
          <t>21-Oct-26</t>
        </is>
      </c>
      <c r="G8" t="inlineStr">
        <is>
          <t>gross government debt, FY26/27 (MTBPS); peak 78.4% in FY25/26</t>
        </is>
      </c>
    </row>
    <row r="9">
      <c r="A9" t="inlineStr">
        <is>
          <t>primary_balance_pct_gdp</t>
        </is>
      </c>
      <c r="B9" s="2" t="n">
        <v>1.7</v>
      </c>
      <c r="C9" t="inlineStr">
        <is>
          <t>% GDP</t>
        </is>
      </c>
      <c r="D9" t="inlineStr">
        <is>
          <t>FY26/27</t>
        </is>
      </c>
      <c r="E9" t="inlineStr">
        <is>
          <t>National Treasury MTBPS via IOL</t>
        </is>
      </c>
      <c r="F9" t="inlineStr">
        <is>
          <t>21-Oct-26</t>
        </is>
      </c>
      <c r="G9" t="inlineStr"/>
    </row>
    <row r="10">
      <c r="A10" t="inlineStr">
        <is>
          <t>fiscal_balance_pct_gdp</t>
        </is>
      </c>
      <c r="B10" s="2" t="n">
        <v>-3.9</v>
      </c>
      <c r="C10" t="inlineStr">
        <is>
          <t>% GDP</t>
        </is>
      </c>
      <c r="D10" t="inlineStr">
        <is>
          <t>FY26/27</t>
        </is>
      </c>
      <c r="E10" t="inlineStr">
        <is>
          <t>National Treasury MTBPS via IOL and EWN (press summaries)</t>
        </is>
      </c>
      <c r="F10" t="inlineStr">
        <is>
          <t>21-Oct-26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21</v>
      </c>
      <c r="C12" t="inlineStr">
        <is>
          <t>%</t>
        </is>
      </c>
      <c r="D12" t="inlineStr">
        <is>
          <t>FY25/26</t>
        </is>
      </c>
      <c r="E12" t="inlineStr">
        <is>
          <t>Times Live (debt service R420.6bn)</t>
        </is>
      </c>
      <c r="F12" t="inlineStr">
        <is>
          <t>17-Oct-26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 (four quarters)</t>
        </is>
      </c>
      <c r="E14" t="inlineStr">
        <is>
          <t>SARB</t>
        </is>
      </c>
      <c r="F14" t="inlineStr">
        <is>
          <t>30-Sep-26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75.48</v>
      </c>
      <c r="C16" t="inlineStr">
        <is>
          <t>USD bn</t>
        </is>
      </c>
      <c r="D16" t="inlineStr">
        <is>
          <t>Sep-26</t>
        </is>
      </c>
      <c r="E16" t="inlineStr">
        <is>
          <t>IMF</t>
        </is>
      </c>
      <c r="F16" t="inlineStr">
        <is>
          <t>30-Sep-26</t>
        </is>
      </c>
      <c r="G16" t="inlineStr">
        <is>
          <t>gross incl. gold (IMF series); SARB headline of $63.5B (5.8 months of import cover) is not reconciled</t>
        </is>
      </c>
    </row>
    <row r="17">
      <c r="A17" t="inlineStr">
        <is>
          <t>net_reserves_usd_bn</t>
        </is>
      </c>
      <c r="B17" s="2" t="n">
        <v>74.3</v>
      </c>
      <c r="C17" t="inlineStr">
        <is>
          <t>USD bn</t>
        </is>
      </c>
      <c r="D17" t="inlineStr">
        <is>
          <t>Aug-26</t>
        </is>
      </c>
      <c r="E17" t="inlineStr">
        <is>
          <t>IMF</t>
        </is>
      </c>
      <c r="F17" t="inlineStr">
        <is>
          <t>31-Aug-26</t>
        </is>
      </c>
      <c r="G17" t="inlineStr">
        <is>
          <t>gross incl. gold net of one-year drains (IMF reserve template); $58.58B ex-gold at Sep-26</t>
        </is>
      </c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definition)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(FC) / BB+ (LC)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22-May-26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2027F</t>
        </is>
      </c>
      <c r="F1" s="1" t="inlineStr">
        <is>
          <t>2028F</t>
        </is>
      </c>
      <c r="G1" s="1" t="inlineStr">
        <is>
          <t>2029F</t>
        </is>
      </c>
      <c r="H1" s="1" t="inlineStr">
        <is>
          <t>FY25/26E</t>
        </is>
      </c>
      <c r="I1" s="1" t="inlineStr">
        <is>
          <t>FY26/27F</t>
        </is>
      </c>
      <c r="J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480</v>
      </c>
      <c r="D2" s="2" t="n"/>
      <c r="E2" s="2" t="n"/>
      <c r="F2" s="2" t="n"/>
      <c r="G2" s="2" t="n"/>
      <c r="H2" s="2" t="n"/>
      <c r="I2" s="2" t="n"/>
      <c r="J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1</v>
      </c>
      <c r="D3" s="2" t="n">
        <v>1.2</v>
      </c>
      <c r="E3" s="2" t="n">
        <v>1.6</v>
      </c>
      <c r="F3" s="2" t="n"/>
      <c r="G3" s="2" t="n"/>
      <c r="H3" s="2" t="n"/>
      <c r="I3" s="2" t="n"/>
      <c r="J3" t="inlineStr">
        <is>
          <t>National Treasury MTBPS via IOL, 21-Oct-26 (calendar-year forecasts)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t="inlineStr"/>
    </row>
    <row r="6">
      <c r="A6" t="inlineStr">
        <is>
          <t>fiscal_balance_pct_gdp</t>
        </is>
      </c>
      <c r="B6" s="2" t="n">
        <v>-4.5</v>
      </c>
      <c r="C6" s="2" t="n">
        <v>-3.9</v>
      </c>
      <c r="D6" s="2" t="n"/>
      <c r="E6" s="2" t="n">
        <v>-3.8</v>
      </c>
      <c r="F6" s="2" t="n">
        <v>-3.1</v>
      </c>
      <c r="G6" s="2" t="n">
        <v>-2.5</v>
      </c>
      <c r="H6" s="2" t="n">
        <v>-4.5</v>
      </c>
      <c r="I6" s="2" t="n">
        <v>-3.8</v>
      </c>
      <c r="J6" t="inlineStr">
        <is>
          <t>National Treasury MTBPS via IOL and EWN, 21-Oct-26; fiscal years labelled by start year (2026E = FY26/27, 2029F = FY29/30)</t>
        </is>
      </c>
    </row>
    <row r="7">
      <c r="A7" t="inlineStr">
        <is>
          <t>primary_balance_pct_gdp</t>
        </is>
      </c>
      <c r="B7" s="2" t="n">
        <v>0.9</v>
      </c>
      <c r="C7" s="2" t="n">
        <v>1.7</v>
      </c>
      <c r="D7" s="2" t="n"/>
      <c r="E7" s="2" t="n">
        <v>1.9</v>
      </c>
      <c r="F7" s="2" t="n">
        <v>2.3</v>
      </c>
      <c r="G7" s="2" t="n"/>
      <c r="H7" s="2" t="n"/>
      <c r="I7" s="2" t="n"/>
      <c r="J7" t="inlineStr">
        <is>
          <t>National Treasury MTBPS via IOL, 21-Oct-26; 2026E = FY26/27</t>
        </is>
      </c>
    </row>
    <row r="8">
      <c r="A8" t="inlineStr">
        <is>
          <t>gov_debt_pct_gdp</t>
        </is>
      </c>
      <c r="B8" s="2" t="n">
        <v>78.40000000000001</v>
      </c>
      <c r="C8" s="2" t="n">
        <v>78.2</v>
      </c>
      <c r="D8" s="2" t="n"/>
      <c r="E8" s="2" t="n"/>
      <c r="F8" s="2" t="n">
        <v>76.5</v>
      </c>
      <c r="G8" s="2" t="n">
        <v>76.59999999999999</v>
      </c>
      <c r="H8" s="2" t="n"/>
      <c r="I8" s="2" t="n"/>
      <c r="J8" t="inlineStr">
        <is>
          <t>National Treasury MTBPS via IOL and EWN, 21-Oct-26; fiscal years labelled by start year (2025 = FY25/26, 2026E = FY26/27, 2029F = FY29/30)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t="inlineStr"/>
    </row>
    <row r="12">
      <c r="A12" t="inlineStr">
        <is>
          <t>interest_pct_revenue</t>
        </is>
      </c>
      <c r="B12" s="2" t="n">
        <v>21</v>
      </c>
      <c r="C12" s="2" t="n"/>
      <c r="D12" s="2" t="n"/>
      <c r="E12" s="2" t="n"/>
      <c r="F12" s="2" t="n"/>
      <c r="G12" s="2" t="n"/>
      <c r="H12" s="2" t="n"/>
      <c r="I12" s="2" t="n"/>
      <c r="J12" t="inlineStr">
        <is>
          <t>Times Live, 17-Oct-26; 2025 = FY25/26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2026-10-26T12:04:04Z</dcterms:created>
  <dcterms:modified xmlns:dcterms="http://purl.org/dc/terms/" xmlns:xsi="http://www.w3.org/2001/XMLSchema-instance" xsi:type="dcterms:W3CDTF">2026-10-26T12:04:04Z</dcterms:modified>
</cp:coreProperties>
</file>