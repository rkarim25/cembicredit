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16-Oct-26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26-Oct-26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SARB repo rate (Briefly, 24-Sep-26; EWN, 23-Sep-26)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12m ahead</t>
        </is>
      </c>
      <c r="E4" t="inlineStr">
        <is>
          <t>BER survey (as cited in the adjudicated document; not independently sourced)</t>
        </is>
      </c>
      <c r="F4" t="inlineStr">
        <is>
          <t>16-Oct-26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16-Oct-26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 (official data record database/sovereigns/south-africa.json)</t>
        </is>
      </c>
      <c r="F6" t="inlineStr">
        <is>
          <t>16-Oct-26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</v>
      </c>
      <c r="C8" t="inlineStr">
        <is>
          <t>% GDP</t>
        </is>
      </c>
      <c r="D8" t="inlineStr">
        <is>
          <t>end-Mar-25</t>
        </is>
      </c>
      <c r="E8" t="inlineStr">
        <is>
          <t>IMF Article IV press release 26/039</t>
        </is>
      </c>
      <c r="F8" t="inlineStr">
        <is>
          <t>10-Feb-26</t>
        </is>
      </c>
      <c r="G8" t="inlineStr">
        <is>
          <t>IMF Article IV figure; Budget 2026 press reports a 78.9% peak in FY25/26 and the repo holds 77.2%, unreconciled</t>
        </is>
      </c>
    </row>
    <row r="9">
      <c r="A9" t="inlineStr">
        <is>
          <t>primary_balance_pct_gdp</t>
        </is>
      </c>
      <c r="B9" s="2" t="n">
        <v>1.6</v>
      </c>
      <c r="C9" t="inlineStr">
        <is>
          <t>% GDP</t>
        </is>
      </c>
      <c r="D9" t="inlineStr">
        <is>
          <t>FY26/27 (main budget, Budget 2026)</t>
        </is>
      </c>
      <c r="E9" t="inlineStr">
        <is>
          <t>Times Live / Business Day on Budget 2026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FY26/27 (consolidated, Budget 2026)</t>
        </is>
      </c>
      <c r="E10" t="inlineStr">
        <is>
          <t>Times Live / Business Day on Budget 2026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 (floor value, at least 20%)</t>
        </is>
      </c>
      <c r="E12" t="inlineStr">
        <is>
          <t>National Treasury, cited in the adjudicated document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</t>
        </is>
      </c>
      <c r="F14" t="inlineStr">
        <is>
          <t>16-Oct-26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reserves template</t>
        </is>
      </c>
      <c r="F16" t="inlineStr">
        <is>
          <t>16-Oct-26</t>
        </is>
      </c>
      <c r="G16" t="inlineStr">
        <is>
          <t>gross incl. gold (ex-gold $57.96B)</t>
        </is>
      </c>
    </row>
    <row r="17">
      <c r="A17" t="inlineStr">
        <is>
          <t>net_reserves_usd_bn</t>
        </is>
      </c>
      <c r="B17" s="2" t="n">
        <v>74.3</v>
      </c>
      <c r="C17" t="inlineStr">
        <is>
          <t>USD bn</t>
        </is>
      </c>
      <c r="D17" t="inlineStr">
        <is>
          <t>Aug-26</t>
        </is>
      </c>
      <c r="E17" t="inlineStr">
        <is>
          <t>IMF international reserves template</t>
        </is>
      </c>
      <c r="F17" t="inlineStr">
        <is>
          <t>16-Oct-26</t>
        </is>
      </c>
      <c r="G17" t="inlineStr">
        <is>
          <t>gross incl. gold, net of one-year drains</t>
        </is>
      </c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definition)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(FC) / BB+ (LC)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2027F</t>
        </is>
      </c>
      <c r="E1" s="1" t="inlineStr">
        <is>
          <t>2028F</t>
        </is>
      </c>
      <c r="F1" s="1" t="inlineStr">
        <is>
          <t>FY25/26E</t>
        </is>
      </c>
      <c r="G1" s="1" t="inlineStr">
        <is>
          <t>FY26/27F</t>
        </is>
      </c>
      <c r="H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480</v>
      </c>
      <c r="D2" s="2" t="n"/>
      <c r="E2" s="2" t="n"/>
      <c r="F2" s="2" t="n"/>
      <c r="G2" s="2" t="n"/>
      <c r="H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1</v>
      </c>
      <c r="D3" s="2" t="n"/>
      <c r="E3" s="2" t="n"/>
      <c r="F3" s="2" t="n"/>
      <c r="G3" s="2" t="n"/>
      <c r="H3" t="inlineStr">
        <is>
          <t>IMF WEO, repo record, 16-Oct-26 (IMF Article IV, 10-Feb-26, has 1.4% for 2026)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s="2" t="n"/>
      <c r="H5" t="inlineStr"/>
    </row>
    <row r="6">
      <c r="A6" t="inlineStr">
        <is>
          <t>fiscal_balance_pct_gdp</t>
        </is>
      </c>
      <c r="B6" s="2" t="n">
        <v>-4.5</v>
      </c>
      <c r="C6" s="2" t="n">
        <v>-4</v>
      </c>
      <c r="D6" s="2" t="n">
        <v>-3.8</v>
      </c>
      <c r="E6" s="2" t="n">
        <v>-3.1</v>
      </c>
      <c r="F6" s="2" t="n">
        <v>-4.5</v>
      </c>
      <c r="G6" s="2" t="n">
        <v>-3.8</v>
      </c>
      <c r="H6" t="inlineStr">
        <is>
          <t>Budget 2026 per Times Live / Business Day, 25-Feb-26; consolidated deficit; fiscal years mapped to the starting calendar year (2025 = FY25/26, 2026E = FY26/27, 2028F = FY28/29)</t>
        </is>
      </c>
    </row>
    <row r="7">
      <c r="A7" t="inlineStr">
        <is>
          <t>primary_balance_pct_gdp</t>
        </is>
      </c>
      <c r="B7" s="2" t="n">
        <v>0.9</v>
      </c>
      <c r="C7" s="2" t="n">
        <v>1.6</v>
      </c>
      <c r="D7" s="2" t="n">
        <v>1.9</v>
      </c>
      <c r="E7" s="2" t="n">
        <v>2.3</v>
      </c>
      <c r="F7" s="2" t="n"/>
      <c r="G7" s="2" t="n"/>
      <c r="H7" t="inlineStr">
        <is>
          <t>Budget 2026 per Times Live / Business Day, 25-Feb-26; main-budget primary surplus; same fiscal-year mapping</t>
        </is>
      </c>
    </row>
    <row r="8">
      <c r="A8" t="inlineStr">
        <is>
          <t>gov_debt_pct_gdp</t>
        </is>
      </c>
      <c r="B8" s="2" t="n"/>
      <c r="C8" s="2" t="n"/>
      <c r="D8" s="2" t="n"/>
      <c r="E8" s="2" t="n">
        <v>76.5</v>
      </c>
      <c r="F8" s="2" t="n"/>
      <c r="G8" s="2" t="n"/>
      <c r="H8" t="inlineStr">
        <is>
          <t>Budget 2026 per Times Live / Business Day, 25-Feb-26; FY28/29 value; the FY25/26 peak is unresolved (77.2% vs 78.9%)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2026-10-26T07:29:46Z</dcterms:created>
  <dcterms:modified xmlns:dcterms="http://purl.org/dc/terms/" xmlns:xsi="http://www.w3.org/2001/XMLSchema-instance" xsi:type="dcterms:W3CDTF">2026-10-26T07:29:46Z</dcterms:modified>
</cp:coreProperties>
</file>