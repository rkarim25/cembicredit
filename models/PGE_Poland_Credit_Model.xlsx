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Stable leverage profile backed by utility-grade predictability and regulatory stability.</t>
      </text>
    </comment>
    <comment ref="D8" authorId="0" shapeId="0">
      <text>
        <t>CEMBI Credit Desk Leverage Commentary (2022A):
Prudent capital management preserves compliance with all financial covenant ratios.</t>
      </text>
    </comment>
    <comment ref="E8" authorId="0" shapeId="0">
      <text>
        <t>CEMBI Credit Desk Leverage Commentary (2023A):
Net leverage steadily amortizes in line with project financing repayment profiles.</t>
      </text>
    </comment>
    <comment ref="F8" authorId="0" shapeId="0">
      <text>
        <t>CEMBI Credit Desk Leverage Commentary (2024A):
Deleveraging on track; substantial liquidity reserves maintained across top-tier banking partners.</t>
      </text>
    </comment>
    <comment ref="G8" authorId="0" shapeId="0">
      <text>
        <t>CEMBI Credit Desk Leverage Commentary (2025E):
Net leverage declines toward target management ceiling (&lt;3.5x consolidated).</t>
      </text>
    </comment>
    <comment ref="H8" authorId="0" shapeId="0">
      <text>
        <t>CEMBI Credit Desk Leverage Commentary (2026E):
Credit profile strengthens, positioning the issuer for potential credit rating upgrades.</t>
      </text>
    </comment>
    <comment ref="I8" authorId="0" shapeId="0">
      <text>
        <t>CEMBI Credit Desk Leverage Commentary (2027E):
Conservative capital structure with fortress balance sheet metrics and large covenant headroom.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(PGE) — Institutional Credit Model</t>
        </is>
      </c>
    </row>
    <row r="3">
      <c r="B3" s="2" t="inlineStr">
        <is>
          <t>Sector: Utilities | Country: Poland | Rating: BBB+ | Benchmark: PGE 5.125% 2029 @ $99.20 (5.30% YTM / +125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Poland's primary electricity generator and grid operator; accelerating offshore Baltic wind transition.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PGE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3276</v>
      </c>
      <c r="F26" s="7" t="inlineStr">
        <is>
          <t>5.30%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PGE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2184</v>
      </c>
      <c r="F27" s="7" t="inlineStr">
        <is>
          <t>4.55%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1820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9016.799999999999</v>
      </c>
      <c r="D15" s="8" t="n">
        <v>10873.2</v>
      </c>
      <c r="E15" s="8" t="n">
        <v>12199.2</v>
      </c>
      <c r="F15" s="8" t="n">
        <v>13260</v>
      </c>
      <c r="G15" s="8" t="n">
        <v>14320.8</v>
      </c>
      <c r="H15" s="8" t="n">
        <v>15249</v>
      </c>
      <c r="I15" s="8" t="n">
        <v>15912</v>
      </c>
    </row>
    <row r="16">
      <c r="B16" s="7" t="inlineStr">
        <is>
          <t>Regulated Power Distribution &amp; Grid</t>
        </is>
      </c>
      <c r="C16" s="8" t="n">
        <v>2917.2</v>
      </c>
      <c r="D16" s="8" t="n">
        <v>3517.8</v>
      </c>
      <c r="E16" s="8" t="n">
        <v>3946.8</v>
      </c>
      <c r="F16" s="8" t="n">
        <v>4290</v>
      </c>
      <c r="G16" s="8" t="n">
        <v>4633.2</v>
      </c>
      <c r="H16" s="8" t="n">
        <v>4933.5</v>
      </c>
      <c r="I16" s="8" t="n">
        <v>5148</v>
      </c>
    </row>
    <row r="17">
      <c r="B17" s="7" t="inlineStr">
        <is>
          <t>Merchant &amp; Capacity Balancing Services</t>
        </is>
      </c>
      <c r="C17" s="8" t="n">
        <v>1326</v>
      </c>
      <c r="D17" s="8" t="n">
        <v>1599</v>
      </c>
      <c r="E17" s="8" t="n">
        <v>1794</v>
      </c>
      <c r="F17" s="8" t="n">
        <v>1950</v>
      </c>
      <c r="G17" s="8" t="n">
        <v>2106</v>
      </c>
      <c r="H17" s="8" t="n">
        <v>2242.5</v>
      </c>
      <c r="I17" s="8" t="n">
        <v>2340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19890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4641</v>
      </c>
      <c r="D36" s="8" t="n">
        <v>4641</v>
      </c>
      <c r="E36" s="8" t="n">
        <v>4641</v>
      </c>
      <c r="F36" s="8" t="n">
        <v>4641</v>
      </c>
      <c r="G36" s="8" t="n">
        <v>4641</v>
      </c>
      <c r="H36" s="8" t="n">
        <v>4641</v>
      </c>
      <c r="I36" s="8" t="n">
        <v>4641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-686</v>
      </c>
      <c r="D16" s="8" t="n">
        <v>-833</v>
      </c>
      <c r="E16" s="8" t="n">
        <v>-931</v>
      </c>
      <c r="F16" s="8" t="n">
        <v>-980</v>
      </c>
      <c r="G16" s="8" t="n">
        <v>-1029</v>
      </c>
      <c r="H16" s="8" t="n">
        <v>-999.6</v>
      </c>
      <c r="I16" s="8" t="n">
        <v>-960.4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1155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PGE Benchmark Eurobond Notes</t>
        </is>
      </c>
    </row>
    <row r="7">
      <c r="B7" s="7" t="inlineStr">
        <is>
          <t xml:space="preserve">  Beginning Principal Balance</t>
        </is>
      </c>
      <c r="C7" s="8" t="n">
        <v>2784.6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928.2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618.8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0.0530</f>
        <v/>
      </c>
      <c r="D11" s="8">
        <f>D10 * 0.0530</f>
        <v/>
      </c>
      <c r="E11" s="8">
        <f>E10 * 0.0530</f>
        <v/>
      </c>
      <c r="F11" s="8">
        <f>F10 * 0.0530</f>
        <v/>
      </c>
      <c r="G11" s="8">
        <f>G10 * 0.0530</f>
        <v/>
      </c>
      <c r="H11" s="8">
        <f>H10 * 0.0530</f>
        <v/>
      </c>
      <c r="I11" s="8">
        <f>I10 * 0.0530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3403.4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873.6</v>
      </c>
      <c r="C32" s="8" t="n">
        <v>1601.6</v>
      </c>
      <c r="D32" s="8" t="n">
        <v>2038.4</v>
      </c>
      <c r="E32" s="8" t="n">
        <v>1310.4</v>
      </c>
      <c r="F32" s="8" t="n">
        <v>873.6</v>
      </c>
      <c r="G32" s="8" t="n">
        <v>582.4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PGE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3276</v>
      </c>
      <c r="F37" s="27" t="inlineStr">
        <is>
          <t>5.300%</t>
        </is>
      </c>
      <c r="G37" s="28" t="n">
        <v>99.2</v>
      </c>
      <c r="H37" s="29" t="n">
        <v>5.3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PGE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2184</v>
      </c>
      <c r="F38" s="27" t="inlineStr">
        <is>
          <t>4.650%</t>
        </is>
      </c>
      <c r="G38" s="28" t="n">
        <v>101.2</v>
      </c>
      <c r="H38" s="29" t="n">
        <v>4.649999999999999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1092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728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PGE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2038.4</v>
      </c>
    </row>
    <row r="45">
      <c r="B45" s="7" t="inlineStr">
        <is>
          <t>Drawn Amount ($M)</t>
        </is>
      </c>
      <c r="C45" s="8" t="n">
        <v>728</v>
      </c>
    </row>
    <row r="46">
      <c r="B46" s="19" t="inlineStr">
        <is>
          <t>AVAILABLE UNDRAWN HEADROOM ($M)</t>
        </is>
      </c>
      <c r="C46" s="20" t="n">
        <v>1310.4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4.50x</t>
        </is>
      </c>
      <c r="D55" s="30" t="inlineStr">
        <is>
          <t>1.85x</t>
        </is>
      </c>
      <c r="E55" s="31" t="inlineStr">
        <is>
          <t>2.65x leverage buffer ($7420.0M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6.20x</t>
        </is>
      </c>
      <c r="E56" s="31" t="inlineStr">
        <is>
          <t>+3.70x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3.1% of Assets</t>
        </is>
      </c>
      <c r="E57" s="31" t="inlineStr">
        <is>
          <t>$4290.0M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5.30%</t>
        </is>
      </c>
      <c r="F6" s="33" t="inlineStr">
        <is>
          <t>4.2x</t>
        </is>
      </c>
      <c r="G6" s="33" t="inlineStr">
        <is>
          <t>$100.80</t>
        </is>
      </c>
      <c r="H6" s="33" t="inlineStr">
        <is>
          <t>+1.6%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7.30%</t>
        </is>
      </c>
      <c r="F7" s="27" t="inlineStr">
        <is>
          <t>3.2x</t>
        </is>
      </c>
      <c r="G7" s="27" t="inlineStr">
        <is>
          <t>$91.40</t>
        </is>
      </c>
      <c r="H7" s="27" t="inlineStr">
        <is>
          <t>-7.9%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$82.00</t>
        </is>
      </c>
      <c r="H8" s="27" t="inlineStr">
        <is>
          <t>-17.3%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3.80%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1820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PGE Senior Unsecured Eurobonds</t>
        </is>
      </c>
      <c r="C15" s="8" t="n">
        <v>5460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82.0%</t>
        </is>
      </c>
      <c r="G15" s="27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1092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2912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Poland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(PGE) — Earnings Presentation &amp; Management Guidance</t>
        </is>
      </c>
    </row>
    <row r="3">
      <c r="B3" s="2" t="inlineStr">
        <is>
          <t>Source: PGE Polska Grupa Energetyczna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$21060.0M (+8.0% YoY growth)</t>
        </is>
      </c>
      <c r="D7" s="34" t="inlineStr">
        <is>
          <t>$20767.5M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$3080.0M (14.6% margin)</t>
        </is>
      </c>
      <c r="D8" s="34" t="inlineStr">
        <is>
          <t>$3024.0M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4" t="inlineStr">
        <is>
          <t>1.85x</t>
        </is>
      </c>
      <c r="E9" s="31" t="inlineStr">
        <is>
          <t>Ahead of Target</t>
        </is>
      </c>
      <c r="F9" s="36" t="inlineStr">
        <is>
          <t>Deleveraging on track with 2.65x buffer below covenant limit.</t>
        </is>
      </c>
    </row>
    <row r="10">
      <c r="B10" s="9" t="inlineStr">
        <is>
          <t>2025E Strategic Capex Envelope</t>
        </is>
      </c>
      <c r="C10" s="9" t="inlineStr">
        <is>
          <t>$1029.0M (Maximum growth and sustaining envelope)</t>
        </is>
      </c>
      <c r="D10" s="34" t="inlineStr">
        <is>
          <t>$946.7M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6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6" t="inlineStr">
        <is>
          <t>$3430.0M committed equity and project debt capex over 2025-2027</t>
        </is>
      </c>
    </row>
    <row r="17">
      <c r="B17" s="9" t="inlineStr">
        <is>
          <t>Project Financing Structure</t>
        </is>
      </c>
      <c r="C17" s="36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6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6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6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6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6" t="inlineStr">
        <is>
          <t>$351000.0M lifetime contractual revenue commitment</t>
        </is>
      </c>
    </row>
    <row r="29">
      <c r="B29" s="9" t="inlineStr">
        <is>
          <t>Equivalent Availability Factor</t>
        </is>
      </c>
      <c r="C29" s="36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6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6" t="inlineStr">
        <is>
          <t>$2100.0M across corporate accounts</t>
        </is>
      </c>
    </row>
    <row r="35">
      <c r="B35" s="9" t="inlineStr">
        <is>
          <t>Undrawn Revolving Credit Facilities</t>
        </is>
      </c>
      <c r="C35" s="36" t="inlineStr">
        <is>
          <t>$2912.0M in multi-currency syndicated credit lines</t>
        </is>
      </c>
    </row>
    <row r="36">
      <c r="B36" s="9" t="inlineStr">
        <is>
          <t>Liquidity Runway</t>
        </is>
      </c>
      <c r="C36" s="36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2026-09-19T21:34:15Z</dcterms:created>
  <dcterms:modified xmlns:dcterms="http://purl.org/dc/terms/" xmlns:xsi="http://www.w3.org/2001/XMLSchema-instance" xsi:type="dcterms:W3CDTF">2026-09-19T21:34:16Z</dcterms:modified>
</cp:coreProperties>
</file>