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(+$27.3M)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(+$33.6M)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(+$37.8M)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(+$42.0M)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(+$46.2M)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(+$49.6M)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(+$52.1M)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(+$27.3M)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(+$33.6M)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(+$37.8M)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(+$42.0M)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(+$46.2M)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(+$49.6M)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(+$52.1M)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(PGE) — Institutional Credit Model</t>
        </is>
      </c>
    </row>
    <row r="3">
      <c r="B3" s="2" t="inlineStr">
        <is>
          <t>Sector: Utilities | Country: Poland | Rating: BBB+ | Benchmark: PGE 5.125% 2029 @ $99.20 (5.30% YTM / +125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Poland's primary electricity generator and grid operator; accelerating offshore Baltic wind transition.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PGE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3276</v>
      </c>
      <c r="F26" s="7" t="inlineStr">
        <is>
          <t>5.30%</t>
        </is>
      </c>
      <c r="G26" s="7" t="inlineStr">
        <is>
          <t>$99.20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PGE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2184</v>
      </c>
      <c r="F27" s="7" t="inlineStr">
        <is>
          <t>4.55%</t>
        </is>
      </c>
      <c r="G27" s="7" t="inlineStr">
        <is>
          <t>$101.70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1820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9016.799999999999</v>
      </c>
      <c r="D15" s="8" t="n">
        <v>10873.2</v>
      </c>
      <c r="E15" s="8" t="n">
        <v>12199.2</v>
      </c>
      <c r="F15" s="8" t="n">
        <v>13260</v>
      </c>
      <c r="G15" s="8" t="n">
        <v>14320.8</v>
      </c>
      <c r="H15" s="8" t="n">
        <v>15249</v>
      </c>
      <c r="I15" s="8" t="n">
        <v>15912</v>
      </c>
    </row>
    <row r="16">
      <c r="B16" s="7" t="inlineStr">
        <is>
          <t>Regulated Power Distribution &amp; Grid</t>
        </is>
      </c>
      <c r="C16" s="8" t="n">
        <v>2917.2</v>
      </c>
      <c r="D16" s="8" t="n">
        <v>3517.8</v>
      </c>
      <c r="E16" s="8" t="n">
        <v>3946.8</v>
      </c>
      <c r="F16" s="8" t="n">
        <v>4290</v>
      </c>
      <c r="G16" s="8" t="n">
        <v>4633.2</v>
      </c>
      <c r="H16" s="8" t="n">
        <v>4933.5</v>
      </c>
      <c r="I16" s="8" t="n">
        <v>5148</v>
      </c>
    </row>
    <row r="17">
      <c r="B17" s="7" t="inlineStr">
        <is>
          <t>Merchant &amp; Capacity Balancing Services</t>
        </is>
      </c>
      <c r="C17" s="8" t="n">
        <v>1326</v>
      </c>
      <c r="D17" s="8" t="n">
        <v>1599</v>
      </c>
      <c r="E17" s="8" t="n">
        <v>1794</v>
      </c>
      <c r="F17" s="8" t="n">
        <v>1950</v>
      </c>
      <c r="G17" s="8" t="n">
        <v>2106</v>
      </c>
      <c r="H17" s="8" t="n">
        <v>2242.5</v>
      </c>
      <c r="I17" s="8" t="n">
        <v>2340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27.3</v>
      </c>
      <c r="D35" s="24" t="n">
        <v>33.6</v>
      </c>
      <c r="E35" s="24" t="n">
        <v>37.8</v>
      </c>
      <c r="F35" s="24" t="n">
        <v>42</v>
      </c>
      <c r="G35" s="24" t="n">
        <v>46.2</v>
      </c>
      <c r="H35" s="24" t="n">
        <v>49.6</v>
      </c>
      <c r="I35" s="24" t="n">
        <v>52.1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(+$27.3M)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(+$33.6M)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(+$37.8M)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(+$42.0M)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(+$46.2M)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(+$49.6M)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(+$52.1M)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19890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4641</v>
      </c>
      <c r="D36" s="8" t="n">
        <v>4641</v>
      </c>
      <c r="E36" s="8" t="n">
        <v>4641</v>
      </c>
      <c r="F36" s="8" t="n">
        <v>4641</v>
      </c>
      <c r="G36" s="8" t="n">
        <v>4641</v>
      </c>
      <c r="H36" s="8" t="n">
        <v>4641</v>
      </c>
      <c r="I36" s="8" t="n">
        <v>4641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-1469.6</v>
      </c>
      <c r="D16" s="8" t="n">
        <v>-2570.4</v>
      </c>
      <c r="E16" s="8" t="n">
        <v>-2891.7</v>
      </c>
      <c r="F16" s="8" t="n">
        <v>-2737</v>
      </c>
      <c r="G16" s="8" t="n">
        <v>-2487.1</v>
      </c>
      <c r="H16" s="8" t="n">
        <v>-2668</v>
      </c>
      <c r="I16" s="8" t="n">
        <v>-2803.6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1155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313.3</v>
      </c>
      <c r="D32" s="8" t="n">
        <v>714.3</v>
      </c>
      <c r="E32" s="8" t="n">
        <v>805.3</v>
      </c>
      <c r="F32" s="8" t="n">
        <v>465.7</v>
      </c>
      <c r="G32" s="8" t="n">
        <v>493.5</v>
      </c>
      <c r="H32" s="8" t="n">
        <v>517.9</v>
      </c>
      <c r="I32" s="8" t="n">
        <v>534.4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2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PGE Benchmark Eurobond Notes</t>
        </is>
      </c>
    </row>
    <row r="7">
      <c r="B7" s="7" t="inlineStr">
        <is>
          <t xml:space="preserve">  Beginning Principal Balance</t>
        </is>
      </c>
      <c r="C7" s="8" t="n">
        <v>2784.6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928.2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618.8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0.0530</f>
        <v/>
      </c>
      <c r="D11" s="8">
        <f>D10 * 0.0530</f>
        <v/>
      </c>
      <c r="E11" s="8">
        <f>E10 * 0.0530</f>
        <v/>
      </c>
      <c r="F11" s="8">
        <f>F10 * 0.0530</f>
        <v/>
      </c>
      <c r="G11" s="8">
        <f>G10 * 0.0530</f>
        <v/>
      </c>
      <c r="H11" s="8">
        <f>H10 * 0.0530</f>
        <v/>
      </c>
      <c r="I11" s="8">
        <f>I10 * 0.0530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3403.4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873.6</v>
      </c>
      <c r="C32" s="8" t="n">
        <v>1601.6</v>
      </c>
      <c r="D32" s="8" t="n">
        <v>2038.4</v>
      </c>
      <c r="E32" s="8" t="n">
        <v>1310.4</v>
      </c>
      <c r="F32" s="8" t="n">
        <v>873.6</v>
      </c>
      <c r="G32" s="8" t="n">
        <v>582.4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PGE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3276</v>
      </c>
      <c r="F37" s="30" t="inlineStr">
        <is>
          <t>5.300%</t>
        </is>
      </c>
      <c r="G37" s="31" t="n">
        <v>99.2</v>
      </c>
      <c r="H37" s="32" t="n">
        <v>5.3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PGE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2184</v>
      </c>
      <c r="F38" s="30" t="inlineStr">
        <is>
          <t>4.650%</t>
        </is>
      </c>
      <c r="G38" s="31" t="n">
        <v>101.2</v>
      </c>
      <c r="H38" s="32" t="n">
        <v>4.649999999999999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1092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728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PGE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2038.4</v>
      </c>
    </row>
    <row r="45">
      <c r="B45" s="7" t="inlineStr">
        <is>
          <t>Drawn Amount ($M)</t>
        </is>
      </c>
      <c r="C45" s="8" t="n">
        <v>728</v>
      </c>
    </row>
    <row r="46">
      <c r="B46" s="19" t="inlineStr">
        <is>
          <t>AVAILABLE UNDRAWN HEADROOM ($M)</t>
        </is>
      </c>
      <c r="C46" s="20" t="n">
        <v>1310.4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1.85x</t>
        </is>
      </c>
      <c r="E55" s="33" t="inlineStr">
        <is>
          <t>2.65x leverage buffer ($7420.0M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6.20x</t>
        </is>
      </c>
      <c r="E56" s="33" t="inlineStr">
        <is>
          <t>+3.70x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3.1% of Assets</t>
        </is>
      </c>
      <c r="E57" s="33" t="inlineStr">
        <is>
          <t>$4290.0M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5.30%</t>
        </is>
      </c>
      <c r="F6" s="35" t="inlineStr">
        <is>
          <t>4.2x</t>
        </is>
      </c>
      <c r="G6" s="35" t="inlineStr">
        <is>
          <t>$100.80</t>
        </is>
      </c>
      <c r="H6" s="35" t="inlineStr">
        <is>
          <t>+1.6%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7.30%</t>
        </is>
      </c>
      <c r="F7" s="30" t="inlineStr">
        <is>
          <t>3.2x</t>
        </is>
      </c>
      <c r="G7" s="30" t="inlineStr">
        <is>
          <t>$91.40</t>
        </is>
      </c>
      <c r="H7" s="30" t="inlineStr">
        <is>
          <t>-7.9%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$82.00</t>
        </is>
      </c>
      <c r="H8" s="30" t="inlineStr">
        <is>
          <t>-17.3%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3.80%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+5.8%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1820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PGE Senior Unsecured Eurobonds</t>
        </is>
      </c>
      <c r="C15" s="8" t="n">
        <v>5460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82.0%</t>
        </is>
      </c>
      <c r="G15" s="30" t="inlineStr">
        <is>
          <t>100.8%</t>
        </is>
      </c>
    </row>
    <row r="16">
      <c r="B16" s="7" t="inlineStr">
        <is>
          <t>Subordinated Debt &amp; Intercompany Notes</t>
        </is>
      </c>
      <c r="C16" s="8" t="n">
        <v>1092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2912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Poland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PGE Polska Grupa Energetyczna (PGE) — Earnings Presentation &amp; Management Guidance</t>
        </is>
      </c>
    </row>
    <row r="3">
      <c r="B3" s="2" t="inlineStr">
        <is>
          <t>Source: PGE Polska Grupa Energetyczna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$21060.0M (+8.0% YoY growth)</t>
        </is>
      </c>
      <c r="D7" s="36" t="inlineStr">
        <is>
          <t>$20767.5M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$21060.0M (+8.0% YoY growth). With current run-rate at $20767.5M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$3080.0M (14.6% margin)</t>
        </is>
      </c>
      <c r="D8" s="36" t="inlineStr">
        <is>
          <t>$3024.0M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$3080.0M (14.6%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1.85x</t>
        </is>
      </c>
      <c r="E9" s="33" t="inlineStr">
        <is>
          <t>Ahead of Target</t>
        </is>
      </c>
      <c r="F9" s="38" t="inlineStr">
        <is>
          <t>Deleveraging on track with 2.65x buffer below covenant limit.
[QUESTION TO CFO TO VERIFY]: You previously committed to a Net Leverage ceiling of &lt; 4.00x Net Debt / EBITDA. Current actual leverage stands at 1.85x.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$1029.0M (Maximum growth and sustaining envelope)</t>
        </is>
      </c>
      <c r="D10" s="36" t="inlineStr">
        <is>
          <t>$946.7M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$1029.0M (Maximum growth and sustaining envelope). Current commitments stand at $946.7M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$3430.0M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$351000.0M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$2100.0M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$2912.0M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2026-11-17</t>
        </is>
      </c>
    </row>
    <row r="47">
      <c r="B47" s="9" t="inlineStr">
        <is>
          <t>Reporting Period</t>
        </is>
      </c>
      <c r="C47" s="38" t="inlineStr">
        <is>
          <t>Q3 2026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09:00 Warsaw</t>
        </is>
      </c>
    </row>
    <row r="50">
      <c r="B50" s="9" t="inlineStr">
        <is>
          <t>Official IR Portal / Webcast URL</t>
        </is>
      </c>
      <c r="C50" s="38" t="inlineStr">
        <is>
          <t>https://www.gkpge.pl/investor-relations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2026-10-23T04:16:42Z</dcterms:created>
  <dcterms:modified xmlns:dcterms="http://purl.org/dc/terms/" xmlns:xsi="http://www.w3.org/2001/XMLSchema-instance" xsi:type="dcterms:W3CDTF">2026-10-23T04:16:42Z</dcterms:modified>
</cp:coreProperties>
</file>