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PGE Polska Grupa Energetyczna</t>
        </is>
      </c>
    </row>
    <row r="3">
      <c r="B3" s="2" t="inlineStr">
        <is>
          <t>CEMBI CEEMEA Institutional Credit Assessment | Country: Poland (CEE) | Sector: Utilities | Benchmark: PGE 5.125%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PGE 5.125% 2029</t>
        </is>
      </c>
      <c r="C6" s="5" t="inlineStr">
        <is>
          <t>5.30% (+125 bp)</t>
        </is>
      </c>
      <c r="D6" s="4" t="inlineStr">
        <is>
          <t>BBB+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Base Case Fair Value</t>
        </is>
      </c>
      <c r="E7" s="5" t="inlineStr">
        <is>
          <t>$100.80</t>
        </is>
      </c>
    </row>
    <row r="9">
      <c r="B9" s="6" t="inlineStr">
        <is>
          <t>INSTITUTIONAL INVESTMENT THESIS</t>
        </is>
      </c>
    </row>
    <row r="10">
      <c r="B10" s="7" t="inlineStr">
        <is>
          <t>Poland's primary electricity generator and grid operator; accelerating offshore Baltic wind transition.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PGE Polska Grupa Energetyczna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13260</v>
      </c>
      <c r="D7" s="13" t="n">
        <v>15990</v>
      </c>
      <c r="E7" s="13" t="n">
        <v>17940</v>
      </c>
      <c r="F7" s="13" t="n">
        <v>19500</v>
      </c>
      <c r="G7" s="14" t="n">
        <v>21060</v>
      </c>
      <c r="H7" s="14" t="n">
        <v>22425</v>
      </c>
      <c r="I7" s="14" t="n">
        <v>23400</v>
      </c>
    </row>
    <row r="8">
      <c r="B8" s="12" t="inlineStr">
        <is>
          <t>EBITDA</t>
        </is>
      </c>
      <c r="C8" s="13" t="n">
        <v>1820</v>
      </c>
      <c r="D8" s="13" t="n">
        <v>2240</v>
      </c>
      <c r="E8" s="13" t="n">
        <v>2520</v>
      </c>
      <c r="F8" s="13" t="n">
        <v>2800</v>
      </c>
      <c r="G8" s="14" t="n">
        <v>3080</v>
      </c>
      <c r="H8" s="14" t="n">
        <v>3304</v>
      </c>
      <c r="I8" s="14" t="n">
        <v>3472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271</v>
      </c>
      <c r="D10" s="17" t="n">
        <v>338.7</v>
      </c>
      <c r="E10" s="17" t="n">
        <v>406.5</v>
      </c>
      <c r="F10" s="17" t="n">
        <v>451.6</v>
      </c>
      <c r="G10" s="18" t="n">
        <v>433.5</v>
      </c>
      <c r="H10" s="18" t="n">
        <v>415.5</v>
      </c>
      <c r="I10" s="18" t="n">
        <v>397.4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1475.6</v>
      </c>
      <c r="D12" s="13" t="n">
        <v>1856.4</v>
      </c>
      <c r="E12" s="13" t="n">
        <v>2094.4</v>
      </c>
      <c r="F12" s="13" t="n">
        <v>2380</v>
      </c>
      <c r="G12" s="14" t="n">
        <v>2618</v>
      </c>
      <c r="H12" s="14" t="n">
        <v>2808.4</v>
      </c>
      <c r="I12" s="14" t="n">
        <v>2975</v>
      </c>
    </row>
    <row r="13">
      <c r="B13" s="5" t="inlineStr">
        <is>
          <t>Capital Expenditures (Capex)</t>
        </is>
      </c>
      <c r="C13" s="17" t="n">
        <v>686</v>
      </c>
      <c r="D13" s="17" t="n">
        <v>833</v>
      </c>
      <c r="E13" s="17" t="n">
        <v>931</v>
      </c>
      <c r="F13" s="17" t="n">
        <v>980</v>
      </c>
      <c r="G13" s="18" t="n">
        <v>1029</v>
      </c>
      <c r="H13" s="18" t="n">
        <v>999.6</v>
      </c>
      <c r="I13" s="18" t="n">
        <v>960.4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1155</v>
      </c>
      <c r="D16" s="13" t="n">
        <v>1470</v>
      </c>
      <c r="E16" s="13" t="n">
        <v>1785</v>
      </c>
      <c r="F16" s="13" t="n">
        <v>2100</v>
      </c>
      <c r="G16" s="14" t="n">
        <v>2478</v>
      </c>
      <c r="H16" s="14" t="n">
        <v>2835</v>
      </c>
      <c r="I16" s="14" t="n">
        <v>3150</v>
      </c>
    </row>
    <row r="17">
      <c r="B17" s="12" t="inlineStr">
        <is>
          <t>Gross Total Debt</t>
        </is>
      </c>
      <c r="C17" s="13" t="n">
        <v>6188</v>
      </c>
      <c r="D17" s="13" t="n">
        <v>6697.6</v>
      </c>
      <c r="E17" s="13" t="n">
        <v>7134.4</v>
      </c>
      <c r="F17" s="13" t="n">
        <v>7280</v>
      </c>
      <c r="G17" s="14" t="n">
        <v>7134.4</v>
      </c>
      <c r="H17" s="14" t="n">
        <v>6916</v>
      </c>
      <c r="I17" s="14" t="n">
        <v>6552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PGE Polska Grupa Energetyczna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5.30%</t>
        </is>
      </c>
      <c r="F6" s="21" t="inlineStr">
        <is>
          <t>2028 / 2029</t>
        </is>
      </c>
      <c r="G6" s="17" t="n">
        <v>3276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1820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1092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728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364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1785</v>
      </c>
    </row>
    <row r="15">
      <c r="B15" t="inlineStr">
        <is>
          <t>Committed Undrawn RCF Capacity</t>
        </is>
      </c>
      <c r="C15" s="22" t="n">
        <v>1120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1325.2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PGE Polska Grupa Energetyczna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2800</v>
      </c>
      <c r="D6" s="17" t="n">
        <v>2380</v>
      </c>
      <c r="E6" s="25" t="n">
        <v>1820</v>
      </c>
    </row>
    <row r="7">
      <c r="B7" s="5" t="inlineStr">
        <is>
          <t>Free Cash Flow ($M)</t>
        </is>
      </c>
      <c r="C7" s="17" t="n">
        <v>1400</v>
      </c>
      <c r="D7" s="17" t="n">
        <v>840</v>
      </c>
      <c r="E7" s="25" t="n">
        <v>210</v>
      </c>
    </row>
    <row r="8">
      <c r="B8" s="12" t="inlineStr">
        <is>
          <t>Net Leverage Ratio (x)</t>
        </is>
      </c>
      <c r="C8" s="26" t="n">
        <v>1.85</v>
      </c>
      <c r="D8" s="26" t="n">
        <v>2.31</v>
      </c>
      <c r="E8" s="27" t="n">
        <v>3.42</v>
      </c>
    </row>
    <row r="9">
      <c r="B9" s="5" t="inlineStr">
        <is>
          <t>Interest Coverage Ratio (x)</t>
        </is>
      </c>
      <c r="C9" s="26" t="n">
        <v>6.2</v>
      </c>
      <c r="D9" s="26" t="n">
        <v>4.84</v>
      </c>
      <c r="E9" s="27" t="n">
        <v>2.79</v>
      </c>
    </row>
    <row r="10">
      <c r="B10" s="12" t="inlineStr">
        <is>
          <t>Implied Senior Paper Trading / Recovery ($)</t>
        </is>
      </c>
      <c r="C10" s="12" t="inlineStr">
        <is>
          <t>$100.80</t>
        </is>
      </c>
      <c r="D10" s="12" t="inlineStr">
        <is>
          <t>$94.00</t>
        </is>
      </c>
      <c r="E10" s="28" t="inlineStr">
        <is>
          <t>$82.00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