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(+$43.9M)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(+$54.0M)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(+$60.8M)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(+$67.5M)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(+$74.2M)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(+$79.6M)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(+$83.7M)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(+$43.9M)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(+$54.0M)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(+$60.8M)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(+$67.5M)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(+$74.2M)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(+$79.6M)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(+$83.7M)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MTN Group (MTNSJ) — Institutional Credit Model</t>
        </is>
      </c>
    </row>
    <row r="3">
      <c r="B3" s="2" t="inlineStr">
        <is>
          <t>Sector: Technology | Country: South Africa | Rating: Ba2 / BB+ | Benchmark: MTNSJ 6.50% 2026 @ $99.40 (6.90% YTM / +285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Africa's largest mobile telecommunications provider; mobile money (MoMo) fintech expansion bolsters cash flow.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MTNSJ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4860</v>
      </c>
      <c r="F26" s="7" t="inlineStr">
        <is>
          <t>6.90%</t>
        </is>
      </c>
      <c r="G26" s="7" t="inlineStr">
        <is>
          <t>$99.40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MTNSJ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3240</v>
      </c>
      <c r="F27" s="7" t="inlineStr">
        <is>
          <t>6.15%</t>
        </is>
      </c>
      <c r="G27" s="7" t="inlineStr">
        <is>
          <t>$101.90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2700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MTN Group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Total Active Customer Base (M Subs)</t>
        </is>
      </c>
      <c r="C6" s="13" t="n">
        <v>24.5</v>
      </c>
      <c r="D6" s="13" t="n">
        <v>26.2</v>
      </c>
      <c r="E6" s="13" t="n">
        <v>28</v>
      </c>
      <c r="F6" s="13" t="n">
        <v>30.1</v>
      </c>
      <c r="G6" s="13" t="n">
        <v>32.2</v>
      </c>
      <c r="H6" s="13" t="n">
        <v>34.5</v>
      </c>
      <c r="I6" s="13" t="n">
        <v>36.8</v>
      </c>
    </row>
    <row r="7">
      <c r="B7" s="7" t="inlineStr">
        <is>
          <t>Blended Monthly ARPU ($/sub)</t>
        </is>
      </c>
      <c r="C7" s="13" t="n">
        <v>8.5</v>
      </c>
      <c r="D7" s="13" t="n">
        <v>9.199999999999999</v>
      </c>
      <c r="E7" s="13" t="n">
        <v>9.800000000000001</v>
      </c>
      <c r="F7" s="13" t="n">
        <v>10.4</v>
      </c>
      <c r="G7" s="13" t="n">
        <v>10.8</v>
      </c>
      <c r="H7" s="13" t="n">
        <v>11.2</v>
      </c>
      <c r="I7" s="13" t="n">
        <v>11.6</v>
      </c>
    </row>
    <row r="8">
      <c r="B8" s="7" t="inlineStr">
        <is>
          <t>Postpaid Customer Ratio (%)</t>
        </is>
      </c>
      <c r="C8" s="13" t="n">
        <v>38</v>
      </c>
      <c r="D8" s="13" t="n">
        <v>41.5</v>
      </c>
      <c r="E8" s="13" t="n">
        <v>45</v>
      </c>
      <c r="F8" s="13" t="n">
        <v>48.5</v>
      </c>
      <c r="G8" s="13" t="n">
        <v>51</v>
      </c>
      <c r="H8" s="13" t="n">
        <v>53.5</v>
      </c>
      <c r="I8" s="13" t="n">
        <v>55</v>
      </c>
    </row>
    <row r="9">
      <c r="B9" s="7" t="inlineStr">
        <is>
          <t>Fixed Broadband &amp; Fiber Subs (M Lines)</t>
        </is>
      </c>
      <c r="C9" s="13" t="n">
        <v>3.2</v>
      </c>
      <c r="D9" s="13" t="n">
        <v>3.8</v>
      </c>
      <c r="E9" s="13" t="n">
        <v>4.5</v>
      </c>
      <c r="F9" s="13" t="n">
        <v>5.2</v>
      </c>
      <c r="G9" s="13" t="n">
        <v>5.9</v>
      </c>
      <c r="H9" s="13" t="n">
        <v>6.6</v>
      </c>
      <c r="I9" s="13" t="n">
        <v>7.3</v>
      </c>
    </row>
    <row r="10">
      <c r="B10" s="7" t="inlineStr">
        <is>
          <t>Monthly Churn Rate (%)</t>
        </is>
      </c>
      <c r="C10" s="13" t="n">
        <v>1.8</v>
      </c>
      <c r="D10" s="13" t="n">
        <v>1.7</v>
      </c>
      <c r="E10" s="13" t="n">
        <v>1.6</v>
      </c>
      <c r="F10" s="13" t="n">
        <v>1.5</v>
      </c>
      <c r="G10" s="13" t="n">
        <v>1.5</v>
      </c>
      <c r="H10" s="13" t="n">
        <v>1.4</v>
      </c>
      <c r="I10" s="13" t="n">
        <v>1.4</v>
      </c>
    </row>
    <row r="11">
      <c r="B11" s="7" t="inlineStr">
        <is>
          <t>Data Consumption per Sub (GB/mo)</t>
        </is>
      </c>
      <c r="C11" s="13" t="n">
        <v>12.4</v>
      </c>
      <c r="D11" s="13" t="n">
        <v>15.8</v>
      </c>
      <c r="E11" s="13" t="n">
        <v>19.5</v>
      </c>
      <c r="F11" s="13" t="n">
        <v>23.8</v>
      </c>
      <c r="G11" s="13" t="n">
        <v>28</v>
      </c>
      <c r="H11" s="13" t="n">
        <v>32.5</v>
      </c>
      <c r="I11" s="13" t="n">
        <v>37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Mobile Prepaid &amp; Postpaid Services</t>
        </is>
      </c>
      <c r="C16" s="8" t="n">
        <v>4653.9</v>
      </c>
      <c r="D16" s="8" t="n">
        <v>5612.1</v>
      </c>
      <c r="E16" s="8" t="n">
        <v>6296.5</v>
      </c>
      <c r="F16" s="8" t="n">
        <v>6844</v>
      </c>
      <c r="G16" s="8" t="n">
        <v>7391.5</v>
      </c>
      <c r="H16" s="8" t="n">
        <v>7870.6</v>
      </c>
      <c r="I16" s="8" t="n">
        <v>8212.799999999999</v>
      </c>
    </row>
    <row r="17">
      <c r="B17" s="7" t="inlineStr">
        <is>
          <t>Fixed Broadband &amp; Enterprise ICT</t>
        </is>
      </c>
      <c r="C17" s="8" t="n">
        <v>2086.2</v>
      </c>
      <c r="D17" s="8" t="n">
        <v>2515.8</v>
      </c>
      <c r="E17" s="8" t="n">
        <v>2822.6</v>
      </c>
      <c r="F17" s="8" t="n">
        <v>3068</v>
      </c>
      <c r="G17" s="8" t="n">
        <v>3313.4</v>
      </c>
      <c r="H17" s="8" t="n">
        <v>3528.2</v>
      </c>
      <c r="I17" s="8" t="n">
        <v>3681.6</v>
      </c>
    </row>
    <row r="18">
      <c r="B18" s="7" t="inlineStr">
        <is>
          <t>Fintech, Media &amp; Digital Services</t>
        </is>
      </c>
      <c r="C18" s="8" t="n">
        <v>1283.8</v>
      </c>
      <c r="D18" s="8" t="n">
        <v>1548.2</v>
      </c>
      <c r="E18" s="8" t="n">
        <v>1737</v>
      </c>
      <c r="F18" s="8" t="n">
        <v>1888</v>
      </c>
      <c r="G18" s="8" t="n">
        <v>2039</v>
      </c>
      <c r="H18" s="8" t="n">
        <v>2171.2</v>
      </c>
      <c r="I18" s="8" t="n">
        <v>2265.6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MTN Group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Mobile Prepaid &amp; Postpaid Services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Fixed Broadband &amp; Enterprise ICT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Fintech, Media &amp; Digital Services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43.9</v>
      </c>
      <c r="D35" s="23" t="n">
        <v>54</v>
      </c>
      <c r="E35" s="23" t="n">
        <v>60.8</v>
      </c>
      <c r="F35" s="23" t="n">
        <v>67.5</v>
      </c>
      <c r="G35" s="23" t="n">
        <v>74.2</v>
      </c>
      <c r="H35" s="23" t="n">
        <v>79.59999999999999</v>
      </c>
      <c r="I35" s="23" t="n">
        <v>83.7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(+$43.9M)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(+$54.0M)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(+$60.8M)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(+$67.5M)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(+$74.2M)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(+$79.6M)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(+$83.7M)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MTN Group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12036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2808.4</v>
      </c>
      <c r="D36" s="8" t="n">
        <v>2808.4</v>
      </c>
      <c r="E36" s="8" t="n">
        <v>2808.4</v>
      </c>
      <c r="F36" s="8" t="n">
        <v>2808.4</v>
      </c>
      <c r="G36" s="8" t="n">
        <v>2808.4</v>
      </c>
      <c r="H36" s="8" t="n">
        <v>2808.4</v>
      </c>
      <c r="I36" s="8" t="n">
        <v>2808.4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MTN Group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-1167.1</v>
      </c>
      <c r="D16" s="8" t="n">
        <v>-2041.2</v>
      </c>
      <c r="E16" s="8" t="n">
        <v>-2296.4</v>
      </c>
      <c r="F16" s="8" t="n">
        <v>-2173.5</v>
      </c>
      <c r="G16" s="8" t="n">
        <v>-1975</v>
      </c>
      <c r="H16" s="8" t="n">
        <v>-2118.7</v>
      </c>
      <c r="I16" s="8" t="n">
        <v>-2226.4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1856.3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439.9</v>
      </c>
      <c r="D32" s="8" t="n">
        <v>873.5</v>
      </c>
      <c r="E32" s="8" t="n">
        <v>987.4</v>
      </c>
      <c r="F32" s="8" t="n">
        <v>664.5</v>
      </c>
      <c r="G32" s="8" t="n">
        <v>704</v>
      </c>
      <c r="H32" s="8" t="n">
        <v>737.4</v>
      </c>
      <c r="I32" s="8" t="n">
        <v>760.1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MTN Group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MTNSJ Benchmark Eurobond Notes</t>
        </is>
      </c>
    </row>
    <row r="7">
      <c r="B7" s="7" t="inlineStr">
        <is>
          <t xml:space="preserve">  Beginning Principal Balance</t>
        </is>
      </c>
      <c r="C7" s="8" t="n">
        <v>4131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1377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918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0.0690</f>
        <v/>
      </c>
      <c r="D11" s="8">
        <f>D10 * 0.0690</f>
        <v/>
      </c>
      <c r="E11" s="8">
        <f>E10 * 0.0690</f>
        <v/>
      </c>
      <c r="F11" s="8">
        <f>F10 * 0.0690</f>
        <v/>
      </c>
      <c r="G11" s="8">
        <f>G10 * 0.0690</f>
        <v/>
      </c>
      <c r="H11" s="8">
        <f>H10 * 0.0690</f>
        <v/>
      </c>
      <c r="I11" s="8">
        <f>I10 * 0.0690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5049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1296</v>
      </c>
      <c r="C32" s="8" t="n">
        <v>2376</v>
      </c>
      <c r="D32" s="8" t="n">
        <v>3024</v>
      </c>
      <c r="E32" s="8" t="n">
        <v>1944</v>
      </c>
      <c r="F32" s="8" t="n">
        <v>1296</v>
      </c>
      <c r="G32" s="8" t="n">
        <v>864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MTNSJ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4860</v>
      </c>
      <c r="F37" s="29" t="inlineStr">
        <is>
          <t>6.900%</t>
        </is>
      </c>
      <c r="G37" s="30" t="n">
        <v>99.40000000000001</v>
      </c>
      <c r="H37" s="31" t="n">
        <v>6.9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MTNSJ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3240</v>
      </c>
      <c r="F38" s="29" t="inlineStr">
        <is>
          <t>6.250%</t>
        </is>
      </c>
      <c r="G38" s="30" t="n">
        <v>101.4</v>
      </c>
      <c r="H38" s="31" t="n">
        <v>6.25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1620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1080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MTNSJ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3024</v>
      </c>
    </row>
    <row r="45">
      <c r="B45" s="7" t="inlineStr">
        <is>
          <t>Drawn Amount ($M)</t>
        </is>
      </c>
      <c r="C45" s="8" t="n">
        <v>1080</v>
      </c>
    </row>
    <row r="46">
      <c r="B46" s="18" t="inlineStr">
        <is>
          <t>AVAILABLE UNDRAWN HEADROOM ($M)</t>
        </is>
      </c>
      <c r="C46" s="19" t="n">
        <v>1944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1.65x</t>
        </is>
      </c>
      <c r="E55" s="32" t="inlineStr">
        <is>
          <t>2.10x leverage buffer ($9450.0M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5.40x</t>
        </is>
      </c>
      <c r="E56" s="32" t="inlineStr">
        <is>
          <t>+2.90x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7.6% of Assets</t>
        </is>
      </c>
      <c r="E57" s="32" t="inlineStr">
        <is>
          <t>$2596.0M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MTN Group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MTN Group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6.90%</t>
        </is>
      </c>
      <c r="F6" s="34" t="inlineStr">
        <is>
          <t>4.2x</t>
        </is>
      </c>
      <c r="G6" s="34" t="inlineStr">
        <is>
          <t>$101.20</t>
        </is>
      </c>
      <c r="H6" s="34" t="inlineStr">
        <is>
          <t>+1.8%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8.90%</t>
        </is>
      </c>
      <c r="F7" s="29" t="inlineStr">
        <is>
          <t>3.2x</t>
        </is>
      </c>
      <c r="G7" s="29" t="inlineStr">
        <is>
          <t>$88.10</t>
        </is>
      </c>
      <c r="H7" s="29" t="inlineStr">
        <is>
          <t>-11.4%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$75.00</t>
        </is>
      </c>
      <c r="H8" s="29" t="inlineStr">
        <is>
          <t>-24.5%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5.40%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+5.6%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2700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MTNSJ Senior Unsecured Eurobonds</t>
        </is>
      </c>
      <c r="C15" s="8" t="n">
        <v>8100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75.0%</t>
        </is>
      </c>
      <c r="G15" s="29" t="inlineStr">
        <is>
          <t>101.2%</t>
        </is>
      </c>
    </row>
    <row r="16">
      <c r="B16" s="7" t="inlineStr">
        <is>
          <t>Subordinated Debt &amp; Intercompany Notes</t>
        </is>
      </c>
      <c r="C16" s="8" t="n">
        <v>1620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4320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South Africa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5" customWidth="1" min="3" max="3"/>
    <col width="32" customWidth="1" min="4" max="4"/>
    <col width="19" customWidth="1" min="5" max="5"/>
    <col width="368" customWidth="1" min="6" max="6"/>
    <col width="14" customWidth="1" min="7" max="7"/>
    <col width="7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MTN Group (MTNSJ) — Earnings Presentation &amp; Management Guidance</t>
        </is>
      </c>
    </row>
    <row r="3">
      <c r="B3" s="2" t="inlineStr">
        <is>
          <t>Source: MTN Group FY2024 &amp; Recent Quarterly Earnings Presentation &amp; Analyst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$12744.0M (+8.0% YoY growth)</t>
        </is>
      </c>
      <c r="D7" s="35" t="inlineStr">
        <is>
          <t>$12567.0M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$12744.0M (+8.0% YoY growth). With current run-rate at $12567.0M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$4950.0M (38.8% margin)</t>
        </is>
      </c>
      <c r="D8" s="35" t="inlineStr">
        <is>
          <t>$4860.0M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$4950.0M (38.8%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1.65x</t>
        </is>
      </c>
      <c r="E9" s="32" t="inlineStr">
        <is>
          <t>Ahead of Target</t>
        </is>
      </c>
      <c r="F9" s="37" t="inlineStr">
        <is>
          <t>Deleveraging on track with 2.10x buffer below covenant limit.
[QUESTION TO CFO TO VERIFY]: You previously committed to a Net Leverage ceiling of &lt; 3.25x Net Debt / EBITDA. Current actual leverage stands at 1.65x.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$1653.8M (Maximum growth and sustaining envelope)</t>
        </is>
      </c>
      <c r="D10" s="35" t="inlineStr">
        <is>
          <t>$1521.5M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$1653.8M (Maximum growth and sustaining envelope). Current commitments stand at $1521.5M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Technology Investments</t>
        </is>
      </c>
      <c r="C15" s="37" t="inlineStr">
        <is>
          <t>5G Spectrum Deployment, 4G LTE Rural Densification, FTTH Fiber Expansion, Tier-III Data Centers</t>
        </is>
      </c>
    </row>
    <row r="16">
      <c r="B16" s="9" t="inlineStr">
        <is>
          <t>Three Year Capex Program</t>
        </is>
      </c>
      <c r="C16" s="37" t="inlineStr">
        <is>
          <t>$4410.0M network enhancement program</t>
        </is>
      </c>
    </row>
    <row r="17">
      <c r="B17" s="9" t="inlineStr">
        <is>
          <t>Fiber Network Rollout</t>
        </is>
      </c>
      <c r="C17" s="37" t="inlineStr">
        <is>
          <t>Targeting 2.5M additional homes passed with high-speed fiber broadband by 2027</t>
        </is>
      </c>
    </row>
    <row r="18">
      <c r="B18" s="9" t="inlineStr">
        <is>
          <t>Green Telecom Initiatives</t>
        </is>
      </c>
      <c r="C18" s="37" t="inlineStr">
        <is>
          <t>Solar hybrid power deployed at 35%+ of off-grid tower sites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Fx Debt Hedging Ratio</t>
        </is>
      </c>
      <c r="C22" s="37" t="inlineStr">
        <is>
          <t>82.0% of foreign currency debt hedged via cross-currency swaps and forwards</t>
        </is>
      </c>
    </row>
    <row r="23">
      <c r="B23" s="9" t="inlineStr">
        <is>
          <t>Tariff Pricing Elasticity</t>
        </is>
      </c>
      <c r="C23" s="37" t="inlineStr">
        <is>
          <t>Contractual ability to adjust post-paid and pre-paid tariffs every 3-6 months to match inflation</t>
        </is>
      </c>
    </row>
    <row r="24">
      <c r="B24" s="9" t="inlineStr">
        <is>
          <t>Digital Revenue Mix</t>
        </is>
      </c>
      <c r="C24" s="37" t="inlineStr">
        <is>
          <t>Digital services, cloud, and fintech solutions expanding to 24% of consolidated revenue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Postpaid Subscriber Share</t>
        </is>
      </c>
      <c r="C28" s="37" t="inlineStr">
        <is>
          <t>58.5% of total mobile base providing high-retention recurring revenue</t>
        </is>
      </c>
    </row>
    <row r="29">
      <c r="B29" s="9" t="inlineStr">
        <is>
          <t>Blended Monthly Arpu Trend</t>
        </is>
      </c>
      <c r="C29" s="37" t="inlineStr">
        <is>
          <t>Healthy double-digit growth in ARPU supported by high-speed data consumption</t>
        </is>
      </c>
    </row>
    <row r="30">
      <c r="B30" s="9" t="inlineStr">
        <is>
          <t>Corporate B2B Contract Backlog</t>
        </is>
      </c>
      <c r="C30" s="37" t="inlineStr">
        <is>
          <t>$5310.0M in multi-year enterprise ICT and cloud contracts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Liquid Investments</t>
        </is>
      </c>
      <c r="C34" s="37" t="inlineStr">
        <is>
          <t>$3375.0M (Maintained predominantly in USD and EUR)</t>
        </is>
      </c>
    </row>
    <row r="35">
      <c r="B35" s="9" t="inlineStr">
        <is>
          <t>Undrawn Committed Bank Facilities</t>
        </is>
      </c>
      <c r="C35" s="37" t="inlineStr">
        <is>
          <t>$3240.0M in committed revolving credit facilities</t>
        </is>
      </c>
    </row>
    <row r="36">
      <c r="B36" s="9" t="inlineStr">
        <is>
          <t>Liquidity Runway</t>
        </is>
      </c>
      <c r="C36" s="37" t="inlineStr">
        <is>
          <t>Comfortable 32+ months of debt maturities and spectrum commitments fully funded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Hard-Currency Capex vs. Local Currency ARPU Mismatch</t>
        </is>
      </c>
      <c r="C40" s="37" t="inlineStr">
        <is>
          <t>What percentage of annual network capex (5G equipment, fiber, data centers) is contracted in USD/EUR versus local currency revenue generation, and what active hedging mechanisms are utilized?</t>
        </is>
      </c>
      <c r="F40" s="25" t="inlineStr">
        <is>
          <t>Telecoms collect local currency tariffs but purchase equipment in hard currency. Currency devaluations create sharp capex spikes and FCF compression.</t>
        </is>
      </c>
      <c r="H40" s="38" t="inlineStr">
        <is>
          <t>Hedging coverage &gt;75% of 12-month USD capex preserves FCF stability.</t>
        </is>
      </c>
    </row>
    <row r="41"/>
    <row r="42"/>
    <row r="43">
      <c r="B43" s="3" t="inlineStr">
        <is>
          <t>SCHEDULED EARNINGS RELEASE &amp; INVESTOR RELATIONS CALENDAR</t>
        </is>
      </c>
    </row>
    <row r="44">
      <c r="B44" s="5" t="inlineStr">
        <is>
          <t>Calendar Dimension</t>
        </is>
      </c>
      <c r="C44" s="5" t="inlineStr">
        <is>
          <t>Scheduled Detail &amp; IR Access</t>
        </is>
      </c>
    </row>
    <row r="45">
      <c r="B45" s="9" t="inlineStr">
        <is>
          <t>Next Scheduled Earnings Date</t>
        </is>
      </c>
      <c r="C45" s="37" t="inlineStr">
        <is>
          <t>2026-11-12</t>
        </is>
      </c>
    </row>
    <row r="46">
      <c r="B46" s="9" t="inlineStr">
        <is>
          <t>Reporting Period</t>
        </is>
      </c>
      <c r="C46" s="37" t="inlineStr">
        <is>
          <t>Q3 2026 / 9M</t>
        </is>
      </c>
    </row>
    <row r="47">
      <c r="B47" s="9" t="inlineStr">
        <is>
          <t>Confirmation Status</t>
        </is>
      </c>
      <c r="C47" s="37" t="inlineStr">
        <is>
          <t>Estimated</t>
        </is>
      </c>
    </row>
    <row r="48">
      <c r="B48" s="9" t="inlineStr">
        <is>
          <t>Conference Call &amp; Webcast Schedule</t>
        </is>
      </c>
      <c r="C48" s="37" t="inlineStr">
        <is>
          <t>14:00 Local / Pre-Market</t>
        </is>
      </c>
    </row>
    <row r="49">
      <c r="B49" s="9" t="inlineStr">
        <is>
          <t>Official IR Portal / Webcast URL</t>
        </is>
      </c>
      <c r="C49" s="37" t="inlineStr">
        <is>
          <t>https://www.google.com/finance/quote/MTNSJ</t>
        </is>
      </c>
    </row>
  </sheetData>
  <mergeCells count="36">
    <mergeCell ref="C36:I36"/>
    <mergeCell ref="C23:I23"/>
    <mergeCell ref="F9:I9"/>
    <mergeCell ref="C17:I17"/>
    <mergeCell ref="C48:I48"/>
    <mergeCell ref="C40:E40"/>
    <mergeCell ref="B3:I3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10:I10"/>
    <mergeCell ref="C14:I14"/>
    <mergeCell ref="C45:I45"/>
    <mergeCell ref="F7:I7"/>
    <mergeCell ref="C35:I35"/>
    <mergeCell ref="C29:I29"/>
    <mergeCell ref="C47:I47"/>
    <mergeCell ref="C16:I16"/>
    <mergeCell ref="F39:G39"/>
    <mergeCell ref="C44:I44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2026-10-26T05:17:50Z</dcterms:created>
  <dcterms:modified xmlns:dcterms="http://purl.org/dc/terms/" xmlns:xsi="http://www.w3.org/2001/XMLSchema-instance" xsi:type="dcterms:W3CDTF">2026-10-26T05:17:50Z</dcterms:modified>
</cp:coreProperties>
</file>