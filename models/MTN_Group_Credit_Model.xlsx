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MTN Group</t>
        </is>
      </c>
    </row>
    <row r="3">
      <c r="B3" s="2" t="inlineStr">
        <is>
          <t>CEMBI CEEMEA Institutional Credit Assessment | Country: South Africa (Africa) | Sector: Technology | Benchmark: MTNSJ 6.50% 2026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MTNSJ 6.50% 2026</t>
        </is>
      </c>
      <c r="C6" s="5" t="inlineStr">
        <is>
          <t>6.90% (+285 bp)</t>
        </is>
      </c>
      <c r="D6" s="4" t="inlineStr">
        <is>
          <t>Ba2 / BB+ | Tier-1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$75.00</t>
        </is>
      </c>
      <c r="D7" s="4" t="inlineStr">
        <is>
          <t>Base Case Fair Value</t>
        </is>
      </c>
      <c r="E7" s="5" t="inlineStr">
        <is>
          <t>$101.20</t>
        </is>
      </c>
    </row>
    <row r="9">
      <c r="B9" s="6" t="inlineStr">
        <is>
          <t>INSTITUTIONAL INVESTMENT THESIS</t>
        </is>
      </c>
    </row>
    <row r="10">
      <c r="B10" s="7" t="inlineStr">
        <is>
          <t>Africa's largest mobile telecommunications provider; mobile money (MoMo) fintech expansion bolsters cash flow.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MTN Group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8024</v>
      </c>
      <c r="D7" s="13" t="n">
        <v>9676</v>
      </c>
      <c r="E7" s="13" t="n">
        <v>10856</v>
      </c>
      <c r="F7" s="13" t="n">
        <v>11800</v>
      </c>
      <c r="G7" s="14" t="n">
        <v>12744</v>
      </c>
      <c r="H7" s="14" t="n">
        <v>13570</v>
      </c>
      <c r="I7" s="14" t="n">
        <v>14160</v>
      </c>
    </row>
    <row r="8">
      <c r="B8" s="12" t="inlineStr">
        <is>
          <t>EBITDA</t>
        </is>
      </c>
      <c r="C8" s="13" t="n">
        <v>2925</v>
      </c>
      <c r="D8" s="13" t="n">
        <v>3600</v>
      </c>
      <c r="E8" s="13" t="n">
        <v>4050</v>
      </c>
      <c r="F8" s="13" t="n">
        <v>4500</v>
      </c>
      <c r="G8" s="14" t="n">
        <v>4950</v>
      </c>
      <c r="H8" s="14" t="n">
        <v>5310</v>
      </c>
      <c r="I8" s="14" t="n">
        <v>5580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500</v>
      </c>
      <c r="D10" s="17" t="n">
        <v>625</v>
      </c>
      <c r="E10" s="17" t="n">
        <v>750</v>
      </c>
      <c r="F10" s="17" t="n">
        <v>833.3</v>
      </c>
      <c r="G10" s="18" t="n">
        <v>800</v>
      </c>
      <c r="H10" s="18" t="n">
        <v>766.7</v>
      </c>
      <c r="I10" s="18" t="n">
        <v>733.3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2371.5</v>
      </c>
      <c r="D12" s="13" t="n">
        <v>2983.5</v>
      </c>
      <c r="E12" s="13" t="n">
        <v>3366</v>
      </c>
      <c r="F12" s="13" t="n">
        <v>3825</v>
      </c>
      <c r="G12" s="14" t="n">
        <v>4207.5</v>
      </c>
      <c r="H12" s="14" t="n">
        <v>4513.5</v>
      </c>
      <c r="I12" s="14" t="n">
        <v>4781.2</v>
      </c>
    </row>
    <row r="13">
      <c r="B13" s="5" t="inlineStr">
        <is>
          <t>Capital Expenditures (Capex)</t>
        </is>
      </c>
      <c r="C13" s="17" t="n">
        <v>1102.5</v>
      </c>
      <c r="D13" s="17" t="n">
        <v>1338.8</v>
      </c>
      <c r="E13" s="17" t="n">
        <v>1496.2</v>
      </c>
      <c r="F13" s="17" t="n">
        <v>1575</v>
      </c>
      <c r="G13" s="18" t="n">
        <v>1653.8</v>
      </c>
      <c r="H13" s="18" t="n">
        <v>1606.5</v>
      </c>
      <c r="I13" s="18" t="n">
        <v>1543.5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1856.3</v>
      </c>
      <c r="D16" s="13" t="n">
        <v>2362.5</v>
      </c>
      <c r="E16" s="13" t="n">
        <v>2868.8</v>
      </c>
      <c r="F16" s="13" t="n">
        <v>3375</v>
      </c>
      <c r="G16" s="14" t="n">
        <v>3982.5</v>
      </c>
      <c r="H16" s="14" t="n">
        <v>4556.2</v>
      </c>
      <c r="I16" s="14" t="n">
        <v>5062.5</v>
      </c>
    </row>
    <row r="17">
      <c r="B17" s="12" t="inlineStr">
        <is>
          <t>Gross Total Debt</t>
        </is>
      </c>
      <c r="C17" s="13" t="n">
        <v>9180</v>
      </c>
      <c r="D17" s="13" t="n">
        <v>9936</v>
      </c>
      <c r="E17" s="13" t="n">
        <v>10584</v>
      </c>
      <c r="F17" s="13" t="n">
        <v>10800</v>
      </c>
      <c r="G17" s="14" t="n">
        <v>10584</v>
      </c>
      <c r="H17" s="14" t="n">
        <v>10260</v>
      </c>
      <c r="I17" s="14" t="n">
        <v>9720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MTN Group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6.90%</t>
        </is>
      </c>
      <c r="F6" s="21" t="inlineStr">
        <is>
          <t>2028 / 2029</t>
        </is>
      </c>
      <c r="G6" s="17" t="n">
        <v>4860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2700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1620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1080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540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2868.8</v>
      </c>
    </row>
    <row r="15">
      <c r="B15" t="inlineStr">
        <is>
          <t>Committed Undrawn RCF Capacity</t>
        </is>
      </c>
      <c r="C15" s="22" t="n">
        <v>1800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2129.3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MTN Group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4500</v>
      </c>
      <c r="D6" s="17" t="n">
        <v>3825</v>
      </c>
      <c r="E6" s="25" t="n">
        <v>2925</v>
      </c>
    </row>
    <row r="7">
      <c r="B7" s="5" t="inlineStr">
        <is>
          <t>Free Cash Flow ($M)</t>
        </is>
      </c>
      <c r="C7" s="17" t="n">
        <v>2250</v>
      </c>
      <c r="D7" s="17" t="n">
        <v>1350</v>
      </c>
      <c r="E7" s="25" t="n">
        <v>337.5</v>
      </c>
    </row>
    <row r="8">
      <c r="B8" s="12" t="inlineStr">
        <is>
          <t>Net Leverage Ratio (x)</t>
        </is>
      </c>
      <c r="C8" s="26" t="n">
        <v>1.65</v>
      </c>
      <c r="D8" s="26" t="n">
        <v>2.06</v>
      </c>
      <c r="E8" s="27" t="n">
        <v>3.05</v>
      </c>
    </row>
    <row r="9">
      <c r="B9" s="5" t="inlineStr">
        <is>
          <t>Interest Coverage Ratio (x)</t>
        </is>
      </c>
      <c r="C9" s="26" t="n">
        <v>5.4</v>
      </c>
      <c r="D9" s="26" t="n">
        <v>4.21</v>
      </c>
      <c r="E9" s="27" t="n">
        <v>2.43</v>
      </c>
    </row>
    <row r="10">
      <c r="B10" s="12" t="inlineStr">
        <is>
          <t>Implied Senior Paper Trading / Recovery ($)</t>
        </is>
      </c>
      <c r="C10" s="12" t="inlineStr">
        <is>
          <t>$101.20</t>
        </is>
      </c>
      <c r="D10" s="12" t="inlineStr">
        <is>
          <t>$87.00</t>
        </is>
      </c>
      <c r="E10" s="28" t="inlineStr">
        <is>
          <t>$75.00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2026-09-19T18:23:36Z</dcterms:created>
  <dcterms:modified xmlns:dcterms="http://purl.org/dc/terms/" xmlns:xsi="http://www.w3.org/2001/XMLSchema-instance" xsi:type="dcterms:W3CDTF">2026-09-19T18:23:36Z</dcterms:modified>
</cp:coreProperties>
</file>