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(+$43.9M)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(+$54.0M)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(+$60.8M)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(+$67.5M)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(+$74.2M)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(+$83.7M)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(+$43.9M)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(+$54.0M)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(+$60.8M)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(+$67.5M)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(+$74.2M)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(+$83.7M)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Institutional Credit Model</t>
        </is>
      </c>
    </row>
    <row r="3">
      <c r="B3" s="2" t="inlineStr">
        <is>
          <t>Sector: Technology | Country: South Africa | Rating: Ba2 / BB+ | Benchmark: MTNSJ 6.50% 2026 @ $99.40 (6.90% YTM / +285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Africa's largest mobile telecommunications provider; mobile money (MoMo) fintech expansion bolsters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MTNSJ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4860</v>
      </c>
      <c r="F26" s="7" t="inlineStr">
        <is>
          <t>6.90%</t>
        </is>
      </c>
      <c r="G26" s="7" t="inlineStr">
        <is>
          <t>$99.40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MTNSJ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3240</v>
      </c>
      <c r="F27" s="7" t="inlineStr">
        <is>
          <t>6.15%</t>
        </is>
      </c>
      <c r="G27" s="7" t="inlineStr">
        <is>
          <t>$101.90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2700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4653.9</v>
      </c>
      <c r="D16" s="8" t="n">
        <v>5612.1</v>
      </c>
      <c r="E16" s="8" t="n">
        <v>6296.5</v>
      </c>
      <c r="F16" s="8" t="n">
        <v>6844</v>
      </c>
      <c r="G16" s="8" t="n">
        <v>7391.5</v>
      </c>
      <c r="H16" s="8" t="n">
        <v>7870.6</v>
      </c>
      <c r="I16" s="8" t="n">
        <v>8212.799999999999</v>
      </c>
    </row>
    <row r="17">
      <c r="B17" s="7" t="inlineStr">
        <is>
          <t>Fixed Broadband &amp; Enterprise ICT</t>
        </is>
      </c>
      <c r="C17" s="8" t="n">
        <v>2086.2</v>
      </c>
      <c r="D17" s="8" t="n">
        <v>2515.8</v>
      </c>
      <c r="E17" s="8" t="n">
        <v>2822.6</v>
      </c>
      <c r="F17" s="8" t="n">
        <v>3068</v>
      </c>
      <c r="G17" s="8" t="n">
        <v>3313.4</v>
      </c>
      <c r="H17" s="8" t="n">
        <v>3528.2</v>
      </c>
      <c r="I17" s="8" t="n">
        <v>3681.6</v>
      </c>
    </row>
    <row r="18">
      <c r="B18" s="7" t="inlineStr">
        <is>
          <t>Fintech, Media &amp; Digital Services</t>
        </is>
      </c>
      <c r="C18" s="8" t="n">
        <v>1283.8</v>
      </c>
      <c r="D18" s="8" t="n">
        <v>1548.2</v>
      </c>
      <c r="E18" s="8" t="n">
        <v>1737</v>
      </c>
      <c r="F18" s="8" t="n">
        <v>1888</v>
      </c>
      <c r="G18" s="8" t="n">
        <v>2039</v>
      </c>
      <c r="H18" s="8" t="n">
        <v>2171.2</v>
      </c>
      <c r="I18" s="8" t="n">
        <v>2265.6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43.9</v>
      </c>
      <c r="D35" s="23" t="n">
        <v>54</v>
      </c>
      <c r="E35" s="23" t="n">
        <v>60.8</v>
      </c>
      <c r="F35" s="23" t="n">
        <v>67.5</v>
      </c>
      <c r="G35" s="23" t="n">
        <v>74.2</v>
      </c>
      <c r="H35" s="23" t="n">
        <v>79.59999999999999</v>
      </c>
      <c r="I35" s="23" t="n">
        <v>83.7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(+$43.9M)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(+$54.0M)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(+$60.8M)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(+$67.5M)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(+$74.2M)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(+$79.6M)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(+$83.7M)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12036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2808.4</v>
      </c>
      <c r="D36" s="8" t="n">
        <v>2808.4</v>
      </c>
      <c r="E36" s="8" t="n">
        <v>2808.4</v>
      </c>
      <c r="F36" s="8" t="n">
        <v>2808.4</v>
      </c>
      <c r="G36" s="8" t="n">
        <v>2808.4</v>
      </c>
      <c r="H36" s="8" t="n">
        <v>2808.4</v>
      </c>
      <c r="I36" s="8" t="n">
        <v>2808.4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-1102.5</v>
      </c>
      <c r="D16" s="8" t="n">
        <v>-1338.8</v>
      </c>
      <c r="E16" s="8" t="n">
        <v>-1496.2</v>
      </c>
      <c r="F16" s="8" t="n">
        <v>-1575</v>
      </c>
      <c r="G16" s="8" t="n">
        <v>-1653.8</v>
      </c>
      <c r="H16" s="8" t="n">
        <v>-1606.5</v>
      </c>
      <c r="I16" s="8" t="n">
        <v>-1543.5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1856.3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-178.6</v>
      </c>
      <c r="D32" s="8" t="n">
        <v>-292.7</v>
      </c>
      <c r="E32" s="8" t="n">
        <v>-378.8</v>
      </c>
      <c r="F32" s="8" t="n">
        <v>-505.8</v>
      </c>
      <c r="G32" s="8" t="n">
        <v>-457</v>
      </c>
      <c r="H32" s="8" t="n">
        <v>-412.3</v>
      </c>
      <c r="I32" s="8" t="n">
        <v>-410.3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MTNSJ Benchmark Eurobond Notes</t>
        </is>
      </c>
    </row>
    <row r="7">
      <c r="B7" s="7" t="inlineStr">
        <is>
          <t xml:space="preserve">  Beginning Principal Balance</t>
        </is>
      </c>
      <c r="C7" s="8" t="n">
        <v>4131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1377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918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0.0690</f>
        <v/>
      </c>
      <c r="D11" s="8">
        <f>D10 * 0.0690</f>
        <v/>
      </c>
      <c r="E11" s="8">
        <f>E10 * 0.0690</f>
        <v/>
      </c>
      <c r="F11" s="8">
        <f>F10 * 0.0690</f>
        <v/>
      </c>
      <c r="G11" s="8">
        <f>G10 * 0.0690</f>
        <v/>
      </c>
      <c r="H11" s="8">
        <f>H10 * 0.0690</f>
        <v/>
      </c>
      <c r="I11" s="8">
        <f>I10 * 0.0690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5049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1296</v>
      </c>
      <c r="C32" s="8" t="n">
        <v>2376</v>
      </c>
      <c r="D32" s="8" t="n">
        <v>3024</v>
      </c>
      <c r="E32" s="8" t="n">
        <v>1944</v>
      </c>
      <c r="F32" s="8" t="n">
        <v>1296</v>
      </c>
      <c r="G32" s="8" t="n">
        <v>864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MTNSJ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4860</v>
      </c>
      <c r="F37" s="29" t="inlineStr">
        <is>
          <t>6.900%</t>
        </is>
      </c>
      <c r="G37" s="30" t="n">
        <v>99.40000000000001</v>
      </c>
      <c r="H37" s="31" t="n">
        <v>6.9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MTNSJ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3240</v>
      </c>
      <c r="F38" s="29" t="inlineStr">
        <is>
          <t>6.250%</t>
        </is>
      </c>
      <c r="G38" s="30" t="n">
        <v>101.4</v>
      </c>
      <c r="H38" s="31" t="n">
        <v>6.25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1620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1080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MTNSJ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3024</v>
      </c>
    </row>
    <row r="45">
      <c r="B45" s="7" t="inlineStr">
        <is>
          <t>Drawn Amount ($M)</t>
        </is>
      </c>
      <c r="C45" s="8" t="n">
        <v>1080</v>
      </c>
    </row>
    <row r="46">
      <c r="B46" s="18" t="inlineStr">
        <is>
          <t>AVAILABLE UNDRAWN HEADROOM ($M)</t>
        </is>
      </c>
      <c r="C46" s="19" t="n">
        <v>1944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1.65x</t>
        </is>
      </c>
      <c r="E55" s="32" t="inlineStr">
        <is>
          <t>2.10x leverage buffer ($9450.0M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5.40x</t>
        </is>
      </c>
      <c r="E56" s="32" t="inlineStr">
        <is>
          <t>+2.90x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7.6% of Assets</t>
        </is>
      </c>
      <c r="E57" s="32" t="inlineStr">
        <is>
          <t>$2596.0M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6.90%</t>
        </is>
      </c>
      <c r="F6" s="34" t="inlineStr">
        <is>
          <t>4.2x</t>
        </is>
      </c>
      <c r="G6" s="34" t="inlineStr">
        <is>
          <t>$101.20</t>
        </is>
      </c>
      <c r="H6" s="34" t="inlineStr">
        <is>
          <t>+1.8%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8.90%</t>
        </is>
      </c>
      <c r="F7" s="29" t="inlineStr">
        <is>
          <t>3.2x</t>
        </is>
      </c>
      <c r="G7" s="29" t="inlineStr">
        <is>
          <t>$88.10</t>
        </is>
      </c>
      <c r="H7" s="29" t="inlineStr">
        <is>
          <t>-11.4%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-24.5%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5.40%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2700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MTNSJ Senior Unsecured Eurobonds</t>
        </is>
      </c>
      <c r="C15" s="8" t="n">
        <v>8100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101.2%</t>
        </is>
      </c>
    </row>
    <row r="16">
      <c r="B16" s="7" t="inlineStr">
        <is>
          <t>Subordinated Debt &amp; Intercompany Notes</t>
        </is>
      </c>
      <c r="C16" s="8" t="n">
        <v>1620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4320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MTN Group (MTNSJ) — Earnings Presentation &amp; Management Guidance</t>
        </is>
      </c>
    </row>
    <row r="3">
      <c r="B3" s="2" t="inlineStr">
        <is>
          <t>Source: MTN Group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$12744.0M (+8.0% YoY growth)</t>
        </is>
      </c>
      <c r="D7" s="35" t="inlineStr">
        <is>
          <t>$12567.0M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$4950.0M (38.8% margin)</t>
        </is>
      </c>
      <c r="D8" s="35" t="inlineStr">
        <is>
          <t>$4860.0M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1.65x</t>
        </is>
      </c>
      <c r="E9" s="32" t="inlineStr">
        <is>
          <t>Ahead of Target</t>
        </is>
      </c>
      <c r="F9" s="37" t="inlineStr">
        <is>
          <t>Deleveraging on track with 2.10x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$1653.8M (Maximum growth and sustaining envelope)</t>
        </is>
      </c>
      <c r="D10" s="35" t="inlineStr">
        <is>
          <t>$1521.5M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$4410.0M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$5310.0M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$3375.0M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$3240.0M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2026-09-19T22:01:23Z</dcterms:created>
  <dcterms:modified xmlns:dcterms="http://purl.org/dc/terms/" xmlns:xsi="http://www.w3.org/2001/XMLSchema-instance" xsi:type="dcterms:W3CDTF">2026-09-19T22:01:23Z</dcterms:modified>
</cp:coreProperties>
</file>