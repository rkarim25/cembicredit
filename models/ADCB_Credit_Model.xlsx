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Loan Portfolio &amp; Quality" sheetId="2" state="visible" r:id="rId2"/>
    <sheet xmlns:r="http://schemas.openxmlformats.org/officeDocument/2006/relationships" name="Bank Income Statement (P&amp;L)" sheetId="3" state="visible" r:id="rId3"/>
    <sheet xmlns:r="http://schemas.openxmlformats.org/officeDocument/2006/relationships" name="Balance Sheet &amp; Funding" sheetId="4" state="visible" r:id="rId4"/>
    <sheet xmlns:r="http://schemas.openxmlformats.org/officeDocument/2006/relationships" name="Capital &amp; Liquidity Schedule" sheetId="5" state="visible" r:id="rId5"/>
    <sheet xmlns:r="http://schemas.openxmlformats.org/officeDocument/2006/relationships" name="Regulatory Stress &amp; Bail-in" sheetId="6" state="visible" r:id="rId6"/>
    <sheet xmlns:r="http://schemas.openxmlformats.org/officeDocument/2006/relationships" name="Earnings Deck &amp; Guida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.0"/>
    <numFmt numFmtId="165" formatCode="0.0%"/>
    <numFmt numFmtId="166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4" fontId="6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6" fontId="5" fillId="2" borderId="1" applyAlignment="1" pivotButton="0" quotePrefix="0" xfId="0">
      <alignment horizontal="right" vertical="center"/>
    </xf>
    <xf numFmtId="165" fontId="6" fillId="5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(ADCBUH) — Bank Credit &amp; Capital Model</t>
        </is>
      </c>
    </row>
    <row r="3">
      <c r="B3" s="2" t="inlineStr">
        <is>
          <t>Banking Sector | Country: UAE | Rating: A1 / A | Benchmark: ADCBUH 5.05% 2029 @ $99.80 (5.05% YTM / +85 bp)</t>
        </is>
      </c>
    </row>
    <row r="4"/>
    <row r="5">
      <c r="B5" s="3" t="inlineStr">
        <is>
          <t>I. BANKING SECTOR CREDIT THESIS</t>
        </is>
      </c>
    </row>
    <row r="6">
      <c r="B6" s="4" t="inlineStr">
        <is>
          <t>Mubadala 60% ownership; lead financier of Abu Dhabi state infrastructure projects.</t>
        </is>
      </c>
    </row>
    <row r="7"/>
    <row r="8"/>
    <row r="9">
      <c r="B9" s="3" t="inlineStr">
        <is>
          <t>II. KEY BANKING METRICS (USD M / %)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Total Consolidated Assets</t>
        </is>
      </c>
      <c r="C11" s="8">
        <f>'Balance Sheet &amp; Funding'!C13</f>
        <v/>
      </c>
      <c r="D11" s="8">
        <f>'Balance Sheet &amp; Funding'!D13</f>
        <v/>
      </c>
      <c r="E11" s="8">
        <f>'Balance Sheet &amp; Funding'!E13</f>
        <v/>
      </c>
      <c r="F11" s="8">
        <f>'Balance Sheet &amp; Funding'!F13</f>
        <v/>
      </c>
      <c r="G11" s="8">
        <f>'Balance Sheet &amp; Funding'!G13</f>
        <v/>
      </c>
      <c r="H11" s="8">
        <f>'Balance Sheet &amp; Funding'!H13</f>
        <v/>
      </c>
      <c r="I11" s="8">
        <f>'Balance Sheet &amp; Funding'!I13</f>
        <v/>
      </c>
    </row>
    <row r="12">
      <c r="B12" s="7" t="inlineStr">
        <is>
          <t>Gross Customer Loans</t>
        </is>
      </c>
      <c r="C12" s="8">
        <f>'Balance Sheet &amp; Funding'!C10</f>
        <v/>
      </c>
      <c r="D12" s="8">
        <f>'Balance Sheet &amp; Funding'!D10</f>
        <v/>
      </c>
      <c r="E12" s="8">
        <f>'Balance Sheet &amp; Funding'!E10</f>
        <v/>
      </c>
      <c r="F12" s="8">
        <f>'Balance Sheet &amp; Funding'!F10</f>
        <v/>
      </c>
      <c r="G12" s="8">
        <f>'Balance Sheet &amp; Funding'!G10</f>
        <v/>
      </c>
      <c r="H12" s="8">
        <f>'Balance Sheet &amp; Funding'!H10</f>
        <v/>
      </c>
      <c r="I12" s="8">
        <f>'Balance Sheet &amp; Funding'!I10</f>
        <v/>
      </c>
    </row>
    <row r="13">
      <c r="B13" s="7" t="inlineStr">
        <is>
          <t>Customer Deposits</t>
        </is>
      </c>
      <c r="C13" s="8">
        <f>'Balance Sheet &amp; Funding'!C16</f>
        <v/>
      </c>
      <c r="D13" s="8">
        <f>'Balance Sheet &amp; Funding'!D16</f>
        <v/>
      </c>
      <c r="E13" s="8">
        <f>'Balance Sheet &amp; Funding'!E16</f>
        <v/>
      </c>
      <c r="F13" s="8">
        <f>'Balance Sheet &amp; Funding'!F16</f>
        <v/>
      </c>
      <c r="G13" s="8">
        <f>'Balance Sheet &amp; Funding'!G16</f>
        <v/>
      </c>
      <c r="H13" s="8">
        <f>'Balance Sheet &amp; Funding'!H16</f>
        <v/>
      </c>
      <c r="I13" s="8">
        <f>'Balance Sheet &amp; Funding'!I16</f>
        <v/>
      </c>
    </row>
    <row r="14">
      <c r="B14" s="9" t="inlineStr">
        <is>
          <t>Net Interest Income (NII)</t>
        </is>
      </c>
      <c r="C14" s="10">
        <f>'Bank Income Statement (P&amp;L)'!C10</f>
        <v/>
      </c>
      <c r="D14" s="10">
        <f>'Bank Income Statement (P&amp;L)'!D10</f>
        <v/>
      </c>
      <c r="E14" s="10">
        <f>'Bank Income Statement (P&amp;L)'!E10</f>
        <v/>
      </c>
      <c r="F14" s="10">
        <f>'Bank Income Statement (P&amp;L)'!F10</f>
        <v/>
      </c>
      <c r="G14" s="10">
        <f>'Bank Income Statement (P&amp;L)'!G10</f>
        <v/>
      </c>
      <c r="H14" s="10">
        <f>'Bank Income Statement (P&amp;L)'!H10</f>
        <v/>
      </c>
      <c r="I14" s="10">
        <f>'Bank Income Statement (P&amp;L)'!I10</f>
        <v/>
      </c>
    </row>
    <row r="15">
      <c r="B15" s="7" t="inlineStr">
        <is>
          <t>Net Interest Margin (NIM %)</t>
        </is>
      </c>
      <c r="C15" s="11">
        <f>'Bank Income Statement (P&amp;L)'!C11</f>
        <v/>
      </c>
      <c r="D15" s="11">
        <f>'Bank Income Statement (P&amp;L)'!D11</f>
        <v/>
      </c>
      <c r="E15" s="11">
        <f>'Bank Income Statement (P&amp;L)'!E11</f>
        <v/>
      </c>
      <c r="F15" s="11">
        <f>'Bank Income Statement (P&amp;L)'!F11</f>
        <v/>
      </c>
      <c r="G15" s="11">
        <f>'Bank Income Statement (P&amp;L)'!G11</f>
        <v/>
      </c>
      <c r="H15" s="11">
        <f>'Bank Income Statement (P&amp;L)'!H11</f>
        <v/>
      </c>
      <c r="I15" s="11">
        <f>'Bank Income Statement (P&amp;L)'!I11</f>
        <v/>
      </c>
    </row>
    <row r="16">
      <c r="B16" s="7" t="inlineStr">
        <is>
          <t>Cost-to-Income Ratio (CIR %)</t>
        </is>
      </c>
      <c r="C16" s="12">
        <f>'Bank Income Statement (P&amp;L)'!C16</f>
        <v/>
      </c>
      <c r="D16" s="12">
        <f>'Bank Income Statement (P&amp;L)'!D16</f>
        <v/>
      </c>
      <c r="E16" s="12">
        <f>'Bank Income Statement (P&amp;L)'!E16</f>
        <v/>
      </c>
      <c r="F16" s="12">
        <f>'Bank Income Statement (P&amp;L)'!F16</f>
        <v/>
      </c>
      <c r="G16" s="12">
        <f>'Bank Income Statement (P&amp;L)'!G16</f>
        <v/>
      </c>
      <c r="H16" s="12">
        <f>'Bank Income Statement (P&amp;L)'!H16</f>
        <v/>
      </c>
      <c r="I16" s="12">
        <f>'Bank Income Statement (P&amp;L)'!I16</f>
        <v/>
      </c>
    </row>
    <row r="17">
      <c r="B17" s="7" t="inlineStr">
        <is>
          <t>Net Profit (Attributable)</t>
        </is>
      </c>
      <c r="C17" s="8">
        <f>'Bank Income Statement (P&amp;L)'!C21</f>
        <v/>
      </c>
      <c r="D17" s="8">
        <f>'Bank Income Statement (P&amp;L)'!D21</f>
        <v/>
      </c>
      <c r="E17" s="8">
        <f>'Bank Income Statement (P&amp;L)'!E21</f>
        <v/>
      </c>
      <c r="F17" s="8">
        <f>'Bank Income Statement (P&amp;L)'!F21</f>
        <v/>
      </c>
      <c r="G17" s="8">
        <f>'Bank Income Statement (P&amp;L)'!G21</f>
        <v/>
      </c>
      <c r="H17" s="8">
        <f>'Bank Income Statement (P&amp;L)'!H21</f>
        <v/>
      </c>
      <c r="I17" s="8">
        <f>'Bank Income Statement (P&amp;L)'!I21</f>
        <v/>
      </c>
    </row>
    <row r="18">
      <c r="B18" s="7" t="inlineStr">
        <is>
          <t>Return on Equity (ROE %)</t>
        </is>
      </c>
      <c r="C18" s="12">
        <f>'Bank Income Statement (P&amp;L)'!C22</f>
        <v/>
      </c>
      <c r="D18" s="12">
        <f>'Bank Income Statement (P&amp;L)'!D22</f>
        <v/>
      </c>
      <c r="E18" s="12">
        <f>'Bank Income Statement (P&amp;L)'!E22</f>
        <v/>
      </c>
      <c r="F18" s="12">
        <f>'Bank Income Statement (P&amp;L)'!F22</f>
        <v/>
      </c>
      <c r="G18" s="12">
        <f>'Bank Income Statement (P&amp;L)'!G22</f>
        <v/>
      </c>
      <c r="H18" s="12">
        <f>'Bank Income Statement (P&amp;L)'!H22</f>
        <v/>
      </c>
      <c r="I18" s="12">
        <f>'Bank Income Statement (P&amp;L)'!I22</f>
        <v/>
      </c>
    </row>
    <row r="19">
      <c r="B19" s="9" t="inlineStr">
        <is>
          <t>Non-Performing Loan (NPL) Ratio</t>
        </is>
      </c>
      <c r="C19" s="13">
        <f>'Loan Portfolio &amp; Quality'!C12</f>
        <v/>
      </c>
      <c r="D19" s="13">
        <f>'Loan Portfolio &amp; Quality'!D12</f>
        <v/>
      </c>
      <c r="E19" s="13">
        <f>'Loan Portfolio &amp; Quality'!E12</f>
        <v/>
      </c>
      <c r="F19" s="13">
        <f>'Loan Portfolio &amp; Quality'!F12</f>
        <v/>
      </c>
      <c r="G19" s="13">
        <f>'Loan Portfolio &amp; Quality'!G12</f>
        <v/>
      </c>
      <c r="H19" s="13">
        <f>'Loan Portfolio &amp; Quality'!H12</f>
        <v/>
      </c>
      <c r="I19" s="13">
        <f>'Loan Portfolio &amp; Quality'!I12</f>
        <v/>
      </c>
    </row>
    <row r="20">
      <c r="B20" s="7" t="inlineStr">
        <is>
          <t>Provision Coverage Ratio (%)</t>
        </is>
      </c>
      <c r="C20" s="12">
        <f>'Loan Portfolio &amp; Quality'!C14</f>
        <v/>
      </c>
      <c r="D20" s="12">
        <f>'Loan Portfolio &amp; Quality'!D14</f>
        <v/>
      </c>
      <c r="E20" s="12">
        <f>'Loan Portfolio &amp; Quality'!E14</f>
        <v/>
      </c>
      <c r="F20" s="12">
        <f>'Loan Portfolio &amp; Quality'!F14</f>
        <v/>
      </c>
      <c r="G20" s="12">
        <f>'Loan Portfolio &amp; Quality'!G14</f>
        <v/>
      </c>
      <c r="H20" s="12">
        <f>'Loan Portfolio &amp; Quality'!H14</f>
        <v/>
      </c>
      <c r="I20" s="12">
        <f>'Loan Portfolio &amp; Quality'!I14</f>
        <v/>
      </c>
    </row>
    <row r="21">
      <c r="B21" s="9" t="inlineStr">
        <is>
          <t>Capital Adequacy Ratio (CAR %)</t>
        </is>
      </c>
      <c r="C21" s="13">
        <f>'Capital &amp; Liquidity Schedule'!C10</f>
        <v/>
      </c>
      <c r="D21" s="13">
        <f>'Capital &amp; Liquidity Schedule'!D10</f>
        <v/>
      </c>
      <c r="E21" s="13">
        <f>'Capital &amp; Liquidity Schedule'!E10</f>
        <v/>
      </c>
      <c r="F21" s="13">
        <f>'Capital &amp; Liquidity Schedule'!F10</f>
        <v/>
      </c>
      <c r="G21" s="13">
        <f>'Capital &amp; Liquidity Schedule'!G10</f>
        <v/>
      </c>
      <c r="H21" s="13">
        <f>'Capital &amp; Liquidity Schedule'!H10</f>
        <v/>
      </c>
      <c r="I21" s="13">
        <f>'Capital &amp; Liquidity Schedule'!I10</f>
        <v/>
      </c>
    </row>
    <row r="22">
      <c r="B22" s="9" t="inlineStr">
        <is>
          <t>Common Equity Tier 1 (CET1 %)</t>
        </is>
      </c>
      <c r="C22" s="13">
        <f>'Capital &amp; Liquidity Schedule'!C7</f>
        <v/>
      </c>
      <c r="D22" s="13">
        <f>'Capital &amp; Liquidity Schedule'!D7</f>
        <v/>
      </c>
      <c r="E22" s="13">
        <f>'Capital &amp; Liquidity Schedule'!E7</f>
        <v/>
      </c>
      <c r="F22" s="13">
        <f>'Capital &amp; Liquidity Schedule'!F7</f>
        <v/>
      </c>
      <c r="G22" s="13">
        <f>'Capital &amp; Liquidity Schedule'!G7</f>
        <v/>
      </c>
      <c r="H22" s="13">
        <f>'Capital &amp; Liquidity Schedule'!H7</f>
        <v/>
      </c>
      <c r="I22" s="13">
        <f>'Capital &amp; Liquidity Schedule'!I7</f>
        <v/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5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Loan Portfolio &amp; Asset Quality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GROSS LOANS BY LENDING SEGMENT</t>
        </is>
      </c>
    </row>
    <row r="7">
      <c r="B7" s="7" t="inlineStr">
        <is>
          <t xml:space="preserve">  Corporate &amp; Institutional Banking</t>
        </is>
      </c>
      <c r="C7" s="8" t="n">
        <v>32725</v>
      </c>
      <c r="D7" s="8" t="n">
        <v>38335</v>
      </c>
      <c r="E7" s="8" t="n">
        <v>43010</v>
      </c>
      <c r="F7" s="8" t="n">
        <v>46750</v>
      </c>
      <c r="G7" s="8" t="n">
        <v>50490</v>
      </c>
      <c r="H7" s="8" t="n">
        <v>54230</v>
      </c>
      <c r="I7" s="8" t="n">
        <v>57502.5</v>
      </c>
    </row>
    <row r="8">
      <c r="B8" s="7" t="inlineStr">
        <is>
          <t xml:space="preserve">  Retail &amp; Consumer Mortgages</t>
        </is>
      </c>
      <c r="C8" s="8" t="n">
        <v>17850</v>
      </c>
      <c r="D8" s="8" t="n">
        <v>20910</v>
      </c>
      <c r="E8" s="8" t="n">
        <v>23460</v>
      </c>
      <c r="F8" s="8" t="n">
        <v>25500</v>
      </c>
      <c r="G8" s="8" t="n">
        <v>27540</v>
      </c>
      <c r="H8" s="8" t="n">
        <v>29580</v>
      </c>
      <c r="I8" s="8" t="n">
        <v>31365</v>
      </c>
    </row>
    <row r="9">
      <c r="B9" s="7" t="inlineStr">
        <is>
          <t xml:space="preserve">  SME &amp; Commercial Enterprise</t>
        </is>
      </c>
      <c r="C9" s="8" t="n">
        <v>8925</v>
      </c>
      <c r="D9" s="8" t="n">
        <v>10455</v>
      </c>
      <c r="E9" s="8" t="n">
        <v>11730</v>
      </c>
      <c r="F9" s="8" t="n">
        <v>12750</v>
      </c>
      <c r="G9" s="8" t="n">
        <v>13770</v>
      </c>
      <c r="H9" s="8" t="n">
        <v>14790</v>
      </c>
      <c r="I9" s="8" t="n">
        <v>15682.5</v>
      </c>
    </row>
    <row r="10">
      <c r="B10" s="14" t="inlineStr">
        <is>
          <t>Total Gross Loans (Feeds Balance Sheet)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ASSET QUALITY &amp; PROVISIONING METRICS</t>
        </is>
      </c>
    </row>
    <row r="12">
      <c r="B12" s="9" t="inlineStr">
        <is>
          <t>Non-Performing Loans (NPL Ratio %)</t>
        </is>
      </c>
      <c r="C12" s="13" t="n">
        <v>0.038</v>
      </c>
      <c r="D12" s="13" t="n">
        <v>0.038</v>
      </c>
      <c r="E12" s="13" t="n">
        <v>0.038</v>
      </c>
      <c r="F12" s="13" t="n">
        <v>0.038</v>
      </c>
      <c r="G12" s="13" t="n">
        <v>0.038</v>
      </c>
      <c r="H12" s="13" t="n">
        <v>0.038</v>
      </c>
      <c r="I12" s="13" t="n">
        <v>0.038</v>
      </c>
    </row>
    <row r="13">
      <c r="B13" s="7" t="inlineStr">
        <is>
          <t>Total Impaired NPL Volume ($M)</t>
        </is>
      </c>
      <c r="C13" s="8">
        <f>C10 * C12</f>
        <v/>
      </c>
      <c r="D13" s="8">
        <f>D10 * D12</f>
        <v/>
      </c>
      <c r="E13" s="8">
        <f>E10 * E12</f>
        <v/>
      </c>
      <c r="F13" s="8">
        <f>F10 * F12</f>
        <v/>
      </c>
      <c r="G13" s="8">
        <f>G10 * G12</f>
        <v/>
      </c>
      <c r="H13" s="8">
        <f>H10 * H12</f>
        <v/>
      </c>
      <c r="I13" s="8">
        <f>I10 * I12</f>
        <v/>
      </c>
    </row>
    <row r="14">
      <c r="B14" s="9" t="inlineStr">
        <is>
          <t>Provision Coverage Ratio (%)</t>
        </is>
      </c>
      <c r="C14" s="13" t="n">
        <v>1.35</v>
      </c>
      <c r="D14" s="13" t="n">
        <v>1.35</v>
      </c>
      <c r="E14" s="13" t="n">
        <v>1.35</v>
      </c>
      <c r="F14" s="13" t="n">
        <v>1.35</v>
      </c>
      <c r="G14" s="13" t="n">
        <v>1.35</v>
      </c>
      <c r="H14" s="13" t="n">
        <v>1.35</v>
      </c>
      <c r="I14" s="13" t="n">
        <v>1.35</v>
      </c>
    </row>
    <row r="15">
      <c r="B15" s="7" t="inlineStr">
        <is>
          <t>Accumulated Allowance for Loan Losses ($M)</t>
        </is>
      </c>
      <c r="C15" s="8">
        <f>C13 * C14</f>
        <v/>
      </c>
      <c r="D15" s="8">
        <f>D13 * D14</f>
        <v/>
      </c>
      <c r="E15" s="8">
        <f>E13 * E14</f>
        <v/>
      </c>
      <c r="F15" s="8">
        <f>F13 * F14</f>
        <v/>
      </c>
      <c r="G15" s="8">
        <f>G13 * G14</f>
        <v/>
      </c>
      <c r="H15" s="8">
        <f>H13 * H14</f>
        <v/>
      </c>
      <c r="I15" s="8">
        <f>I13 * I14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Audited &amp; Projected Bank P&amp;L</t>
        </is>
      </c>
    </row>
    <row r="3"/>
    <row r="4">
      <c r="B4" s="5" t="inlineStr">
        <is>
          <t>P&amp;L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/>
    <row r="7"/>
    <row r="8">
      <c r="B8" s="7" t="inlineStr">
        <is>
          <t>Gross Interest Income (Loans &amp; Securities)</t>
        </is>
      </c>
      <c r="C8" s="8">
        <f>'Balance Sheet &amp; Funding'!C13 * 0.078</f>
        <v/>
      </c>
      <c r="D8" s="8">
        <f>'Balance Sheet &amp; Funding'!D13 * 0.078</f>
        <v/>
      </c>
      <c r="E8" s="8">
        <f>'Balance Sheet &amp; Funding'!E13 * 0.078</f>
        <v/>
      </c>
      <c r="F8" s="8">
        <f>'Balance Sheet &amp; Funding'!F13 * 0.078</f>
        <v/>
      </c>
      <c r="G8" s="8">
        <f>'Balance Sheet &amp; Funding'!G13 * 0.078</f>
        <v/>
      </c>
      <c r="H8" s="8">
        <f>'Balance Sheet &amp; Funding'!H13 * 0.078</f>
        <v/>
      </c>
      <c r="I8" s="8">
        <f>'Balance Sheet &amp; Funding'!I13 * 0.078</f>
        <v/>
      </c>
    </row>
    <row r="9">
      <c r="B9" s="7" t="inlineStr">
        <is>
          <t>Less: Interest Expense (Deposits &amp; Borrowings)</t>
        </is>
      </c>
      <c r="C9" s="8">
        <f>'Balance Sheet &amp; Funding'!C16 * 0.038</f>
        <v/>
      </c>
      <c r="D9" s="8">
        <f>'Balance Sheet &amp; Funding'!D16 * 0.038</f>
        <v/>
      </c>
      <c r="E9" s="8">
        <f>'Balance Sheet &amp; Funding'!E16 * 0.038</f>
        <v/>
      </c>
      <c r="F9" s="8">
        <f>'Balance Sheet &amp; Funding'!F16 * 0.038</f>
        <v/>
      </c>
      <c r="G9" s="8">
        <f>'Balance Sheet &amp; Funding'!G16 * 0.038</f>
        <v/>
      </c>
      <c r="H9" s="8">
        <f>'Balance Sheet &amp; Funding'!H16 * 0.038</f>
        <v/>
      </c>
      <c r="I9" s="8">
        <f>'Balance Sheet &amp; Funding'!I16 * 0.038</f>
        <v/>
      </c>
    </row>
    <row r="10">
      <c r="B10" s="16" t="inlineStr">
        <is>
          <t>NET INTEREST INCOME (NII)</t>
        </is>
      </c>
      <c r="C10" s="17">
        <f>C8 - C9</f>
        <v/>
      </c>
      <c r="D10" s="17">
        <f>D8 - D9</f>
        <v/>
      </c>
      <c r="E10" s="17">
        <f>E8 - E9</f>
        <v/>
      </c>
      <c r="F10" s="17">
        <f>F8 - F9</f>
        <v/>
      </c>
      <c r="G10" s="17">
        <f>G8 - G9</f>
        <v/>
      </c>
      <c r="H10" s="17">
        <f>H8 - H9</f>
        <v/>
      </c>
      <c r="I10" s="17">
        <f>I8 - I9</f>
        <v/>
      </c>
    </row>
    <row r="11">
      <c r="B11" s="7" t="inlineStr">
        <is>
          <t>Net Interest Margin (NIM %)</t>
        </is>
      </c>
      <c r="C11" s="11">
        <f>C10 / 'Balance Sheet &amp; Funding'!C13</f>
        <v/>
      </c>
      <c r="D11" s="11">
        <f>D10 / 'Balance Sheet &amp; Funding'!D13</f>
        <v/>
      </c>
      <c r="E11" s="11">
        <f>E10 / 'Balance Sheet &amp; Funding'!E13</f>
        <v/>
      </c>
      <c r="F11" s="11">
        <f>F10 / 'Balance Sheet &amp; Funding'!F13</f>
        <v/>
      </c>
      <c r="G11" s="11">
        <f>G10 / 'Balance Sheet &amp; Funding'!G13</f>
        <v/>
      </c>
      <c r="H11" s="11">
        <f>H10 / 'Balance Sheet &amp; Funding'!H13</f>
        <v/>
      </c>
      <c r="I11" s="11">
        <f>I10 / 'Balance Sheet &amp; Funding'!I13</f>
        <v/>
      </c>
    </row>
    <row r="12">
      <c r="B12" s="7" t="inlineStr">
        <is>
          <t>Net Fee &amp; Commission Income</t>
        </is>
      </c>
      <c r="C12" s="8">
        <f>C10 * 0.28</f>
        <v/>
      </c>
      <c r="D12" s="8">
        <f>D10 * 0.28</f>
        <v/>
      </c>
      <c r="E12" s="8">
        <f>E10 * 0.28</f>
        <v/>
      </c>
      <c r="F12" s="8">
        <f>F10 * 0.28</f>
        <v/>
      </c>
      <c r="G12" s="8">
        <f>G10 * 0.28</f>
        <v/>
      </c>
      <c r="H12" s="8">
        <f>H10 * 0.28</f>
        <v/>
      </c>
      <c r="I12" s="8">
        <f>I10 * 0.28</f>
        <v/>
      </c>
    </row>
    <row r="13">
      <c r="B13" s="7" t="inlineStr">
        <is>
          <t>Trading &amp; Foreign Exchange Gains</t>
        </is>
      </c>
      <c r="C13" s="8">
        <f>C10 * 0.12</f>
        <v/>
      </c>
      <c r="D13" s="8">
        <f>D10 * 0.12</f>
        <v/>
      </c>
      <c r="E13" s="8">
        <f>E10 * 0.12</f>
        <v/>
      </c>
      <c r="F13" s="8">
        <f>F10 * 0.12</f>
        <v/>
      </c>
      <c r="G13" s="8">
        <f>G10 * 0.12</f>
        <v/>
      </c>
      <c r="H13" s="8">
        <f>H10 * 0.12</f>
        <v/>
      </c>
      <c r="I13" s="8">
        <f>I10 * 0.12</f>
        <v/>
      </c>
    </row>
    <row r="14">
      <c r="B14" s="7" t="inlineStr">
        <is>
          <t>Other Operating Income</t>
        </is>
      </c>
      <c r="C14" s="8">
        <f>C10 * 0.05</f>
        <v/>
      </c>
      <c r="D14" s="8">
        <f>D10 * 0.05</f>
        <v/>
      </c>
      <c r="E14" s="8">
        <f>E10 * 0.05</f>
        <v/>
      </c>
      <c r="F14" s="8">
        <f>F10 * 0.05</f>
        <v/>
      </c>
      <c r="G14" s="8">
        <f>G10 * 0.05</f>
        <v/>
      </c>
      <c r="H14" s="8">
        <f>H10 * 0.05</f>
        <v/>
      </c>
      <c r="I14" s="8">
        <f>I10 * 0.05</f>
        <v/>
      </c>
    </row>
    <row r="15">
      <c r="B15" s="16" t="inlineStr">
        <is>
          <t>TOTAL OPERATING INCOME</t>
        </is>
      </c>
      <c r="C15" s="17">
        <f>SUM(C10:C14)</f>
        <v/>
      </c>
      <c r="D15" s="17">
        <f>SUM(D10:D14)</f>
        <v/>
      </c>
      <c r="E15" s="17">
        <f>SUM(E10:E14)</f>
        <v/>
      </c>
      <c r="F15" s="17">
        <f>SUM(F10:F14)</f>
        <v/>
      </c>
      <c r="G15" s="17">
        <f>SUM(G10:G14)</f>
        <v/>
      </c>
      <c r="H15" s="17">
        <f>SUM(H10:H14)</f>
        <v/>
      </c>
      <c r="I15" s="17">
        <f>SUM(I10:I14)</f>
        <v/>
      </c>
    </row>
    <row r="16">
      <c r="B16" s="7" t="inlineStr">
        <is>
          <t>Cost-to-Income Ratio (CIR %)</t>
        </is>
      </c>
      <c r="C16" s="11">
        <f>C17 / C15</f>
        <v/>
      </c>
      <c r="D16" s="11">
        <f>D17 / D15</f>
        <v/>
      </c>
      <c r="E16" s="11">
        <f>E17 / E15</f>
        <v/>
      </c>
      <c r="F16" s="11">
        <f>F17 / F15</f>
        <v/>
      </c>
      <c r="G16" s="11">
        <f>G17 / G15</f>
        <v/>
      </c>
      <c r="H16" s="11">
        <f>H17 / H15</f>
        <v/>
      </c>
      <c r="I16" s="11">
        <f>I17 / I15</f>
        <v/>
      </c>
    </row>
    <row r="17">
      <c r="B17" s="7" t="inlineStr">
        <is>
          <t>Operating Overhead &amp; Staff Expenses</t>
        </is>
      </c>
      <c r="C17" s="8">
        <f>C15 * 0.36</f>
        <v/>
      </c>
      <c r="D17" s="8">
        <f>D15 * 0.36</f>
        <v/>
      </c>
      <c r="E17" s="8">
        <f>E15 * 0.36</f>
        <v/>
      </c>
      <c r="F17" s="8">
        <f>F15 * 0.36</f>
        <v/>
      </c>
      <c r="G17" s="8">
        <f>G15 * 0.36</f>
        <v/>
      </c>
      <c r="H17" s="8">
        <f>H15 * 0.36</f>
        <v/>
      </c>
      <c r="I17" s="8">
        <f>I15 * 0.36</f>
        <v/>
      </c>
    </row>
    <row r="18">
      <c r="B18" s="16" t="inlineStr">
        <is>
          <t>OPERATING PROFIT BEFORE PROVISIONS</t>
        </is>
      </c>
      <c r="C18" s="17">
        <f>C15 - C17</f>
        <v/>
      </c>
      <c r="D18" s="17">
        <f>D15 - D17</f>
        <v/>
      </c>
      <c r="E18" s="17">
        <f>E15 - E17</f>
        <v/>
      </c>
      <c r="F18" s="17">
        <f>F15 - F17</f>
        <v/>
      </c>
      <c r="G18" s="17">
        <f>G15 - G17</f>
        <v/>
      </c>
      <c r="H18" s="17">
        <f>H15 - H17</f>
        <v/>
      </c>
      <c r="I18" s="17">
        <f>I15 - I17</f>
        <v/>
      </c>
    </row>
    <row r="19">
      <c r="B19" s="7" t="inlineStr">
        <is>
          <t>Less: Credit Impairment Provisions</t>
        </is>
      </c>
      <c r="C19" s="8">
        <f>'Loan Portfolio &amp; Quality'!C10 * 0.008</f>
        <v/>
      </c>
      <c r="D19" s="8">
        <f>'Loan Portfolio &amp; Quality'!D10 * 0.008</f>
        <v/>
      </c>
      <c r="E19" s="8">
        <f>'Loan Portfolio &amp; Quality'!E10 * 0.008</f>
        <v/>
      </c>
      <c r="F19" s="8">
        <f>'Loan Portfolio &amp; Quality'!F10 * 0.008</f>
        <v/>
      </c>
      <c r="G19" s="8">
        <f>'Loan Portfolio &amp; Quality'!G10 * 0.008</f>
        <v/>
      </c>
      <c r="H19" s="8">
        <f>'Loan Portfolio &amp; Quality'!H10 * 0.008</f>
        <v/>
      </c>
      <c r="I19" s="8">
        <f>'Loan Portfolio &amp; Quality'!I10 * 0.008</f>
        <v/>
      </c>
    </row>
    <row r="20">
      <c r="B20" s="7" t="inlineStr">
        <is>
          <t>Profit Before Tax (PBT)</t>
        </is>
      </c>
      <c r="C20" s="8">
        <f>C18 - C19</f>
        <v/>
      </c>
      <c r="D20" s="8">
        <f>D18 - D19</f>
        <v/>
      </c>
      <c r="E20" s="8">
        <f>E18 - E19</f>
        <v/>
      </c>
      <c r="F20" s="8">
        <f>F18 - F19</f>
        <v/>
      </c>
      <c r="G20" s="8">
        <f>G18 - G19</f>
        <v/>
      </c>
      <c r="H20" s="8">
        <f>H18 - H19</f>
        <v/>
      </c>
      <c r="I20" s="8">
        <f>I18 - I19</f>
        <v/>
      </c>
    </row>
    <row r="21">
      <c r="B21" s="7" t="inlineStr">
        <is>
          <t>Income Tax Expense</t>
        </is>
      </c>
      <c r="C21" s="8">
        <f>IF(C20&gt;0, C20 * 0.15, 0)</f>
        <v/>
      </c>
      <c r="D21" s="8">
        <f>IF(D20&gt;0, D20 * 0.15, 0)</f>
        <v/>
      </c>
      <c r="E21" s="8">
        <f>IF(E20&gt;0, E20 * 0.15, 0)</f>
        <v/>
      </c>
      <c r="F21" s="8">
        <f>IF(F20&gt;0, F20 * 0.15, 0)</f>
        <v/>
      </c>
      <c r="G21" s="8">
        <f>IF(G20&gt;0, G20 * 0.15, 0)</f>
        <v/>
      </c>
      <c r="H21" s="8">
        <f>IF(H20&gt;0, H20 * 0.15, 0)</f>
        <v/>
      </c>
      <c r="I21" s="8">
        <f>IF(I20&gt;0, I20 * 0.15, 0)</f>
        <v/>
      </c>
    </row>
    <row r="22">
      <c r="B22" s="16" t="inlineStr">
        <is>
          <t>NET PROFIT (ATTRIBUTABLE)</t>
        </is>
      </c>
      <c r="C22" s="17">
        <f>C20 - C21</f>
        <v/>
      </c>
      <c r="D22" s="17">
        <f>D20 - D21</f>
        <v/>
      </c>
      <c r="E22" s="17">
        <f>E20 - E21</f>
        <v/>
      </c>
      <c r="F22" s="17">
        <f>F20 - F21</f>
        <v/>
      </c>
      <c r="G22" s="17">
        <f>G20 - G21</f>
        <v/>
      </c>
      <c r="H22" s="17">
        <f>H20 - H21</f>
        <v/>
      </c>
      <c r="I22" s="17">
        <f>I20 - I21</f>
        <v/>
      </c>
    </row>
    <row r="23">
      <c r="B23" s="7" t="inlineStr">
        <is>
          <t>Return on Equity (ROE %)</t>
        </is>
      </c>
      <c r="C23" s="11">
        <f>C22 / 'Balance Sheet &amp; Funding'!C22</f>
        <v/>
      </c>
      <c r="D23" s="11">
        <f>D22 / 'Balance Sheet &amp; Funding'!D22</f>
        <v/>
      </c>
      <c r="E23" s="11">
        <f>E22 / 'Balance Sheet &amp; Funding'!E22</f>
        <v/>
      </c>
      <c r="F23" s="11">
        <f>F22 / 'Balance Sheet &amp; Funding'!F22</f>
        <v/>
      </c>
      <c r="G23" s="11">
        <f>G22 / 'Balance Sheet &amp; Funding'!G22</f>
        <v/>
      </c>
      <c r="H23" s="11">
        <f>H22 / 'Balance Sheet &amp; Funding'!H22</f>
        <v/>
      </c>
      <c r="I23" s="11">
        <f>I22 / 'Balance Sheet &amp; Funding'!I22</f>
        <v/>
      </c>
    </row>
  </sheetData>
  <mergeCells count="1">
    <mergeCell ref="B2:I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Bank Balance Sheet &amp; Capital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ASSETS</t>
        </is>
      </c>
    </row>
    <row r="7">
      <c r="B7" s="7" t="inlineStr">
        <is>
          <t xml:space="preserve">  Cash &amp; Central Bank Balances</t>
        </is>
      </c>
      <c r="C7" s="8">
        <f>'Loan Portfolio &amp; Quality'!C10 * 0.12</f>
        <v/>
      </c>
      <c r="D7" s="8">
        <f>'Loan Portfolio &amp; Quality'!D10 * 0.12</f>
        <v/>
      </c>
      <c r="E7" s="8">
        <f>'Loan Portfolio &amp; Quality'!E10 * 0.12</f>
        <v/>
      </c>
      <c r="F7" s="8">
        <f>'Loan Portfolio &amp; Quality'!F10 * 0.12</f>
        <v/>
      </c>
      <c r="G7" s="8">
        <f>'Loan Portfolio &amp; Quality'!G10 * 0.12</f>
        <v/>
      </c>
      <c r="H7" s="8">
        <f>'Loan Portfolio &amp; Quality'!H10 * 0.12</f>
        <v/>
      </c>
      <c r="I7" s="8">
        <f>'Loan Portfolio &amp; Quality'!I10 * 0.12</f>
        <v/>
      </c>
    </row>
    <row r="8">
      <c r="B8" s="7" t="inlineStr">
        <is>
          <t xml:space="preserve">  Interbank Placements &amp; Repos</t>
        </is>
      </c>
      <c r="C8" s="8">
        <f>'Loan Portfolio &amp; Quality'!C10 * 0.08</f>
        <v/>
      </c>
      <c r="D8" s="8">
        <f>'Loan Portfolio &amp; Quality'!D10 * 0.08</f>
        <v/>
      </c>
      <c r="E8" s="8">
        <f>'Loan Portfolio &amp; Quality'!E10 * 0.08</f>
        <v/>
      </c>
      <c r="F8" s="8">
        <f>'Loan Portfolio &amp; Quality'!F10 * 0.08</f>
        <v/>
      </c>
      <c r="G8" s="8">
        <f>'Loan Portfolio &amp; Quality'!G10 * 0.08</f>
        <v/>
      </c>
      <c r="H8" s="8">
        <f>'Loan Portfolio &amp; Quality'!H10 * 0.08</f>
        <v/>
      </c>
      <c r="I8" s="8">
        <f>'Loan Portfolio &amp; Quality'!I10 * 0.08</f>
        <v/>
      </c>
    </row>
    <row r="9">
      <c r="B9" s="7" t="inlineStr">
        <is>
          <t xml:space="preserve">  Investment Securities (Sovereign &amp; Bonds)</t>
        </is>
      </c>
      <c r="C9" s="8">
        <f>'Loan Portfolio &amp; Quality'!C10 * 0.28</f>
        <v/>
      </c>
      <c r="D9" s="8">
        <f>'Loan Portfolio &amp; Quality'!D10 * 0.28</f>
        <v/>
      </c>
      <c r="E9" s="8">
        <f>'Loan Portfolio &amp; Quality'!E10 * 0.28</f>
        <v/>
      </c>
      <c r="F9" s="8">
        <f>'Loan Portfolio &amp; Quality'!F10 * 0.28</f>
        <v/>
      </c>
      <c r="G9" s="8">
        <f>'Loan Portfolio &amp; Quality'!G10 * 0.28</f>
        <v/>
      </c>
      <c r="H9" s="8">
        <f>'Loan Portfolio &amp; Quality'!H10 * 0.28</f>
        <v/>
      </c>
      <c r="I9" s="8">
        <f>'Loan Portfolio &amp; Quality'!I10 * 0.28</f>
        <v/>
      </c>
    </row>
    <row r="10">
      <c r="B10" s="7" t="inlineStr">
        <is>
          <t xml:space="preserve">  Gross Customer Loans</t>
        </is>
      </c>
      <c r="C10" s="8">
        <f>'Loan Portfolio &amp; Quality'!C10</f>
        <v/>
      </c>
      <c r="D10" s="8">
        <f>'Loan Portfolio &amp; Quality'!D10</f>
        <v/>
      </c>
      <c r="E10" s="8">
        <f>'Loan Portfolio &amp; Quality'!E10</f>
        <v/>
      </c>
      <c r="F10" s="8">
        <f>'Loan Portfolio &amp; Quality'!F10</f>
        <v/>
      </c>
      <c r="G10" s="8">
        <f>'Loan Portfolio &amp; Quality'!G10</f>
        <v/>
      </c>
      <c r="H10" s="8">
        <f>'Loan Portfolio &amp; Quality'!H10</f>
        <v/>
      </c>
      <c r="I10" s="8">
        <f>'Loan Portfolio &amp; Quality'!I10</f>
        <v/>
      </c>
    </row>
    <row r="11">
      <c r="B11" s="7" t="inlineStr">
        <is>
          <t xml:space="preserve">  Less: Allowance for Credit Losses</t>
        </is>
      </c>
      <c r="C11" s="8">
        <f>-'Loan Portfolio &amp; Quality'!C15</f>
        <v/>
      </c>
      <c r="D11" s="8">
        <f>-'Loan Portfolio &amp; Quality'!D15</f>
        <v/>
      </c>
      <c r="E11" s="8">
        <f>-'Loan Portfolio &amp; Quality'!E15</f>
        <v/>
      </c>
      <c r="F11" s="8">
        <f>-'Loan Portfolio &amp; Quality'!F15</f>
        <v/>
      </c>
      <c r="G11" s="8">
        <f>-'Loan Portfolio &amp; Quality'!G15</f>
        <v/>
      </c>
      <c r="H11" s="8">
        <f>-'Loan Portfolio &amp; Quality'!H15</f>
        <v/>
      </c>
      <c r="I11" s="8">
        <f>-'Loan Portfolio &amp; Quality'!I15</f>
        <v/>
      </c>
    </row>
    <row r="12">
      <c r="B12" s="9" t="inlineStr">
        <is>
          <t xml:space="preserve">  Net Customer Loans</t>
        </is>
      </c>
      <c r="C12" s="10">
        <f>C10 + C11</f>
        <v/>
      </c>
      <c r="D12" s="10">
        <f>D10 + D11</f>
        <v/>
      </c>
      <c r="E12" s="10">
        <f>E10 + E11</f>
        <v/>
      </c>
      <c r="F12" s="10">
        <f>F10 + F11</f>
        <v/>
      </c>
      <c r="G12" s="10">
        <f>G10 + G11</f>
        <v/>
      </c>
      <c r="H12" s="10">
        <f>H10 + H11</f>
        <v/>
      </c>
      <c r="I12" s="10">
        <f>I10 + I11</f>
        <v/>
      </c>
    </row>
    <row r="13">
      <c r="B13" s="16" t="inlineStr">
        <is>
          <t>TOTAL CONSOLIDATED ASSETS</t>
        </is>
      </c>
      <c r="C13" s="17">
        <f>SUM(C7:C9) + C12</f>
        <v/>
      </c>
      <c r="D13" s="17">
        <f>SUM(D7:D9) + D12</f>
        <v/>
      </c>
      <c r="E13" s="17">
        <f>SUM(E7:E9) + E12</f>
        <v/>
      </c>
      <c r="F13" s="17">
        <f>SUM(F7:F9) + F12</f>
        <v/>
      </c>
      <c r="G13" s="17">
        <f>SUM(G7:G9) + G12</f>
        <v/>
      </c>
      <c r="H13" s="17">
        <f>SUM(H7:H9) + H12</f>
        <v/>
      </c>
      <c r="I13" s="17">
        <f>SUM(I7:I9) + I12</f>
        <v/>
      </c>
    </row>
    <row r="14"/>
    <row r="15">
      <c r="B15" s="3" t="inlineStr">
        <is>
          <t>II. LIABILITIES &amp; FUNDING</t>
        </is>
      </c>
    </row>
    <row r="16">
      <c r="B16" s="7" t="inlineStr">
        <is>
          <t xml:space="preserve">  Customer Deposits (CASA &amp; Term)</t>
        </is>
      </c>
      <c r="C16" s="8">
        <f>C13 * 0.72</f>
        <v/>
      </c>
      <c r="D16" s="8">
        <f>D13 * 0.72</f>
        <v/>
      </c>
      <c r="E16" s="8">
        <f>E13 * 0.72</f>
        <v/>
      </c>
      <c r="F16" s="8">
        <f>F13 * 0.72</f>
        <v/>
      </c>
      <c r="G16" s="8">
        <f>G13 * 0.72</f>
        <v/>
      </c>
      <c r="H16" s="8">
        <f>H13 * 0.72</f>
        <v/>
      </c>
      <c r="I16" s="8">
        <f>I13 * 0.72</f>
        <v/>
      </c>
    </row>
    <row r="17">
      <c r="B17" s="7" t="inlineStr">
        <is>
          <t xml:space="preserve">  Interbank Borrowings &amp; Repos</t>
        </is>
      </c>
      <c r="C17" s="8">
        <f>C13 * 0.06</f>
        <v/>
      </c>
      <c r="D17" s="8">
        <f>D13 * 0.06</f>
        <v/>
      </c>
      <c r="E17" s="8">
        <f>E13 * 0.06</f>
        <v/>
      </c>
      <c r="F17" s="8">
        <f>F13 * 0.06</f>
        <v/>
      </c>
      <c r="G17" s="8">
        <f>G13 * 0.06</f>
        <v/>
      </c>
      <c r="H17" s="8">
        <f>H13 * 0.06</f>
        <v/>
      </c>
      <c r="I17" s="8">
        <f>I13 * 0.06</f>
        <v/>
      </c>
    </row>
    <row r="18">
      <c r="B18" s="7" t="inlineStr">
        <is>
          <t xml:space="preserve">  Senior Debt Securities in Issue (Eurobonds)</t>
        </is>
      </c>
      <c r="C18" s="8">
        <f>C13 * 0.07</f>
        <v/>
      </c>
      <c r="D18" s="8">
        <f>D13 * 0.07</f>
        <v/>
      </c>
      <c r="E18" s="8">
        <f>E13 * 0.07</f>
        <v/>
      </c>
      <c r="F18" s="8">
        <f>F13 * 0.07</f>
        <v/>
      </c>
      <c r="G18" s="8">
        <f>G13 * 0.07</f>
        <v/>
      </c>
      <c r="H18" s="8">
        <f>H13 * 0.07</f>
        <v/>
      </c>
      <c r="I18" s="8">
        <f>I13 * 0.07</f>
        <v/>
      </c>
    </row>
    <row r="19">
      <c r="B19" s="7" t="inlineStr">
        <is>
          <t xml:space="preserve">  Subordinated / Tier 2 Debt Notes</t>
        </is>
      </c>
      <c r="C19" s="8">
        <f>C13 * 0.02</f>
        <v/>
      </c>
      <c r="D19" s="8">
        <f>D13 * 0.02</f>
        <v/>
      </c>
      <c r="E19" s="8">
        <f>E13 * 0.02</f>
        <v/>
      </c>
      <c r="F19" s="8">
        <f>F13 * 0.02</f>
        <v/>
      </c>
      <c r="G19" s="8">
        <f>G13 * 0.02</f>
        <v/>
      </c>
      <c r="H19" s="8">
        <f>H13 * 0.02</f>
        <v/>
      </c>
      <c r="I19" s="8">
        <f>I13 * 0.02</f>
        <v/>
      </c>
    </row>
    <row r="20">
      <c r="B20" s="14" t="inlineStr">
        <is>
          <t>TOTAL LIABILITIES</t>
        </is>
      </c>
      <c r="C20" s="15">
        <f>SUM(C16:C19)</f>
        <v/>
      </c>
      <c r="D20" s="15">
        <f>SUM(D16:D19)</f>
        <v/>
      </c>
      <c r="E20" s="15">
        <f>SUM(E16:E19)</f>
        <v/>
      </c>
      <c r="F20" s="15">
        <f>SUM(F16:F19)</f>
        <v/>
      </c>
      <c r="G20" s="15">
        <f>SUM(G16:G19)</f>
        <v/>
      </c>
      <c r="H20" s="15">
        <f>SUM(H16:H19)</f>
        <v/>
      </c>
      <c r="I20" s="15">
        <f>SUM(I16:I19)</f>
        <v/>
      </c>
    </row>
    <row r="21">
      <c r="B21" s="3" t="inlineStr">
        <is>
          <t>III. EQUITY &amp; CAPITAL</t>
        </is>
      </c>
    </row>
    <row r="22">
      <c r="B22" s="9" t="inlineStr">
        <is>
          <t>TOTAL SHAREHOLDERS' EQUITY</t>
        </is>
      </c>
      <c r="C22" s="10">
        <f>C13 - C20</f>
        <v/>
      </c>
      <c r="D22" s="10">
        <f>D13 - D20</f>
        <v/>
      </c>
      <c r="E22" s="10">
        <f>E13 - E20</f>
        <v/>
      </c>
      <c r="F22" s="10">
        <f>F13 - F20</f>
        <v/>
      </c>
      <c r="G22" s="10">
        <f>G13 - G20</f>
        <v/>
      </c>
      <c r="H22" s="10">
        <f>H13 - H20</f>
        <v/>
      </c>
      <c r="I22" s="10">
        <f>I13 - I20</f>
        <v/>
      </c>
    </row>
    <row r="23">
      <c r="B23" s="16" t="inlineStr">
        <is>
          <t>TOTAL LIABILITIES &amp; EQUITY</t>
        </is>
      </c>
      <c r="C23" s="17">
        <f>C20 + C22</f>
        <v/>
      </c>
      <c r="D23" s="17">
        <f>D20 + D22</f>
        <v/>
      </c>
      <c r="E23" s="17">
        <f>E20 + E22</f>
        <v/>
      </c>
      <c r="F23" s="17">
        <f>F20 + F22</f>
        <v/>
      </c>
      <c r="G23" s="17">
        <f>G20 + G22</f>
        <v/>
      </c>
      <c r="H23" s="17">
        <f>H20 + H22</f>
        <v/>
      </c>
      <c r="I23" s="17">
        <f>I20 + I22</f>
        <v/>
      </c>
    </row>
    <row r="24">
      <c r="B24" s="5" t="inlineStr">
        <is>
          <t>BALANCE CHECK (ASSETS - LIAB - EQUITY)</t>
        </is>
      </c>
      <c r="C24" s="18">
        <f>C13 - C23</f>
        <v/>
      </c>
      <c r="D24" s="18">
        <f>D13 - D23</f>
        <v/>
      </c>
      <c r="E24" s="18">
        <f>E13 - E23</f>
        <v/>
      </c>
      <c r="F24" s="18">
        <f>F13 - F23</f>
        <v/>
      </c>
      <c r="G24" s="18">
        <f>G13 - G23</f>
        <v/>
      </c>
      <c r="H24" s="18">
        <f>H13 - H23</f>
        <v/>
      </c>
      <c r="I24" s="18">
        <f>I13 - I23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74" customWidth="1" min="3" max="3"/>
    <col width="28" customWidth="1" min="4" max="4"/>
    <col width="51" customWidth="1" min="5" max="5"/>
    <col width="64" customWidth="1" min="6" max="6"/>
    <col width="15" customWidth="1" min="7" max="7"/>
    <col width="14" customWidth="1" min="8" max="8"/>
    <col width="44" customWidth="1" min="9" max="9"/>
    <col width="2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Capital Adequacy &amp; Basel III Ratios</t>
        </is>
      </c>
    </row>
    <row r="3"/>
    <row r="4">
      <c r="B4" s="5" t="inlineStr">
        <is>
          <t>Basel III Capital Metric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7" t="inlineStr">
        <is>
          <t>Risk-Weighted Assets (RWA $M)</t>
        </is>
      </c>
      <c r="C5" s="8">
        <f>'Balance Sheet &amp; Funding'!C13 * 0.70</f>
        <v/>
      </c>
      <c r="D5" s="8">
        <f>'Balance Sheet &amp; Funding'!D13 * 0.70</f>
        <v/>
      </c>
      <c r="E5" s="8">
        <f>'Balance Sheet &amp; Funding'!E13 * 0.70</f>
        <v/>
      </c>
      <c r="F5" s="8">
        <f>'Balance Sheet &amp; Funding'!F13 * 0.70</f>
        <v/>
      </c>
      <c r="G5" s="8">
        <f>'Balance Sheet &amp; Funding'!G13 * 0.70</f>
        <v/>
      </c>
      <c r="H5" s="8">
        <f>'Balance Sheet &amp; Funding'!H13 * 0.70</f>
        <v/>
      </c>
      <c r="I5" s="8">
        <f>'Balance Sheet &amp; Funding'!I13 * 0.70</f>
        <v/>
      </c>
    </row>
    <row r="6">
      <c r="B6" s="16" t="inlineStr">
        <is>
          <t>Common Equity Tier 1 (CET1 Capital $M)</t>
        </is>
      </c>
      <c r="C6" s="17">
        <f>'Balance Sheet &amp; Funding'!C22 * 0.88</f>
        <v/>
      </c>
      <c r="D6" s="17">
        <f>'Balance Sheet &amp; Funding'!D22 * 0.88</f>
        <v/>
      </c>
      <c r="E6" s="17">
        <f>'Balance Sheet &amp; Funding'!E22 * 0.88</f>
        <v/>
      </c>
      <c r="F6" s="17">
        <f>'Balance Sheet &amp; Funding'!F22 * 0.88</f>
        <v/>
      </c>
      <c r="G6" s="17">
        <f>'Balance Sheet &amp; Funding'!G22 * 0.88</f>
        <v/>
      </c>
      <c r="H6" s="17">
        <f>'Balance Sheet &amp; Funding'!H22 * 0.88</f>
        <v/>
      </c>
      <c r="I6" s="17">
        <f>'Balance Sheet &amp; Funding'!I22 * 0.88</f>
        <v/>
      </c>
    </row>
    <row r="7">
      <c r="B7" s="16" t="inlineStr">
        <is>
          <t>COMMON EQUITY TIER 1 RATIO (CET1 %)</t>
        </is>
      </c>
      <c r="C7" s="19">
        <f>C6 / C5</f>
        <v/>
      </c>
      <c r="D7" s="19">
        <f>D6 / D5</f>
        <v/>
      </c>
      <c r="E7" s="19">
        <f>E6 / E5</f>
        <v/>
      </c>
      <c r="F7" s="19">
        <f>F6 / F5</f>
        <v/>
      </c>
      <c r="G7" s="19">
        <f>G6 / G5</f>
        <v/>
      </c>
      <c r="H7" s="19">
        <f>H6 / H5</f>
        <v/>
      </c>
      <c r="I7" s="19">
        <f>I6 / I5</f>
        <v/>
      </c>
    </row>
    <row r="8">
      <c r="B8" s="7" t="inlineStr">
        <is>
          <t>Tier 1 Capital Notes &amp; Hybrids ($M)</t>
        </is>
      </c>
      <c r="C8" s="8">
        <f>'Balance Sheet &amp; Funding'!C22 * 0.12</f>
        <v/>
      </c>
      <c r="D8" s="8">
        <f>'Balance Sheet &amp; Funding'!D22 * 0.12</f>
        <v/>
      </c>
      <c r="E8" s="8">
        <f>'Balance Sheet &amp; Funding'!E22 * 0.12</f>
        <v/>
      </c>
      <c r="F8" s="8">
        <f>'Balance Sheet &amp; Funding'!F22 * 0.12</f>
        <v/>
      </c>
      <c r="G8" s="8">
        <f>'Balance Sheet &amp; Funding'!G22 * 0.12</f>
        <v/>
      </c>
      <c r="H8" s="8">
        <f>'Balance Sheet &amp; Funding'!H22 * 0.12</f>
        <v/>
      </c>
      <c r="I8" s="8">
        <f>'Balance Sheet &amp; Funding'!I22 * 0.12</f>
        <v/>
      </c>
    </row>
    <row r="9">
      <c r="B9" s="7" t="inlineStr">
        <is>
          <t>Tier 2 Subordinated Capital ($M)</t>
        </is>
      </c>
      <c r="C9" s="8">
        <f>'Balance Sheet &amp; Funding'!C19</f>
        <v/>
      </c>
      <c r="D9" s="8">
        <f>'Balance Sheet &amp; Funding'!D19</f>
        <v/>
      </c>
      <c r="E9" s="8">
        <f>'Balance Sheet &amp; Funding'!E19</f>
        <v/>
      </c>
      <c r="F9" s="8">
        <f>'Balance Sheet &amp; Funding'!F19</f>
        <v/>
      </c>
      <c r="G9" s="8">
        <f>'Balance Sheet &amp; Funding'!G19</f>
        <v/>
      </c>
      <c r="H9" s="8">
        <f>'Balance Sheet &amp; Funding'!H19</f>
        <v/>
      </c>
      <c r="I9" s="8">
        <f>'Balance Sheet &amp; Funding'!I19</f>
        <v/>
      </c>
    </row>
    <row r="10">
      <c r="B10" s="16" t="inlineStr">
        <is>
          <t>TOTAL REGULATORY CAPITAL RATIO (CAR %)</t>
        </is>
      </c>
      <c r="C10" s="19">
        <f>(C6 + C8 + C9) / C5</f>
        <v/>
      </c>
      <c r="D10" s="19">
        <f>(D6 + D8 + D9) / D5</f>
        <v/>
      </c>
      <c r="E10" s="19">
        <f>(E6 + E8 + E9) / E5</f>
        <v/>
      </c>
      <c r="F10" s="19">
        <f>(F6 + F8 + F9) / F5</f>
        <v/>
      </c>
      <c r="G10" s="19">
        <f>(G6 + G8 + G9) / G5</f>
        <v/>
      </c>
      <c r="H10" s="19">
        <f>(H6 + H8 + H9) / H5</f>
        <v/>
      </c>
      <c r="I10" s="19">
        <f>(I6 + I8 + I9) / I5</f>
        <v/>
      </c>
    </row>
    <row r="11">
      <c r="B11" s="7" t="inlineStr">
        <is>
          <t>Liquidity Coverage Ratio (LCR %)</t>
        </is>
      </c>
      <c r="C11" s="12" t="inlineStr">
        <is>
          <t>1.65</t>
        </is>
      </c>
      <c r="D11" s="12" t="inlineStr">
        <is>
          <t>1.65</t>
        </is>
      </c>
      <c r="E11" s="12" t="inlineStr">
        <is>
          <t>1.65</t>
        </is>
      </c>
      <c r="F11" s="12" t="inlineStr">
        <is>
          <t>1.65</t>
        </is>
      </c>
      <c r="G11" s="12" t="inlineStr">
        <is>
          <t>1.65</t>
        </is>
      </c>
      <c r="H11" s="12" t="inlineStr">
        <is>
          <t>1.65</t>
        </is>
      </c>
      <c r="I11" s="12" t="inlineStr">
        <is>
          <t>1.65</t>
        </is>
      </c>
    </row>
    <row r="12">
      <c r="B12" s="7" t="inlineStr">
        <is>
          <t>Net Stable Funding Ratio (NSFR %)</t>
        </is>
      </c>
      <c r="C12" s="12" t="inlineStr">
        <is>
          <t>1.28</t>
        </is>
      </c>
      <c r="D12" s="12" t="inlineStr">
        <is>
          <t>1.28</t>
        </is>
      </c>
      <c r="E12" s="12" t="inlineStr">
        <is>
          <t>1.28</t>
        </is>
      </c>
      <c r="F12" s="12" t="inlineStr">
        <is>
          <t>1.28</t>
        </is>
      </c>
      <c r="G12" s="12" t="inlineStr">
        <is>
          <t>1.28</t>
        </is>
      </c>
      <c r="H12" s="12" t="inlineStr">
        <is>
          <t>1.28</t>
        </is>
      </c>
      <c r="I12" s="12" t="inlineStr">
        <is>
          <t>1.28</t>
        </is>
      </c>
    </row>
    <row r="13">
      <c r="B13" s="7" t="inlineStr">
        <is>
          <t>Loan-to-Deposit Ratio (LDR %)</t>
        </is>
      </c>
      <c r="C13" s="12">
        <f>'Balance Sheet &amp; Funding'!C10 / 'Balance Sheet &amp; Funding'!C16</f>
        <v/>
      </c>
      <c r="D13" s="12">
        <f>'Balance Sheet &amp; Funding'!D10 / 'Balance Sheet &amp; Funding'!D16</f>
        <v/>
      </c>
      <c r="E13" s="12">
        <f>'Balance Sheet &amp; Funding'!E10 / 'Balance Sheet &amp; Funding'!E16</f>
        <v/>
      </c>
      <c r="F13" s="12">
        <f>'Balance Sheet &amp; Funding'!F10 / 'Balance Sheet &amp; Funding'!F16</f>
        <v/>
      </c>
      <c r="G13" s="12">
        <f>'Balance Sheet &amp; Funding'!G10 / 'Balance Sheet &amp; Funding'!G16</f>
        <v/>
      </c>
      <c r="H13" s="12">
        <f>'Balance Sheet &amp; Funding'!H10 / 'Balance Sheet &amp; Funding'!H16</f>
        <v/>
      </c>
      <c r="I13" s="12">
        <f>'Balance Sheet &amp; Funding'!I10 / 'Balance Sheet &amp; Funding'!I16</f>
        <v/>
      </c>
    </row>
    <row r="14"/>
    <row r="15"/>
    <row r="16">
      <c r="B16" s="3" t="inlineStr">
        <is>
          <t>II. CAPITAL STRUCTURE &amp; REGULATORY CAPITAL TRANCHES</t>
        </is>
      </c>
    </row>
    <row r="17">
      <c r="B17" s="5" t="inlineStr">
        <is>
          <t>Tranche / Capital Instrument Name</t>
        </is>
      </c>
      <c r="C17" s="5" t="inlineStr">
        <is>
          <t>Instrument Type</t>
        </is>
      </c>
      <c r="D17" s="5" t="inlineStr">
        <is>
          <t>Ccy</t>
        </is>
      </c>
      <c r="E17" s="6" t="inlineStr">
        <is>
          <t>Outstanding ($M)</t>
        </is>
      </c>
      <c r="F17" s="6" t="inlineStr">
        <is>
          <t>Coupon / Spread</t>
        </is>
      </c>
      <c r="G17" s="6" t="inlineStr">
        <is>
          <t>Clean Price</t>
        </is>
      </c>
      <c r="H17" s="6" t="inlineStr">
        <is>
          <t>YTM (%)</t>
        </is>
      </c>
      <c r="I17" s="5" t="inlineStr">
        <is>
          <t>Regulatory Tier / Seniority</t>
        </is>
      </c>
      <c r="J17" s="5" t="inlineStr">
        <is>
          <t>Governing Law</t>
        </is>
      </c>
    </row>
    <row r="18">
      <c r="B18" s="9" t="inlineStr">
        <is>
          <t>ADCBUH Benchmark Senior Unsecured Notes</t>
        </is>
      </c>
      <c r="C18" s="7" t="inlineStr">
        <is>
          <t>Senior Unsecured RegS/144A</t>
        </is>
      </c>
      <c r="D18" s="20" t="inlineStr">
        <is>
          <t>USD</t>
        </is>
      </c>
      <c r="E18" s="10" t="n">
        <v>750</v>
      </c>
      <c r="F18" s="21" t="inlineStr">
        <is>
          <t>5.050%</t>
        </is>
      </c>
      <c r="G18" s="22" t="n">
        <v>99.8</v>
      </c>
      <c r="H18" s="11" t="n">
        <v>5.05</v>
      </c>
      <c r="I18" s="7" t="inlineStr">
        <is>
          <t>Senior Unsecured (Bail-in eligible)</t>
        </is>
      </c>
      <c r="J18" s="23" t="inlineStr">
        <is>
          <t>English Law</t>
        </is>
      </c>
    </row>
    <row r="19">
      <c r="B19" s="9" t="inlineStr">
        <is>
          <t>ADCBUH Tier 2 Subordinated Notes</t>
        </is>
      </c>
      <c r="C19" s="7" t="inlineStr">
        <is>
          <t>Subordinated Tier 2 Capital Note</t>
        </is>
      </c>
      <c r="D19" s="20" t="inlineStr">
        <is>
          <t>USD</t>
        </is>
      </c>
      <c r="E19" s="10" t="n">
        <v>500</v>
      </c>
      <c r="F19" s="21" t="inlineStr">
        <is>
          <t>6.550%</t>
        </is>
      </c>
      <c r="G19" s="22" t="n">
        <v>96.3</v>
      </c>
      <c r="H19" s="11" t="n">
        <v>6.55</v>
      </c>
      <c r="I19" s="7" t="inlineStr">
        <is>
          <t>Subordinated (Tier 2 Regulatory Capital)</t>
        </is>
      </c>
      <c r="J19" s="23" t="inlineStr">
        <is>
          <t>English Law</t>
        </is>
      </c>
    </row>
    <row r="20">
      <c r="B20" s="9" t="inlineStr">
        <is>
          <t>ADCBUH Additional Tier 1 (AT1) Perpetual</t>
        </is>
      </c>
      <c r="C20" s="7" t="inlineStr">
        <is>
          <t>Perpetual Subordinated Contingent Convertible</t>
        </is>
      </c>
      <c r="D20" s="20" t="inlineStr">
        <is>
          <t>USD</t>
        </is>
      </c>
      <c r="E20" s="10" t="n">
        <v>400</v>
      </c>
      <c r="F20" s="21" t="inlineStr">
        <is>
          <t>7.300%</t>
        </is>
      </c>
      <c r="G20" s="22" t="n">
        <v>94.8</v>
      </c>
      <c r="H20" s="11" t="n">
        <v>7.3</v>
      </c>
      <c r="I20" s="7" t="inlineStr">
        <is>
          <t>Junior Subordinated (Loss-Absorbing)</t>
        </is>
      </c>
      <c r="J20" s="23" t="inlineStr">
        <is>
          <t>English Law</t>
        </is>
      </c>
    </row>
    <row r="21">
      <c r="B21" s="9" t="inlineStr">
        <is>
          <t>Bilateral Interbank &amp; Central Bank Repos</t>
        </is>
      </c>
      <c r="C21" s="7" t="inlineStr">
        <is>
          <t>Secured Money Market Borrowing</t>
        </is>
      </c>
      <c r="D21" s="20" t="inlineStr">
        <is>
          <t>USD / Local</t>
        </is>
      </c>
      <c r="E21" s="10" t="n">
        <v>8960</v>
      </c>
      <c r="F21" s="21" t="inlineStr">
        <is>
          <t>SOFR + 65 bps</t>
        </is>
      </c>
      <c r="G21" s="22" t="n">
        <v>100</v>
      </c>
      <c r="H21" s="11" t="n">
        <v>5.45</v>
      </c>
      <c r="I21" s="7" t="inlineStr">
        <is>
          <t>Secured Interbank</t>
        </is>
      </c>
      <c r="J21" s="23" t="inlineStr">
        <is>
          <t>Domestic Banking Law</t>
        </is>
      </c>
    </row>
    <row r="22"/>
    <row r="23">
      <c r="B23" s="3" t="inlineStr">
        <is>
          <t>III. SYNDICATED REVOLVING &amp; SHORT-TERM BANK FACILITIES</t>
        </is>
      </c>
    </row>
    <row r="24">
      <c r="B24" s="7" t="inlineStr">
        <is>
          <t>Facility Designation</t>
        </is>
      </c>
      <c r="C24" s="7" t="inlineStr">
        <is>
          <t>Committed Syndicated Interbank Liquidity Facility</t>
        </is>
      </c>
    </row>
    <row r="25">
      <c r="B25" s="9" t="inlineStr">
        <is>
          <t>Total Committed Capacity ($M)</t>
        </is>
      </c>
      <c r="C25" s="10" t="n">
        <v>1200</v>
      </c>
    </row>
    <row r="26">
      <c r="B26" s="7" t="inlineStr">
        <is>
          <t>Drawn Amount ($M)</t>
        </is>
      </c>
      <c r="C26" s="8" t="n">
        <v>250</v>
      </c>
    </row>
    <row r="27">
      <c r="B27" s="16" t="inlineStr">
        <is>
          <t>AVAILABLE UNDRAWN HEADROOM ($M)</t>
        </is>
      </c>
      <c r="C27" s="17" t="n">
        <v>950</v>
      </c>
    </row>
    <row r="28">
      <c r="B28" s="7" t="inlineStr">
        <is>
          <t>Borrowing Spread / Margin</t>
        </is>
      </c>
      <c r="C28" s="7" t="inlineStr">
        <is>
          <t>SOFR + 110 bps</t>
        </is>
      </c>
    </row>
    <row r="29">
      <c r="B29" s="7" t="inlineStr">
        <is>
          <t>Undrawn Commitment Fee</t>
        </is>
      </c>
      <c r="C29" s="7" t="inlineStr">
        <is>
          <t>38.5 bps</t>
        </is>
      </c>
    </row>
    <row r="30">
      <c r="B30" s="7" t="inlineStr">
        <is>
          <t>Maturity Date &amp; Extension Options</t>
        </is>
      </c>
      <c r="C30" s="7" t="inlineStr">
        <is>
          <t>2027-09-30 (with 1-year extension option)</t>
        </is>
      </c>
    </row>
    <row r="31">
      <c r="B31" s="7" t="inlineStr">
        <is>
          <t>Syndicate Lenders / Arrangers</t>
        </is>
      </c>
      <c r="C31" s="7" t="inlineStr">
        <is>
          <t>Consortium of 14 international correspondent banks</t>
        </is>
      </c>
    </row>
    <row r="32">
      <c r="B32" s="7" t="inlineStr">
        <is>
          <t>Bank Liquidity Covenants</t>
        </is>
      </c>
      <c r="C32" s="7" t="inlineStr">
        <is>
          <t>Minimum CET1 of 10.5%, Minimum LCR of 115%</t>
        </is>
      </c>
    </row>
    <row r="33"/>
    <row r="34">
      <c r="B34" s="3" t="inlineStr">
        <is>
          <t>IV. REGULATORY COVENANTS &amp; PRUDENTIAL HEADROOM SCORECARD</t>
        </is>
      </c>
    </row>
    <row r="35">
      <c r="B35" s="5" t="inlineStr">
        <is>
          <t>Prudential Covenant / Ratio Test</t>
        </is>
      </c>
      <c r="C35" s="5" t="inlineStr">
        <is>
          <t>Regulatory Minimum / Limit</t>
        </is>
      </c>
      <c r="D35" s="5" t="inlineStr">
        <is>
          <t>Reported Actual Metric</t>
        </is>
      </c>
      <c r="E35" s="5" t="inlineStr">
        <is>
          <t>Headroom / Buffer</t>
        </is>
      </c>
      <c r="F35" s="5" t="inlineStr">
        <is>
          <t>Supervisory Framework &amp; Notes</t>
        </is>
      </c>
    </row>
    <row r="36">
      <c r="B36" s="9" t="inlineStr">
        <is>
          <t>Regulatory Minimum CAR Ratio</t>
        </is>
      </c>
      <c r="C36" s="20" t="inlineStr">
        <is>
          <t>12.0% (Pillar 1 + Pillar 2 + Conservation Buffer)</t>
        </is>
      </c>
      <c r="D36" s="24" t="inlineStr">
        <is>
          <t>16.5%</t>
        </is>
      </c>
      <c r="E36" s="25" t="inlineStr">
        <is>
          <t>+4.5% (+450 bps excess capital)</t>
        </is>
      </c>
      <c r="F36" s="23" t="inlineStr">
        <is>
          <t>Basel III Total Capital requirement including Pillar 2</t>
        </is>
      </c>
    </row>
    <row r="37">
      <c r="B37" s="9" t="inlineStr">
        <is>
          <t>Minimum Common Equity Tier 1 Ratio</t>
        </is>
      </c>
      <c r="C37" s="20" t="inlineStr">
        <is>
          <t>8.5% Regulatory Minimum</t>
        </is>
      </c>
      <c r="D37" s="24" t="inlineStr">
        <is>
          <t>13.5%</t>
        </is>
      </c>
      <c r="E37" s="25" t="inlineStr">
        <is>
          <t>+5.0% (+502 bps buffer)</t>
        </is>
      </c>
      <c r="F37" s="23" t="inlineStr">
        <is>
          <t>CET1 minimum including Capital Conservation Buffer (CCB)</t>
        </is>
      </c>
    </row>
    <row r="38">
      <c r="B38" s="9" t="inlineStr">
        <is>
          <t>Minimum Liquidity Coverage Ratio (LCR)</t>
        </is>
      </c>
      <c r="C38" s="20" t="inlineStr">
        <is>
          <t>100.0% Statutory Minimum</t>
        </is>
      </c>
      <c r="D38" s="24" t="inlineStr">
        <is>
          <t>178.5%</t>
        </is>
      </c>
      <c r="E38" s="25" t="inlineStr">
        <is>
          <t>+78.5% excess high-quality liquid assets (HQLA)</t>
        </is>
      </c>
      <c r="F38" s="23" t="inlineStr">
        <is>
          <t>High Quality Liquid Assets (HQLA) vs 30-day net cash outflow</t>
        </is>
      </c>
    </row>
    <row r="39">
      <c r="B39" s="9" t="inlineStr">
        <is>
          <t>Single Counterparty Group Exposure</t>
        </is>
      </c>
      <c r="C39" s="20" t="inlineStr">
        <is>
          <t>Max 25.0% of Total Regulatory Capital</t>
        </is>
      </c>
      <c r="D39" s="24" t="inlineStr">
        <is>
          <t>14.2% top group exposure</t>
        </is>
      </c>
      <c r="E39" s="25" t="inlineStr">
        <is>
          <t>10.8% headroom below regulatory cap</t>
        </is>
      </c>
      <c r="F39" s="23" t="inlineStr">
        <is>
          <t>Maximum exposure to any single non-bank client group</t>
        </is>
      </c>
    </row>
    <row r="40">
      <c r="B40" s="9" t="inlineStr">
        <is>
          <t>Cross-Default &amp; Resolution Clause</t>
        </is>
      </c>
      <c r="C40" s="20" t="inlineStr">
        <is>
          <t>$40.0M threshold triggering cross-default under Senior Eurobond terms.</t>
        </is>
      </c>
      <c r="D40" s="24" t="inlineStr">
        <is>
          <t>Zero Defaults</t>
        </is>
      </c>
      <c r="E40" s="25" t="inlineStr">
        <is>
          <t>Compliant</t>
        </is>
      </c>
      <c r="F40" s="23" t="inlineStr">
        <is>
          <t>Bail-in resolution powers and cross-acceleration safeguard</t>
        </is>
      </c>
    </row>
  </sheetData>
  <mergeCells count="15">
    <mergeCell ref="C31:F31"/>
    <mergeCell ref="F40:I40"/>
    <mergeCell ref="C27:F27"/>
    <mergeCell ref="B2:I2"/>
    <mergeCell ref="C26:F26"/>
    <mergeCell ref="F39:I39"/>
    <mergeCell ref="C29:F29"/>
    <mergeCell ref="C30:F30"/>
    <mergeCell ref="F38:I38"/>
    <mergeCell ref="F37:I37"/>
    <mergeCell ref="C25:F25"/>
    <mergeCell ref="C32:F32"/>
    <mergeCell ref="C24:F24"/>
    <mergeCell ref="C28:F28"/>
    <mergeCell ref="F36:I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3" customWidth="1" min="3" max="3"/>
    <col width="23" customWidth="1" min="4" max="4"/>
    <col width="17" customWidth="1" min="5" max="5"/>
    <col width="20" customWidth="1" min="6" max="6"/>
    <col width="18" customWidth="1" min="7" max="7"/>
    <col width="6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— Regulatory Stress Test &amp; Bail-in Buffer</t>
        </is>
      </c>
    </row>
    <row r="3"/>
    <row r="4">
      <c r="B4" s="3" t="inlineStr">
        <is>
          <t>I. MACRO REVERSE STRESS TEST SCENARIOS</t>
        </is>
      </c>
    </row>
    <row r="5">
      <c r="B5" s="26" t="inlineStr">
        <is>
          <t>Stress Scenario</t>
        </is>
      </c>
      <c r="C5" s="26" t="inlineStr">
        <is>
          <t>Simulated NPL Surge</t>
        </is>
      </c>
      <c r="D5" s="26" t="inlineStr">
        <is>
          <t>Provisioning Charge</t>
        </is>
      </c>
      <c r="E5" s="26" t="inlineStr">
        <is>
          <t>CET1 Drawdown</t>
        </is>
      </c>
      <c r="F5" s="26" t="inlineStr">
        <is>
          <t>Post-Stress CET1</t>
        </is>
      </c>
      <c r="G5" s="26" t="inlineStr">
        <is>
          <t>Minimum Buffer</t>
        </is>
      </c>
      <c r="H5" s="26" t="inlineStr">
        <is>
          <t>Bail-in Implication</t>
        </is>
      </c>
    </row>
    <row r="6">
      <c r="B6" s="7" t="inlineStr">
        <is>
          <t>Base Case (Macro Stability)</t>
        </is>
      </c>
      <c r="C6" s="20" t="inlineStr">
        <is>
          <t>+0 bp</t>
        </is>
      </c>
      <c r="D6" s="20" t="inlineStr">
        <is>
          <t>$180M</t>
        </is>
      </c>
      <c r="E6" s="20" t="inlineStr">
        <is>
          <t>0 bp</t>
        </is>
      </c>
      <c r="F6" s="20" t="inlineStr">
        <is>
          <t>14.8%</t>
        </is>
      </c>
      <c r="G6" s="20" t="inlineStr">
        <is>
          <t>+630 bp</t>
        </is>
      </c>
      <c r="H6" s="7" t="inlineStr">
        <is>
          <t>No bail-in risk; senior bonds trade par</t>
        </is>
      </c>
    </row>
    <row r="7">
      <c r="B7" s="7" t="inlineStr">
        <is>
          <t>Adverse Recession (Local Currency Shock)</t>
        </is>
      </c>
      <c r="C7" s="20" t="inlineStr">
        <is>
          <t>+250 bp</t>
        </is>
      </c>
      <c r="D7" s="20" t="inlineStr">
        <is>
          <t>$450M</t>
        </is>
      </c>
      <c r="E7" s="20" t="inlineStr">
        <is>
          <t>-180 bp</t>
        </is>
      </c>
      <c r="F7" s="20" t="inlineStr">
        <is>
          <t>13.0%</t>
        </is>
      </c>
      <c r="G7" s="20" t="inlineStr">
        <is>
          <t>+450 bp</t>
        </is>
      </c>
      <c r="H7" s="7" t="inlineStr">
        <is>
          <t>Tier 2 coupon preserved; no senior impairment</t>
        </is>
      </c>
    </row>
    <row r="8">
      <c r="B8" s="7" t="inlineStr">
        <is>
          <t>Severe Stagflation / Real Estate Shock</t>
        </is>
      </c>
      <c r="C8" s="20" t="inlineStr">
        <is>
          <t>+500 bp</t>
        </is>
      </c>
      <c r="D8" s="20" t="inlineStr">
        <is>
          <t>$850M</t>
        </is>
      </c>
      <c r="E8" s="20" t="inlineStr">
        <is>
          <t>-380 bp</t>
        </is>
      </c>
      <c r="F8" s="20" t="inlineStr">
        <is>
          <t>11.0%</t>
        </is>
      </c>
      <c r="G8" s="20" t="inlineStr">
        <is>
          <t>+250 bp</t>
        </is>
      </c>
      <c r="H8" s="7" t="inlineStr">
        <is>
          <t>Tier 1 hybrid coupon deferral risk; senior intact</t>
        </is>
      </c>
    </row>
    <row r="9">
      <c r="B9" s="7" t="inlineStr">
        <is>
          <t>Extreme Systemic Crisis (Resolution)</t>
        </is>
      </c>
      <c r="C9" s="20" t="inlineStr">
        <is>
          <t>+950 bp</t>
        </is>
      </c>
      <c r="D9" s="20" t="inlineStr">
        <is>
          <t>$1,600M</t>
        </is>
      </c>
      <c r="E9" s="20" t="inlineStr">
        <is>
          <t>-680 bp</t>
        </is>
      </c>
      <c r="F9" s="20" t="inlineStr">
        <is>
          <t>8.0%</t>
        </is>
      </c>
      <c r="G9" s="20" t="inlineStr">
        <is>
          <t>-50 bp</t>
        </is>
      </c>
      <c r="H9" s="7" t="inlineStr">
        <is>
          <t>Subordinated Tier 2 wiped; senior bonds protected by DSIB</t>
        </is>
      </c>
    </row>
  </sheetData>
  <mergeCells count="1">
    <mergeCell ref="B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8" customWidth="1" min="3" max="3"/>
    <col width="43" customWidth="1" min="4" max="4"/>
    <col width="19" customWidth="1" min="5" max="5"/>
    <col width="91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Abu Dhabi Commercial Bank (ADCBUH) — Earnings Presentation &amp; Management Guidance</t>
        </is>
      </c>
    </row>
    <row r="3">
      <c r="B3" s="2" t="inlineStr">
        <is>
          <t>Source: Abu Dhabi Commercial Bank Q4 / FY2024 &amp; Q1 2025 Investor Presentation &amp; Earnings Conference Call | Reporting Currency: USD / Local Currency Statutory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Gross Loan Book Growth</t>
        </is>
      </c>
      <c r="C7" s="9" t="inlineStr">
        <is>
          <t>+12.0% - 15.0% YoY organic lending expansion</t>
        </is>
      </c>
      <c r="D7" s="27" t="inlineStr">
        <is>
          <t>+13.8% YoY annualized loan disbursement</t>
        </is>
      </c>
      <c r="E7" s="28" t="inlineStr">
        <is>
          <t>On Track</t>
        </is>
      </c>
      <c r="F7" s="29" t="inlineStr">
        <is>
          <t>Corporate trade finance and residential mortgage origination performing strongly.</t>
        </is>
      </c>
    </row>
    <row r="8">
      <c r="B8" s="9" t="inlineStr">
        <is>
          <t>Net Interest Margin (NIM)</t>
        </is>
      </c>
      <c r="C8" s="9" t="inlineStr">
        <is>
          <t>2.80% - 3.05%</t>
        </is>
      </c>
      <c r="D8" s="27" t="inlineStr">
        <is>
          <t>2.92%</t>
        </is>
      </c>
      <c r="E8" s="28" t="inlineStr">
        <is>
          <t>On Track</t>
        </is>
      </c>
      <c r="F8" s="29" t="inlineStr">
        <is>
          <t>Asset yield repricing outpacing deposit cost inflation; sticky CASA base.</t>
        </is>
      </c>
    </row>
    <row r="9">
      <c r="B9" s="9" t="inlineStr">
        <is>
          <t>Cost-to-Income Ratio (CIR)</t>
        </is>
      </c>
      <c r="C9" s="9" t="inlineStr">
        <is>
          <t>&lt; 38.0%</t>
        </is>
      </c>
      <c r="D9" s="27" t="inlineStr">
        <is>
          <t>36.8%</t>
        </is>
      </c>
      <c r="E9" s="25" t="inlineStr">
        <is>
          <t>Ahead of Target</t>
        </is>
      </c>
      <c r="F9" s="29" t="inlineStr">
        <is>
          <t>Digital branch automation and back-office straight-through processing cutting overhead.</t>
        </is>
      </c>
    </row>
    <row r="10">
      <c r="B10" s="9" t="inlineStr">
        <is>
          <t>Cost of Risk (Credit Impairment)</t>
        </is>
      </c>
      <c r="C10" s="9" t="inlineStr">
        <is>
          <t>&lt; 75 - 90 bps of gross loans</t>
        </is>
      </c>
      <c r="D10" s="27" t="inlineStr">
        <is>
          <t>68 bps annualized credit cost</t>
        </is>
      </c>
      <c r="E10" s="25" t="inlineStr">
        <is>
          <t>Ahead of Target</t>
        </is>
      </c>
      <c r="F10" s="29" t="inlineStr">
        <is>
          <t>Conservative underwriting and robust commercial recoveries preserving asset quality.</t>
        </is>
      </c>
    </row>
    <row r="11">
      <c r="B11" s="9" t="inlineStr">
        <is>
          <t>Dividend Payout Ratio</t>
        </is>
      </c>
      <c r="C11" s="9" t="inlineStr">
        <is>
          <t>40.0% of annual attributable net profit</t>
        </is>
      </c>
      <c r="D11" s="27" t="inlineStr">
        <is>
          <t>40.0% payout proposed</t>
        </is>
      </c>
      <c r="E11" s="28" t="inlineStr">
        <is>
          <t>On Track</t>
        </is>
      </c>
      <c r="F11" s="29" t="inlineStr">
        <is>
          <t>Internal capital generation (+160 bps) comfortably funds organic balance sheet growth.</t>
        </is>
      </c>
    </row>
    <row r="12"/>
    <row r="13">
      <c r="B13" s="3" t="inlineStr">
        <is>
          <t>II. CAPITAL ADEQUACY &amp; REGULATORY TARGETS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Cet1 Ratio Target</t>
        </is>
      </c>
      <c r="C15" s="29" t="inlineStr">
        <is>
          <t>&gt; 13.0% (Substantial buffer over Basel III minimum of 8.5%)</t>
        </is>
      </c>
    </row>
    <row r="16">
      <c r="B16" s="9" t="inlineStr">
        <is>
          <t>Total Car Target</t>
        </is>
      </c>
      <c r="C16" s="29" t="inlineStr">
        <is>
          <t>&gt; 16.5% Total Capital Adequacy Ratio</t>
        </is>
      </c>
    </row>
    <row r="17">
      <c r="B17" s="9" t="inlineStr">
        <is>
          <t>Internal Capital Generation</t>
        </is>
      </c>
      <c r="C17" s="29" t="inlineStr">
        <is>
          <t>+140 - 180 bps annually from retained earnings</t>
        </is>
      </c>
    </row>
    <row r="18">
      <c r="B18" s="9" t="inlineStr">
        <is>
          <t>Regulatory Stress Test Buffer</t>
        </is>
      </c>
      <c r="C18" s="29" t="inlineStr">
        <is>
          <t>Over 350 bps excess capital buffer above regulatory threshold</t>
        </is>
      </c>
    </row>
    <row r="19"/>
    <row r="20">
      <c r="B20" s="3" t="inlineStr">
        <is>
          <t>III. FUNDING &amp; LIQUIDITY PROFILE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Casa Deposit Ratio</t>
        </is>
      </c>
      <c r="C22" s="29" t="inlineStr">
        <is>
          <t>54.5% of total customer deposits (Sticky low-cost current &amp; savings accounts)</t>
        </is>
      </c>
    </row>
    <row r="23">
      <c r="B23" s="9" t="inlineStr">
        <is>
          <t>Liquidity Coverage Ratio</t>
        </is>
      </c>
      <c r="C23" s="29" t="inlineStr">
        <is>
          <t>178.5% (Well in excess of 100% regulatory minimum)</t>
        </is>
      </c>
    </row>
    <row r="24">
      <c r="B24" s="9" t="inlineStr">
        <is>
          <t>Net Stable Funding Ratio</t>
        </is>
      </c>
      <c r="C24" s="29" t="inlineStr">
        <is>
          <t>128.0%</t>
        </is>
      </c>
    </row>
    <row r="25">
      <c r="B25" s="9" t="inlineStr">
        <is>
          <t>Loan To Deposit Ratio</t>
        </is>
      </c>
      <c r="C25" s="29" t="inlineStr">
        <is>
          <t>75.9% (Disciplined commercial liquidity profile)</t>
        </is>
      </c>
    </row>
    <row r="26">
      <c r="B26" s="9" t="inlineStr">
        <is>
          <t>Foreign Currency Liquidity Buffer</t>
        </is>
      </c>
      <c r="C26" s="29" t="inlineStr">
        <is>
          <t>$300.0M in high-quality liquid assets and central bank placements</t>
        </is>
      </c>
    </row>
    <row r="27"/>
    <row r="28">
      <c r="B28" s="3" t="inlineStr">
        <is>
          <t>IV. ASSET QUALITY &amp; PROVISIONING TARGETS</t>
        </is>
      </c>
    </row>
    <row r="29">
      <c r="B29" s="5" t="inlineStr">
        <is>
          <t>Dimension</t>
        </is>
      </c>
      <c r="C29" s="5" t="inlineStr">
        <is>
          <t>Commercial / Asset Metrics</t>
        </is>
      </c>
    </row>
    <row r="30">
      <c r="B30" s="9" t="inlineStr">
        <is>
          <t>Npl Ratio Target</t>
        </is>
      </c>
      <c r="C30" s="29" t="inlineStr">
        <is>
          <t>&lt; 3.8% across lending portfolio</t>
        </is>
      </c>
    </row>
    <row r="31">
      <c r="B31" s="9" t="inlineStr">
        <is>
          <t>Provision Coverage Ratio</t>
        </is>
      </c>
      <c r="C31" s="29" t="inlineStr">
        <is>
          <t>138.5% total allowance coverage on Stage 3 impaired loans</t>
        </is>
      </c>
    </row>
    <row r="32">
      <c r="B32" s="9" t="inlineStr">
        <is>
          <t>Stage 2 Underperforming Loans</t>
        </is>
      </c>
      <c r="C32" s="29" t="inlineStr">
        <is>
          <t>5.8% of gross customer advances (Prudently classified)</t>
        </is>
      </c>
    </row>
    <row r="33">
      <c r="B33" s="9" t="inlineStr">
        <is>
          <t>Collateral Coverage</t>
        </is>
      </c>
      <c r="C33" s="29" t="inlineStr">
        <is>
          <t>125% physical real estate and cash collateral on commercial credit lines</t>
        </is>
      </c>
    </row>
    <row r="34"/>
    <row r="35">
      <c r="B35" s="3" t="inlineStr">
        <is>
          <t>V. RECENT EARNINGS CADENCE &amp; HIGHLIGHTS</t>
        </is>
      </c>
    </row>
    <row r="36">
      <c r="B36" s="5" t="inlineStr">
        <is>
          <t>Liquidity Component</t>
        </is>
      </c>
      <c r="C36" s="5" t="inlineStr">
        <is>
          <t>Available Buffer / Runway</t>
        </is>
      </c>
    </row>
    <row r="37">
      <c r="B37" s="9" t="inlineStr">
        <is>
          <t>Latest Quarter Earnings</t>
        </is>
      </c>
      <c r="C37" s="29" t="inlineStr">
        <is>
          <t>Record quarterly net operating profit driven by strong trade finance and retail fee generation</t>
        </is>
      </c>
    </row>
    <row r="38">
      <c r="B38" s="9" t="inlineStr">
        <is>
          <t>Digital Banking Penetration</t>
        </is>
      </c>
      <c r="C38" s="29" t="inlineStr">
        <is>
          <t>86% of retail banking transactions executed via mobile / digital channels</t>
        </is>
      </c>
    </row>
    <row r="39">
      <c r="B39" s="9" t="inlineStr">
        <is>
          <t>Next Earnings Release</t>
        </is>
      </c>
      <c r="C39" s="29" t="inlineStr">
        <is>
          <t>Q2 / 1H Audited Interim Results &amp; Earnings Webcast</t>
        </is>
      </c>
    </row>
  </sheetData>
  <mergeCells count="27">
    <mergeCell ref="C36:I36"/>
    <mergeCell ref="C23:I23"/>
    <mergeCell ref="F9:I9"/>
    <mergeCell ref="C17:I17"/>
    <mergeCell ref="C39:I39"/>
    <mergeCell ref="B3:I3"/>
    <mergeCell ref="C32:I32"/>
    <mergeCell ref="C38:I38"/>
    <mergeCell ref="C37:I37"/>
    <mergeCell ref="C18:I18"/>
    <mergeCell ref="B2:I2"/>
    <mergeCell ref="F11:I11"/>
    <mergeCell ref="C24:I24"/>
    <mergeCell ref="C30:I30"/>
    <mergeCell ref="C15:I15"/>
    <mergeCell ref="C33:I33"/>
    <mergeCell ref="F10:I10"/>
    <mergeCell ref="C14:I14"/>
    <mergeCell ref="F7:I7"/>
    <mergeCell ref="C26:I26"/>
    <mergeCell ref="C29:I29"/>
    <mergeCell ref="C16:I16"/>
    <mergeCell ref="C25:I25"/>
    <mergeCell ref="C31:I31"/>
    <mergeCell ref="C22:I22"/>
    <mergeCell ref="F8:I8"/>
    <mergeCell ref="C21:I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2026-09-19T21:22:42Z</dcterms:created>
  <dcterms:modified xmlns:dcterms="http://purl.org/dc/terms/" xmlns:xsi="http://www.w3.org/2001/XMLSchema-instance" xsi:type="dcterms:W3CDTF">2026-09-19T21:22:42Z</dcterms:modified>
</cp:coreProperties>
</file>