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nnual and Quarterly" sheetId="1" r:id="rId2"/>
    <sheet name="Quarterly YTD" sheetId="2" r:id="rId3"/>
    <sheet name="Rolling LTM" sheetId="3" r:id="rId4"/>
  </sheets>
  <calcPr calcId="0" iterate="1" iterateCount="24" iterateDelta="0.1"/>
</workbook>
</file>

<file path=xl/sharedStrings.xml><?xml version="1.0" encoding="utf-8"?>
<sst xmlns="http://schemas.openxmlformats.org/spreadsheetml/2006/main" count="1075" uniqueCount="352">
  <si>
    <t>€mm, Dec year-end</t>
  </si>
  <si>
    <t>FY18</t>
  </si>
  <si>
    <t>FY19</t>
  </si>
  <si>
    <t>FY20</t>
  </si>
  <si>
    <t>FY21</t>
  </si>
  <si>
    <t>FY22</t>
  </si>
  <si>
    <t>FY23</t>
  </si>
  <si>
    <t>FY24</t>
  </si>
  <si>
    <t>FY25</t>
  </si>
  <si>
    <t>LTM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</si>
  <si>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</si>
  <si>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</si>
  <si>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</si>
  <si>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</si>
  <si>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</si>
  <si>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</si>
  <si>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</si>
  <si>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</si>
  <si>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</si>
  <si>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</si>
  <si>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</si>
  <si>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</si>
  <si>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</si>
  <si>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</si>
  <si>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</si>
  <si>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</si>
  <si>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</si>
  <si>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</si>
  <si>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</si>
  <si>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</si>
  <si>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</si>
  <si>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</si>
  <si>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</si>
  <si>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</si>
  <si>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</si>
  <si>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</si>
  <si>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</si>
  <si>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</si>
  <si>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</si>
  <si>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</si>
  <si>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Q/o/Q</t>
  </si>
  <si>
    <t>Y/o/Y</t>
  </si>
  <si>
    <t xml:space="preserve"> Income Statement</t>
  </si>
  <si>
    <t>Revenue</t>
  </si>
  <si>
    <t>Other income</t>
  </si>
  <si>
    <t>Cost of services and goods</t>
  </si>
  <si>
    <t>Depreciation and amortisation</t>
  </si>
  <si>
    <t>Employee related expenses</t>
  </si>
  <si>
    <t>Other operating expenses</t>
  </si>
  <si>
    <t>(Increase)/decrease in the provision for impairment of financial assets</t>
  </si>
  <si>
    <t>(Increase)/decrease in the provision for impairment of non-financial assets</t>
  </si>
  <si>
    <t>Other gains - net</t>
  </si>
  <si>
    <t>Operating (loss)/profit</t>
  </si>
  <si>
    <t>Finance income</t>
  </si>
  <si>
    <t>Finance costs</t>
  </si>
  <si>
    <t>Finance costs – net</t>
  </si>
  <si>
    <t>Share of profit of equity-accounted investees</t>
  </si>
  <si>
    <t>NM</t>
  </si>
  <si>
    <t>Loss before income tax</t>
  </si>
  <si>
    <t>Income tax credit</t>
  </si>
  <si>
    <t>Loss for the period</t>
  </si>
  <si>
    <t>Gain/(loss) for the period from discontinued operations</t>
  </si>
  <si>
    <t xml:space="preserve"> Cash Flow Statement</t>
  </si>
  <si>
    <t>Income tax (credit)</t>
  </si>
  <si>
    <t>Increase/(decrease) in the provision for impairment of financial and non-financial assets</t>
  </si>
  <si>
    <t>Interest expenses</t>
  </si>
  <si>
    <t>Foreign exchange loss</t>
  </si>
  <si>
    <t>Discounting effect on financial assets</t>
  </si>
  <si>
    <t>Fair value loss on derivative financial instruments</t>
  </si>
  <si>
    <t>Fair value loss</t>
  </si>
  <si>
    <t>Hedging initial transaction costs</t>
  </si>
  <si>
    <t>Changes in other reserves</t>
  </si>
  <si>
    <t>(Gain)/loss on property, plant and equipment disposals and write-offs</t>
  </si>
  <si>
    <t>(Profit) / loss on right-of-use asset write-offs</t>
  </si>
  <si>
    <t>Loss of other investment disposals</t>
  </si>
  <si>
    <t>(Gain)/loss on termination/modification of leases</t>
  </si>
  <si>
    <t>(Gain) / loss of subsidiaries disposal</t>
  </si>
  <si>
    <t>Other investing activities</t>
  </si>
  <si>
    <t>(Gain)/loss on sub-lease agreements</t>
  </si>
  <si>
    <t>Gain on bonds repurchase</t>
  </si>
  <si>
    <t>(Gain) on subsidiaries disposal</t>
  </si>
  <si>
    <t>(Gain) from bargain purchase</t>
  </si>
  <si>
    <t>Amortisation of government grants</t>
  </si>
  <si>
    <t>Interest income</t>
  </si>
  <si>
    <t>Share in profit of equity-accounted investees</t>
  </si>
  <si>
    <t>Share of (profit) of associates</t>
  </si>
  <si>
    <t>Inventories</t>
  </si>
  <si>
    <t>Trade and other receivables, contract assets</t>
  </si>
  <si>
    <t>Security deposits placed</t>
  </si>
  <si>
    <t>Accrued expenses for certain contracts</t>
  </si>
  <si>
    <t>Trade and other payables, advances received/contract liabilities</t>
  </si>
  <si>
    <t>Security deposits received</t>
  </si>
  <si>
    <t>Cash generated from operating activities</t>
  </si>
  <si>
    <t>Interest received</t>
  </si>
  <si>
    <t>Interest paid</t>
  </si>
  <si>
    <t>Income tax paid</t>
  </si>
  <si>
    <t>Net cash generated from (used in) operating activities from continuing operations</t>
  </si>
  <si>
    <t>Net cash generated from operating activities</t>
  </si>
  <si>
    <t>Purchase of property, plant and equipment</t>
  </si>
  <si>
    <t>Purchase of intangible assets</t>
  </si>
  <si>
    <t>Proceeds from the disposal of property, plant and equipment and intangible assets</t>
  </si>
  <si>
    <t>Net proceeds from aircraft sale leaseback</t>
  </si>
  <si>
    <t>Acquired aircrafts in relation to sale leaseback</t>
  </si>
  <si>
    <t>Proceeds from aircraft sale leaseback</t>
  </si>
  <si>
    <t>Purchase of other investment</t>
  </si>
  <si>
    <t>Disposal of other investments</t>
  </si>
  <si>
    <t>Loans granted</t>
  </si>
  <si>
    <t>Repayment of loans granted</t>
  </si>
  <si>
    <t>Bank deposits repaid</t>
  </si>
  <si>
    <t>Repayments of bank deposits placed</t>
  </si>
  <si>
    <t>Repayments of security deposits placed</t>
  </si>
  <si>
    <t>Purchase of subsidiaries (net of cash acquired)</t>
  </si>
  <si>
    <t>Net cash generated from (used in) investing activities from continued operations</t>
  </si>
  <si>
    <t>Sales of subsidiaries (net of cash disposed)</t>
  </si>
  <si>
    <t>Investment into joint venture</t>
  </si>
  <si>
    <t>Payments for financial assets at amortised cost</t>
  </si>
  <si>
    <t>Receipt of government grants</t>
  </si>
  <si>
    <t>Net cash used in investing activities</t>
  </si>
  <si>
    <t>Acquisition of interest in a subsidiary</t>
  </si>
  <si>
    <t>Dividends paid</t>
  </si>
  <si>
    <t>Issuance of convertible preferred shares</t>
  </si>
  <si>
    <t>Acquisition of interest in asubsidiary (no change in control)</t>
  </si>
  <si>
    <t>Disposal of interest in a subsidiary (no change in control)</t>
  </si>
  <si>
    <t>Increase on non-controlling interest (no change in control)</t>
  </si>
  <si>
    <t>Bank borrowings received</t>
  </si>
  <si>
    <t>Repayment of bank borrowings</t>
  </si>
  <si>
    <t>Borrowings from related parties received</t>
  </si>
  <si>
    <t>Repayments of borrowings from related parties</t>
  </si>
  <si>
    <t>Other borrowings received</t>
  </si>
  <si>
    <t>Repayment of other borrowings</t>
  </si>
  <si>
    <t>Proceeds received from bonds issue</t>
  </si>
  <si>
    <t>Transaction costs on issuance of bonds</t>
  </si>
  <si>
    <t>Issuance of bonds</t>
  </si>
  <si>
    <t>Repurchase of bonds</t>
  </si>
  <si>
    <t>Transaction costs on issuance of debt instruments</t>
  </si>
  <si>
    <t>Repayment of lease liabilities</t>
  </si>
  <si>
    <t>Net cash generated from (used in) financing activities from continued operations</t>
  </si>
  <si>
    <t>Net cash from (used in) financing activities</t>
  </si>
  <si>
    <t>Currency translation difference</t>
  </si>
  <si>
    <t>At beginning of year</t>
  </si>
  <si>
    <t>Decrease in cash and cash equivalents</t>
  </si>
  <si>
    <t>At end of period</t>
  </si>
  <si>
    <t xml:space="preserve"> Balance Sheet</t>
  </si>
  <si>
    <t>Property, plant and equipment</t>
  </si>
  <si>
    <t>Investment property</t>
  </si>
  <si>
    <t>Intangible assets</t>
  </si>
  <si>
    <t>Investments accounted for using the equity method</t>
  </si>
  <si>
    <t>Deferred tax assets</t>
  </si>
  <si>
    <t>Other investment</t>
  </si>
  <si>
    <t>Financial assets at fair value through profit or loss</t>
  </si>
  <si>
    <t>Derivative financial instruments</t>
  </si>
  <si>
    <t>Long-term bank deposits</t>
  </si>
  <si>
    <t>Trade and other receivables</t>
  </si>
  <si>
    <t>Non-current assets</t>
  </si>
  <si>
    <t>Contract assets</t>
  </si>
  <si>
    <t>Current financial assets at fair value through profit &amp; loss</t>
  </si>
  <si>
    <t>Prepaid income tax</t>
  </si>
  <si>
    <t>Short-term bank deposit</t>
  </si>
  <si>
    <t>Prepaid income</t>
  </si>
  <si>
    <t>Short-term bank deposits</t>
  </si>
  <si>
    <t>Cash and cash equivalents</t>
  </si>
  <si>
    <t>Current assets</t>
  </si>
  <si>
    <t>Non-current assets classified as held for sale</t>
  </si>
  <si>
    <t>Total assets</t>
  </si>
  <si>
    <t>Share capital</t>
  </si>
  <si>
    <t>Share premium</t>
  </si>
  <si>
    <t>Legal reserve</t>
  </si>
  <si>
    <t>Other reserve</t>
  </si>
  <si>
    <t>Treasury shares</t>
  </si>
  <si>
    <t>Merger reserve</t>
  </si>
  <si>
    <t>Cash flow hedge reserve</t>
  </si>
  <si>
    <t>Cumulative translation differences</t>
  </si>
  <si>
    <t>Retained earnings</t>
  </si>
  <si>
    <t>Equity attributable to the Group's equity shareholders</t>
  </si>
  <si>
    <t>Non-controlling interests</t>
  </si>
  <si>
    <t>Total equity</t>
  </si>
  <si>
    <t>Convertible preferred shares</t>
  </si>
  <si>
    <t>Lease liabilities</t>
  </si>
  <si>
    <t>Borrowings</t>
  </si>
  <si>
    <t>Government grants</t>
  </si>
  <si>
    <t>Trade and other payables</t>
  </si>
  <si>
    <t>Provisions</t>
  </si>
  <si>
    <t>Deferred income tax liabilities</t>
  </si>
  <si>
    <t>Non-current liabilities</t>
  </si>
  <si>
    <t>Contract liabilities</t>
  </si>
  <si>
    <t>Current income tax liabilities</t>
  </si>
  <si>
    <t>Current liabilities</t>
  </si>
  <si>
    <t>Total liabilities</t>
  </si>
  <si>
    <t>Non-current liabilities classified as held for sale</t>
  </si>
  <si>
    <t>Total equity and liabilities</t>
  </si>
  <si>
    <t xml:space="preserve"> Debt Note</t>
  </si>
  <si>
    <t>Bank borrowings</t>
  </si>
  <si>
    <t>Bonds issued</t>
  </si>
  <si>
    <t>Borrowings from related parties</t>
  </si>
  <si>
    <t>Other current borrowings</t>
  </si>
  <si>
    <t>Other borrowings</t>
  </si>
  <si>
    <t>Bank overdraft</t>
  </si>
  <si>
    <t>Total Gross Debt</t>
  </si>
  <si>
    <t>Gross Leverage</t>
  </si>
  <si>
    <t>Adjusted Gross Leverage</t>
  </si>
  <si>
    <t>Total Net Debt</t>
  </si>
  <si>
    <t>Net Leverage</t>
  </si>
  <si>
    <t>Adjusted Net Leverage</t>
  </si>
  <si>
    <t xml:space="preserve"> EBITDA Analysis</t>
  </si>
  <si>
    <t>Derived EBITDA</t>
  </si>
  <si>
    <t>Company Reported EBITDA</t>
  </si>
  <si>
    <t>Company Reported Adjusted EBITDA</t>
  </si>
  <si>
    <t>Implied Adjustments to Derived EBITDA</t>
  </si>
  <si>
    <t>Adjustments / Derived EBITDA</t>
  </si>
  <si>
    <t>Derived EBITDA / Company Reported EBITDA</t>
  </si>
  <si>
    <t xml:space="preserve"> Geographic and Segmental Disclosure</t>
  </si>
  <si>
    <t>Logistics and Distribution Services</t>
  </si>
  <si>
    <t>Aircraft Trading and Portfolio Management</t>
  </si>
  <si>
    <t>Support Services</t>
  </si>
  <si>
    <t>Unallocated</t>
  </si>
  <si>
    <t>Total Revenue by Segment</t>
  </si>
  <si>
    <t>Logistics and Distribution (Europe)</t>
  </si>
  <si>
    <t>Aircraft Trading and Portfolio Management (Europe)</t>
  </si>
  <si>
    <t>Support Services (Europe)</t>
  </si>
  <si>
    <t>Unallocated (Europe)</t>
  </si>
  <si>
    <t>Europe</t>
  </si>
  <si>
    <t>Logistics and Distribution (Asia)</t>
  </si>
  <si>
    <t>Aircraft Trading and Portfolio Management (Asia)</t>
  </si>
  <si>
    <t>Support Services (Asia)</t>
  </si>
  <si>
    <t>Unallocated (Asia)</t>
  </si>
  <si>
    <t>Asia</t>
  </si>
  <si>
    <t>Logistics and Distribution (Americas)</t>
  </si>
  <si>
    <t>Aircraft Trading and Portfolio Management (Americas)</t>
  </si>
  <si>
    <t>Support Services (Americas)</t>
  </si>
  <si>
    <t>Unallocated (Americas)</t>
  </si>
  <si>
    <t>Americas</t>
  </si>
  <si>
    <t>Logistics and Distribution (Africa)</t>
  </si>
  <si>
    <t>Aircraft Trading and Portfolio Management (Africa)</t>
  </si>
  <si>
    <t>Support Services (Africa)</t>
  </si>
  <si>
    <t>Unallocated (Africa)</t>
  </si>
  <si>
    <t>Africa</t>
  </si>
  <si>
    <t>Logistics and Distribution (Australia and Pacific Islands)</t>
  </si>
  <si>
    <t>Support Services (Australia and Pacific Islands)</t>
  </si>
  <si>
    <t>Unallocated (Australia and Pacific Islands)</t>
  </si>
  <si>
    <t>Australia and Pacific Islands</t>
  </si>
  <si>
    <t>Logistics and Distribution (CIS)</t>
  </si>
  <si>
    <t>Aircraft Trading and Portfolio Management (CIS)</t>
  </si>
  <si>
    <t>Support Services (CIS)</t>
  </si>
  <si>
    <t>Unallocated (CIS)</t>
  </si>
  <si>
    <t>CIS</t>
  </si>
  <si>
    <t>Total Revenue by Geography</t>
  </si>
  <si>
    <t>Inter-segment transactions</t>
  </si>
  <si>
    <t>Aviation Support Services</t>
  </si>
  <si>
    <t>Aviation Logistics &amp; Distribution</t>
  </si>
  <si>
    <t>Aircraft Trading &amp; Portfolio Management</t>
  </si>
  <si>
    <t>IC and business combination adjustments</t>
  </si>
  <si>
    <t>Logistics and Distribution (EBITDA)</t>
  </si>
  <si>
    <t>Support Services (EBITDA)</t>
  </si>
  <si>
    <t>Logistics and Distribution (Adjusted EBITDA)</t>
  </si>
  <si>
    <t>Support Services (Adjusted EBITDA)</t>
  </si>
  <si>
    <t>Total Company Reported Adjusted EBITDA by Segment</t>
  </si>
  <si>
    <t>Total Company Reported EBITDA by Segment</t>
  </si>
  <si>
    <t xml:space="preserve"> KPIs</t>
  </si>
  <si>
    <t>Block Hours Passenger (hours)</t>
  </si>
  <si>
    <t>Block Hours Cargo (hours)</t>
  </si>
  <si>
    <t>Block Hours discontinued operations</t>
  </si>
  <si>
    <t>Number of aircraft at the end of the period (owned or leased)</t>
  </si>
  <si>
    <t>Block Hours (Aviation Logistics and Distribution Services segment)</t>
  </si>
  <si>
    <t>Number of SOLD man-hours in base maintenance (thousands)</t>
  </si>
  <si>
    <t>Number of SOLD man-hours in engineering (thousands)</t>
  </si>
  <si>
    <t>Number of SOLD man-hours in maintenance training (thousands)</t>
  </si>
  <si>
    <t>Number of line stations at the end of the period</t>
  </si>
  <si>
    <t>Number of aircraft turnarounds (thousands)</t>
  </si>
  <si>
    <t>Number of passengers served (thousands)</t>
  </si>
  <si>
    <t>Volume of fuel sold (tonnes)</t>
  </si>
  <si>
    <t>Logistics (km) (thousands)</t>
  </si>
  <si>
    <t>Number of lease days for rail wagons</t>
  </si>
  <si>
    <t>Number of lease days for rail wagons (thousands)</t>
  </si>
  <si>
    <t>Number of rail wagons at the end of the period</t>
  </si>
  <si>
    <t>TRTO - Number of sold theoretical training hours (thousands)</t>
  </si>
  <si>
    <t>TRTO - Number of sold practical training (FFS) hours (thousands)</t>
  </si>
  <si>
    <t>AbInitio - Number of SOLD flight hours (thousands)</t>
  </si>
  <si>
    <t>AbInitio - Number of SOLD FNPT hours (thousands)</t>
  </si>
  <si>
    <t>Training simulators number of hours sold (thousands)</t>
  </si>
  <si>
    <t>Number of training simulators at the end of the period (owned or leased)</t>
  </si>
  <si>
    <t>Number of man-hours sold in MRO (thousands)</t>
  </si>
  <si>
    <t xml:space="preserve"> Metrics</t>
  </si>
  <si>
    <t>Gross Margin</t>
  </si>
  <si>
    <t>EBITDA Margin</t>
  </si>
  <si>
    <t>Adjusted EBITDA Margin</t>
  </si>
  <si>
    <t>EBIT Margin</t>
  </si>
  <si>
    <t>EBT Margin</t>
  </si>
  <si>
    <t>Net Profit Margin</t>
  </si>
  <si>
    <t>Depreciation and Amortisation</t>
  </si>
  <si>
    <t>Total Impairment</t>
  </si>
  <si>
    <t>Depreciation and Amortisation Rate</t>
  </si>
  <si>
    <t>Gross Capex</t>
  </si>
  <si>
    <t>Net Capex</t>
  </si>
  <si>
    <t>Gross Capex / Sales</t>
  </si>
  <si>
    <t>PPE Growth Rate</t>
  </si>
  <si>
    <t>Gross Capex / D&amp;A</t>
  </si>
  <si>
    <t>Intangibles Growth Rate</t>
  </si>
  <si>
    <t>Funds From Operations (FFO)</t>
  </si>
  <si>
    <t>Free Cash Flow (FCF)</t>
  </si>
  <si>
    <t>Free Cash Flow to the Firm (FCFF)</t>
  </si>
  <si>
    <t>LTM FFO / Total Net Debt</t>
  </si>
  <si>
    <t>LTM FCF / Total Net Debt</t>
  </si>
  <si>
    <t>LTM FCFF / Total Net Debt</t>
  </si>
  <si>
    <t>Days in Period</t>
  </si>
  <si>
    <t>Accounts Receivable Days</t>
  </si>
  <si>
    <t>Inventory Days</t>
  </si>
  <si>
    <t>Accounts Payable Days</t>
  </si>
  <si>
    <t>Net Working Capital</t>
  </si>
  <si>
    <t>Change In Net Working Capital</t>
  </si>
  <si>
    <t>Net Cash Interest</t>
  </si>
  <si>
    <t>Effective Interest Rate</t>
  </si>
  <si>
    <t>Interest Coverage Ratio (EBITDA)</t>
  </si>
  <si>
    <t>Interest Coverage Ratio (Adjusted EBITDA)</t>
  </si>
  <si>
    <t>Net Cash Tax</t>
  </si>
  <si>
    <t>LTM Fixed Charges</t>
  </si>
  <si>
    <t>Fixed Charge Coverage Ratio (EBITDA)</t>
  </si>
  <si>
    <t>Fixed Charge Coverage Ratio (Adjusted EBITDA)</t>
  </si>
  <si>
    <t xml:space="preserve"> Year-over-year Changes</t>
  </si>
  <si>
    <t>Y/o/Y Revenue Change</t>
  </si>
  <si>
    <t>Y/o/Y Gross Profit Change</t>
  </si>
  <si>
    <t>Y/o/Y EBITDA Change</t>
  </si>
  <si>
    <t>Y/o/Y Adjusted EBITDA Change</t>
  </si>
  <si>
    <t>Y/o/Y EBIT Change</t>
  </si>
  <si>
    <t>Y/o/Y EBT Change</t>
  </si>
  <si>
    <t>Y/o/Y Net Income Change</t>
  </si>
  <si>
    <t>Y/o/Y CFO Change</t>
  </si>
  <si>
    <t>Y/o/Y Gross Capex Change</t>
  </si>
  <si>
    <t>Y/o/Y FFO Change</t>
  </si>
  <si>
    <t>Y/o/Y FCF Change</t>
  </si>
  <si>
    <t>Y/o/Y FCFF Change</t>
  </si>
  <si>
    <t>Y/o/Y Total Net Cash Flow Change</t>
  </si>
  <si>
    <t>Y/o/Y Gross Debt Change</t>
  </si>
  <si>
    <t>Y/o/Y Gross Leverage Change</t>
  </si>
  <si>
    <t>Y/o/Y Adjusted Gross Leverage Change</t>
  </si>
  <si>
    <t>Y/o/Y Net Debt Change</t>
  </si>
  <si>
    <t>Y/o/Y Net Leverage Change</t>
  </si>
  <si>
    <t>Y/o/Y Adjusted Net Leverage Change</t>
  </si>
  <si>
    <t>Y/o/Y Gross Margin Change</t>
  </si>
  <si>
    <t>Y/o/Y EBITDA Margin Change</t>
  </si>
  <si>
    <t>Y/o/Y Adjusted EBITDA Margin Change</t>
  </si>
  <si>
    <t>Y/o/Y EBIT Margin Change</t>
  </si>
  <si>
    <t>Please note that the download and usage of data is subject to the Terms &amp; Conditions of your Cognitive Credit Licence.</t>
  </si>
  <si>
    <t>Downloaded by Reza Karim at 07 Oct 2026, 10:26</t>
  </si>
  <si>
    <t>https://app.cognitivecredit.com/company/aviasolutions/financials</t>
  </si>
  <si>
    <t>1H19</t>
  </si>
  <si>
    <t>1H20</t>
  </si>
  <si>
    <t>1H21</t>
  </si>
  <si>
    <t>1H22</t>
  </si>
  <si>
    <t>1H23</t>
  </si>
  <si>
    <t>1H24</t>
  </si>
  <si>
    <t>1H25</t>
  </si>
  <si>
    <t>1H26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</si>
</sst>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_(#,##0.0_);(#,##0.0);_(&quot;-&quot;??_);@"/>
    <numFmt numFmtId="172" formatCode="#,##0.0%"/>
    <numFmt numFmtId="173" formatCode="#,##0.0&quot;x&quot;"/>
    <numFmt numFmtId="174" formatCode="#,##0.0"/>
    <numFmt numFmtId="175" formatCode="#,##0&quot;d&quot;"/>
    <numFmt numFmtId="176" formatCode="#,##0&quot;bp&quot;"/>
    <numFmt numFmtId="177" formatCode="#,##0.000%"/>
  </numFmts>
  <fonts count="4">
    <font>
      <b val="0"/>
      <i val="0"/>
      <sz val="9"/>
      <color rgb="FF041C2C"/>
      <name val="Open Sans"/>
    </font>
    <font>
      <b/>
      <i val="0"/>
      <sz val="9"/>
      <color rgb="FF041C2C"/>
      <name val="Open Sans"/>
    </font>
    <font>
      <b val="0"/>
      <i val="0"/>
      <sz val="9"/>
      <color rgb="FFFCFDFD"/>
      <name val="Open Sans"/>
    </font>
    <font>
      <b val="0"/>
      <i val="0"/>
      <u/>
      <sz val="9"/>
      <color rgb="FF007DA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041C2C"/>
      </patternFill>
    </fill>
    <fill>
      <patternFill patternType="solid">
        <fgColor rgb="FF95CAC3"/>
      </patternFill>
    </fill>
  </fills>
  <borders count="3">
    <border>
      <left/>
      <right/>
      <top/>
      <bottom/>
    </border>
    <border>
      <left/>
      <right/>
      <top/>
      <bottom style="thin">
        <color rgb="FF041C2C"/>
      </bottom>
    </border>
    <border>
      <left/>
      <right/>
      <top style="thin">
        <color rgb="FF041C2C"/>
      </top>
      <bottom/>
    </border>
  </borders>
  <cellStyleXfs count="1">
    <xf numFmtId="171" fontId="0" fillId="0" borderId="0">
      <alignment horizontal="right" vertical="top" wrapText="1"/>
      <protection locked="0"/>
    </xf>
  </cellStyleXfs>
  <cellXfs count="33">
    <xf numFmtId="171" fontId="0" fillId="0" borderId="0" xfId="0" applyFont="1" applyNumberFormat="1">
      <alignment horizontal="right" vertical="top" wrapText="1"/>
      <protection locked="0"/>
    </xf>
    <xf numFmtId="171" fontId="1" fillId="0" borderId="0" xfId="0" applyFont="1" applyNumberFormat="1">
      <alignment horizontal="center" vertical="top" wrapText="1"/>
      <protection locked="0"/>
    </xf>
    <xf numFmtId="171" fontId="2" fillId="2" borderId="1" xfId="0" applyFont="1" applyFill="1" applyBorder="1" applyNumberFormat="1">
      <alignment horizontal="left" vertical="top" wrapText="1"/>
      <protection locked="0"/>
    </xf>
    <xf numFmtId="171" fontId="0" fillId="0" borderId="1" xfId="0" applyFont="1" applyBorder="1" applyNumberFormat="1">
      <alignment horizontal="right" vertical="top" wrapText="1"/>
      <protection locked="0"/>
    </xf>
    <xf numFmtId="171" fontId="1" fillId="0" borderId="0" xfId="0" applyFont="1" applyNumberFormat="1">
      <alignment horizontal="right" vertical="top"/>
      <protection locked="0"/>
    </xf>
    <xf numFmtId="171" fontId="1" fillId="0" borderId="0" xfId="0" applyFont="1" applyNumberFormat="1">
      <alignment horizontal="right" vertical="top" wrapText="1"/>
      <protection locked="0"/>
    </xf>
    <xf numFmtId="171" fontId="1" fillId="3" borderId="0" xfId="0" applyFont="1" applyFill="1" applyNumberFormat="1">
      <alignment horizontal="right" vertical="top" wrapText="1"/>
    </xf>
    <xf numFmtId="171" fontId="1" fillId="0" borderId="0" xfId="0" applyFont="1" applyNumberFormat="1">
      <alignment horizontal="right" vertical="top" wrapText="1"/>
    </xf>
    <xf numFmtId="172" fontId="1" fillId="3" borderId="0" xfId="0" applyFont="1" applyFill="1" applyNumberFormat="1">
      <alignment horizontal="right" vertical="top" wrapText="1"/>
    </xf>
    <xf numFmtId="171" fontId="0" fillId="0" borderId="0" xfId="0" applyFont="1" applyNumberFormat="1">
      <alignment horizontal="right" vertical="top"/>
      <protection locked="0"/>
    </xf>
    <xf numFmtId="171" fontId="0" fillId="3" borderId="0" xfId="0" applyFont="1" applyFill="1" applyNumberFormat="1">
      <alignment horizontal="right" vertical="top" wrapText="1"/>
    </xf>
    <xf numFmtId="171" fontId="0" fillId="0" borderId="0" xfId="0" applyFont="1" applyNumberFormat="1">
      <alignment horizontal="right" vertical="top" wrapText="1"/>
    </xf>
    <xf numFmtId="172" fontId="0" fillId="3" borderId="0" xfId="0" applyFont="1" applyFill="1" applyNumberFormat="1">
      <alignment horizontal="right" vertical="top"/>
    </xf>
    <xf numFmtId="171" fontId="0" fillId="0" borderId="2" xfId="0" applyFont="1" applyBorder="1" applyNumberFormat="1">
      <alignment horizontal="right" vertical="top" wrapText="1"/>
      <protection locked="0"/>
    </xf>
    <xf numFmtId="171" fontId="0" fillId="3" borderId="0" xfId="0" applyFont="1" applyFill="1" applyNumberFormat="1">
      <alignment horizontal="right" vertical="top" wrapText="1"/>
      <protection locked="0"/>
    </xf>
    <xf numFmtId="173" fontId="0" fillId="0" borderId="0" xfId="0" applyFont="1" applyNumberFormat="1">
      <alignment horizontal="right" vertical="top"/>
    </xf>
    <xf numFmtId="173" fontId="0" fillId="3" borderId="0" xfId="0" applyFont="1" applyFill="1" applyNumberFormat="1">
      <alignment horizontal="right" vertical="top"/>
    </xf>
    <xf numFmtId="173" fontId="1" fillId="0" borderId="0" xfId="0" applyFont="1" applyNumberFormat="1">
      <alignment horizontal="right" vertical="top" wrapText="1"/>
    </xf>
    <xf numFmtId="173" fontId="1" fillId="3" borderId="0" xfId="0" applyFont="1" applyFill="1" applyNumberFormat="1">
      <alignment horizontal="right" vertical="top" wrapText="1"/>
    </xf>
    <xf numFmtId="172" fontId="0" fillId="0" borderId="0" xfId="0" applyFont="1" applyNumberFormat="1">
      <alignment horizontal="right" vertical="top"/>
    </xf>
    <xf numFmtId="174" fontId="0" fillId="0" borderId="0" xfId="0" applyFont="1" applyNumberFormat="1">
      <alignment horizontal="right" vertical="top"/>
      <protection locked="0"/>
    </xf>
    <xf numFmtId="174" fontId="0" fillId="0" borderId="0" xfId="0" applyFont="1" applyNumberFormat="1">
      <alignment horizontal="right" vertical="top"/>
    </xf>
    <xf numFmtId="175" fontId="0" fillId="0" borderId="0" xfId="0" applyFont="1" applyNumberFormat="1">
      <alignment horizontal="right" vertical="top"/>
      <protection locked="0"/>
    </xf>
    <xf numFmtId="176" fontId="0" fillId="3" borderId="0" xfId="0" applyFont="1" applyFill="1" applyNumberFormat="1">
      <alignment horizontal="right" vertical="top"/>
    </xf>
    <xf numFmtId="175" fontId="0" fillId="3" borderId="0" xfId="0" applyFont="1" applyFill="1" applyNumberFormat="1">
      <alignment horizontal="right" vertical="top"/>
      <protection locked="0"/>
    </xf>
    <xf numFmtId="175" fontId="0" fillId="3" borderId="0" xfId="0" applyFont="1" applyFill="1" applyNumberFormat="1">
      <alignment horizontal="right" vertical="top"/>
    </xf>
    <xf numFmtId="175" fontId="0" fillId="0" borderId="0" xfId="0" applyFont="1" applyNumberFormat="1">
      <alignment horizontal="right" vertical="top"/>
    </xf>
    <xf numFmtId="177" fontId="0" fillId="0" borderId="0" xfId="0" applyFont="1" applyNumberFormat="1">
      <alignment horizontal="right" vertical="top"/>
    </xf>
    <xf numFmtId="177" fontId="0" fillId="3" borderId="0" xfId="0" applyFont="1" applyFill="1" applyNumberFormat="1">
      <alignment horizontal="right" vertical="top"/>
    </xf>
    <xf numFmtId="172" fontId="0" fillId="0" borderId="0" xfId="0" applyFont="1" applyNumberFormat="1">
      <alignment horizontal="right" vertical="top"/>
      <protection locked="0"/>
    </xf>
    <xf numFmtId="176" fontId="0" fillId="0" borderId="0" xfId="0" applyFont="1" applyNumberFormat="1">
      <alignment horizontal="right" vertical="top"/>
    </xf>
    <xf numFmtId="171" fontId="0" fillId="0" borderId="0" xfId="0" applyFont="1" applyNumberFormat="1">
      <alignment horizontal="left" vertical="top" wrapText="1"/>
      <protection locked="0"/>
    </xf>
    <xf numFmtId="171" fontId="3" fillId="0" borderId="0" xfId="0" applyFont="1" applyNumberFormat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viasolutions/financia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viasolutions/financia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viasolutions/financi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DE449E-E961-824F-A098-363501270296}" mc:Ignorable="x14ac xr xr2 xr3">
  <dimension ref="A1:AP337"/>
  <sheetViews>
    <sheetView defaultGridColor="0" colorId="9"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42" width="10.7109375" customWidth="1"/>
  </cols>
  <sheetData>
    <row customHeight="1" ht="15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customHeight="1" ht="15">
      <c r="A2" s="2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customHeight="1" ht="15">
      <c r="A3" s="4" t="s">
        <v>43</v>
      </c>
      <c r="B3" s="5">
        <v>432.474</v>
      </c>
      <c r="C3" s="5">
        <v>607.3</v>
      </c>
      <c r="D3" s="5">
        <v>695.672</v>
      </c>
      <c r="E3" s="5">
        <v>1014.891</v>
      </c>
      <c r="F3" s="5">
        <v>1852.686</v>
      </c>
      <c r="G3" s="5">
        <v>2262.773</v>
      </c>
      <c r="H3" s="5">
        <v>2103.272</v>
      </c>
      <c r="I3" s="5">
        <v>2189.312</v>
      </c>
      <c r="J3" s="6">
        <f>I3+'Quarterly YTD'!AF3-'Quarterly YTD'!AB3</f>
        <v>2285.39</v>
      </c>
      <c r="K3" s="5">
        <v>93.496</v>
      </c>
      <c r="L3" s="7">
        <f>'Quarterly YTD'!D3-K3</f>
        <v>111.524</v>
      </c>
      <c r="M3" s="7">
        <f>'Quarterly YTD'!E3-'Quarterly YTD'!D3</f>
        <v>115.428</v>
      </c>
      <c r="N3" s="7">
        <f>C3-'Quarterly YTD'!E3</f>
        <v>286.852</v>
      </c>
      <c r="O3" s="5">
        <v>267.869</v>
      </c>
      <c r="P3" s="7">
        <f>'Quarterly YTD'!H3-O3</f>
        <v>132.978</v>
      </c>
      <c r="Q3" s="7">
        <f>'Quarterly YTD'!I3-'Quarterly YTD'!H3</f>
        <v>133.792</v>
      </c>
      <c r="R3" s="7">
        <f>D3-'Quarterly YTD'!I3</f>
        <v>161.033</v>
      </c>
      <c r="S3" s="5">
        <v>162.144</v>
      </c>
      <c r="T3" s="7">
        <f>'Quarterly YTD'!L3-S3</f>
        <v>206.427</v>
      </c>
      <c r="U3" s="7">
        <f>'Quarterly YTD'!M3-'Quarterly YTD'!L3</f>
        <v>299.715</v>
      </c>
      <c r="V3" s="7">
        <f>E3-'Quarterly YTD'!M3</f>
        <v>346.605</v>
      </c>
      <c r="W3" s="5">
        <v>317.129</v>
      </c>
      <c r="X3" s="7">
        <f>'Quarterly YTD'!P3-W3</f>
        <v>463.506</v>
      </c>
      <c r="Y3" s="7">
        <f>'Quarterly YTD'!Q3-'Quarterly YTD'!P3</f>
        <v>563.904</v>
      </c>
      <c r="Z3" s="7">
        <f>F3-'Quarterly YTD'!Q3</f>
        <v>508.147</v>
      </c>
      <c r="AA3" s="5">
        <v>404.776</v>
      </c>
      <c r="AB3" s="7">
        <f>'Quarterly YTD'!T3-AA3</f>
        <v>549.902</v>
      </c>
      <c r="AC3" s="7">
        <f>'Quarterly YTD'!U3-'Quarterly YTD'!T3</f>
        <v>687.535</v>
      </c>
      <c r="AD3" s="7">
        <f>G3-'Quarterly YTD'!U3</f>
        <v>620.56</v>
      </c>
      <c r="AE3" s="5">
        <v>508.778</v>
      </c>
      <c r="AF3" s="7">
        <f>'Quarterly YTD'!X3-AE3</f>
        <v>720.116</v>
      </c>
      <c r="AG3" s="7">
        <f>'Quarterly YTD'!Y3-'Quarterly YTD'!X3</f>
        <v>828.505</v>
      </c>
      <c r="AH3" s="7">
        <f>H3-'Quarterly YTD'!Y3</f>
        <v>45.873</v>
      </c>
      <c r="AI3" s="5">
        <v>457.491</v>
      </c>
      <c r="AJ3" s="7">
        <f>'Quarterly YTD'!AB3-AI3</f>
        <v>560.951</v>
      </c>
      <c r="AK3" s="7">
        <f>'Quarterly YTD'!AC3-'Quarterly YTD'!AB3+-164.005</f>
        <v>730.681</v>
      </c>
      <c r="AL3" s="7">
        <f>I3-'Quarterly YTD'!AC3</f>
        <v>276.184</v>
      </c>
      <c r="AM3" s="5">
        <v>522.848</v>
      </c>
      <c r="AN3" s="7">
        <f>'Quarterly YTD'!AF3-AM3</f>
        <v>591.672</v>
      </c>
      <c r="AO3" s="8">
        <f t="shared" si="0" ref="AO3:AO293">IF(AND(AN3=0,AM3=0),0,IF(OR(AM3=0,AM3="NM",AN3="NM"),"NM",IF(AM3&lt;0,-(AN3/AM3-1),AN3/AM3-1)))</f>
        <v>0.131632902870433</v>
      </c>
      <c r="AP3" s="8">
        <f t="shared" si="1" ref="AP3:AP293">IF(AND(AN3=0,AJ3=0),0,IF(OR(AJ3=0,AJ3="NM",AN3="NM"),"NM",IF(AJ3&lt;0,-(AN3/AJ3-1),AN3/AJ3-1)))</f>
        <v>0.054765924296418</v>
      </c>
    </row>
    <row customHeight="1" ht="15">
      <c r="A4" s="9" t="s">
        <v>44</v>
      </c>
      <c r="B4" s="0">
        <v>0.262</v>
      </c>
      <c r="C4" s="0">
        <v>0.879</v>
      </c>
      <c r="D4" s="0">
        <v>13.218</v>
      </c>
      <c r="E4" s="0">
        <v>3.332</v>
      </c>
      <c r="F4" s="0">
        <v>2.832</v>
      </c>
      <c r="G4" s="0">
        <v>3.466</v>
      </c>
      <c r="H4" s="0">
        <v>2.154</v>
      </c>
      <c r="I4" s="0">
        <v>6.403</v>
      </c>
      <c r="J4" s="10">
        <f>I4+'Quarterly YTD'!AF4-'Quarterly YTD'!AB4</f>
        <v>8.155</v>
      </c>
      <c r="K4" s="0">
        <v>0.16</v>
      </c>
      <c r="L4" s="11">
        <f>'Quarterly YTD'!D4-K4</f>
        <v>0.107</v>
      </c>
      <c r="M4" s="11">
        <f>'Quarterly YTD'!E4-'Quarterly YTD'!D4</f>
        <v>0.136</v>
      </c>
      <c r="N4" s="11">
        <f>C4-'Quarterly YTD'!E4</f>
        <v>0.476</v>
      </c>
      <c r="O4" s="0">
        <v>1.034</v>
      </c>
      <c r="P4" s="11">
        <f>'Quarterly YTD'!H4-O4</f>
        <v>11.009</v>
      </c>
      <c r="Q4" s="11">
        <f>'Quarterly YTD'!I4-'Quarterly YTD'!H4</f>
        <v>1.337</v>
      </c>
      <c r="R4" s="11">
        <f>D4-'Quarterly YTD'!I4</f>
        <v>-0.162</v>
      </c>
      <c r="S4" s="0">
        <v>0.889</v>
      </c>
      <c r="T4" s="11">
        <f>'Quarterly YTD'!L4-S4</f>
        <v>1.869</v>
      </c>
      <c r="U4" s="11">
        <f>'Quarterly YTD'!M4-'Quarterly YTD'!L4</f>
        <v>1.428</v>
      </c>
      <c r="V4" s="11">
        <f>E4-'Quarterly YTD'!M4</f>
        <v>-0.854</v>
      </c>
      <c r="W4" s="0">
        <v>0.746</v>
      </c>
      <c r="X4" s="11">
        <f>'Quarterly YTD'!P4-W4</f>
        <v>2.135</v>
      </c>
      <c r="Y4" s="11">
        <f>'Quarterly YTD'!Q4-'Quarterly YTD'!P4</f>
        <v>1.465</v>
      </c>
      <c r="Z4" s="11">
        <f>F4-'Quarterly YTD'!Q4</f>
        <v>-1.514</v>
      </c>
      <c r="AA4" s="0">
        <v>0.783</v>
      </c>
      <c r="AB4" s="11">
        <f>'Quarterly YTD'!T4-AA4</f>
        <v>0.413</v>
      </c>
      <c r="AC4" s="11">
        <f>'Quarterly YTD'!U4-'Quarterly YTD'!T4</f>
        <v>3.566</v>
      </c>
      <c r="AD4" s="11">
        <f>G4-'Quarterly YTD'!U4</f>
        <v>-1.296</v>
      </c>
      <c r="AE4" s="0">
        <v>1.109</v>
      </c>
      <c r="AF4" s="11">
        <f>'Quarterly YTD'!X4-AE4</f>
        <v>1.058</v>
      </c>
      <c r="AG4" s="11">
        <f>'Quarterly YTD'!Y4-'Quarterly YTD'!X4</f>
        <v>0.741</v>
      </c>
      <c r="AH4" s="11">
        <f>H4-'Quarterly YTD'!Y4</f>
        <v>-0.754</v>
      </c>
      <c r="AI4" s="0">
        <v>0.771</v>
      </c>
      <c r="AJ4" s="11">
        <f>'Quarterly YTD'!AB4-AI4</f>
        <v>0.977</v>
      </c>
      <c r="AK4" s="11">
        <f>'Quarterly YTD'!AC4-'Quarterly YTD'!AB4+-0.332</f>
        <v>1.166</v>
      </c>
      <c r="AL4" s="11">
        <f>I4-'Quarterly YTD'!AC4</f>
        <v>3.157</v>
      </c>
      <c r="AM4" s="0">
        <v>1.269</v>
      </c>
      <c r="AN4" s="11">
        <f>'Quarterly YTD'!AF4-AM4</f>
        <v>2.231</v>
      </c>
      <c r="AO4" s="12">
        <f t="shared" si="0"/>
        <v>0.758077226162333</v>
      </c>
      <c r="AP4" s="12">
        <f t="shared" si="1"/>
        <v>1.2835209825998</v>
      </c>
    </row>
    <row customHeight="1" ht="15">
      <c r="A5" s="9" t="s">
        <v>45</v>
      </c>
      <c r="B5" s="0">
        <v>-312.579</v>
      </c>
      <c r="C5" s="0">
        <v>-412.602</v>
      </c>
      <c r="D5" s="0">
        <v>-418.367</v>
      </c>
      <c r="E5" s="0">
        <v>-615.285</v>
      </c>
      <c r="F5" s="0">
        <v>-1193.407</v>
      </c>
      <c r="G5" s="0">
        <v>-1406.56</v>
      </c>
      <c r="H5" s="0">
        <v>-1187.448</v>
      </c>
      <c r="I5" s="0">
        <v>-1202.791</v>
      </c>
      <c r="J5" s="10">
        <f>I5+'Quarterly YTD'!AF5-'Quarterly YTD'!AB5</f>
        <v>-1321.335</v>
      </c>
      <c r="K5" s="0">
        <v>-62.428</v>
      </c>
      <c r="L5" s="11">
        <f>'Quarterly YTD'!D5-K5</f>
        <v>-75.67</v>
      </c>
      <c r="M5" s="11">
        <f>'Quarterly YTD'!E5-'Quarterly YTD'!D5</f>
        <v>-80.875</v>
      </c>
      <c r="N5" s="11">
        <f>C5-'Quarterly YTD'!E5</f>
        <v>-193.629</v>
      </c>
      <c r="O5" s="0">
        <v>-185.272</v>
      </c>
      <c r="P5" s="11">
        <f>'Quarterly YTD'!H5-O5</f>
        <v>-63.699</v>
      </c>
      <c r="Q5" s="11">
        <f>'Quarterly YTD'!I5-'Quarterly YTD'!H5</f>
        <v>-74.874</v>
      </c>
      <c r="R5" s="11">
        <f>D5-'Quarterly YTD'!I5</f>
        <v>-94.522</v>
      </c>
      <c r="S5" s="0">
        <v>-95.058</v>
      </c>
      <c r="T5" s="11">
        <f>'Quarterly YTD'!L5-S5</f>
        <v>-127.924</v>
      </c>
      <c r="U5" s="11">
        <f>'Quarterly YTD'!M5-'Quarterly YTD'!L5</f>
        <v>-184.206</v>
      </c>
      <c r="V5" s="11">
        <f>E5-'Quarterly YTD'!M5</f>
        <v>-208.097</v>
      </c>
      <c r="W5" s="0">
        <v>-208.777</v>
      </c>
      <c r="X5" s="11">
        <f>'Quarterly YTD'!P5-W5</f>
        <v>-307.233</v>
      </c>
      <c r="Y5" s="11">
        <f>'Quarterly YTD'!Q5-'Quarterly YTD'!P5</f>
        <v>-347.418</v>
      </c>
      <c r="Z5" s="11">
        <f>F5-'Quarterly YTD'!Q5</f>
        <v>-329.979</v>
      </c>
      <c r="AA5" s="0">
        <v>-278.055</v>
      </c>
      <c r="AB5" s="11">
        <f>'Quarterly YTD'!T5-AA5</f>
        <v>-327.317</v>
      </c>
      <c r="AC5" s="11">
        <f>'Quarterly YTD'!U5-'Quarterly YTD'!T5</f>
        <v>-388.084</v>
      </c>
      <c r="AD5" s="11">
        <f>G5-'Quarterly YTD'!U5</f>
        <v>-413.104</v>
      </c>
      <c r="AE5" s="0">
        <v>-360.502</v>
      </c>
      <c r="AF5" s="11">
        <f>'Quarterly YTD'!X5-AE5</f>
        <v>-402.589</v>
      </c>
      <c r="AG5" s="11">
        <f>'Quarterly YTD'!Y5-'Quarterly YTD'!X5</f>
        <v>-444.051</v>
      </c>
      <c r="AH5" s="11">
        <f>H5-'Quarterly YTD'!Y5</f>
        <v>19.694</v>
      </c>
      <c r="AI5" s="0">
        <v>-290.996</v>
      </c>
      <c r="AJ5" s="11">
        <f>'Quarterly YTD'!AB5-AI5</f>
        <v>-290.214</v>
      </c>
      <c r="AK5" s="11">
        <f>'Quarterly YTD'!AC5-'Quarterly YTD'!AB5+152.816</f>
        <v>-360.316</v>
      </c>
      <c r="AL5" s="11">
        <f>I5-'Quarterly YTD'!AC5</f>
        <v>-108.449</v>
      </c>
      <c r="AM5" s="0">
        <v>-327.944</v>
      </c>
      <c r="AN5" s="11">
        <f>'Quarterly YTD'!AF5-AM5</f>
        <v>-371.81</v>
      </c>
      <c r="AO5" s="12">
        <f t="shared" si="2" ref="AO5:AO299">IF(AND(AN5=0,AM5=0),0,IF(OR(AM5=0,AM5="NM",AN5="NM"),"NM",IF(AM5&lt;0,(AN5/AM5-1),-(AN5/AM5-1))))</f>
        <v>0.13376064206084</v>
      </c>
      <c r="AP5" s="12">
        <f t="shared" si="3" ref="AP5:AP299">IF(AND(AN5=0,AJ5=0),0,IF(OR(AJ5=0,AJ5="NM",AN5="NM"),"NM",IF(AJ5&lt;0,(AN5/AJ5-1),-(AN5/AJ5-1))))</f>
        <v>0.281158041996596</v>
      </c>
    </row>
    <row customHeight="1" ht="15">
      <c r="A6" s="9" t="s">
        <v>46</v>
      </c>
      <c r="B6" s="0">
        <v>-6.853</v>
      </c>
      <c r="C6" s="0">
        <v>-34.732</v>
      </c>
      <c r="D6" s="0">
        <v>-99.205</v>
      </c>
      <c r="E6" s="0">
        <v>-74.338</v>
      </c>
      <c r="F6" s="0">
        <v>-114.781</v>
      </c>
      <c r="G6" s="0">
        <v>-239.28</v>
      </c>
      <c r="H6" s="0">
        <v>-220.229</v>
      </c>
      <c r="I6" s="0">
        <v>-265.414</v>
      </c>
      <c r="J6" s="10">
        <f>I6+'Quarterly YTD'!AF6-'Quarterly YTD'!AB6</f>
        <v>-268.039</v>
      </c>
      <c r="K6" s="0">
        <v>-2.936</v>
      </c>
      <c r="L6" s="11">
        <f>'Quarterly YTD'!D6-K6</f>
        <v>-3.23</v>
      </c>
      <c r="M6" s="11">
        <f>'Quarterly YTD'!E6-'Quarterly YTD'!D6</f>
        <v>-3.427</v>
      </c>
      <c r="N6" s="11">
        <f>C6-'Quarterly YTD'!E6</f>
        <v>-25.139</v>
      </c>
      <c r="O6" s="0">
        <v>-26.639</v>
      </c>
      <c r="P6" s="11">
        <f>'Quarterly YTD'!H6-O6</f>
        <v>-26.592</v>
      </c>
      <c r="Q6" s="11">
        <f>'Quarterly YTD'!I6-'Quarterly YTD'!H6</f>
        <v>-24.388</v>
      </c>
      <c r="R6" s="11">
        <f>D6-'Quarterly YTD'!I6</f>
        <v>-21.586</v>
      </c>
      <c r="S6" s="0">
        <v>-18.04</v>
      </c>
      <c r="T6" s="11">
        <f>'Quarterly YTD'!L6-S6</f>
        <v>-17.06</v>
      </c>
      <c r="U6" s="11">
        <f>'Quarterly YTD'!M6-'Quarterly YTD'!L6</f>
        <v>-19.107</v>
      </c>
      <c r="V6" s="11">
        <f>E6-'Quarterly YTD'!M6</f>
        <v>-20.131</v>
      </c>
      <c r="W6" s="0">
        <v>-21.68</v>
      </c>
      <c r="X6" s="11">
        <f>'Quarterly YTD'!P6-W6</f>
        <v>-26.51</v>
      </c>
      <c r="Y6" s="11">
        <f>'Quarterly YTD'!Q6-'Quarterly YTD'!P6</f>
        <v>-36.201</v>
      </c>
      <c r="Z6" s="11">
        <f>F6-'Quarterly YTD'!Q6</f>
        <v>-30.39</v>
      </c>
      <c r="AA6" s="0">
        <v>-41.974</v>
      </c>
      <c r="AB6" s="11">
        <f>'Quarterly YTD'!T6-AA6</f>
        <v>-50.043</v>
      </c>
      <c r="AC6" s="11">
        <f>'Quarterly YTD'!U6-'Quarterly YTD'!T6</f>
        <v>-64.571</v>
      </c>
      <c r="AD6" s="11">
        <f>G6-'Quarterly YTD'!U6</f>
        <v>-82.692</v>
      </c>
      <c r="AE6" s="0">
        <v>-81.707</v>
      </c>
      <c r="AF6" s="11">
        <f>'Quarterly YTD'!X6-AE6</f>
        <v>-89.611</v>
      </c>
      <c r="AG6" s="11">
        <f>'Quarterly YTD'!Y6-'Quarterly YTD'!X6</f>
        <v>-93.959</v>
      </c>
      <c r="AH6" s="11">
        <f>H6-'Quarterly YTD'!Y6</f>
        <v>45.048</v>
      </c>
      <c r="AI6" s="0">
        <v>-62.883</v>
      </c>
      <c r="AJ6" s="11">
        <f>'Quarterly YTD'!AB6-AI6</f>
        <v>-60.352</v>
      </c>
      <c r="AK6" s="11">
        <f>'Quarterly YTD'!AC6-'Quarterly YTD'!AB6+69.598</f>
        <v>-91.364</v>
      </c>
      <c r="AL6" s="11">
        <f>I6-'Quarterly YTD'!AC6</f>
        <v>18.783</v>
      </c>
      <c r="AM6" s="0">
        <v>-72.539</v>
      </c>
      <c r="AN6" s="11">
        <f>'Quarterly YTD'!AF6-AM6</f>
        <v>-53.321</v>
      </c>
      <c r="AO6" s="12">
        <f t="shared" si="2"/>
        <v>-0.264933346199975</v>
      </c>
      <c r="AP6" s="12">
        <f t="shared" si="3"/>
        <v>-0.116499867444327</v>
      </c>
    </row>
    <row customHeight="1" ht="15">
      <c r="A7" s="9" t="s">
        <v>47</v>
      </c>
      <c r="B7" s="0">
        <v>-71.907</v>
      </c>
      <c r="C7" s="0">
        <v>-96.702</v>
      </c>
      <c r="D7" s="0">
        <v>-145.734</v>
      </c>
      <c r="E7" s="0">
        <v>-200.189</v>
      </c>
      <c r="F7" s="0">
        <v>-306.593</v>
      </c>
      <c r="G7" s="0">
        <v>-395.763</v>
      </c>
      <c r="H7" s="0">
        <v>-470.48</v>
      </c>
      <c r="I7" s="0">
        <v>-519.925</v>
      </c>
      <c r="J7" s="10">
        <f>I7+'Quarterly YTD'!AF7-'Quarterly YTD'!AB7</f>
        <v>-544.752</v>
      </c>
      <c r="K7" s="0">
        <v>-20.556</v>
      </c>
      <c r="L7" s="11">
        <f>'Quarterly YTD'!D7-K7</f>
        <v>-21.033</v>
      </c>
      <c r="M7" s="11">
        <f>'Quarterly YTD'!E7-'Quarterly YTD'!D7</f>
        <v>-20.334</v>
      </c>
      <c r="N7" s="11">
        <f>C7-'Quarterly YTD'!E7</f>
        <v>-34.779</v>
      </c>
      <c r="O7" s="0">
        <v>-39.977</v>
      </c>
      <c r="P7" s="11">
        <f>'Quarterly YTD'!H7-O7</f>
        <v>-32.471</v>
      </c>
      <c r="Q7" s="11">
        <f>'Quarterly YTD'!I7-'Quarterly YTD'!H7</f>
        <v>-36.27</v>
      </c>
      <c r="R7" s="11">
        <f>D7-'Quarterly YTD'!I7</f>
        <v>-37.016</v>
      </c>
      <c r="S7" s="0">
        <v>-38.995</v>
      </c>
      <c r="T7" s="11">
        <f>'Quarterly YTD'!L7-S7</f>
        <v>-43.33</v>
      </c>
      <c r="U7" s="11">
        <f>'Quarterly YTD'!M7-'Quarterly YTD'!L7</f>
        <v>-51.99</v>
      </c>
      <c r="V7" s="11">
        <f>E7-'Quarterly YTD'!M7</f>
        <v>-65.874</v>
      </c>
      <c r="W7" s="0">
        <v>-66.068</v>
      </c>
      <c r="X7" s="11">
        <f>'Quarterly YTD'!P7-W7</f>
        <v>-76.555</v>
      </c>
      <c r="Y7" s="11">
        <f>'Quarterly YTD'!Q7-'Quarterly YTD'!P7</f>
        <v>-78.453</v>
      </c>
      <c r="Z7" s="11">
        <f>F7-'Quarterly YTD'!Q7</f>
        <v>-85.517</v>
      </c>
      <c r="AA7" s="0">
        <v>-85.755</v>
      </c>
      <c r="AB7" s="11">
        <f>'Quarterly YTD'!T7-AA7</f>
        <v>-96.142</v>
      </c>
      <c r="AC7" s="11">
        <f>'Quarterly YTD'!U7-'Quarterly YTD'!T7</f>
        <v>-101.075</v>
      </c>
      <c r="AD7" s="11">
        <f>G7-'Quarterly YTD'!U7</f>
        <v>-112.791</v>
      </c>
      <c r="AE7" s="0">
        <v>-115.571</v>
      </c>
      <c r="AF7" s="11">
        <f>'Quarterly YTD'!X7-AE7</f>
        <v>-124.509</v>
      </c>
      <c r="AG7" s="11">
        <f>'Quarterly YTD'!Y7-'Quarterly YTD'!X7</f>
        <v>-123.482</v>
      </c>
      <c r="AH7" s="11">
        <f>H7-'Quarterly YTD'!Y7</f>
        <v>-106.918</v>
      </c>
      <c r="AI7" s="0">
        <v>-128.452</v>
      </c>
      <c r="AJ7" s="11">
        <f>'Quarterly YTD'!AB7-AI7</f>
        <v>-125.638</v>
      </c>
      <c r="AK7" s="11">
        <f>'Quarterly YTD'!AC7-'Quarterly YTD'!AB7+21.036</f>
        <v>-127.091</v>
      </c>
      <c r="AL7" s="11">
        <f>I7-'Quarterly YTD'!AC7</f>
        <v>-117.708</v>
      </c>
      <c r="AM7" s="0">
        <v>-141.944</v>
      </c>
      <c r="AN7" s="11">
        <f>'Quarterly YTD'!AF7-AM7</f>
        <v>-136.973</v>
      </c>
      <c r="AO7" s="12">
        <f t="shared" si="2"/>
        <v>-0.0350208532942567</v>
      </c>
      <c r="AP7" s="12">
        <f t="shared" si="3"/>
        <v>0.0902195195721041</v>
      </c>
    </row>
    <row customHeight="1" ht="15">
      <c r="A8" s="9" t="s">
        <v>48</v>
      </c>
      <c r="B8" s="0">
        <v>-22.952</v>
      </c>
      <c r="C8" s="0">
        <v>-34.741</v>
      </c>
      <c r="D8" s="0">
        <v>-46.596</v>
      </c>
      <c r="E8" s="0">
        <v>-68.488</v>
      </c>
      <c r="F8" s="0">
        <v>-79.919</v>
      </c>
      <c r="G8" s="0">
        <v>-97.36</v>
      </c>
      <c r="H8" s="0">
        <v>-121.492</v>
      </c>
      <c r="I8" s="0">
        <v>-127.501</v>
      </c>
      <c r="J8" s="10">
        <f>I8+'Quarterly YTD'!AF8-'Quarterly YTD'!AB8</f>
        <v>-124.382</v>
      </c>
      <c r="K8" s="0">
        <v>-5.566</v>
      </c>
      <c r="L8" s="11">
        <f>'Quarterly YTD'!D8-K8</f>
        <v>-6.585</v>
      </c>
      <c r="M8" s="11">
        <f>'Quarterly YTD'!E8-'Quarterly YTD'!D8</f>
        <v>-6.353</v>
      </c>
      <c r="N8" s="11">
        <f>C8-'Quarterly YTD'!E8</f>
        <v>-16.237</v>
      </c>
      <c r="O8" s="0">
        <v>-12.328</v>
      </c>
      <c r="P8" s="11">
        <f>'Quarterly YTD'!H8-O8</f>
        <v>-9.956</v>
      </c>
      <c r="Q8" s="11">
        <f>'Quarterly YTD'!I8-'Quarterly YTD'!H8</f>
        <v>-10.507</v>
      </c>
      <c r="R8" s="11">
        <f>D8-'Quarterly YTD'!I8</f>
        <v>-13.805</v>
      </c>
      <c r="S8" s="0">
        <v>-11.52</v>
      </c>
      <c r="T8" s="11">
        <f>'Quarterly YTD'!L8-S8</f>
        <v>-12.516</v>
      </c>
      <c r="U8" s="11">
        <f>'Quarterly YTD'!M8-'Quarterly YTD'!L8</f>
        <v>-14.059</v>
      </c>
      <c r="V8" s="11">
        <f>E8-'Quarterly YTD'!M8</f>
        <v>-30.393</v>
      </c>
      <c r="W8" s="0">
        <v>-17.336</v>
      </c>
      <c r="X8" s="11">
        <f>'Quarterly YTD'!P8-W8</f>
        <v>-17.552</v>
      </c>
      <c r="Y8" s="11">
        <f>'Quarterly YTD'!Q8-'Quarterly YTD'!P8</f>
        <v>-23.516</v>
      </c>
      <c r="Z8" s="11">
        <f>F8-'Quarterly YTD'!Q8</f>
        <v>-21.515</v>
      </c>
      <c r="AA8" s="0">
        <v>-21.85</v>
      </c>
      <c r="AB8" s="11">
        <f>'Quarterly YTD'!T8-AA8</f>
        <v>-19.899</v>
      </c>
      <c r="AC8" s="11">
        <f>'Quarterly YTD'!U8-'Quarterly YTD'!T8</f>
        <v>-24.453</v>
      </c>
      <c r="AD8" s="11">
        <f>G8-'Quarterly YTD'!U8</f>
        <v>-31.158</v>
      </c>
      <c r="AE8" s="0">
        <v>-32.188</v>
      </c>
      <c r="AF8" s="11">
        <f>'Quarterly YTD'!X8-AE8</f>
        <v>-31.398</v>
      </c>
      <c r="AG8" s="11">
        <f>'Quarterly YTD'!Y8-'Quarterly YTD'!X8</f>
        <v>-34.249</v>
      </c>
      <c r="AH8" s="11">
        <f>H8-'Quarterly YTD'!Y8</f>
        <v>-23.657</v>
      </c>
      <c r="AI8" s="0">
        <v>-33.392</v>
      </c>
      <c r="AJ8" s="11">
        <f>'Quarterly YTD'!AB8-AI8</f>
        <v>-23.246</v>
      </c>
      <c r="AK8" s="11">
        <f>'Quarterly YTD'!AC8-'Quarterly YTD'!AB8+12.706</f>
        <v>-32.074</v>
      </c>
      <c r="AL8" s="11">
        <f>I8-'Quarterly YTD'!AC8</f>
        <v>-26.083</v>
      </c>
      <c r="AM8" s="0">
        <v>-26.695</v>
      </c>
      <c r="AN8" s="11">
        <f>'Quarterly YTD'!AF8-AM8</f>
        <v>-26.824</v>
      </c>
      <c r="AO8" s="12">
        <f t="shared" si="2"/>
        <v>0.00483236561153788</v>
      </c>
      <c r="AP8" s="12">
        <f t="shared" si="3"/>
        <v>0.153918953798503</v>
      </c>
    </row>
    <row customHeight="1" ht="15">
      <c r="A9" s="9" t="s">
        <v>49</v>
      </c>
      <c r="B9" s="0">
        <v>-1.558</v>
      </c>
      <c r="C9" s="0">
        <v>-1.389</v>
      </c>
      <c r="D9" s="0">
        <v>-21.9</v>
      </c>
      <c r="E9" s="0">
        <v>-12.438</v>
      </c>
      <c r="F9" s="0">
        <v>-12.251</v>
      </c>
      <c r="G9" s="0">
        <v>-0.919</v>
      </c>
      <c r="H9" s="0">
        <v>-3.33</v>
      </c>
      <c r="I9" s="0">
        <v>-159.559</v>
      </c>
      <c r="J9" s="10">
        <f>I9+'Quarterly YTD'!AF9-'Quarterly YTD'!AB9</f>
        <v>-191.655</v>
      </c>
      <c r="K9" s="0">
        <v>-0.219</v>
      </c>
      <c r="L9" s="11">
        <f>'Quarterly YTD'!D9-K9</f>
        <v>0.022</v>
      </c>
      <c r="M9" s="11">
        <f>'Quarterly YTD'!E9-'Quarterly YTD'!D9</f>
        <v>-0.479</v>
      </c>
      <c r="N9" s="11">
        <f>C9-'Quarterly YTD'!E9</f>
        <v>-0.713</v>
      </c>
      <c r="O9" s="0">
        <v>-1.37</v>
      </c>
      <c r="P9" s="11">
        <f>'Quarterly YTD'!H9-O9</f>
        <v>-6.218</v>
      </c>
      <c r="Q9" s="11">
        <f>'Quarterly YTD'!I9-'Quarterly YTD'!H9</f>
        <v>-0.261</v>
      </c>
      <c r="R9" s="11">
        <f>D9-'Quarterly YTD'!I9</f>
        <v>-14.051</v>
      </c>
      <c r="S9" s="0">
        <v>-0.236</v>
      </c>
      <c r="T9" s="11">
        <f>'Quarterly YTD'!L9-S9</f>
        <v>-1.563</v>
      </c>
      <c r="U9" s="11">
        <f>'Quarterly YTD'!M9-'Quarterly YTD'!L9</f>
        <v>-0.6</v>
      </c>
      <c r="V9" s="11">
        <f>E9-'Quarterly YTD'!M9</f>
        <v>-10.039</v>
      </c>
      <c r="W9" s="0">
        <v>-9.311</v>
      </c>
      <c r="X9" s="11">
        <f>'Quarterly YTD'!P9-W9</f>
        <v>-0.364</v>
      </c>
      <c r="Y9" s="11">
        <f>'Quarterly YTD'!Q9-'Quarterly YTD'!P9</f>
        <v>0.741000000000001</v>
      </c>
      <c r="Z9" s="11">
        <f>F9-'Quarterly YTD'!Q9</f>
        <v>-3.317</v>
      </c>
      <c r="AA9" s="0">
        <v>-0.133</v>
      </c>
      <c r="AB9" s="11">
        <f>'Quarterly YTD'!T9-AA9</f>
        <v>2.165</v>
      </c>
      <c r="AC9" s="11">
        <f>'Quarterly YTD'!U9-'Quarterly YTD'!T9</f>
        <v>-1.828</v>
      </c>
      <c r="AD9" s="11">
        <f>G9-'Quarterly YTD'!U9</f>
        <v>-1.123</v>
      </c>
      <c r="AE9" s="0">
        <v>1.105</v>
      </c>
      <c r="AF9" s="11">
        <f>'Quarterly YTD'!X9-AE9</f>
        <v>-0.382</v>
      </c>
      <c r="AG9" s="11">
        <f>'Quarterly YTD'!Y9-'Quarterly YTD'!X9</f>
        <v>-0.215</v>
      </c>
      <c r="AH9" s="11">
        <f>H9-'Quarterly YTD'!Y9</f>
        <v>-3.838</v>
      </c>
      <c r="AI9" s="0">
        <v>-2.974</v>
      </c>
      <c r="AJ9" s="11">
        <f>'Quarterly YTD'!AB9-AI9</f>
        <v>4.707</v>
      </c>
      <c r="AK9" s="11">
        <f>'Quarterly YTD'!AC9-'Quarterly YTD'!AB9+-6.357</f>
        <v>-1.895</v>
      </c>
      <c r="AL9" s="11">
        <f>I9-'Quarterly YTD'!AC9</f>
        <v>-165.754</v>
      </c>
      <c r="AM9" s="0">
        <v>-1.113</v>
      </c>
      <c r="AN9" s="11">
        <f>'Quarterly YTD'!AF9-AM9</f>
        <v>-29.25</v>
      </c>
      <c r="AO9" s="12">
        <f t="shared" si="2"/>
        <v>25.2803234501348</v>
      </c>
      <c r="AP9" s="12">
        <f t="shared" si="3"/>
        <v>7.21414913957935</v>
      </c>
    </row>
    <row customHeight="1" ht="15">
      <c r="A10" s="9" t="s">
        <v>50</v>
      </c>
      <c r="B10" s="0">
        <v>-2.365</v>
      </c>
      <c r="C10" s="0">
        <v>-3.536</v>
      </c>
      <c r="D10" s="0">
        <v>-7.344</v>
      </c>
      <c r="E10" s="0">
        <v>-5.714</v>
      </c>
      <c r="F10" s="0">
        <v>-13.635</v>
      </c>
      <c r="G10" s="0">
        <v>-3.303</v>
      </c>
      <c r="H10" s="0">
        <v>-12.561</v>
      </c>
      <c r="I10" s="0">
        <v>-4.535</v>
      </c>
      <c r="J10" s="10">
        <f>I10+'Quarterly YTD'!AF10-'Quarterly YTD'!AB10</f>
        <v>-22.55</v>
      </c>
      <c r="K10" s="0">
        <v>-0.407</v>
      </c>
      <c r="L10" s="11">
        <f>'Quarterly YTD'!D10-K10</f>
        <v>-0.346</v>
      </c>
      <c r="M10" s="11">
        <f>'Quarterly YTD'!E10-'Quarterly YTD'!D10</f>
        <v>-0.41</v>
      </c>
      <c r="N10" s="11">
        <f>C10-'Quarterly YTD'!E10</f>
        <v>-2.373</v>
      </c>
      <c r="O10" s="0">
        <v>-0.256</v>
      </c>
      <c r="P10" s="11">
        <f>'Quarterly YTD'!H10-O10</f>
        <v>-2.263</v>
      </c>
      <c r="Q10" s="11">
        <f>'Quarterly YTD'!I10-'Quarterly YTD'!H10</f>
        <v>-1.945</v>
      </c>
      <c r="R10" s="11">
        <f>D10-'Quarterly YTD'!I10</f>
        <v>-2.88</v>
      </c>
      <c r="S10" s="0">
        <v>-0.632</v>
      </c>
      <c r="T10" s="11">
        <f>'Quarterly YTD'!L10-S10</f>
        <v>-0.624</v>
      </c>
      <c r="U10" s="11">
        <f>'Quarterly YTD'!M10-'Quarterly YTD'!L10</f>
        <v>-0.335</v>
      </c>
      <c r="V10" s="11">
        <f>E10-'Quarterly YTD'!M10</f>
        <v>-4.123</v>
      </c>
      <c r="W10" s="0">
        <v>-6.106</v>
      </c>
      <c r="X10" s="11">
        <f>'Quarterly YTD'!P10-W10</f>
        <v>1.916</v>
      </c>
      <c r="Y10" s="11">
        <f>'Quarterly YTD'!Q10-'Quarterly YTD'!P10</f>
        <v>-0.472</v>
      </c>
      <c r="Z10" s="11">
        <f>F10-'Quarterly YTD'!Q10</f>
        <v>-8.973</v>
      </c>
      <c r="AA10" s="0">
        <v>0.017</v>
      </c>
      <c r="AB10" s="11">
        <f>'Quarterly YTD'!T10-AA10</f>
        <v>-1.599</v>
      </c>
      <c r="AC10" s="11">
        <f>'Quarterly YTD'!U10-'Quarterly YTD'!T10</f>
        <v>-0.426</v>
      </c>
      <c r="AD10" s="11">
        <f>G10-'Quarterly YTD'!U10</f>
        <v>-1.295</v>
      </c>
      <c r="AE10" s="0">
        <v>-0.82</v>
      </c>
      <c r="AF10" s="11">
        <f>'Quarterly YTD'!X10-AE10</f>
        <v>-1.506</v>
      </c>
      <c r="AG10" s="11">
        <f>'Quarterly YTD'!Y10-'Quarterly YTD'!X10</f>
        <v>-1.526</v>
      </c>
      <c r="AH10" s="11">
        <f>H10-'Quarterly YTD'!Y10</f>
        <v>-8.709</v>
      </c>
      <c r="AI10" s="0">
        <v>-0.225</v>
      </c>
      <c r="AJ10" s="11">
        <f>'Quarterly YTD'!AB10-AI10</f>
        <v>6.594</v>
      </c>
      <c r="AK10" s="11">
        <f>'Quarterly YTD'!AC10-'Quarterly YTD'!AB10+0.274</f>
        <v>-4.774</v>
      </c>
      <c r="AL10" s="11">
        <f>I10-'Quarterly YTD'!AC10</f>
        <v>-5.856</v>
      </c>
      <c r="AM10" s="0">
        <v>-0.89</v>
      </c>
      <c r="AN10" s="11">
        <f>'Quarterly YTD'!AF10-AM10</f>
        <v>-10.756</v>
      </c>
      <c r="AO10" s="12">
        <f t="shared" si="2"/>
        <v>11.085393258427</v>
      </c>
      <c r="AP10" s="12">
        <f t="shared" si="3"/>
        <v>2.63117986047922</v>
      </c>
    </row>
    <row customHeight="1" ht="15">
      <c r="A11" s="9" t="s">
        <v>51</v>
      </c>
      <c r="B11" s="0">
        <v>0.016</v>
      </c>
      <c r="C11" s="0">
        <v>1.29</v>
      </c>
      <c r="D11" s="0">
        <v>12.021</v>
      </c>
      <c r="E11" s="0">
        <v>38.199</v>
      </c>
      <c r="F11" s="0">
        <v>27.045</v>
      </c>
      <c r="G11" s="0">
        <v>36.603</v>
      </c>
      <c r="H11" s="0">
        <v>3.219</v>
      </c>
      <c r="I11" s="0">
        <v>17.514</v>
      </c>
      <c r="J11" s="10">
        <f>I11+'Quarterly YTD'!AF11-'Quarterly YTD'!AB11</f>
        <v>26.043</v>
      </c>
      <c r="K11" s="0">
        <v>0.657</v>
      </c>
      <c r="L11" s="11">
        <f>'Quarterly YTD'!D11-K11</f>
        <v>-0.068</v>
      </c>
      <c r="M11" s="11">
        <f>'Quarterly YTD'!E11-'Quarterly YTD'!D11</f>
        <v>-0.132</v>
      </c>
      <c r="N11" s="11">
        <f>C11-'Quarterly YTD'!E11</f>
        <v>0.833</v>
      </c>
      <c r="O11" s="0">
        <v>0.377</v>
      </c>
      <c r="P11" s="11">
        <f>'Quarterly YTD'!H11-O11</f>
        <v>6.823</v>
      </c>
      <c r="Q11" s="11">
        <f>'Quarterly YTD'!I11-'Quarterly YTD'!H11</f>
        <v>3.439</v>
      </c>
      <c r="R11" s="11">
        <f>D11-'Quarterly YTD'!I11</f>
        <v>1.382</v>
      </c>
      <c r="S11" s="0">
        <v>13.473</v>
      </c>
      <c r="T11" s="11">
        <f>'Quarterly YTD'!L11-S11</f>
        <v>10.821</v>
      </c>
      <c r="U11" s="11">
        <f>'Quarterly YTD'!M11-'Quarterly YTD'!L11</f>
        <v>6.019</v>
      </c>
      <c r="V11" s="11">
        <f>E11-'Quarterly YTD'!M11</f>
        <v>7.886</v>
      </c>
      <c r="W11" s="0">
        <v>19.732</v>
      </c>
      <c r="X11" s="11">
        <f>'Quarterly YTD'!P11-W11</f>
        <v>7.784</v>
      </c>
      <c r="Y11" s="11">
        <f>'Quarterly YTD'!Q11-'Quarterly YTD'!P11</f>
        <v>14.526</v>
      </c>
      <c r="Z11" s="11">
        <f>F11-'Quarterly YTD'!Q11</f>
        <v>-14.997</v>
      </c>
      <c r="AA11" s="0">
        <v>3.463</v>
      </c>
      <c r="AB11" s="11">
        <f>'Quarterly YTD'!T11-AA11</f>
        <v>3.992</v>
      </c>
      <c r="AC11" s="11">
        <f>'Quarterly YTD'!U11-'Quarterly YTD'!T11</f>
        <v>7.368</v>
      </c>
      <c r="AD11" s="11">
        <f>G11-'Quarterly YTD'!U11</f>
        <v>21.78</v>
      </c>
      <c r="AE11" s="0">
        <v>10.448</v>
      </c>
      <c r="AF11" s="11">
        <f>'Quarterly YTD'!X11-AE11</f>
        <v>5.899</v>
      </c>
      <c r="AG11" s="11">
        <f>'Quarterly YTD'!Y11-'Quarterly YTD'!X11</f>
        <v>2.2</v>
      </c>
      <c r="AH11" s="11">
        <f>H11-'Quarterly YTD'!Y11</f>
        <v>-15.328</v>
      </c>
      <c r="AI11" s="0">
        <v>-1.645</v>
      </c>
      <c r="AJ11" s="11">
        <f>'Quarterly YTD'!AB11-AI11</f>
        <v>3.756</v>
      </c>
      <c r="AK11" s="11">
        <f>'Quarterly YTD'!AC11-'Quarterly YTD'!AB11+-2.995</f>
        <v>4.889</v>
      </c>
      <c r="AL11" s="11">
        <f>I11-'Quarterly YTD'!AC11</f>
        <v>7.519</v>
      </c>
      <c r="AM11" s="0">
        <v>1.756</v>
      </c>
      <c r="AN11" s="11">
        <f>'Quarterly YTD'!AF11-AM11</f>
        <v>8.884</v>
      </c>
      <c r="AO11" s="12">
        <f t="shared" si="0"/>
        <v>4.05922551252847</v>
      </c>
      <c r="AP11" s="12">
        <f t="shared" si="1"/>
        <v>1.36528221512247</v>
      </c>
    </row>
    <row customHeight="1" ht="15">
      <c r="A12" s="4" t="s">
        <v>52</v>
      </c>
      <c r="B12" s="7">
        <f t="shared" si="4" ref="B12:AN164">SUM(B3:B11)</f>
        <v>14.538</v>
      </c>
      <c r="C12" s="7">
        <f t="shared" si="4"/>
        <v>25.767</v>
      </c>
      <c r="D12" s="7">
        <f t="shared" si="4"/>
        <v>-18.235</v>
      </c>
      <c r="E12" s="7">
        <f t="shared" si="4"/>
        <v>79.97</v>
      </c>
      <c r="F12" s="7">
        <f t="shared" si="4"/>
        <v>161.977</v>
      </c>
      <c r="G12" s="7">
        <f t="shared" si="4"/>
        <v>159.657</v>
      </c>
      <c r="H12" s="7">
        <f t="shared" si="4"/>
        <v>93.1049999999998</v>
      </c>
      <c r="I12" s="7">
        <f t="shared" si="4"/>
        <v>-66.4960000000002</v>
      </c>
      <c r="J12" s="6">
        <f>I12+'Quarterly YTD'!AF12-'Quarterly YTD'!AB12</f>
        <v>-153.125</v>
      </c>
      <c r="K12" s="7">
        <f t="shared" si="4"/>
        <v>2.20099999999999</v>
      </c>
      <c r="L12" s="7">
        <f t="shared" si="4"/>
        <v>4.721</v>
      </c>
      <c r="M12" s="7">
        <f t="shared" si="4"/>
        <v>3.55399999999999</v>
      </c>
      <c r="N12" s="7">
        <f t="shared" si="4"/>
        <v>15.291</v>
      </c>
      <c r="O12" s="7">
        <f t="shared" si="4"/>
        <v>3.43800000000004</v>
      </c>
      <c r="P12" s="7">
        <f t="shared" si="4"/>
        <v>9.61100000000003</v>
      </c>
      <c r="Q12" s="7">
        <f t="shared" si="4"/>
        <v>-9.67700000000001</v>
      </c>
      <c r="R12" s="7">
        <f t="shared" si="4"/>
        <v>-21.607</v>
      </c>
      <c r="S12" s="7">
        <f t="shared" si="4"/>
        <v>12.025</v>
      </c>
      <c r="T12" s="7">
        <f t="shared" si="4"/>
        <v>16.1</v>
      </c>
      <c r="U12" s="7">
        <f t="shared" si="4"/>
        <v>36.865</v>
      </c>
      <c r="V12" s="7">
        <f t="shared" si="4"/>
        <v>14.98</v>
      </c>
      <c r="W12" s="7">
        <f t="shared" si="4"/>
        <v>8.32900000000001</v>
      </c>
      <c r="X12" s="7">
        <f t="shared" si="4"/>
        <v>47.127</v>
      </c>
      <c r="Y12" s="7">
        <f t="shared" si="4"/>
        <v>94.576</v>
      </c>
      <c r="Z12" s="7">
        <f t="shared" si="4"/>
        <v>11.945</v>
      </c>
      <c r="AA12" s="7">
        <f t="shared" si="4"/>
        <v>-18.728</v>
      </c>
      <c r="AB12" s="7">
        <f t="shared" si="4"/>
        <v>61.472</v>
      </c>
      <c r="AC12" s="7">
        <f t="shared" si="4"/>
        <v>118.032</v>
      </c>
      <c r="AD12" s="7">
        <f t="shared" si="4"/>
        <v>-1.11900000000008</v>
      </c>
      <c r="AE12" s="7">
        <f t="shared" si="4"/>
        <v>-69.348</v>
      </c>
      <c r="AF12" s="7">
        <f t="shared" si="4"/>
        <v>77.078</v>
      </c>
      <c r="AG12" s="7">
        <f t="shared" si="4"/>
        <v>133.964</v>
      </c>
      <c r="AH12" s="7">
        <f t="shared" si="4"/>
        <v>-48.589</v>
      </c>
      <c r="AI12" s="7">
        <f t="shared" si="4"/>
        <v>-62.305</v>
      </c>
      <c r="AJ12" s="7">
        <f t="shared" si="4"/>
        <v>77.535</v>
      </c>
      <c r="AK12" s="7">
        <f t="shared" si="4"/>
        <v>119.222</v>
      </c>
      <c r="AL12" s="7">
        <f t="shared" si="4"/>
        <v>-118.207</v>
      </c>
      <c r="AM12" s="7">
        <f t="shared" si="4"/>
        <v>-45.252</v>
      </c>
      <c r="AN12" s="7">
        <f t="shared" si="4"/>
        <v>-26.147</v>
      </c>
      <c r="AO12" s="8">
        <f t="shared" si="0"/>
        <v>0.422191284363122</v>
      </c>
      <c r="AP12" s="8">
        <f t="shared" si="1"/>
        <v>-1.33722834848778</v>
      </c>
    </row>
    <row customHeight="1" ht="15">
      <c r="A13" s="9" t="s">
        <v>53</v>
      </c>
      <c r="B13" s="0">
        <v>0.067</v>
      </c>
      <c r="C13" s="0">
        <v>3.05</v>
      </c>
      <c r="D13" s="0">
        <v>12.271</v>
      </c>
      <c r="E13" s="0">
        <v>2.919</v>
      </c>
      <c r="F13" s="0">
        <v>3.901</v>
      </c>
      <c r="G13" s="0">
        <v>24.747</v>
      </c>
      <c r="H13" s="0">
        <v>58.254</v>
      </c>
      <c r="I13" s="0">
        <v>15.295</v>
      </c>
      <c r="J13" s="10">
        <f>I13+'Quarterly YTD'!AF13-'Quarterly YTD'!AB13</f>
        <v>-2.247</v>
      </c>
      <c r="K13" s="0">
        <v>0.003</v>
      </c>
      <c r="L13" s="11">
        <f>'Quarterly YTD'!D13-K13</f>
        <v>0.029</v>
      </c>
      <c r="M13" s="11">
        <f>'Quarterly YTD'!E13-'Quarterly YTD'!D13</f>
        <v>0.324</v>
      </c>
      <c r="N13" s="11">
        <f>C13-'Quarterly YTD'!E13</f>
        <v>2.694</v>
      </c>
      <c r="O13" s="0">
        <v>1.059</v>
      </c>
      <c r="P13" s="11">
        <f>'Quarterly YTD'!H13-O13</f>
        <v>4.12</v>
      </c>
      <c r="Q13" s="11">
        <f>'Quarterly YTD'!I13-'Quarterly YTD'!H13</f>
        <v>-0.444</v>
      </c>
      <c r="R13" s="11">
        <f>D13-'Quarterly YTD'!I13</f>
        <v>7.536</v>
      </c>
      <c r="S13" s="0">
        <v>2.403</v>
      </c>
      <c r="T13" s="11">
        <f>'Quarterly YTD'!L13-S13</f>
        <v>0.767</v>
      </c>
      <c r="U13" s="11">
        <f>'Quarterly YTD'!M13-'Quarterly YTD'!L13</f>
        <v>-0.503</v>
      </c>
      <c r="V13" s="11">
        <f>E13-'Quarterly YTD'!M13</f>
        <v>0.252</v>
      </c>
      <c r="W13" s="0">
        <v>0.094</v>
      </c>
      <c r="X13" s="11">
        <f>'Quarterly YTD'!P13-W13</f>
        <v>0.098</v>
      </c>
      <c r="Y13" s="11">
        <f>'Quarterly YTD'!Q13-'Quarterly YTD'!P13</f>
        <v>2.105</v>
      </c>
      <c r="Z13" s="11">
        <f>F13-'Quarterly YTD'!Q13</f>
        <v>1.604</v>
      </c>
      <c r="AA13" s="0">
        <v>6.358</v>
      </c>
      <c r="AB13" s="11">
        <f>'Quarterly YTD'!T13-AA13</f>
        <v>0.726</v>
      </c>
      <c r="AC13" s="11">
        <f>'Quarterly YTD'!U13-'Quarterly YTD'!T13</f>
        <v>-2.508</v>
      </c>
      <c r="AD13" s="11">
        <f>G13-'Quarterly YTD'!U13</f>
        <v>20.171</v>
      </c>
      <c r="AE13" s="0">
        <v>0.593</v>
      </c>
      <c r="AF13" s="11">
        <f>'Quarterly YTD'!X13-AE13</f>
        <v>54.219</v>
      </c>
      <c r="AG13" s="11">
        <f>'Quarterly YTD'!Y13-'Quarterly YTD'!X13</f>
        <v>9.149</v>
      </c>
      <c r="AH13" s="11">
        <f>H13-'Quarterly YTD'!Y13</f>
        <v>-5.707</v>
      </c>
      <c r="AI13" s="0">
        <v>7.109</v>
      </c>
      <c r="AJ13" s="11">
        <f>'Quarterly YTD'!AB13-AI13</f>
        <v>11.567</v>
      </c>
      <c r="AK13" s="11">
        <f>'Quarterly YTD'!AC13-'Quarterly YTD'!AB13+-2.071</f>
        <v>0.33</v>
      </c>
      <c r="AL13" s="11">
        <f>I13-'Quarterly YTD'!AC13</f>
        <v>-5.782</v>
      </c>
      <c r="AM13" s="0">
        <v>0.412</v>
      </c>
      <c r="AN13" s="11">
        <f>'Quarterly YTD'!AF13-AM13</f>
        <v>0.722</v>
      </c>
      <c r="AO13" s="12">
        <f t="shared" si="0"/>
        <v>0.75242718446602</v>
      </c>
      <c r="AP13" s="12">
        <f t="shared" si="1"/>
        <v>-0.937581049537477</v>
      </c>
    </row>
    <row customHeight="1" ht="15">
      <c r="A14" s="9" t="s">
        <v>54</v>
      </c>
      <c r="B14" s="0">
        <v>-1.962</v>
      </c>
      <c r="C14" s="0">
        <v>-9.948</v>
      </c>
      <c r="D14" s="0">
        <v>-38.655</v>
      </c>
      <c r="E14" s="0">
        <v>-39.719</v>
      </c>
      <c r="F14" s="0">
        <v>-83.341</v>
      </c>
      <c r="G14" s="0">
        <v>-114.979</v>
      </c>
      <c r="H14" s="0">
        <v>-92.387</v>
      </c>
      <c r="I14" s="0">
        <v>-93.369</v>
      </c>
      <c r="J14" s="10">
        <f>I14+'Quarterly YTD'!AF14-'Quarterly YTD'!AB14</f>
        <v>-97.204</v>
      </c>
      <c r="K14" s="0">
        <v>-1.155</v>
      </c>
      <c r="L14" s="11">
        <f>'Quarterly YTD'!D14-K14</f>
        <v>-0.876</v>
      </c>
      <c r="M14" s="11">
        <f>'Quarterly YTD'!E14-'Quarterly YTD'!D14</f>
        <v>-1.34</v>
      </c>
      <c r="N14" s="11">
        <f>C14-'Quarterly YTD'!E14</f>
        <v>-6.577</v>
      </c>
      <c r="O14" s="0">
        <v>-10.943</v>
      </c>
      <c r="P14" s="11">
        <f>'Quarterly YTD'!H14-O14</f>
        <v>-9.827</v>
      </c>
      <c r="Q14" s="11">
        <f>'Quarterly YTD'!I14-'Quarterly YTD'!H14</f>
        <v>-10.166</v>
      </c>
      <c r="R14" s="11">
        <f>D14-'Quarterly YTD'!I14</f>
        <v>-7.719</v>
      </c>
      <c r="S14" s="0">
        <v>-8.494</v>
      </c>
      <c r="T14" s="11">
        <f>'Quarterly YTD'!L14-S14</f>
        <v>-7.849</v>
      </c>
      <c r="U14" s="11">
        <f>'Quarterly YTD'!M14-'Quarterly YTD'!L14</f>
        <v>-10.5</v>
      </c>
      <c r="V14" s="11">
        <f>E14-'Quarterly YTD'!M14</f>
        <v>-12.876</v>
      </c>
      <c r="W14" s="0">
        <v>-18.259</v>
      </c>
      <c r="X14" s="11">
        <f>'Quarterly YTD'!P14-W14</f>
        <v>-22.488</v>
      </c>
      <c r="Y14" s="11">
        <f>'Quarterly YTD'!Q14-'Quarterly YTD'!P14</f>
        <v>-35.845</v>
      </c>
      <c r="Z14" s="11">
        <f>F14-'Quarterly YTD'!Q14</f>
        <v>-6.749</v>
      </c>
      <c r="AA14" s="0">
        <v>-24.175</v>
      </c>
      <c r="AB14" s="11">
        <f>'Quarterly YTD'!T14-AA14</f>
        <v>-26.558</v>
      </c>
      <c r="AC14" s="11">
        <f>'Quarterly YTD'!U14-'Quarterly YTD'!T14</f>
        <v>-34.404</v>
      </c>
      <c r="AD14" s="11">
        <f>G14-'Quarterly YTD'!U14</f>
        <v>-29.842</v>
      </c>
      <c r="AE14" s="0">
        <v>-41.744</v>
      </c>
      <c r="AF14" s="11">
        <f>'Quarterly YTD'!X14-AE14</f>
        <v>-27.3</v>
      </c>
      <c r="AG14" s="11">
        <f>'Quarterly YTD'!Y14-'Quarterly YTD'!X14</f>
        <v>-35.932</v>
      </c>
      <c r="AH14" s="11">
        <f>H14-'Quarterly YTD'!Y14</f>
        <v>12.589</v>
      </c>
      <c r="AI14" s="0">
        <v>-23.988</v>
      </c>
      <c r="AJ14" s="11">
        <f>'Quarterly YTD'!AB14-AI14</f>
        <v>-16.27</v>
      </c>
      <c r="AK14" s="11">
        <f>'Quarterly YTD'!AC14-'Quarterly YTD'!AB14+25.892</f>
        <v>-27.691</v>
      </c>
      <c r="AL14" s="11">
        <f>I14-'Quarterly YTD'!AC14</f>
        <v>0.471999999999994</v>
      </c>
      <c r="AM14" s="0">
        <v>-23.556</v>
      </c>
      <c r="AN14" s="11">
        <f>'Quarterly YTD'!AF14-AM14</f>
        <v>-20.537</v>
      </c>
      <c r="AO14" s="12">
        <f t="shared" si="2"/>
        <v>-0.128162676175921</v>
      </c>
      <c r="AP14" s="12">
        <f t="shared" si="3"/>
        <v>0.262261831591887</v>
      </c>
    </row>
    <row customHeight="1" ht="15">
      <c r="A15" s="9" t="s">
        <v>55</v>
      </c>
      <c r="B15" s="11">
        <f t="shared" si="5" ref="B15:AN238">SUM(B13:B14)</f>
        <v>-1.895</v>
      </c>
      <c r="C15" s="11">
        <f t="shared" si="5"/>
        <v>-6.898</v>
      </c>
      <c r="D15" s="11">
        <f t="shared" si="5"/>
        <v>-26.384</v>
      </c>
      <c r="E15" s="11">
        <f t="shared" si="5"/>
        <v>-36.8</v>
      </c>
      <c r="F15" s="11">
        <f t="shared" si="5"/>
        <v>-79.44</v>
      </c>
      <c r="G15" s="11">
        <f t="shared" si="5"/>
        <v>-90.232</v>
      </c>
      <c r="H15" s="11">
        <f t="shared" si="5"/>
        <v>-34.133</v>
      </c>
      <c r="I15" s="11">
        <f t="shared" si="5"/>
        <v>-78.074</v>
      </c>
      <c r="J15" s="10">
        <f t="shared" si="5"/>
        <v>-99.451</v>
      </c>
      <c r="K15" s="11">
        <f t="shared" si="5"/>
        <v>-1.152</v>
      </c>
      <c r="L15" s="11">
        <f t="shared" si="5"/>
        <v>-0.847</v>
      </c>
      <c r="M15" s="11">
        <f t="shared" si="5"/>
        <v>-1.016</v>
      </c>
      <c r="N15" s="11">
        <f t="shared" si="5"/>
        <v>-3.883</v>
      </c>
      <c r="O15" s="11">
        <f t="shared" si="5"/>
        <v>-9.884</v>
      </c>
      <c r="P15" s="11">
        <f t="shared" si="5"/>
        <v>-5.707</v>
      </c>
      <c r="Q15" s="11">
        <f t="shared" si="5"/>
        <v>-10.61</v>
      </c>
      <c r="R15" s="11">
        <f t="shared" si="5"/>
        <v>-0.183</v>
      </c>
      <c r="S15" s="11">
        <f t="shared" si="5"/>
        <v>-6.091</v>
      </c>
      <c r="T15" s="11">
        <f t="shared" si="5"/>
        <v>-7.082</v>
      </c>
      <c r="U15" s="11">
        <f t="shared" si="5"/>
        <v>-11.003</v>
      </c>
      <c r="V15" s="11">
        <f t="shared" si="5"/>
        <v>-12.624</v>
      </c>
      <c r="W15" s="11">
        <f t="shared" si="5"/>
        <v>-18.165</v>
      </c>
      <c r="X15" s="11">
        <f t="shared" si="5"/>
        <v>-22.39</v>
      </c>
      <c r="Y15" s="11">
        <f t="shared" si="5"/>
        <v>-33.74</v>
      </c>
      <c r="Z15" s="11">
        <f t="shared" si="5"/>
        <v>-5.145</v>
      </c>
      <c r="AA15" s="11">
        <f t="shared" si="5"/>
        <v>-17.817</v>
      </c>
      <c r="AB15" s="11">
        <f t="shared" si="5"/>
        <v>-25.832</v>
      </c>
      <c r="AC15" s="11">
        <f t="shared" si="5"/>
        <v>-36.912</v>
      </c>
      <c r="AD15" s="11">
        <f t="shared" si="5"/>
        <v>-9.671</v>
      </c>
      <c r="AE15" s="11">
        <f t="shared" si="5"/>
        <v>-41.151</v>
      </c>
      <c r="AF15" s="11">
        <f t="shared" si="5"/>
        <v>26.919</v>
      </c>
      <c r="AG15" s="11">
        <f t="shared" si="5"/>
        <v>-26.783</v>
      </c>
      <c r="AH15" s="11">
        <f t="shared" si="5"/>
        <v>6.882</v>
      </c>
      <c r="AI15" s="11">
        <f t="shared" si="5"/>
        <v>-16.879</v>
      </c>
      <c r="AJ15" s="11">
        <f t="shared" si="5"/>
        <v>-4.703</v>
      </c>
      <c r="AK15" s="11">
        <f t="shared" si="5"/>
        <v>-27.361</v>
      </c>
      <c r="AL15" s="11">
        <f t="shared" si="5"/>
        <v>-5.31</v>
      </c>
      <c r="AM15" s="11">
        <f t="shared" si="5"/>
        <v>-23.144</v>
      </c>
      <c r="AN15" s="11">
        <f t="shared" si="5"/>
        <v>-19.815</v>
      </c>
      <c r="AO15" s="12">
        <f t="shared" si="2"/>
        <v>-0.143838575872796</v>
      </c>
      <c r="AP15" s="12">
        <f t="shared" si="3"/>
        <v>3.21326812672762</v>
      </c>
    </row>
    <row customHeight="1" ht="15">
      <c r="A16" s="9" t="s">
        <v>56</v>
      </c>
      <c r="B16" s="0">
        <v>0</v>
      </c>
      <c r="C16" s="0">
        <v>-1.027</v>
      </c>
      <c r="D16" s="0">
        <v>-1.19</v>
      </c>
      <c r="E16" s="0">
        <v>1.458</v>
      </c>
      <c r="F16" s="0">
        <v>-55.091</v>
      </c>
      <c r="G16" s="0">
        <v>2.706</v>
      </c>
      <c r="H16" s="0">
        <v>0.013</v>
      </c>
      <c r="I16" s="0">
        <v>-0.255</v>
      </c>
      <c r="J16" s="10">
        <f>I16+'Quarterly YTD'!AF16-'Quarterly YTD'!AB16</f>
        <v>-0.262</v>
      </c>
      <c r="K16" s="0">
        <v>-0.054</v>
      </c>
      <c r="L16" s="11">
        <f>'Quarterly YTD'!D16-K16</f>
        <v>-0.025</v>
      </c>
      <c r="M16" s="11">
        <f>'Quarterly YTD'!E16-'Quarterly YTD'!D16</f>
        <v>-0.859</v>
      </c>
      <c r="N16" s="11">
        <f>C16-'Quarterly YTD'!E16</f>
        <v>-0.089</v>
      </c>
      <c r="O16" s="0">
        <v>0.84</v>
      </c>
      <c r="P16" s="11">
        <f>'Quarterly YTD'!H16-O16</f>
        <v>1.009</v>
      </c>
      <c r="Q16" s="11">
        <f>'Quarterly YTD'!I16-'Quarterly YTD'!H16</f>
        <v>1.562</v>
      </c>
      <c r="R16" s="11">
        <f>D16-'Quarterly YTD'!I16</f>
        <v>-4.601</v>
      </c>
      <c r="S16" s="0">
        <v>0.022</v>
      </c>
      <c r="T16" s="11">
        <f>'Quarterly YTD'!L16-S16</f>
        <v>-0.004</v>
      </c>
      <c r="U16" s="11">
        <f>'Quarterly YTD'!M16-'Quarterly YTD'!L16</f>
        <v>-0.067</v>
      </c>
      <c r="V16" s="11">
        <f>E16-'Quarterly YTD'!M16</f>
        <v>1.507</v>
      </c>
      <c r="W16" s="0">
        <v>0.023</v>
      </c>
      <c r="X16" s="11">
        <f>'Quarterly YTD'!P16-W16</f>
        <v>-0.03</v>
      </c>
      <c r="Y16" s="11">
        <f>'Quarterly YTD'!Q16-'Quarterly YTD'!P16</f>
        <v>-0.006</v>
      </c>
      <c r="Z16" s="11">
        <f>F16-'Quarterly YTD'!Q16</f>
        <v>-55.078</v>
      </c>
      <c r="AA16" s="0">
        <v>0.004</v>
      </c>
      <c r="AB16" s="11">
        <f>'Quarterly YTD'!T16-AA16</f>
        <v>2.093</v>
      </c>
      <c r="AC16" s="11">
        <f>'Quarterly YTD'!U16-'Quarterly YTD'!T16</f>
        <v>0.381</v>
      </c>
      <c r="AD16" s="11">
        <f>G16-'Quarterly YTD'!U16</f>
        <v>0.228</v>
      </c>
      <c r="AE16" s="0">
        <v>0.004</v>
      </c>
      <c r="AF16" s="11">
        <f>'Quarterly YTD'!X16-AE16</f>
        <v>0</v>
      </c>
      <c r="AG16" s="11">
        <f>'Quarterly YTD'!Y16-'Quarterly YTD'!X16</f>
        <v>0.001</v>
      </c>
      <c r="AH16" s="11">
        <f>H16-'Quarterly YTD'!Y16</f>
        <v>0.008</v>
      </c>
      <c r="AI16" s="0">
        <v>0</v>
      </c>
      <c r="AJ16" s="11">
        <f>'Quarterly YTD'!AB16-AI16</f>
        <v>0.012</v>
      </c>
      <c r="AK16" s="11">
        <f>'Quarterly YTD'!AC16-'Quarterly YTD'!AB16</f>
        <v>0</v>
      </c>
      <c r="AL16" s="11">
        <f>I16-'Quarterly YTD'!AC16</f>
        <v>-0.267</v>
      </c>
      <c r="AM16" s="0">
        <v>0</v>
      </c>
      <c r="AN16" s="11">
        <f>'Quarterly YTD'!AF16-AM16</f>
        <v>0.005</v>
      </c>
      <c r="AO16" s="12" t="str">
        <f t="shared" si="0"/>
        <v>NM</v>
      </c>
      <c r="AP16" s="12">
        <f t="shared" si="1"/>
        <v>-0.583333333333333</v>
      </c>
    </row>
    <row customHeight="1" ht="15">
      <c r="A17" s="9" t="s">
        <v>58</v>
      </c>
      <c r="B17" s="11">
        <f t="shared" si="6" ref="B17:AN17">B12+SUM(B15:B16)</f>
        <v>12.643</v>
      </c>
      <c r="C17" s="11">
        <f t="shared" si="6"/>
        <v>17.842</v>
      </c>
      <c r="D17" s="11">
        <f t="shared" si="6"/>
        <v>-45.809</v>
      </c>
      <c r="E17" s="11">
        <f t="shared" si="6"/>
        <v>44.628</v>
      </c>
      <c r="F17" s="11">
        <f t="shared" si="6"/>
        <v>27.446</v>
      </c>
      <c r="G17" s="11">
        <f t="shared" si="6"/>
        <v>72.131</v>
      </c>
      <c r="H17" s="11">
        <f t="shared" si="6"/>
        <v>58.9849999999998</v>
      </c>
      <c r="I17" s="11">
        <f t="shared" si="6"/>
        <v>-144.825</v>
      </c>
      <c r="J17" s="10">
        <f t="shared" si="6"/>
        <v>-252.838</v>
      </c>
      <c r="K17" s="11">
        <f t="shared" si="6"/>
        <v>0.99499999999999</v>
      </c>
      <c r="L17" s="11">
        <f t="shared" si="6"/>
        <v>3.849</v>
      </c>
      <c r="M17" s="11">
        <f t="shared" si="6"/>
        <v>1.67899999999999</v>
      </c>
      <c r="N17" s="11">
        <f t="shared" si="6"/>
        <v>11.319</v>
      </c>
      <c r="O17" s="11">
        <f t="shared" si="6"/>
        <v>-5.60599999999996</v>
      </c>
      <c r="P17" s="11">
        <f t="shared" si="6"/>
        <v>4.91300000000003</v>
      </c>
      <c r="Q17" s="11">
        <f t="shared" si="6"/>
        <v>-18.725</v>
      </c>
      <c r="R17" s="11">
        <f t="shared" si="6"/>
        <v>-26.391</v>
      </c>
      <c r="S17" s="11">
        <f t="shared" si="6"/>
        <v>5.956</v>
      </c>
      <c r="T17" s="11">
        <f t="shared" si="6"/>
        <v>9.014</v>
      </c>
      <c r="U17" s="11">
        <f t="shared" si="6"/>
        <v>25.795</v>
      </c>
      <c r="V17" s="11">
        <f t="shared" si="6"/>
        <v>3.863</v>
      </c>
      <c r="W17" s="11">
        <f t="shared" si="6"/>
        <v>-9.81299999999999</v>
      </c>
      <c r="X17" s="11">
        <f t="shared" si="6"/>
        <v>24.707</v>
      </c>
      <c r="Y17" s="11">
        <f t="shared" si="6"/>
        <v>60.83</v>
      </c>
      <c r="Z17" s="11">
        <f t="shared" si="6"/>
        <v>-48.278</v>
      </c>
      <c r="AA17" s="11">
        <f t="shared" si="6"/>
        <v>-36.541</v>
      </c>
      <c r="AB17" s="11">
        <f t="shared" si="6"/>
        <v>37.733</v>
      </c>
      <c r="AC17" s="11">
        <f t="shared" si="6"/>
        <v>81.501</v>
      </c>
      <c r="AD17" s="11">
        <f t="shared" si="6"/>
        <v>-10.5620000000001</v>
      </c>
      <c r="AE17" s="11">
        <f t="shared" si="6"/>
        <v>-110.495</v>
      </c>
      <c r="AF17" s="11">
        <f t="shared" si="6"/>
        <v>103.997</v>
      </c>
      <c r="AG17" s="11">
        <f t="shared" si="6"/>
        <v>107.182</v>
      </c>
      <c r="AH17" s="11">
        <f t="shared" si="6"/>
        <v>-41.699</v>
      </c>
      <c r="AI17" s="11">
        <f t="shared" si="6"/>
        <v>-79.184</v>
      </c>
      <c r="AJ17" s="11">
        <f t="shared" si="6"/>
        <v>72.844</v>
      </c>
      <c r="AK17" s="11">
        <f t="shared" si="6"/>
        <v>91.861</v>
      </c>
      <c r="AL17" s="11">
        <f t="shared" si="6"/>
        <v>-123.784</v>
      </c>
      <c r="AM17" s="11">
        <f t="shared" si="6"/>
        <v>-68.396</v>
      </c>
      <c r="AN17" s="11">
        <f t="shared" si="6"/>
        <v>-45.957</v>
      </c>
      <c r="AO17" s="12">
        <f t="shared" si="0"/>
        <v>0.328074741212936</v>
      </c>
      <c r="AP17" s="12">
        <f t="shared" si="1"/>
        <v>-1.63089616166053</v>
      </c>
    </row>
    <row customHeight="1" ht="15">
      <c r="A18" s="9" t="s">
        <v>59</v>
      </c>
      <c r="B18" s="0">
        <v>-2.952</v>
      </c>
      <c r="C18" s="0">
        <v>-5.712</v>
      </c>
      <c r="D18" s="0">
        <v>-5.796</v>
      </c>
      <c r="E18" s="0">
        <v>-10.26</v>
      </c>
      <c r="F18" s="0">
        <v>-15.779</v>
      </c>
      <c r="G18" s="0">
        <v>-3.945</v>
      </c>
      <c r="H18" s="0">
        <v>-4.73</v>
      </c>
      <c r="I18" s="0">
        <v>-0.124</v>
      </c>
      <c r="J18" s="10">
        <f>I18+'Quarterly YTD'!AF18-'Quarterly YTD'!AB18</f>
        <v>9.975</v>
      </c>
      <c r="K18" s="0">
        <v>-0.408</v>
      </c>
      <c r="L18" s="11">
        <f>'Quarterly YTD'!D18-K18</f>
        <v>-0.799</v>
      </c>
      <c r="M18" s="11">
        <f>'Quarterly YTD'!E18-'Quarterly YTD'!D18</f>
        <v>-0.529</v>
      </c>
      <c r="N18" s="11">
        <f>C18-'Quarterly YTD'!E18</f>
        <v>-3.976</v>
      </c>
      <c r="O18" s="0">
        <v>-1.795</v>
      </c>
      <c r="P18" s="11">
        <f>'Quarterly YTD'!H18-O18</f>
        <v>-4.259</v>
      </c>
      <c r="Q18" s="11">
        <f>'Quarterly YTD'!I18-'Quarterly YTD'!H18</f>
        <v>0.902</v>
      </c>
      <c r="R18" s="11">
        <f>D18-'Quarterly YTD'!I18</f>
        <v>-0.644</v>
      </c>
      <c r="S18" s="0">
        <v>-4.202</v>
      </c>
      <c r="T18" s="11">
        <f>'Quarterly YTD'!L18-S18</f>
        <v>3.819</v>
      </c>
      <c r="U18" s="11">
        <f>'Quarterly YTD'!M18-'Quarterly YTD'!L18</f>
        <v>-3.74</v>
      </c>
      <c r="V18" s="11">
        <f>E18-'Quarterly YTD'!M18</f>
        <v>-6.137</v>
      </c>
      <c r="W18" s="0">
        <v>-3.154</v>
      </c>
      <c r="X18" s="11">
        <f>'Quarterly YTD'!P18-W18</f>
        <v>-6.655</v>
      </c>
      <c r="Y18" s="11">
        <f>'Quarterly YTD'!Q18-'Quarterly YTD'!P18</f>
        <v>-10.666</v>
      </c>
      <c r="Z18" s="11">
        <f>F18-'Quarterly YTD'!Q18</f>
        <v>4.696</v>
      </c>
      <c r="AA18" s="0">
        <v>3</v>
      </c>
      <c r="AB18" s="11">
        <f>'Quarterly YTD'!T18-AA18</f>
        <v>-7.123</v>
      </c>
      <c r="AC18" s="11">
        <f>'Quarterly YTD'!U18-'Quarterly YTD'!T18</f>
        <v>-7.781</v>
      </c>
      <c r="AD18" s="11">
        <f>G18-'Quarterly YTD'!U18</f>
        <v>7.959</v>
      </c>
      <c r="AE18" s="0">
        <v>12.94</v>
      </c>
      <c r="AF18" s="11">
        <f>'Quarterly YTD'!X18-AE18</f>
        <v>-7.471</v>
      </c>
      <c r="AG18" s="11">
        <f>'Quarterly YTD'!Y18-'Quarterly YTD'!X18</f>
        <v>-22.827</v>
      </c>
      <c r="AH18" s="11">
        <f>H18-'Quarterly YTD'!Y18</f>
        <v>12.628</v>
      </c>
      <c r="AI18" s="0">
        <v>16.991</v>
      </c>
      <c r="AJ18" s="11">
        <f>'Quarterly YTD'!AB18-AI18</f>
        <v>-15.524</v>
      </c>
      <c r="AK18" s="11">
        <f>'Quarterly YTD'!AC18-'Quarterly YTD'!AB18+-0.41</f>
        <v>-20.878</v>
      </c>
      <c r="AL18" s="11">
        <f>I18-'Quarterly YTD'!AC18</f>
        <v>18.877</v>
      </c>
      <c r="AM18" s="0">
        <v>8.482</v>
      </c>
      <c r="AN18" s="11">
        <f>'Quarterly YTD'!AF18-AM18</f>
        <v>3.084</v>
      </c>
      <c r="AO18" s="12">
        <f t="shared" si="2"/>
        <v>0.63640650789908</v>
      </c>
      <c r="AP18" s="12">
        <f t="shared" si="3"/>
        <v>-1.1986601391394</v>
      </c>
    </row>
    <row customHeight="1" ht="15">
      <c r="A19" s="9" t="s">
        <v>60</v>
      </c>
      <c r="B19" s="11">
        <f t="shared" si="5"/>
        <v>9.691</v>
      </c>
      <c r="C19" s="11">
        <f t="shared" si="5"/>
        <v>12.13</v>
      </c>
      <c r="D19" s="11">
        <f t="shared" si="5"/>
        <v>-51.605</v>
      </c>
      <c r="E19" s="11">
        <f t="shared" si="5"/>
        <v>34.368</v>
      </c>
      <c r="F19" s="11">
        <f t="shared" si="5"/>
        <v>11.667</v>
      </c>
      <c r="G19" s="11">
        <f t="shared" si="5"/>
        <v>68.186</v>
      </c>
      <c r="H19" s="11">
        <f t="shared" si="5"/>
        <v>54.2549999999998</v>
      </c>
      <c r="I19" s="11">
        <f t="shared" si="5"/>
        <v>-144.949</v>
      </c>
      <c r="J19" s="10">
        <f t="shared" si="5"/>
        <v>-242.863</v>
      </c>
      <c r="K19" s="11">
        <f t="shared" si="5"/>
        <v>0.58699999999999</v>
      </c>
      <c r="L19" s="11">
        <f t="shared" si="5"/>
        <v>3.05</v>
      </c>
      <c r="M19" s="11">
        <f t="shared" si="5"/>
        <v>1.15</v>
      </c>
      <c r="N19" s="11">
        <f t="shared" si="5"/>
        <v>7.343</v>
      </c>
      <c r="O19" s="11">
        <f t="shared" si="5"/>
        <v>-7.40099999999996</v>
      </c>
      <c r="P19" s="11">
        <f t="shared" si="5"/>
        <v>0.654000000000029</v>
      </c>
      <c r="Q19" s="11">
        <f t="shared" si="5"/>
        <v>-17.823</v>
      </c>
      <c r="R19" s="11">
        <f t="shared" si="5"/>
        <v>-27.035</v>
      </c>
      <c r="S19" s="11">
        <f t="shared" si="5"/>
        <v>1.754</v>
      </c>
      <c r="T19" s="11">
        <f t="shared" si="5"/>
        <v>12.833</v>
      </c>
      <c r="U19" s="11">
        <f t="shared" si="5"/>
        <v>22.055</v>
      </c>
      <c r="V19" s="11">
        <f t="shared" si="5"/>
        <v>-2.274</v>
      </c>
      <c r="W19" s="11">
        <f t="shared" si="5"/>
        <v>-12.967</v>
      </c>
      <c r="X19" s="11">
        <f t="shared" si="5"/>
        <v>18.052</v>
      </c>
      <c r="Y19" s="11">
        <f t="shared" si="5"/>
        <v>50.164</v>
      </c>
      <c r="Z19" s="11">
        <f t="shared" si="5"/>
        <v>-43.582</v>
      </c>
      <c r="AA19" s="11">
        <f t="shared" si="5"/>
        <v>-33.541</v>
      </c>
      <c r="AB19" s="11">
        <f t="shared" si="5"/>
        <v>30.61</v>
      </c>
      <c r="AC19" s="11">
        <f t="shared" si="5"/>
        <v>73.72</v>
      </c>
      <c r="AD19" s="11">
        <f t="shared" si="5"/>
        <v>-2.6030000000001</v>
      </c>
      <c r="AE19" s="11">
        <f t="shared" si="5"/>
        <v>-97.555</v>
      </c>
      <c r="AF19" s="11">
        <f t="shared" si="5"/>
        <v>96.526</v>
      </c>
      <c r="AG19" s="11">
        <f t="shared" si="5"/>
        <v>84.355</v>
      </c>
      <c r="AH19" s="11">
        <f t="shared" si="5"/>
        <v>-29.071</v>
      </c>
      <c r="AI19" s="11">
        <f t="shared" si="5"/>
        <v>-62.193</v>
      </c>
      <c r="AJ19" s="11">
        <f t="shared" si="5"/>
        <v>57.32</v>
      </c>
      <c r="AK19" s="11">
        <f t="shared" si="5"/>
        <v>70.983</v>
      </c>
      <c r="AL19" s="11">
        <f t="shared" si="5"/>
        <v>-104.907</v>
      </c>
      <c r="AM19" s="11">
        <f t="shared" si="5"/>
        <v>-59.914</v>
      </c>
      <c r="AN19" s="11">
        <f t="shared" si="5"/>
        <v>-42.873</v>
      </c>
      <c r="AO19" s="12">
        <f t="shared" si="0"/>
        <v>0.284424341556231</v>
      </c>
      <c r="AP19" s="12">
        <f t="shared" si="1"/>
        <v>-1.74795882763433</v>
      </c>
    </row>
    <row customHeight="1" ht="15">
      <c r="A20" s="9" t="s">
        <v>61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-116.838</v>
      </c>
      <c r="I20" s="0">
        <v>81.382</v>
      </c>
      <c r="J20" s="10">
        <f>I20+'Quarterly YTD'!AF20-'Quarterly YTD'!AB20</f>
        <v>208.488</v>
      </c>
      <c r="K20" s="0">
        <v>0</v>
      </c>
      <c r="L20" s="11">
        <f>'Quarterly YTD'!D20-K20</f>
        <v>0</v>
      </c>
      <c r="M20" s="11">
        <f>'Quarterly YTD'!E20-'Quarterly YTD'!D20</f>
        <v>0</v>
      </c>
      <c r="N20" s="11">
        <f>C20-'Quarterly YTD'!E20</f>
        <v>0</v>
      </c>
      <c r="O20" s="0">
        <v>0</v>
      </c>
      <c r="P20" s="11">
        <f>'Quarterly YTD'!H20-O20</f>
        <v>0</v>
      </c>
      <c r="Q20" s="11">
        <f>'Quarterly YTD'!I20-'Quarterly YTD'!H20</f>
        <v>0</v>
      </c>
      <c r="R20" s="11">
        <f>D20-'Quarterly YTD'!I20</f>
        <v>0</v>
      </c>
      <c r="S20" s="0">
        <v>0</v>
      </c>
      <c r="T20" s="11">
        <f>'Quarterly YTD'!L20-S20</f>
        <v>0</v>
      </c>
      <c r="U20" s="11">
        <f>'Quarterly YTD'!M20-'Quarterly YTD'!L20</f>
        <v>0</v>
      </c>
      <c r="V20" s="11">
        <f>E20-'Quarterly YTD'!M20</f>
        <v>0</v>
      </c>
      <c r="W20" s="0">
        <v>0</v>
      </c>
      <c r="X20" s="11">
        <f>'Quarterly YTD'!P20-W20</f>
        <v>0</v>
      </c>
      <c r="Y20" s="11">
        <f>'Quarterly YTD'!Q20-'Quarterly YTD'!P20</f>
        <v>0</v>
      </c>
      <c r="Z20" s="11">
        <f>F20-'Quarterly YTD'!Q20</f>
        <v>0</v>
      </c>
      <c r="AA20" s="0">
        <v>0</v>
      </c>
      <c r="AB20" s="11">
        <f>'Quarterly YTD'!T20-AA20</f>
        <v>0</v>
      </c>
      <c r="AC20" s="11">
        <f>'Quarterly YTD'!U20-'Quarterly YTD'!T20</f>
        <v>0</v>
      </c>
      <c r="AD20" s="11">
        <f>G20-'Quarterly YTD'!U20</f>
        <v>0</v>
      </c>
      <c r="AE20" s="0">
        <v>0</v>
      </c>
      <c r="AF20" s="11">
        <f>'Quarterly YTD'!X20-AE20</f>
        <v>0</v>
      </c>
      <c r="AG20" s="11">
        <f>'Quarterly YTD'!Y20-'Quarterly YTD'!X20</f>
        <v>0</v>
      </c>
      <c r="AH20" s="11">
        <f>H20-'Quarterly YTD'!Y20</f>
        <v>-116.838</v>
      </c>
      <c r="AI20" s="0">
        <v>-59.905</v>
      </c>
      <c r="AJ20" s="11">
        <f>'Quarterly YTD'!AB20-AI20</f>
        <v>-46.247</v>
      </c>
      <c r="AK20" s="11">
        <f>'Quarterly YTD'!AC20-'Quarterly YTD'!AB20+-106.152</f>
        <v>0</v>
      </c>
      <c r="AL20" s="11">
        <f>I20-'Quarterly YTD'!AC20</f>
        <v>81.382</v>
      </c>
      <c r="AM20" s="0">
        <v>0</v>
      </c>
      <c r="AN20" s="11">
        <f>'Quarterly YTD'!AF20-AM20</f>
        <v>20.954</v>
      </c>
      <c r="AO20" s="12" t="str">
        <f t="shared" si="0"/>
        <v>NM</v>
      </c>
      <c r="AP20" s="12">
        <f t="shared" si="1"/>
        <v>1.45308884900642</v>
      </c>
    </row>
    <row customHeight="1" ht="15">
      <c r="A21" s="4" t="s">
        <v>60</v>
      </c>
      <c r="B21" s="7">
        <f t="shared" si="5"/>
        <v>9.691</v>
      </c>
      <c r="C21" s="7">
        <f t="shared" si="7" ref="C21:AE21">C19</f>
        <v>12.13</v>
      </c>
      <c r="D21" s="7">
        <f t="shared" si="7"/>
        <v>-51.605</v>
      </c>
      <c r="E21" s="7">
        <f t="shared" si="7"/>
        <v>34.368</v>
      </c>
      <c r="F21" s="7">
        <f t="shared" si="7"/>
        <v>11.667</v>
      </c>
      <c r="G21" s="7">
        <f t="shared" si="7"/>
        <v>68.186</v>
      </c>
      <c r="H21" s="7">
        <f t="shared" si="5"/>
        <v>-62.5830000000002</v>
      </c>
      <c r="I21" s="7">
        <f t="shared" si="5"/>
        <v>-63.567</v>
      </c>
      <c r="J21" s="6">
        <f t="shared" si="5"/>
        <v>-34.375</v>
      </c>
      <c r="K21" s="7">
        <f t="shared" si="7"/>
        <v>0.58699999999999</v>
      </c>
      <c r="L21" s="7">
        <f t="shared" si="5"/>
        <v>3.05</v>
      </c>
      <c r="M21" s="7">
        <f t="shared" si="5"/>
        <v>1.15</v>
      </c>
      <c r="N21" s="7">
        <f t="shared" si="5"/>
        <v>7.343</v>
      </c>
      <c r="O21" s="7">
        <f t="shared" si="7"/>
        <v>-7.40099999999996</v>
      </c>
      <c r="P21" s="7">
        <f t="shared" si="5"/>
        <v>0.654000000000029</v>
      </c>
      <c r="Q21" s="7">
        <f t="shared" si="5"/>
        <v>-17.823</v>
      </c>
      <c r="R21" s="7">
        <f t="shared" si="5"/>
        <v>-27.035</v>
      </c>
      <c r="S21" s="7">
        <f t="shared" si="7"/>
        <v>1.754</v>
      </c>
      <c r="T21" s="7">
        <f t="shared" si="5"/>
        <v>12.833</v>
      </c>
      <c r="U21" s="7">
        <f t="shared" si="5"/>
        <v>22.055</v>
      </c>
      <c r="V21" s="7">
        <f t="shared" si="5"/>
        <v>-2.274</v>
      </c>
      <c r="W21" s="7">
        <f t="shared" si="7"/>
        <v>-12.967</v>
      </c>
      <c r="X21" s="7">
        <f t="shared" si="5"/>
        <v>18.052</v>
      </c>
      <c r="Y21" s="7">
        <f t="shared" si="5"/>
        <v>50.164</v>
      </c>
      <c r="Z21" s="7">
        <f t="shared" si="5"/>
        <v>-43.582</v>
      </c>
      <c r="AA21" s="7">
        <f t="shared" si="7"/>
        <v>-33.541</v>
      </c>
      <c r="AB21" s="7">
        <f t="shared" si="5"/>
        <v>30.61</v>
      </c>
      <c r="AC21" s="7">
        <f t="shared" si="5"/>
        <v>73.72</v>
      </c>
      <c r="AD21" s="7">
        <f t="shared" si="5"/>
        <v>-2.6030000000001</v>
      </c>
      <c r="AE21" s="7">
        <f t="shared" si="7"/>
        <v>-97.555</v>
      </c>
      <c r="AF21" s="7">
        <f t="shared" si="5"/>
        <v>96.526</v>
      </c>
      <c r="AG21" s="7">
        <f t="shared" si="5"/>
        <v>84.355</v>
      </c>
      <c r="AH21" s="7">
        <f t="shared" si="5"/>
        <v>-145.909</v>
      </c>
      <c r="AI21" s="7">
        <f t="shared" si="5"/>
        <v>-122.098</v>
      </c>
      <c r="AJ21" s="7">
        <f t="shared" si="5"/>
        <v>11.073</v>
      </c>
      <c r="AK21" s="7">
        <f t="shared" si="5"/>
        <v>70.983</v>
      </c>
      <c r="AL21" s="7">
        <f t="shared" si="5"/>
        <v>-23.525</v>
      </c>
      <c r="AM21" s="7">
        <f t="shared" si="5"/>
        <v>-59.914</v>
      </c>
      <c r="AN21" s="7">
        <f t="shared" si="5"/>
        <v>-21.919</v>
      </c>
      <c r="AO21" s="8">
        <f t="shared" si="0"/>
        <v>0.634158961177688</v>
      </c>
      <c r="AP21" s="8">
        <f t="shared" si="1"/>
        <v>-2.97949968391583</v>
      </c>
    </row>
    <row customHeight="1" ht="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customHeight="1" ht="15">
      <c r="A23" s="2" t="s">
        <v>62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customHeight="1" ht="15">
      <c r="A24" s="9" t="s">
        <v>60</v>
      </c>
      <c r="B24" s="0">
        <v>9.691</v>
      </c>
      <c r="C24" s="0">
        <v>12.13</v>
      </c>
      <c r="D24" s="0">
        <v>-51.605</v>
      </c>
      <c r="E24" s="0">
        <v>34.368</v>
      </c>
      <c r="F24" s="0">
        <v>11.667</v>
      </c>
      <c r="G24" s="0">
        <v>68.186</v>
      </c>
      <c r="H24" s="0">
        <v>-62.583</v>
      </c>
      <c r="I24" s="0">
        <v>-63.567</v>
      </c>
      <c r="J24" s="10">
        <f>I24+'Quarterly YTD'!AF24-'Quarterly YTD'!AB24</f>
        <v>-34.375</v>
      </c>
      <c r="K24" s="0">
        <v>0.587</v>
      </c>
      <c r="L24" s="11">
        <f>'Quarterly YTD'!D24-K24</f>
        <v>3.05</v>
      </c>
      <c r="M24" s="11">
        <f>'Quarterly YTD'!E24-'Quarterly YTD'!D24</f>
        <v>1.15</v>
      </c>
      <c r="N24" s="11">
        <f>C24-'Quarterly YTD'!E24</f>
        <v>7.343</v>
      </c>
      <c r="O24" s="0">
        <v>-7.401</v>
      </c>
      <c r="P24" s="11">
        <f>'Quarterly YTD'!H24-O24</f>
        <v>0.654</v>
      </c>
      <c r="Q24" s="11">
        <f>'Quarterly YTD'!I24-'Quarterly YTD'!H24</f>
        <v>-17.823</v>
      </c>
      <c r="R24" s="11">
        <f>D24-'Quarterly YTD'!I24</f>
        <v>-27.035</v>
      </c>
      <c r="S24" s="0">
        <v>1.754</v>
      </c>
      <c r="T24" s="11">
        <f>'Quarterly YTD'!L24-S24</f>
        <v>12.833</v>
      </c>
      <c r="U24" s="11">
        <f>'Quarterly YTD'!M24-'Quarterly YTD'!L24</f>
        <v>22.055</v>
      </c>
      <c r="V24" s="11">
        <f>E24-'Quarterly YTD'!M24</f>
        <v>-2.274</v>
      </c>
      <c r="W24" s="0">
        <v>-12.967</v>
      </c>
      <c r="X24" s="11">
        <f>'Quarterly YTD'!P24-W24</f>
        <v>18.052</v>
      </c>
      <c r="Y24" s="11">
        <f>'Quarterly YTD'!Q24-'Quarterly YTD'!P24</f>
        <v>50.164</v>
      </c>
      <c r="Z24" s="11">
        <f>F24-'Quarterly YTD'!Q24</f>
        <v>-43.582</v>
      </c>
      <c r="AA24" s="0">
        <v>-33.541</v>
      </c>
      <c r="AB24" s="11">
        <f>'Quarterly YTD'!T24-AA24</f>
        <v>30.61</v>
      </c>
      <c r="AC24" s="11">
        <f>'Quarterly YTD'!U24-'Quarterly YTD'!T24</f>
        <v>73.72</v>
      </c>
      <c r="AD24" s="11">
        <f>G24-'Quarterly YTD'!U24</f>
        <v>-2.60299999999999</v>
      </c>
      <c r="AE24" s="0">
        <v>-97.555</v>
      </c>
      <c r="AF24" s="11">
        <f>'Quarterly YTD'!X24-AE24</f>
        <v>96.525</v>
      </c>
      <c r="AG24" s="11">
        <f>'Quarterly YTD'!Y24-'Quarterly YTD'!X24</f>
        <v>84.356</v>
      </c>
      <c r="AH24" s="11">
        <f>H24-'Quarterly YTD'!Y24</f>
        <v>-145.909</v>
      </c>
      <c r="AI24" s="0">
        <v>-122.098</v>
      </c>
      <c r="AJ24" s="11">
        <f>'Quarterly YTD'!AB24-AI24</f>
        <v>11.073</v>
      </c>
      <c r="AK24" s="11">
        <f>'Quarterly YTD'!AC24-'Quarterly YTD'!AB24</f>
        <v>70.983</v>
      </c>
      <c r="AL24" s="11">
        <f>I24-'Quarterly YTD'!AC24</f>
        <v>-23.525</v>
      </c>
      <c r="AM24" s="0">
        <v>-59.914</v>
      </c>
      <c r="AN24" s="11">
        <f>'Quarterly YTD'!AF24-AM24</f>
        <v>-21.919</v>
      </c>
      <c r="AO24" s="14"/>
      <c r="AP24" s="14"/>
    </row>
    <row customHeight="1" ht="15">
      <c r="A25" s="9" t="s">
        <v>63</v>
      </c>
      <c r="B25" s="0">
        <v>2.952</v>
      </c>
      <c r="C25" s="0">
        <v>5.712</v>
      </c>
      <c r="D25" s="0">
        <v>5.796</v>
      </c>
      <c r="E25" s="0">
        <v>10.26</v>
      </c>
      <c r="F25" s="0">
        <v>15.779</v>
      </c>
      <c r="G25" s="0">
        <v>3.945</v>
      </c>
      <c r="H25" s="0">
        <v>-2.197</v>
      </c>
      <c r="I25" s="0">
        <v>3.712</v>
      </c>
      <c r="J25" s="10">
        <f>I25+'Quarterly YTD'!AF25-'Quarterly YTD'!AB25</f>
        <v>-1.707</v>
      </c>
      <c r="K25" s="0">
        <v>0.408</v>
      </c>
      <c r="L25" s="11">
        <f>'Quarterly YTD'!D25-K25</f>
        <v>0.799</v>
      </c>
      <c r="M25" s="11">
        <f>'Quarterly YTD'!E25-'Quarterly YTD'!D25</f>
        <v>0.529</v>
      </c>
      <c r="N25" s="11">
        <f>C25-'Quarterly YTD'!E25</f>
        <v>3.976</v>
      </c>
      <c r="O25" s="0">
        <v>1.795</v>
      </c>
      <c r="P25" s="11">
        <f>'Quarterly YTD'!H25-O25</f>
        <v>4.259</v>
      </c>
      <c r="Q25" s="11">
        <f>'Quarterly YTD'!I25-'Quarterly YTD'!H25</f>
        <v>-0.902</v>
      </c>
      <c r="R25" s="11">
        <f>D25-'Quarterly YTD'!I25</f>
        <v>0.644</v>
      </c>
      <c r="S25" s="0">
        <v>4.202</v>
      </c>
      <c r="T25" s="11">
        <f>'Quarterly YTD'!L25-S25</f>
        <v>-3.819</v>
      </c>
      <c r="U25" s="11">
        <f>'Quarterly YTD'!M25-'Quarterly YTD'!L25</f>
        <v>3.74</v>
      </c>
      <c r="V25" s="11">
        <f>E25-'Quarterly YTD'!M25</f>
        <v>6.137</v>
      </c>
      <c r="W25" s="0">
        <v>3.154</v>
      </c>
      <c r="X25" s="11">
        <f>'Quarterly YTD'!P25-W25</f>
        <v>6.655</v>
      </c>
      <c r="Y25" s="11">
        <f>'Quarterly YTD'!Q25-'Quarterly YTD'!P25</f>
        <v>10.666</v>
      </c>
      <c r="Z25" s="11">
        <f>F25-'Quarterly YTD'!Q25</f>
        <v>-4.696</v>
      </c>
      <c r="AA25" s="0">
        <v>-3</v>
      </c>
      <c r="AB25" s="11">
        <f>'Quarterly YTD'!T25-AA25</f>
        <v>7.123</v>
      </c>
      <c r="AC25" s="11">
        <f>'Quarterly YTD'!U25-'Quarterly YTD'!T25</f>
        <v>7.781</v>
      </c>
      <c r="AD25" s="11">
        <f>G25-'Quarterly YTD'!U25</f>
        <v>-7.959</v>
      </c>
      <c r="AE25" s="0">
        <v>-12.94</v>
      </c>
      <c r="AF25" s="11">
        <f>'Quarterly YTD'!X25-AE25</f>
        <v>7.471</v>
      </c>
      <c r="AG25" s="11">
        <f>'Quarterly YTD'!Y25-'Quarterly YTD'!X25</f>
        <v>22.827</v>
      </c>
      <c r="AH25" s="11">
        <f>H25-'Quarterly YTD'!Y25</f>
        <v>-19.555</v>
      </c>
      <c r="AI25" s="0">
        <v>-16.582</v>
      </c>
      <c r="AJ25" s="11">
        <f>'Quarterly YTD'!AB25-AI25</f>
        <v>14.705</v>
      </c>
      <c r="AK25" s="11">
        <f>'Quarterly YTD'!AC25-'Quarterly YTD'!AB25</f>
        <v>20.878</v>
      </c>
      <c r="AL25" s="11">
        <f>I25-'Quarterly YTD'!AC25</f>
        <v>-15.289</v>
      </c>
      <c r="AM25" s="0">
        <v>-8.482</v>
      </c>
      <c r="AN25" s="11">
        <f>'Quarterly YTD'!AF25-AM25</f>
        <v>1.186</v>
      </c>
      <c r="AO25" s="14"/>
      <c r="AP25" s="14"/>
    </row>
    <row customHeight="1" ht="15">
      <c r="A26" s="9" t="s">
        <v>46</v>
      </c>
      <c r="B26" s="0">
        <v>6.853</v>
      </c>
      <c r="C26" s="0">
        <v>34.732</v>
      </c>
      <c r="D26" s="0">
        <v>99.205</v>
      </c>
      <c r="E26" s="0">
        <v>74.338</v>
      </c>
      <c r="F26" s="0">
        <v>114.781</v>
      </c>
      <c r="G26" s="0">
        <v>239.28</v>
      </c>
      <c r="H26" s="0">
        <v>364.599</v>
      </c>
      <c r="I26" s="0">
        <v>353.946</v>
      </c>
      <c r="J26" s="10">
        <f>I26+'Quarterly YTD'!AF26-'Quarterly YTD'!AB26</f>
        <v>292.857</v>
      </c>
      <c r="K26" s="0">
        <v>2.936</v>
      </c>
      <c r="L26" s="11">
        <f>'Quarterly YTD'!D26-K26</f>
        <v>3.23</v>
      </c>
      <c r="M26" s="11">
        <f>'Quarterly YTD'!E26-'Quarterly YTD'!D26</f>
        <v>3.427</v>
      </c>
      <c r="N26" s="11">
        <f>C26-'Quarterly YTD'!E26</f>
        <v>25.139</v>
      </c>
      <c r="O26" s="0">
        <v>26.639</v>
      </c>
      <c r="P26" s="11">
        <f>'Quarterly YTD'!H26-O26</f>
        <v>26.592</v>
      </c>
      <c r="Q26" s="11">
        <f>'Quarterly YTD'!I26-'Quarterly YTD'!H26</f>
        <v>24.388</v>
      </c>
      <c r="R26" s="11">
        <f>D26-'Quarterly YTD'!I26</f>
        <v>21.586</v>
      </c>
      <c r="S26" s="0">
        <v>18.04</v>
      </c>
      <c r="T26" s="11">
        <f>'Quarterly YTD'!L26-S26</f>
        <v>17.06</v>
      </c>
      <c r="U26" s="11">
        <f>'Quarterly YTD'!M26-'Quarterly YTD'!L26</f>
        <v>19.107</v>
      </c>
      <c r="V26" s="11">
        <f>E26-'Quarterly YTD'!M26</f>
        <v>20.131</v>
      </c>
      <c r="W26" s="0">
        <v>21.68</v>
      </c>
      <c r="X26" s="11">
        <f>'Quarterly YTD'!P26-W26</f>
        <v>26.51</v>
      </c>
      <c r="Y26" s="11">
        <f>'Quarterly YTD'!Q26-'Quarterly YTD'!P26</f>
        <v>36.201</v>
      </c>
      <c r="Z26" s="11">
        <f>F26-'Quarterly YTD'!Q26</f>
        <v>30.39</v>
      </c>
      <c r="AA26" s="0">
        <v>41.974</v>
      </c>
      <c r="AB26" s="11">
        <f>'Quarterly YTD'!T26-AA26</f>
        <v>50.043</v>
      </c>
      <c r="AC26" s="11">
        <f>'Quarterly YTD'!U26-'Quarterly YTD'!T26</f>
        <v>64.571</v>
      </c>
      <c r="AD26" s="11">
        <f>G26-'Quarterly YTD'!U26</f>
        <v>82.692</v>
      </c>
      <c r="AE26" s="0">
        <v>81.707</v>
      </c>
      <c r="AF26" s="11">
        <f>'Quarterly YTD'!X26-AE26</f>
        <v>89.611</v>
      </c>
      <c r="AG26" s="11">
        <f>'Quarterly YTD'!Y26-'Quarterly YTD'!X26</f>
        <v>93.959</v>
      </c>
      <c r="AH26" s="11">
        <f>H26-'Quarterly YTD'!Y26</f>
        <v>99.322</v>
      </c>
      <c r="AI26" s="0">
        <v>102.318</v>
      </c>
      <c r="AJ26" s="11">
        <f>'Quarterly YTD'!AB26-AI26</f>
        <v>90.515</v>
      </c>
      <c r="AK26" s="11">
        <f>'Quarterly YTD'!AC26-'Quarterly YTD'!AB26</f>
        <v>91.364</v>
      </c>
      <c r="AL26" s="11">
        <f>I26-'Quarterly YTD'!AC26</f>
        <v>69.749</v>
      </c>
      <c r="AM26" s="0">
        <v>72.539</v>
      </c>
      <c r="AN26" s="11">
        <f>'Quarterly YTD'!AF26-AM26</f>
        <v>59.205</v>
      </c>
      <c r="AO26" s="14"/>
      <c r="AP26" s="14"/>
    </row>
    <row customHeight="1" ht="15">
      <c r="A27" s="9" t="s">
        <v>64</v>
      </c>
      <c r="B27" s="0">
        <v>3.923</v>
      </c>
      <c r="C27" s="0">
        <v>4.925</v>
      </c>
      <c r="D27" s="0">
        <v>29.244</v>
      </c>
      <c r="E27" s="0">
        <v>18.152</v>
      </c>
      <c r="F27" s="0">
        <v>25.886</v>
      </c>
      <c r="G27" s="0">
        <v>4.222</v>
      </c>
      <c r="H27" s="0">
        <v>64.234</v>
      </c>
      <c r="I27" s="0">
        <v>161.607</v>
      </c>
      <c r="J27" s="10">
        <f>I27+'Quarterly YTD'!AF27-'Quarterly YTD'!AB27</f>
        <v>225.411</v>
      </c>
      <c r="K27" s="0">
        <v>0.626</v>
      </c>
      <c r="L27" s="11">
        <f>'Quarterly YTD'!D27-K27</f>
        <v>0.324</v>
      </c>
      <c r="M27" s="11">
        <f>'Quarterly YTD'!E27-'Quarterly YTD'!D27</f>
        <v>0.889</v>
      </c>
      <c r="N27" s="11">
        <f>C27-'Quarterly YTD'!E27</f>
        <v>3.086</v>
      </c>
      <c r="O27" s="0">
        <v>1.626</v>
      </c>
      <c r="P27" s="11">
        <f>'Quarterly YTD'!H27-O27</f>
        <v>8.481</v>
      </c>
      <c r="Q27" s="11">
        <f>'Quarterly YTD'!I27-'Quarterly YTD'!H27</f>
        <v>2.206</v>
      </c>
      <c r="R27" s="11">
        <f>D27-'Quarterly YTD'!I27</f>
        <v>16.931</v>
      </c>
      <c r="S27" s="0">
        <v>0.868</v>
      </c>
      <c r="T27" s="11">
        <f>'Quarterly YTD'!L27-S27</f>
        <v>2.187</v>
      </c>
      <c r="U27" s="11">
        <f>'Quarterly YTD'!M27-'Quarterly YTD'!L27</f>
        <v>0.935</v>
      </c>
      <c r="V27" s="11">
        <f>E27-'Quarterly YTD'!M27</f>
        <v>14.162</v>
      </c>
      <c r="W27" s="0">
        <v>15.417</v>
      </c>
      <c r="X27" s="11">
        <f>'Quarterly YTD'!P27-W27</f>
        <v>-1.552</v>
      </c>
      <c r="Y27" s="11">
        <f>'Quarterly YTD'!Q27-'Quarterly YTD'!P27</f>
        <v>-0.269</v>
      </c>
      <c r="Z27" s="11">
        <f>F27-'Quarterly YTD'!Q27</f>
        <v>12.29</v>
      </c>
      <c r="AA27" s="0">
        <v>0.116</v>
      </c>
      <c r="AB27" s="11">
        <f>'Quarterly YTD'!T27-AA27</f>
        <v>-0.566</v>
      </c>
      <c r="AC27" s="11">
        <f>'Quarterly YTD'!U27-'Quarterly YTD'!T27</f>
        <v>2.254</v>
      </c>
      <c r="AD27" s="11">
        <f>G27-'Quarterly YTD'!U27</f>
        <v>2.418</v>
      </c>
      <c r="AE27" s="0">
        <v>-0.285</v>
      </c>
      <c r="AF27" s="11">
        <f>'Quarterly YTD'!X27-AE27</f>
        <v>1.888</v>
      </c>
      <c r="AG27" s="11">
        <f>'Quarterly YTD'!Y27-'Quarterly YTD'!X27</f>
        <v>1.741</v>
      </c>
      <c r="AH27" s="11">
        <f>H27-'Quarterly YTD'!Y27</f>
        <v>60.89</v>
      </c>
      <c r="AI27" s="0">
        <v>-3.851</v>
      </c>
      <c r="AJ27" s="11">
        <f>'Quarterly YTD'!AB27-AI27</f>
        <v>-10.334</v>
      </c>
      <c r="AK27" s="11">
        <f>'Quarterly YTD'!AC27-'Quarterly YTD'!AB27</f>
        <v>6.669</v>
      </c>
      <c r="AL27" s="11">
        <f>I27-'Quarterly YTD'!AC27</f>
        <v>169.123</v>
      </c>
      <c r="AM27" s="0">
        <v>2.003</v>
      </c>
      <c r="AN27" s="11">
        <f>'Quarterly YTD'!AF27-AM27</f>
        <v>47.616</v>
      </c>
      <c r="AO27" s="14"/>
      <c r="AP27" s="14"/>
    </row>
    <row customHeight="1" ht="15">
      <c r="A28" s="9" t="s">
        <v>65</v>
      </c>
      <c r="B28" s="0">
        <v>1.512</v>
      </c>
      <c r="C28" s="0">
        <v>8.969</v>
      </c>
      <c r="D28" s="0">
        <v>38.784</v>
      </c>
      <c r="E28" s="0">
        <v>33.432</v>
      </c>
      <c r="F28" s="0">
        <v>47.69</v>
      </c>
      <c r="G28" s="0">
        <v>82.481</v>
      </c>
      <c r="H28" s="0">
        <v>137.997</v>
      </c>
      <c r="I28" s="0">
        <v>114.609</v>
      </c>
      <c r="J28" s="10">
        <f>I28+'Quarterly YTD'!AF28-'Quarterly YTD'!AB28</f>
        <v>93.373</v>
      </c>
      <c r="K28" s="0">
        <v>0.833</v>
      </c>
      <c r="L28" s="11">
        <f>'Quarterly YTD'!D28-K28</f>
        <v>0.83</v>
      </c>
      <c r="M28" s="11">
        <f>'Quarterly YTD'!E28-'Quarterly YTD'!D28</f>
        <v>0.975</v>
      </c>
      <c r="N28" s="11">
        <f>C28-'Quarterly YTD'!E28</f>
        <v>6.331</v>
      </c>
      <c r="O28" s="0">
        <v>9.986</v>
      </c>
      <c r="P28" s="11">
        <f>'Quarterly YTD'!H28-O28</f>
        <v>9.192</v>
      </c>
      <c r="Q28" s="11">
        <f>'Quarterly YTD'!I28-'Quarterly YTD'!H28</f>
        <v>10.406</v>
      </c>
      <c r="R28" s="11">
        <f>D28-'Quarterly YTD'!I28</f>
        <v>9.2</v>
      </c>
      <c r="S28" s="0">
        <v>8.209</v>
      </c>
      <c r="T28" s="11">
        <f>'Quarterly YTD'!L28-S28</f>
        <v>7.375</v>
      </c>
      <c r="U28" s="11">
        <f>'Quarterly YTD'!M28-'Quarterly YTD'!L28</f>
        <v>9.239</v>
      </c>
      <c r="V28" s="11">
        <f>E28-'Quarterly YTD'!M28</f>
        <v>8.609</v>
      </c>
      <c r="W28" s="0">
        <v>10.146</v>
      </c>
      <c r="X28" s="11">
        <f>'Quarterly YTD'!P28-W28</f>
        <v>11.42</v>
      </c>
      <c r="Y28" s="11">
        <f>'Quarterly YTD'!Q28-'Quarterly YTD'!P28</f>
        <v>13.087</v>
      </c>
      <c r="Z28" s="11">
        <f>F28-'Quarterly YTD'!Q28</f>
        <v>13.037</v>
      </c>
      <c r="AA28" s="0">
        <v>16.243</v>
      </c>
      <c r="AB28" s="11">
        <f>'Quarterly YTD'!T28-AA28</f>
        <v>18.467</v>
      </c>
      <c r="AC28" s="11">
        <f>'Quarterly YTD'!U28-'Quarterly YTD'!T28</f>
        <v>23.285</v>
      </c>
      <c r="AD28" s="11">
        <f>G28-'Quarterly YTD'!U28</f>
        <v>24.486</v>
      </c>
      <c r="AE28" s="0">
        <v>29.16</v>
      </c>
      <c r="AF28" s="11">
        <f>'Quarterly YTD'!X28-AE28</f>
        <v>35.895</v>
      </c>
      <c r="AG28" s="11">
        <f>'Quarterly YTD'!Y28-'Quarterly YTD'!X28</f>
        <v>36.123</v>
      </c>
      <c r="AH28" s="11">
        <f>H28-'Quarterly YTD'!Y28</f>
        <v>36.819</v>
      </c>
      <c r="AI28" s="0">
        <v>35.468</v>
      </c>
      <c r="AJ28" s="11">
        <f>'Quarterly YTD'!AB28-AI28</f>
        <v>29.417</v>
      </c>
      <c r="AK28" s="11">
        <f>'Quarterly YTD'!AC28-'Quarterly YTD'!AB28</f>
        <v>27.632</v>
      </c>
      <c r="AL28" s="11">
        <f>I28-'Quarterly YTD'!AC28</f>
        <v>22.092</v>
      </c>
      <c r="AM28" s="0">
        <v>22.628</v>
      </c>
      <c r="AN28" s="11">
        <f>'Quarterly YTD'!AF28-AM28</f>
        <v>21.021</v>
      </c>
      <c r="AO28" s="14"/>
      <c r="AP28" s="14"/>
    </row>
    <row customHeight="1" ht="15">
      <c r="A29" s="9" t="s">
        <v>66</v>
      </c>
      <c r="B29" s="0">
        <v>-0.04</v>
      </c>
      <c r="C29" s="0">
        <v>-2.354</v>
      </c>
      <c r="D29" s="0">
        <v>-15.434</v>
      </c>
      <c r="E29" s="0">
        <v>14.492</v>
      </c>
      <c r="F29" s="0">
        <v>7.001</v>
      </c>
      <c r="G29" s="0">
        <v>-16.743</v>
      </c>
      <c r="H29" s="0">
        <v>7.308</v>
      </c>
      <c r="I29" s="0">
        <v>-11.84</v>
      </c>
      <c r="J29" s="10">
        <f>I29+'Quarterly YTD'!AF29-'Quarterly YTD'!AB29</f>
        <v>2.802</v>
      </c>
      <c r="K29" s="0">
        <v>0.352</v>
      </c>
      <c r="L29" s="11">
        <f>'Quarterly YTD'!D29-K29</f>
        <v>-0.549</v>
      </c>
      <c r="M29" s="11">
        <f>'Quarterly YTD'!E29-'Quarterly YTD'!D29</f>
        <v>0.359</v>
      </c>
      <c r="N29" s="11">
        <f>C29-'Quarterly YTD'!E29</f>
        <v>-2.516</v>
      </c>
      <c r="O29" s="0">
        <v>2.687</v>
      </c>
      <c r="P29" s="11">
        <f>'Quarterly YTD'!H29-O29</f>
        <v>-3.103</v>
      </c>
      <c r="Q29" s="11">
        <f>'Quarterly YTD'!I29-'Quarterly YTD'!H29</f>
        <v>-4.435</v>
      </c>
      <c r="R29" s="11">
        <f>D29-'Quarterly YTD'!I29</f>
        <v>-10.583</v>
      </c>
      <c r="S29" s="0">
        <v>6.477</v>
      </c>
      <c r="T29" s="11">
        <f>'Quarterly YTD'!L29-S29</f>
        <v>-3.794</v>
      </c>
      <c r="U29" s="11">
        <f>'Quarterly YTD'!M29-'Quarterly YTD'!L29</f>
        <v>4.813</v>
      </c>
      <c r="V29" s="11">
        <f>E29-'Quarterly YTD'!M29</f>
        <v>6.996</v>
      </c>
      <c r="W29" s="0">
        <v>0.659</v>
      </c>
      <c r="X29" s="11">
        <f>'Quarterly YTD'!P29-W29</f>
        <v>18.179</v>
      </c>
      <c r="Y29" s="11">
        <f>'Quarterly YTD'!Q29-'Quarterly YTD'!P29</f>
        <v>26.379</v>
      </c>
      <c r="Z29" s="11">
        <f>F29-'Quarterly YTD'!Q29</f>
        <v>-38.216</v>
      </c>
      <c r="AA29" s="0">
        <v>-8.876</v>
      </c>
      <c r="AB29" s="11">
        <f>'Quarterly YTD'!T29-AA29</f>
        <v>4.988</v>
      </c>
      <c r="AC29" s="11">
        <f>'Quarterly YTD'!U29-'Quarterly YTD'!T29</f>
        <v>10.772</v>
      </c>
      <c r="AD29" s="11">
        <f>G29-'Quarterly YTD'!U29</f>
        <v>-23.627</v>
      </c>
      <c r="AE29" s="0">
        <v>3.824</v>
      </c>
      <c r="AF29" s="11">
        <f>'Quarterly YTD'!X29-AE29</f>
        <v>1.755</v>
      </c>
      <c r="AG29" s="11">
        <f>'Quarterly YTD'!Y29-'Quarterly YTD'!X29</f>
        <v>-12.949</v>
      </c>
      <c r="AH29" s="11">
        <f>H29-'Quarterly YTD'!Y29</f>
        <v>14.678</v>
      </c>
      <c r="AI29" s="0">
        <v>1.148</v>
      </c>
      <c r="AJ29" s="11">
        <f>'Quarterly YTD'!AB29-AI29</f>
        <v>-12.753</v>
      </c>
      <c r="AK29" s="11">
        <f>'Quarterly YTD'!AC29-'Quarterly YTD'!AB29</f>
        <v>-2.11</v>
      </c>
      <c r="AL29" s="11">
        <f>I29-'Quarterly YTD'!AC29</f>
        <v>1.875</v>
      </c>
      <c r="AM29" s="0">
        <v>1.791</v>
      </c>
      <c r="AN29" s="11">
        <f>'Quarterly YTD'!AF29-AM29</f>
        <v>1.246</v>
      </c>
      <c r="AO29" s="14"/>
      <c r="AP29" s="14"/>
    </row>
    <row customHeight="1" ht="15">
      <c r="A30" s="9" t="s">
        <v>67</v>
      </c>
      <c r="B30" s="0">
        <v>0.008</v>
      </c>
      <c r="C30" s="0">
        <v>0.29</v>
      </c>
      <c r="D30" s="0">
        <v>-0.812</v>
      </c>
      <c r="E30" s="0">
        <v>-1.281</v>
      </c>
      <c r="F30" s="0">
        <v>3.26</v>
      </c>
      <c r="G30" s="0">
        <v>3.01</v>
      </c>
      <c r="H30" s="0">
        <v>2.566</v>
      </c>
      <c r="I30" s="0">
        <v>-0.804</v>
      </c>
      <c r="J30" s="10">
        <f>I30+'Quarterly YTD'!AF30-'Quarterly YTD'!AB30</f>
        <v>0.103</v>
      </c>
      <c r="K30" s="0">
        <v>0.002</v>
      </c>
      <c r="L30" s="11">
        <f>'Quarterly YTD'!D30-K30</f>
        <v>0</v>
      </c>
      <c r="M30" s="11">
        <f>'Quarterly YTD'!E30-'Quarterly YTD'!D30</f>
        <v>0.113</v>
      </c>
      <c r="N30" s="11">
        <f>C30-'Quarterly YTD'!E30</f>
        <v>0.175</v>
      </c>
      <c r="O30" s="0">
        <v>-0.073</v>
      </c>
      <c r="P30" s="11">
        <f>'Quarterly YTD'!H30-O30</f>
        <v>-0.441</v>
      </c>
      <c r="Q30" s="11">
        <f>'Quarterly YTD'!I30-'Quarterly YTD'!H30</f>
        <v>-0.049</v>
      </c>
      <c r="R30" s="11">
        <f>D30-'Quarterly YTD'!I30</f>
        <v>-0.249</v>
      </c>
      <c r="S30" s="0">
        <v>-0.287</v>
      </c>
      <c r="T30" s="11">
        <f>'Quarterly YTD'!L30-S30</f>
        <v>0.201</v>
      </c>
      <c r="U30" s="11">
        <f>'Quarterly YTD'!M30-'Quarterly YTD'!L30</f>
        <v>0.177</v>
      </c>
      <c r="V30" s="11">
        <f>E30-'Quarterly YTD'!M30</f>
        <v>-1.372</v>
      </c>
      <c r="W30" s="0">
        <v>0.769</v>
      </c>
      <c r="X30" s="11">
        <f>'Quarterly YTD'!P30-W30</f>
        <v>0.432</v>
      </c>
      <c r="Y30" s="11">
        <f>'Quarterly YTD'!Q30-'Quarterly YTD'!P30</f>
        <v>1.939</v>
      </c>
      <c r="Z30" s="11">
        <f>F30-'Quarterly YTD'!Q30</f>
        <v>0.12</v>
      </c>
      <c r="AA30" s="0">
        <v>1.391</v>
      </c>
      <c r="AB30" s="11">
        <f>'Quarterly YTD'!T30-AA30</f>
        <v>1.398</v>
      </c>
      <c r="AC30" s="11">
        <f>'Quarterly YTD'!U30-'Quarterly YTD'!T30</f>
        <v>0.74</v>
      </c>
      <c r="AD30" s="11">
        <f>G30-'Quarterly YTD'!U30</f>
        <v>-0.519</v>
      </c>
      <c r="AE30" s="0">
        <v>1.308</v>
      </c>
      <c r="AF30" s="11">
        <f>'Quarterly YTD'!X30-AE30</f>
        <v>0.184</v>
      </c>
      <c r="AG30" s="11">
        <f>'Quarterly YTD'!Y30-'Quarterly YTD'!X30</f>
        <v>0.529</v>
      </c>
      <c r="AH30" s="11">
        <f>H30-'Quarterly YTD'!Y30</f>
        <v>0.545</v>
      </c>
      <c r="AI30" s="0">
        <v>-0.006</v>
      </c>
      <c r="AJ30" s="11">
        <f>'Quarterly YTD'!AB30-AI30</f>
        <v>-2.4</v>
      </c>
      <c r="AK30" s="11">
        <f>'Quarterly YTD'!AC30-'Quarterly YTD'!AB30</f>
        <v>-0.139</v>
      </c>
      <c r="AL30" s="11">
        <f>I30-'Quarterly YTD'!AC30</f>
        <v>1.741</v>
      </c>
      <c r="AM30" s="0">
        <v>-0.252</v>
      </c>
      <c r="AN30" s="11">
        <f>'Quarterly YTD'!AF30-AM30</f>
        <v>-1.247</v>
      </c>
      <c r="AO30" s="14"/>
      <c r="AP30" s="14"/>
    </row>
    <row customHeight="1" ht="15">
      <c r="A31" s="9" t="s">
        <v>68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10">
        <f>I31+'Quarterly YTD'!AF31-'Quarterly YTD'!AB31</f>
        <v>0</v>
      </c>
      <c r="K31" s="0">
        <v>0</v>
      </c>
      <c r="L31" s="11">
        <f>'Quarterly YTD'!D31-K31</f>
        <v>0</v>
      </c>
      <c r="M31" s="11">
        <f>'Quarterly YTD'!E31-'Quarterly YTD'!D31</f>
        <v>0</v>
      </c>
      <c r="N31" s="11">
        <f>C31-'Quarterly YTD'!E31</f>
        <v>0</v>
      </c>
      <c r="O31" s="0">
        <v>0</v>
      </c>
      <c r="P31" s="11">
        <f>'Quarterly YTD'!H31-O31</f>
        <v>0</v>
      </c>
      <c r="Q31" s="11">
        <f>'Quarterly YTD'!I31-'Quarterly YTD'!H31</f>
        <v>0</v>
      </c>
      <c r="R31" s="11">
        <f>D31-'Quarterly YTD'!I31</f>
        <v>0</v>
      </c>
      <c r="S31" s="0">
        <v>0</v>
      </c>
      <c r="T31" s="11">
        <f>'Quarterly YTD'!L31-S31</f>
        <v>0</v>
      </c>
      <c r="U31" s="11">
        <f>'Quarterly YTD'!M31-'Quarterly YTD'!L31</f>
        <v>0</v>
      </c>
      <c r="V31" s="11">
        <f>E31-'Quarterly YTD'!M31</f>
        <v>0</v>
      </c>
      <c r="W31" s="0">
        <v>0</v>
      </c>
      <c r="X31" s="11">
        <f>'Quarterly YTD'!P31-W31</f>
        <v>0</v>
      </c>
      <c r="Y31" s="11">
        <f>'Quarterly YTD'!Q31-'Quarterly YTD'!P31</f>
        <v>0</v>
      </c>
      <c r="Z31" s="11">
        <f>F31-'Quarterly YTD'!Q31</f>
        <v>0</v>
      </c>
      <c r="AA31" s="0">
        <v>0</v>
      </c>
      <c r="AB31" s="11">
        <f>'Quarterly YTD'!T31-AA31</f>
        <v>0</v>
      </c>
      <c r="AC31" s="11">
        <f>'Quarterly YTD'!U31-'Quarterly YTD'!T31</f>
        <v>0</v>
      </c>
      <c r="AD31" s="11">
        <f>G31-'Quarterly YTD'!U31</f>
        <v>0</v>
      </c>
      <c r="AE31" s="0">
        <v>0</v>
      </c>
      <c r="AF31" s="11">
        <f>'Quarterly YTD'!X31-AE31</f>
        <v>0</v>
      </c>
      <c r="AG31" s="11">
        <f>'Quarterly YTD'!Y31-'Quarterly YTD'!X31</f>
        <v>0</v>
      </c>
      <c r="AH31" s="11">
        <f>H31-'Quarterly YTD'!Y31</f>
        <v>0</v>
      </c>
      <c r="AI31" s="0">
        <v>0</v>
      </c>
      <c r="AJ31" s="11">
        <f>'Quarterly YTD'!AB31-AI31</f>
        <v>0</v>
      </c>
      <c r="AK31" s="11">
        <f>'Quarterly YTD'!AC31-'Quarterly YTD'!AB31</f>
        <v>0</v>
      </c>
      <c r="AL31" s="11">
        <f>I31-'Quarterly YTD'!AC31</f>
        <v>0</v>
      </c>
      <c r="AM31" s="0">
        <v>0</v>
      </c>
      <c r="AN31" s="11">
        <f>'Quarterly YTD'!AF31-AM31</f>
        <v>0</v>
      </c>
      <c r="AO31" s="14"/>
      <c r="AP31" s="14"/>
    </row>
    <row customHeight="1" ht="15">
      <c r="A32" s="9" t="s">
        <v>69</v>
      </c>
      <c r="B32" s="0">
        <v>0.002</v>
      </c>
      <c r="C32" s="0">
        <v>-0.003</v>
      </c>
      <c r="D32" s="0">
        <v>-0.66</v>
      </c>
      <c r="E32" s="0">
        <v>-0.474</v>
      </c>
      <c r="F32" s="0">
        <v>26.441</v>
      </c>
      <c r="G32" s="0">
        <v>26.685</v>
      </c>
      <c r="H32" s="0">
        <v>-52.388</v>
      </c>
      <c r="I32" s="0">
        <v>0.01</v>
      </c>
      <c r="J32" s="10">
        <f>I32+'Quarterly YTD'!AF32-'Quarterly YTD'!AB32</f>
        <v>-0.761</v>
      </c>
      <c r="K32" s="0">
        <v>0</v>
      </c>
      <c r="L32" s="11">
        <f>'Quarterly YTD'!D32-K32</f>
        <v>0</v>
      </c>
      <c r="M32" s="11">
        <f>'Quarterly YTD'!E32-'Quarterly YTD'!D32</f>
        <v>0</v>
      </c>
      <c r="N32" s="11">
        <f>C32-'Quarterly YTD'!E32</f>
        <v>-0.003</v>
      </c>
      <c r="O32" s="0">
        <v>0</v>
      </c>
      <c r="P32" s="11">
        <f>'Quarterly YTD'!H32-O32</f>
        <v>0</v>
      </c>
      <c r="Q32" s="11">
        <f>'Quarterly YTD'!I32-'Quarterly YTD'!H32</f>
        <v>-0.003</v>
      </c>
      <c r="R32" s="11">
        <f>D32-'Quarterly YTD'!I32</f>
        <v>-0.657</v>
      </c>
      <c r="S32" s="0">
        <v>-1.958</v>
      </c>
      <c r="T32" s="11">
        <f>'Quarterly YTD'!L32-S32</f>
        <v>-0.44</v>
      </c>
      <c r="U32" s="11">
        <f>'Quarterly YTD'!M32-'Quarterly YTD'!L32</f>
        <v>-0.08</v>
      </c>
      <c r="V32" s="11">
        <f>E32-'Quarterly YTD'!M32</f>
        <v>2.004</v>
      </c>
      <c r="W32" s="0">
        <v>5.983</v>
      </c>
      <c r="X32" s="11">
        <f>'Quarterly YTD'!P32-W32</f>
        <v>6.122</v>
      </c>
      <c r="Y32" s="11">
        <f>'Quarterly YTD'!Q32-'Quarterly YTD'!P32</f>
        <v>6.36</v>
      </c>
      <c r="Z32" s="11">
        <f>F32-'Quarterly YTD'!Q32</f>
        <v>7.976</v>
      </c>
      <c r="AA32" s="0">
        <v>6.425</v>
      </c>
      <c r="AB32" s="11">
        <f>'Quarterly YTD'!T32-AA32</f>
        <v>6.625</v>
      </c>
      <c r="AC32" s="11">
        <f>'Quarterly YTD'!U32-'Quarterly YTD'!T32</f>
        <v>6.757</v>
      </c>
      <c r="AD32" s="11">
        <f>G32-'Quarterly YTD'!U32</f>
        <v>6.878</v>
      </c>
      <c r="AE32" s="0">
        <v>7.032</v>
      </c>
      <c r="AF32" s="11">
        <f>'Quarterly YTD'!X32-AE32</f>
        <v>-59.608</v>
      </c>
      <c r="AG32" s="11">
        <f>'Quarterly YTD'!Y32-'Quarterly YTD'!X32</f>
        <v>0</v>
      </c>
      <c r="AH32" s="11">
        <f>H32-'Quarterly YTD'!Y32</f>
        <v>0.188000000000002</v>
      </c>
      <c r="AI32" s="0">
        <v>0.009</v>
      </c>
      <c r="AJ32" s="11">
        <f>'Quarterly YTD'!AB32-AI32</f>
        <v>0.794</v>
      </c>
      <c r="AK32" s="11">
        <f>'Quarterly YTD'!AC32-'Quarterly YTD'!AB32</f>
        <v>-0.425</v>
      </c>
      <c r="AL32" s="11">
        <f>I32-'Quarterly YTD'!AC32</f>
        <v>-0.368</v>
      </c>
      <c r="AM32" s="0">
        <v>0.033</v>
      </c>
      <c r="AN32" s="11">
        <f>'Quarterly YTD'!AF32-AM32</f>
        <v>-0.001</v>
      </c>
      <c r="AO32" s="14"/>
      <c r="AP32" s="14"/>
    </row>
    <row customHeight="1" ht="15">
      <c r="A33" s="9" t="s">
        <v>70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1.574</v>
      </c>
      <c r="I33" s="0">
        <v>1.137</v>
      </c>
      <c r="J33" s="10">
        <f>I33+'Quarterly YTD'!AF33-'Quarterly YTD'!AB33</f>
        <v>0</v>
      </c>
      <c r="K33" s="0">
        <v>0</v>
      </c>
      <c r="L33" s="11">
        <f>'Quarterly YTD'!D33-K33</f>
        <v>0</v>
      </c>
      <c r="M33" s="11">
        <f>'Quarterly YTD'!E33-'Quarterly YTD'!D33</f>
        <v>0</v>
      </c>
      <c r="N33" s="11">
        <f>C33-'Quarterly YTD'!E33</f>
        <v>0</v>
      </c>
      <c r="O33" s="0">
        <v>0</v>
      </c>
      <c r="P33" s="11">
        <f>'Quarterly YTD'!H33-O33</f>
        <v>0</v>
      </c>
      <c r="Q33" s="11">
        <f>'Quarterly YTD'!I33-'Quarterly YTD'!H33</f>
        <v>0</v>
      </c>
      <c r="R33" s="11">
        <f>D33-'Quarterly YTD'!I33</f>
        <v>0</v>
      </c>
      <c r="S33" s="0">
        <v>0</v>
      </c>
      <c r="T33" s="11">
        <f>'Quarterly YTD'!L33-S33</f>
        <v>0</v>
      </c>
      <c r="U33" s="11">
        <f>'Quarterly YTD'!M33-'Quarterly YTD'!L33</f>
        <v>0</v>
      </c>
      <c r="V33" s="11">
        <f>E33-'Quarterly YTD'!M33</f>
        <v>0</v>
      </c>
      <c r="W33" s="0">
        <v>0</v>
      </c>
      <c r="X33" s="11">
        <f>'Quarterly YTD'!P33-W33</f>
        <v>0</v>
      </c>
      <c r="Y33" s="11">
        <f>'Quarterly YTD'!Q33-'Quarterly YTD'!P33</f>
        <v>0</v>
      </c>
      <c r="Z33" s="11">
        <f>F33-'Quarterly YTD'!Q33</f>
        <v>0</v>
      </c>
      <c r="AA33" s="0">
        <v>0</v>
      </c>
      <c r="AB33" s="11">
        <f>'Quarterly YTD'!T33-AA33</f>
        <v>0</v>
      </c>
      <c r="AC33" s="11">
        <f>'Quarterly YTD'!U33-'Quarterly YTD'!T33</f>
        <v>0</v>
      </c>
      <c r="AD33" s="11">
        <f>G33-'Quarterly YTD'!U33</f>
        <v>0</v>
      </c>
      <c r="AE33" s="0">
        <v>0</v>
      </c>
      <c r="AF33" s="11">
        <f>'Quarterly YTD'!X33-AE33</f>
        <v>0</v>
      </c>
      <c r="AG33" s="11">
        <f>'Quarterly YTD'!Y33-'Quarterly YTD'!X33</f>
        <v>1.511</v>
      </c>
      <c r="AH33" s="11">
        <f>H33-'Quarterly YTD'!Y33</f>
        <v>0.063</v>
      </c>
      <c r="AI33" s="0">
        <v>1.137</v>
      </c>
      <c r="AJ33" s="11">
        <f>'Quarterly YTD'!AB33-AI33</f>
        <v>0</v>
      </c>
      <c r="AK33" s="11">
        <f>'Quarterly YTD'!AC33-'Quarterly YTD'!AB33</f>
        <v>0</v>
      </c>
      <c r="AL33" s="11">
        <f>I33-'Quarterly YTD'!AC33</f>
        <v>0</v>
      </c>
      <c r="AM33" s="0">
        <v>0</v>
      </c>
      <c r="AN33" s="11">
        <f>'Quarterly YTD'!AF33-AM33</f>
        <v>0</v>
      </c>
      <c r="AO33" s="14"/>
      <c r="AP33" s="14"/>
    </row>
    <row customHeight="1" ht="15">
      <c r="A34" s="9" t="s">
        <v>71</v>
      </c>
      <c r="B34" s="0">
        <v>0</v>
      </c>
      <c r="C34" s="0">
        <v>0.06</v>
      </c>
      <c r="D34" s="0">
        <v>0.271</v>
      </c>
      <c r="E34" s="0">
        <v>0.265</v>
      </c>
      <c r="F34" s="0">
        <v>0.265</v>
      </c>
      <c r="G34" s="0">
        <v>1.134</v>
      </c>
      <c r="H34" s="0">
        <v>0</v>
      </c>
      <c r="I34" s="0">
        <v>0</v>
      </c>
      <c r="J34" s="10">
        <f>I34+'Quarterly YTD'!AF34-'Quarterly YTD'!AB34</f>
        <v>0</v>
      </c>
      <c r="K34" s="0">
        <v>0</v>
      </c>
      <c r="L34" s="11">
        <f>'Quarterly YTD'!D34-K34</f>
        <v>0</v>
      </c>
      <c r="M34" s="11">
        <f>'Quarterly YTD'!E34-'Quarterly YTD'!D34</f>
        <v>-0.002</v>
      </c>
      <c r="N34" s="11">
        <f>C34-'Quarterly YTD'!E34</f>
        <v>0.062</v>
      </c>
      <c r="O34" s="0">
        <v>0.072</v>
      </c>
      <c r="P34" s="11">
        <f>'Quarterly YTD'!H34-O34</f>
        <v>0.066</v>
      </c>
      <c r="Q34" s="11">
        <f>'Quarterly YTD'!I34-'Quarterly YTD'!H34</f>
        <v>0.067</v>
      </c>
      <c r="R34" s="11">
        <f>D34-'Quarterly YTD'!I34</f>
        <v>0.066</v>
      </c>
      <c r="S34" s="0">
        <v>0.066</v>
      </c>
      <c r="T34" s="11">
        <f>'Quarterly YTD'!L34-S34</f>
        <v>0.066</v>
      </c>
      <c r="U34" s="11">
        <f>'Quarterly YTD'!M34-'Quarterly YTD'!L34</f>
        <v>0.067</v>
      </c>
      <c r="V34" s="11">
        <f>E34-'Quarterly YTD'!M34</f>
        <v>0.066</v>
      </c>
      <c r="W34" s="0">
        <v>0.066</v>
      </c>
      <c r="X34" s="11">
        <f>'Quarterly YTD'!P34-W34</f>
        <v>0.066</v>
      </c>
      <c r="Y34" s="11">
        <f>'Quarterly YTD'!Q34-'Quarterly YTD'!P34</f>
        <v>0.067</v>
      </c>
      <c r="Z34" s="11">
        <f>F34-'Quarterly YTD'!Q34</f>
        <v>0.066</v>
      </c>
      <c r="AA34" s="0">
        <v>0.066</v>
      </c>
      <c r="AB34" s="11">
        <f>'Quarterly YTD'!T34-AA34</f>
        <v>0.067</v>
      </c>
      <c r="AC34" s="11">
        <f>'Quarterly YTD'!U34-'Quarterly YTD'!T34</f>
        <v>0.066</v>
      </c>
      <c r="AD34" s="11">
        <f>G34-'Quarterly YTD'!U34</f>
        <v>0.935</v>
      </c>
      <c r="AE34" s="0">
        <v>0.204</v>
      </c>
      <c r="AF34" s="11">
        <f>'Quarterly YTD'!X34-AE34</f>
        <v>0.203</v>
      </c>
      <c r="AG34" s="11">
        <f>'Quarterly YTD'!Y34-'Quarterly YTD'!X34</f>
        <v>0.205</v>
      </c>
      <c r="AH34" s="11">
        <f>H34-'Quarterly YTD'!Y34</f>
        <v>-0.612</v>
      </c>
      <c r="AI34" s="0">
        <v>0</v>
      </c>
      <c r="AJ34" s="11">
        <f>'Quarterly YTD'!AB34-AI34</f>
        <v>0</v>
      </c>
      <c r="AK34" s="11">
        <f>'Quarterly YTD'!AC34-'Quarterly YTD'!AB34</f>
        <v>0</v>
      </c>
      <c r="AL34" s="11">
        <f>I34-'Quarterly YTD'!AC34</f>
        <v>0</v>
      </c>
      <c r="AM34" s="0">
        <v>0</v>
      </c>
      <c r="AN34" s="11">
        <f>'Quarterly YTD'!AF34-AM34</f>
        <v>0</v>
      </c>
      <c r="AO34" s="14"/>
      <c r="AP34" s="14"/>
    </row>
    <row customHeight="1" ht="15">
      <c r="A35" s="9" t="s">
        <v>72</v>
      </c>
      <c r="B35" s="0">
        <v>0.108</v>
      </c>
      <c r="C35" s="0">
        <v>-0.879</v>
      </c>
      <c r="D35" s="0">
        <v>0.588</v>
      </c>
      <c r="E35" s="0">
        <v>-4.902</v>
      </c>
      <c r="F35" s="0">
        <v>-14.615</v>
      </c>
      <c r="G35" s="0">
        <v>-8.391</v>
      </c>
      <c r="H35" s="0">
        <v>-14.771</v>
      </c>
      <c r="I35" s="0">
        <v>-1.151</v>
      </c>
      <c r="J35" s="10">
        <f>I35+'Quarterly YTD'!AF35-'Quarterly YTD'!AB35</f>
        <v>1.131</v>
      </c>
      <c r="K35" s="0">
        <v>-0.272</v>
      </c>
      <c r="L35" s="11">
        <f>'Quarterly YTD'!D35-K35</f>
        <v>0.449</v>
      </c>
      <c r="M35" s="11">
        <f>'Quarterly YTD'!E35-'Quarterly YTD'!D35</f>
        <v>-0.55</v>
      </c>
      <c r="N35" s="11">
        <f>C35-'Quarterly YTD'!E35</f>
        <v>-0.506</v>
      </c>
      <c r="O35" s="0">
        <v>0.289</v>
      </c>
      <c r="P35" s="11">
        <f>'Quarterly YTD'!H35-O35</f>
        <v>-0.183</v>
      </c>
      <c r="Q35" s="11">
        <f>'Quarterly YTD'!I35-'Quarterly YTD'!H35</f>
        <v>1.216</v>
      </c>
      <c r="R35" s="11">
        <f>D35-'Quarterly YTD'!I35</f>
        <v>-0.734</v>
      </c>
      <c r="S35" s="0">
        <v>0.445</v>
      </c>
      <c r="T35" s="11">
        <f>'Quarterly YTD'!L35-S35</f>
        <v>0.184</v>
      </c>
      <c r="U35" s="11">
        <f>'Quarterly YTD'!M35-'Quarterly YTD'!L35</f>
        <v>3.033</v>
      </c>
      <c r="V35" s="11">
        <f>E35-'Quarterly YTD'!M35</f>
        <v>-8.564</v>
      </c>
      <c r="W35" s="0">
        <v>-15.095</v>
      </c>
      <c r="X35" s="11">
        <f>'Quarterly YTD'!P35-W35</f>
        <v>0.0140000000000011</v>
      </c>
      <c r="Y35" s="11">
        <f>'Quarterly YTD'!Q35-'Quarterly YTD'!P35</f>
        <v>-13.925</v>
      </c>
      <c r="Z35" s="11">
        <f>F35-'Quarterly YTD'!Q35</f>
        <v>14.391</v>
      </c>
      <c r="AA35" s="0">
        <v>0.366</v>
      </c>
      <c r="AB35" s="11">
        <f>'Quarterly YTD'!T35-AA35</f>
        <v>-0.194</v>
      </c>
      <c r="AC35" s="11">
        <f>'Quarterly YTD'!U35-'Quarterly YTD'!T35</f>
        <v>0.352</v>
      </c>
      <c r="AD35" s="11">
        <f>G35-'Quarterly YTD'!U35</f>
        <v>-8.915</v>
      </c>
      <c r="AE35" s="0">
        <v>-8.902</v>
      </c>
      <c r="AF35" s="11">
        <f>'Quarterly YTD'!X35-AE35</f>
        <v>-2.798</v>
      </c>
      <c r="AG35" s="11">
        <f>'Quarterly YTD'!Y35-'Quarterly YTD'!X35</f>
        <v>-4.446</v>
      </c>
      <c r="AH35" s="11">
        <f>H35-'Quarterly YTD'!Y35</f>
        <v>1.375</v>
      </c>
      <c r="AI35" s="0">
        <v>0.018</v>
      </c>
      <c r="AJ35" s="11">
        <f>'Quarterly YTD'!AB35-AI35</f>
        <v>-2.739</v>
      </c>
      <c r="AK35" s="11">
        <f>'Quarterly YTD'!AC35-'Quarterly YTD'!AB35</f>
        <v>0.412</v>
      </c>
      <c r="AL35" s="11">
        <f>I35-'Quarterly YTD'!AC35</f>
        <v>1.158</v>
      </c>
      <c r="AM35" s="0">
        <v>-0.162</v>
      </c>
      <c r="AN35" s="11">
        <f>'Quarterly YTD'!AF35-AM35</f>
        <v>-0.277</v>
      </c>
      <c r="AO35" s="14"/>
      <c r="AP35" s="14"/>
    </row>
    <row customHeight="1" ht="15">
      <c r="A36" s="9" t="s">
        <v>73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10">
        <f>I36+'Quarterly YTD'!AF36-'Quarterly YTD'!AB36</f>
        <v>0</v>
      </c>
      <c r="K36" s="0">
        <v>0</v>
      </c>
      <c r="L36" s="11">
        <f>'Quarterly YTD'!D36-K36</f>
        <v>0</v>
      </c>
      <c r="M36" s="11">
        <f>'Quarterly YTD'!E36-'Quarterly YTD'!D36</f>
        <v>0</v>
      </c>
      <c r="N36" s="11">
        <f>C36-'Quarterly YTD'!E36</f>
        <v>0</v>
      </c>
      <c r="O36" s="0">
        <v>0</v>
      </c>
      <c r="P36" s="11">
        <f>'Quarterly YTD'!H36-O36</f>
        <v>4.169</v>
      </c>
      <c r="Q36" s="11">
        <f>'Quarterly YTD'!I36-'Quarterly YTD'!H36</f>
        <v>-12.343</v>
      </c>
      <c r="R36" s="11">
        <f>D36-'Quarterly YTD'!I36</f>
        <v>8.174</v>
      </c>
      <c r="S36" s="0">
        <v>0</v>
      </c>
      <c r="T36" s="11">
        <f>'Quarterly YTD'!L36-S36</f>
        <v>0</v>
      </c>
      <c r="U36" s="11">
        <f>'Quarterly YTD'!M36-'Quarterly YTD'!L36</f>
        <v>0</v>
      </c>
      <c r="V36" s="11">
        <f>E36-'Quarterly YTD'!M36</f>
        <v>0</v>
      </c>
      <c r="W36" s="0">
        <v>0</v>
      </c>
      <c r="X36" s="11">
        <f>'Quarterly YTD'!P36-W36</f>
        <v>0</v>
      </c>
      <c r="Y36" s="11">
        <f>'Quarterly YTD'!Q36-'Quarterly YTD'!P36</f>
        <v>0</v>
      </c>
      <c r="Z36" s="11">
        <f>F36-'Quarterly YTD'!Q36</f>
        <v>0</v>
      </c>
      <c r="AA36" s="0">
        <v>0</v>
      </c>
      <c r="AB36" s="11">
        <f>'Quarterly YTD'!T36-AA36</f>
        <v>0</v>
      </c>
      <c r="AC36" s="11">
        <f>'Quarterly YTD'!U36-'Quarterly YTD'!T36</f>
        <v>0</v>
      </c>
      <c r="AD36" s="11">
        <f>G36-'Quarterly YTD'!U36</f>
        <v>0</v>
      </c>
      <c r="AE36" s="0">
        <v>0</v>
      </c>
      <c r="AF36" s="11">
        <f>'Quarterly YTD'!X36-AE36</f>
        <v>0</v>
      </c>
      <c r="AG36" s="11">
        <f>'Quarterly YTD'!Y36-'Quarterly YTD'!X36</f>
        <v>0</v>
      </c>
      <c r="AH36" s="11">
        <f>H36-'Quarterly YTD'!Y36</f>
        <v>0</v>
      </c>
      <c r="AI36" s="0">
        <v>0</v>
      </c>
      <c r="AJ36" s="11">
        <f>'Quarterly YTD'!AB36-AI36</f>
        <v>0</v>
      </c>
      <c r="AK36" s="11">
        <f>'Quarterly YTD'!AC36-'Quarterly YTD'!AB36</f>
        <v>0</v>
      </c>
      <c r="AL36" s="11">
        <f>I36-'Quarterly YTD'!AC36</f>
        <v>0</v>
      </c>
      <c r="AM36" s="0">
        <v>0</v>
      </c>
      <c r="AN36" s="11">
        <f>'Quarterly YTD'!AF36-AM36</f>
        <v>0</v>
      </c>
      <c r="AO36" s="14"/>
      <c r="AP36" s="14"/>
    </row>
    <row customHeight="1" ht="15">
      <c r="A37" s="9" t="s">
        <v>74</v>
      </c>
      <c r="B37" s="0">
        <v>0</v>
      </c>
      <c r="C37" s="0">
        <v>0</v>
      </c>
      <c r="D37" s="0">
        <v>2.832</v>
      </c>
      <c r="E37" s="0">
        <v>0.378</v>
      </c>
      <c r="F37" s="0">
        <v>0.05</v>
      </c>
      <c r="G37" s="0">
        <v>0</v>
      </c>
      <c r="H37" s="0">
        <v>0</v>
      </c>
      <c r="I37" s="0">
        <v>0</v>
      </c>
      <c r="J37" s="10">
        <f>I37+'Quarterly YTD'!AF37-'Quarterly YTD'!AB37</f>
        <v>0</v>
      </c>
      <c r="K37" s="0">
        <v>0</v>
      </c>
      <c r="L37" s="11">
        <f>'Quarterly YTD'!D37-K37</f>
        <v>0</v>
      </c>
      <c r="M37" s="11">
        <f>'Quarterly YTD'!E37-'Quarterly YTD'!D37</f>
        <v>0</v>
      </c>
      <c r="N37" s="11">
        <f>C37-'Quarterly YTD'!E37</f>
        <v>0</v>
      </c>
      <c r="O37" s="0">
        <v>0</v>
      </c>
      <c r="P37" s="11">
        <f>'Quarterly YTD'!H37-O37</f>
        <v>0</v>
      </c>
      <c r="Q37" s="11">
        <f>'Quarterly YTD'!I37-'Quarterly YTD'!H37</f>
        <v>0</v>
      </c>
      <c r="R37" s="11">
        <f>D37-'Quarterly YTD'!I37</f>
        <v>2.832</v>
      </c>
      <c r="S37" s="0">
        <v>0</v>
      </c>
      <c r="T37" s="11">
        <f>'Quarterly YTD'!L37-S37</f>
        <v>0</v>
      </c>
      <c r="U37" s="11">
        <f>'Quarterly YTD'!M37-'Quarterly YTD'!L37</f>
        <v>0</v>
      </c>
      <c r="V37" s="11">
        <f>E37-'Quarterly YTD'!M37</f>
        <v>0.378</v>
      </c>
      <c r="W37" s="0">
        <v>0</v>
      </c>
      <c r="X37" s="11">
        <f>'Quarterly YTD'!P37-W37</f>
        <v>0</v>
      </c>
      <c r="Y37" s="11">
        <f>'Quarterly YTD'!Q37-'Quarterly YTD'!P37</f>
        <v>0</v>
      </c>
      <c r="Z37" s="11">
        <f>F37-'Quarterly YTD'!Q37</f>
        <v>0.05</v>
      </c>
      <c r="AA37" s="0">
        <v>0</v>
      </c>
      <c r="AB37" s="11">
        <f>'Quarterly YTD'!T37-AA37</f>
        <v>0</v>
      </c>
      <c r="AC37" s="11">
        <f>'Quarterly YTD'!U37-'Quarterly YTD'!T37</f>
        <v>0</v>
      </c>
      <c r="AD37" s="11">
        <f>G37-'Quarterly YTD'!U37</f>
        <v>0</v>
      </c>
      <c r="AE37" s="0">
        <v>0</v>
      </c>
      <c r="AF37" s="11">
        <f>'Quarterly YTD'!X37-AE37</f>
        <v>0</v>
      </c>
      <c r="AG37" s="11">
        <f>'Quarterly YTD'!Y37-'Quarterly YTD'!X37</f>
        <v>0</v>
      </c>
      <c r="AH37" s="11">
        <f>H37-'Quarterly YTD'!Y37</f>
        <v>0</v>
      </c>
      <c r="AI37" s="0">
        <v>0</v>
      </c>
      <c r="AJ37" s="11">
        <f>'Quarterly YTD'!AB37-AI37</f>
        <v>0</v>
      </c>
      <c r="AK37" s="11">
        <f>'Quarterly YTD'!AC37-'Quarterly YTD'!AB37</f>
        <v>0</v>
      </c>
      <c r="AL37" s="11">
        <f>I37-'Quarterly YTD'!AC37</f>
        <v>0</v>
      </c>
      <c r="AM37" s="0">
        <v>0</v>
      </c>
      <c r="AN37" s="11">
        <f>'Quarterly YTD'!AF37-AM37</f>
        <v>0</v>
      </c>
      <c r="AO37" s="14"/>
      <c r="AP37" s="14"/>
    </row>
    <row customHeight="1" ht="15">
      <c r="A38" s="9" t="s">
        <v>75</v>
      </c>
      <c r="B38" s="0">
        <v>0</v>
      </c>
      <c r="C38" s="0">
        <v>0</v>
      </c>
      <c r="D38" s="0">
        <v>-13.896</v>
      </c>
      <c r="E38" s="0">
        <v>-13.518</v>
      </c>
      <c r="F38" s="0">
        <v>-6.446</v>
      </c>
      <c r="G38" s="0">
        <v>-1.733</v>
      </c>
      <c r="H38" s="0">
        <v>-1.929</v>
      </c>
      <c r="I38" s="0">
        <v>-4.721</v>
      </c>
      <c r="J38" s="10">
        <f>I38+'Quarterly YTD'!AF38-'Quarterly YTD'!AB38</f>
        <v>-17.576</v>
      </c>
      <c r="K38" s="0">
        <v>0</v>
      </c>
      <c r="L38" s="11">
        <f>'Quarterly YTD'!D38-K38</f>
        <v>0</v>
      </c>
      <c r="M38" s="11">
        <f>'Quarterly YTD'!E38-'Quarterly YTD'!D38</f>
        <v>0</v>
      </c>
      <c r="N38" s="11">
        <f>C38-'Quarterly YTD'!E38</f>
        <v>0</v>
      </c>
      <c r="O38" s="0">
        <v>0</v>
      </c>
      <c r="P38" s="11">
        <f>'Quarterly YTD'!H38-O38</f>
        <v>0</v>
      </c>
      <c r="Q38" s="11">
        <f>'Quarterly YTD'!I38-'Quarterly YTD'!H38</f>
        <v>0</v>
      </c>
      <c r="R38" s="11">
        <f>D38-'Quarterly YTD'!I38</f>
        <v>-13.896</v>
      </c>
      <c r="S38" s="0">
        <v>-6.743</v>
      </c>
      <c r="T38" s="11">
        <f>'Quarterly YTD'!L38-S38</f>
        <v>-3.377</v>
      </c>
      <c r="U38" s="11">
        <f>'Quarterly YTD'!M38-'Quarterly YTD'!L38</f>
        <v>-0.665</v>
      </c>
      <c r="V38" s="11">
        <f>E38-'Quarterly YTD'!M38</f>
        <v>-2.733</v>
      </c>
      <c r="W38" s="0">
        <v>0.116</v>
      </c>
      <c r="X38" s="11">
        <f>'Quarterly YTD'!P38-W38</f>
        <v>-0.98</v>
      </c>
      <c r="Y38" s="11">
        <f>'Quarterly YTD'!Q38-'Quarterly YTD'!P38</f>
        <v>0.092</v>
      </c>
      <c r="Z38" s="11">
        <f>F38-'Quarterly YTD'!Q38</f>
        <v>-5.674</v>
      </c>
      <c r="AA38" s="0">
        <v>-0.076</v>
      </c>
      <c r="AB38" s="11">
        <f>'Quarterly YTD'!T38-AA38</f>
        <v>-0.762</v>
      </c>
      <c r="AC38" s="11">
        <f>'Quarterly YTD'!U38-'Quarterly YTD'!T38</f>
        <v>-0.549</v>
      </c>
      <c r="AD38" s="11">
        <f>G38-'Quarterly YTD'!U38</f>
        <v>-0.346</v>
      </c>
      <c r="AE38" s="0">
        <v>-0.478</v>
      </c>
      <c r="AF38" s="11">
        <f>'Quarterly YTD'!X38-AE38</f>
        <v>-0.229</v>
      </c>
      <c r="AG38" s="11">
        <f>'Quarterly YTD'!Y38-'Quarterly YTD'!X38</f>
        <v>-0.314</v>
      </c>
      <c r="AH38" s="11">
        <f>H38-'Quarterly YTD'!Y38</f>
        <v>-0.908</v>
      </c>
      <c r="AI38" s="0">
        <v>-0.293</v>
      </c>
      <c r="AJ38" s="11">
        <f>'Quarterly YTD'!AB38-AI38</f>
        <v>-4.492</v>
      </c>
      <c r="AK38" s="11">
        <f>'Quarterly YTD'!AC38-'Quarterly YTD'!AB38</f>
        <v>0.675</v>
      </c>
      <c r="AL38" s="11">
        <f>I38-'Quarterly YTD'!AC38</f>
        <v>-0.611</v>
      </c>
      <c r="AM38" s="0">
        <v>0.035</v>
      </c>
      <c r="AN38" s="11">
        <f>'Quarterly YTD'!AF38-AM38</f>
        <v>-17.675</v>
      </c>
      <c r="AO38" s="14"/>
      <c r="AP38" s="14"/>
    </row>
    <row customHeight="1" ht="15">
      <c r="A39" s="9" t="s">
        <v>76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10">
        <f>I39+'Quarterly YTD'!AF39-'Quarterly YTD'!AB39</f>
        <v>0</v>
      </c>
      <c r="K39" s="0">
        <v>0</v>
      </c>
      <c r="L39" s="11">
        <f>'Quarterly YTD'!D39-K39</f>
        <v>0</v>
      </c>
      <c r="M39" s="11">
        <f>'Quarterly YTD'!E39-'Quarterly YTD'!D39</f>
        <v>0</v>
      </c>
      <c r="N39" s="11">
        <f>C39-'Quarterly YTD'!E39</f>
        <v>0</v>
      </c>
      <c r="O39" s="0">
        <v>0</v>
      </c>
      <c r="P39" s="11">
        <f>'Quarterly YTD'!H39-O39</f>
        <v>0</v>
      </c>
      <c r="Q39" s="11">
        <f>'Quarterly YTD'!I39-'Quarterly YTD'!H39</f>
        <v>0</v>
      </c>
      <c r="R39" s="11">
        <f>D39-'Quarterly YTD'!I39</f>
        <v>0</v>
      </c>
      <c r="S39" s="0">
        <v>0</v>
      </c>
      <c r="T39" s="11">
        <f>'Quarterly YTD'!L39-S39</f>
        <v>0</v>
      </c>
      <c r="U39" s="11">
        <f>'Quarterly YTD'!M39-'Quarterly YTD'!L39</f>
        <v>0</v>
      </c>
      <c r="V39" s="11">
        <f>E39-'Quarterly YTD'!M39</f>
        <v>0</v>
      </c>
      <c r="W39" s="0">
        <v>0</v>
      </c>
      <c r="X39" s="11">
        <f>'Quarterly YTD'!P39-W39</f>
        <v>0</v>
      </c>
      <c r="Y39" s="11">
        <f>'Quarterly YTD'!Q39-'Quarterly YTD'!P39</f>
        <v>0</v>
      </c>
      <c r="Z39" s="11">
        <f>F39-'Quarterly YTD'!Q39</f>
        <v>0</v>
      </c>
      <c r="AA39" s="0">
        <v>0</v>
      </c>
      <c r="AB39" s="11">
        <f>'Quarterly YTD'!T39-AA39</f>
        <v>0</v>
      </c>
      <c r="AC39" s="11">
        <f>'Quarterly YTD'!U39-'Quarterly YTD'!T39</f>
        <v>0</v>
      </c>
      <c r="AD39" s="11">
        <f>G39-'Quarterly YTD'!U39</f>
        <v>0</v>
      </c>
      <c r="AE39" s="0">
        <v>0</v>
      </c>
      <c r="AF39" s="11">
        <f>'Quarterly YTD'!X39-AE39</f>
        <v>0</v>
      </c>
      <c r="AG39" s="11">
        <f>'Quarterly YTD'!Y39-'Quarterly YTD'!X39</f>
        <v>0</v>
      </c>
      <c r="AH39" s="11">
        <f>H39-'Quarterly YTD'!Y39</f>
        <v>0</v>
      </c>
      <c r="AI39" s="0">
        <v>0</v>
      </c>
      <c r="AJ39" s="11">
        <f>'Quarterly YTD'!AB39-AI39</f>
        <v>0</v>
      </c>
      <c r="AK39" s="11">
        <f>'Quarterly YTD'!AC39-'Quarterly YTD'!AB39</f>
        <v>0</v>
      </c>
      <c r="AL39" s="11">
        <f>I39-'Quarterly YTD'!AC39</f>
        <v>0</v>
      </c>
      <c r="AM39" s="0">
        <v>0</v>
      </c>
      <c r="AN39" s="11">
        <f>'Quarterly YTD'!AF39-AM39</f>
        <v>0</v>
      </c>
      <c r="AO39" s="14"/>
      <c r="AP39" s="14"/>
    </row>
    <row customHeight="1" ht="15">
      <c r="A40" s="9" t="s">
        <v>77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0.468</v>
      </c>
      <c r="I40" s="0">
        <v>0</v>
      </c>
      <c r="J40" s="10">
        <f>I40+'Quarterly YTD'!AF40-'Quarterly YTD'!AB40</f>
        <v>0</v>
      </c>
      <c r="K40" s="0">
        <v>0</v>
      </c>
      <c r="L40" s="11">
        <f>'Quarterly YTD'!D40-K40</f>
        <v>0</v>
      </c>
      <c r="M40" s="11">
        <f>'Quarterly YTD'!E40-'Quarterly YTD'!D40</f>
        <v>0</v>
      </c>
      <c r="N40" s="11">
        <f>C40-'Quarterly YTD'!E40</f>
        <v>0</v>
      </c>
      <c r="O40" s="0">
        <v>0</v>
      </c>
      <c r="P40" s="11">
        <f>'Quarterly YTD'!H40-O40</f>
        <v>0</v>
      </c>
      <c r="Q40" s="11">
        <f>'Quarterly YTD'!I40-'Quarterly YTD'!H40</f>
        <v>0</v>
      </c>
      <c r="R40" s="11">
        <f>D40-'Quarterly YTD'!I40</f>
        <v>0</v>
      </c>
      <c r="S40" s="0">
        <v>0</v>
      </c>
      <c r="T40" s="11">
        <f>'Quarterly YTD'!L40-S40</f>
        <v>0</v>
      </c>
      <c r="U40" s="11">
        <f>'Quarterly YTD'!M40-'Quarterly YTD'!L40</f>
        <v>0</v>
      </c>
      <c r="V40" s="11">
        <f>E40-'Quarterly YTD'!M40</f>
        <v>0</v>
      </c>
      <c r="W40" s="0">
        <v>0</v>
      </c>
      <c r="X40" s="11">
        <f>'Quarterly YTD'!P40-W40</f>
        <v>0</v>
      </c>
      <c r="Y40" s="11">
        <f>'Quarterly YTD'!Q40-'Quarterly YTD'!P40</f>
        <v>0</v>
      </c>
      <c r="Z40" s="11">
        <f>F40-'Quarterly YTD'!Q40</f>
        <v>0</v>
      </c>
      <c r="AA40" s="0">
        <v>0</v>
      </c>
      <c r="AB40" s="11">
        <f>'Quarterly YTD'!T40-AA40</f>
        <v>0</v>
      </c>
      <c r="AC40" s="11">
        <f>'Quarterly YTD'!U40-'Quarterly YTD'!T40</f>
        <v>0</v>
      </c>
      <c r="AD40" s="11">
        <f>G40-'Quarterly YTD'!U40</f>
        <v>0</v>
      </c>
      <c r="AE40" s="0">
        <v>0</v>
      </c>
      <c r="AF40" s="11">
        <f>'Quarterly YTD'!X40-AE40</f>
        <v>0</v>
      </c>
      <c r="AG40" s="11">
        <f>'Quarterly YTD'!Y40-'Quarterly YTD'!X40</f>
        <v>0</v>
      </c>
      <c r="AH40" s="11">
        <f>H40-'Quarterly YTD'!Y40</f>
        <v>0.468</v>
      </c>
      <c r="AI40" s="0">
        <v>0</v>
      </c>
      <c r="AJ40" s="11">
        <f>'Quarterly YTD'!AB40-AI40</f>
        <v>0</v>
      </c>
      <c r="AK40" s="11">
        <f>'Quarterly YTD'!AC40-'Quarterly YTD'!AB40</f>
        <v>0</v>
      </c>
      <c r="AL40" s="11">
        <f>I40-'Quarterly YTD'!AC40</f>
        <v>0</v>
      </c>
      <c r="AM40" s="0">
        <v>0</v>
      </c>
      <c r="AN40" s="11">
        <f>'Quarterly YTD'!AF40-AM40</f>
        <v>0</v>
      </c>
      <c r="AO40" s="14"/>
      <c r="AP40" s="14"/>
    </row>
    <row customHeight="1" ht="15">
      <c r="A41" s="9" t="s">
        <v>78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-3.262</v>
      </c>
      <c r="I41" s="0">
        <v>1.714</v>
      </c>
      <c r="J41" s="10">
        <f>I41+'Quarterly YTD'!AF41-'Quarterly YTD'!AB41</f>
        <v>-0.039</v>
      </c>
      <c r="K41" s="0">
        <v>0</v>
      </c>
      <c r="L41" s="11">
        <f>'Quarterly YTD'!D41-K41</f>
        <v>0</v>
      </c>
      <c r="M41" s="11">
        <f>'Quarterly YTD'!E41-'Quarterly YTD'!D41</f>
        <v>0</v>
      </c>
      <c r="N41" s="11">
        <f>C41-'Quarterly YTD'!E41</f>
        <v>0</v>
      </c>
      <c r="O41" s="0">
        <v>0</v>
      </c>
      <c r="P41" s="11">
        <f>'Quarterly YTD'!H41-O41</f>
        <v>0</v>
      </c>
      <c r="Q41" s="11">
        <f>'Quarterly YTD'!I41-'Quarterly YTD'!H41</f>
        <v>0</v>
      </c>
      <c r="R41" s="11">
        <f>D41-'Quarterly YTD'!I41</f>
        <v>0</v>
      </c>
      <c r="S41" s="0">
        <v>0</v>
      </c>
      <c r="T41" s="11">
        <f>'Quarterly YTD'!L41-S41</f>
        <v>0</v>
      </c>
      <c r="U41" s="11">
        <f>'Quarterly YTD'!M41-'Quarterly YTD'!L41</f>
        <v>0</v>
      </c>
      <c r="V41" s="11">
        <f>E41-'Quarterly YTD'!M41</f>
        <v>0</v>
      </c>
      <c r="W41" s="0">
        <v>0</v>
      </c>
      <c r="X41" s="11">
        <f>'Quarterly YTD'!P41-W41</f>
        <v>0</v>
      </c>
      <c r="Y41" s="11">
        <f>'Quarterly YTD'!Q41-'Quarterly YTD'!P41</f>
        <v>0</v>
      </c>
      <c r="Z41" s="11">
        <f>F41-'Quarterly YTD'!Q41</f>
        <v>0</v>
      </c>
      <c r="AA41" s="0">
        <v>0</v>
      </c>
      <c r="AB41" s="11">
        <f>'Quarterly YTD'!T41-AA41</f>
        <v>0</v>
      </c>
      <c r="AC41" s="11">
        <f>'Quarterly YTD'!U41-'Quarterly YTD'!T41</f>
        <v>0</v>
      </c>
      <c r="AD41" s="11">
        <f>G41-'Quarterly YTD'!U41</f>
        <v>0</v>
      </c>
      <c r="AE41" s="0">
        <v>0</v>
      </c>
      <c r="AF41" s="11">
        <f>'Quarterly YTD'!X41-AE41</f>
        <v>-3.219</v>
      </c>
      <c r="AG41" s="11">
        <f>'Quarterly YTD'!Y41-'Quarterly YTD'!X41</f>
        <v>0</v>
      </c>
      <c r="AH41" s="11">
        <f>H41-'Quarterly YTD'!Y41</f>
        <v>-0.043</v>
      </c>
      <c r="AI41" s="0">
        <v>1.721</v>
      </c>
      <c r="AJ41" s="11">
        <f>'Quarterly YTD'!AB41-AI41</f>
        <v>0</v>
      </c>
      <c r="AK41" s="11">
        <f>'Quarterly YTD'!AC41-'Quarterly YTD'!AB41</f>
        <v>-0.0070000000000001</v>
      </c>
      <c r="AL41" s="11">
        <f>I41-'Quarterly YTD'!AC41</f>
        <v>0</v>
      </c>
      <c r="AM41" s="0">
        <v>-0.045</v>
      </c>
      <c r="AN41" s="11">
        <f>'Quarterly YTD'!AF41-AM41</f>
        <v>0.013</v>
      </c>
      <c r="AO41" s="14"/>
      <c r="AP41" s="14"/>
    </row>
    <row customHeight="1" ht="15">
      <c r="A42" s="9" t="s">
        <v>79</v>
      </c>
      <c r="B42" s="0">
        <v>0</v>
      </c>
      <c r="C42" s="0">
        <v>0</v>
      </c>
      <c r="D42" s="0">
        <v>-6.073</v>
      </c>
      <c r="E42" s="0">
        <v>-0.04</v>
      </c>
      <c r="F42" s="0">
        <v>-2.241</v>
      </c>
      <c r="G42" s="0">
        <v>-0.498</v>
      </c>
      <c r="H42" s="0">
        <v>0</v>
      </c>
      <c r="I42" s="0">
        <v>0</v>
      </c>
      <c r="J42" s="10">
        <f>I42+'Quarterly YTD'!AF42-'Quarterly YTD'!AB42</f>
        <v>0</v>
      </c>
      <c r="K42" s="0">
        <v>0</v>
      </c>
      <c r="L42" s="11">
        <f>'Quarterly YTD'!D42-K42</f>
        <v>0</v>
      </c>
      <c r="M42" s="11">
        <f>'Quarterly YTD'!E42-'Quarterly YTD'!D42</f>
        <v>0</v>
      </c>
      <c r="N42" s="11">
        <f>C42-'Quarterly YTD'!E42</f>
        <v>0</v>
      </c>
      <c r="O42" s="0">
        <v>0</v>
      </c>
      <c r="P42" s="11">
        <f>'Quarterly YTD'!H42-O42</f>
        <v>-3.772</v>
      </c>
      <c r="Q42" s="11">
        <f>'Quarterly YTD'!I42-'Quarterly YTD'!H42</f>
        <v>-0.761</v>
      </c>
      <c r="R42" s="11">
        <f>D42-'Quarterly YTD'!I42</f>
        <v>-1.54</v>
      </c>
      <c r="S42" s="0">
        <v>-0.049</v>
      </c>
      <c r="T42" s="11">
        <f>'Quarterly YTD'!L42-S42</f>
        <v>0.098</v>
      </c>
      <c r="U42" s="11">
        <f>'Quarterly YTD'!M42-'Quarterly YTD'!L42</f>
        <v>-0.089</v>
      </c>
      <c r="V42" s="11">
        <f>E42-'Quarterly YTD'!M42</f>
        <v>0</v>
      </c>
      <c r="W42" s="0">
        <v>-0.038</v>
      </c>
      <c r="X42" s="11">
        <f>'Quarterly YTD'!P42-W42</f>
        <v>-0.096</v>
      </c>
      <c r="Y42" s="11">
        <f>'Quarterly YTD'!Q42-'Quarterly YTD'!P42</f>
        <v>-2.165</v>
      </c>
      <c r="Z42" s="11">
        <f>F42-'Quarterly YTD'!Q42</f>
        <v>0.058</v>
      </c>
      <c r="AA42" s="0">
        <v>0</v>
      </c>
      <c r="AB42" s="11">
        <f>'Quarterly YTD'!T42-AA42</f>
        <v>-0.499</v>
      </c>
      <c r="AC42" s="11">
        <f>'Quarterly YTD'!U42-'Quarterly YTD'!T42</f>
        <v>0.001</v>
      </c>
      <c r="AD42" s="11">
        <f>G42-'Quarterly YTD'!U42</f>
        <v>0</v>
      </c>
      <c r="AE42" s="0">
        <v>0</v>
      </c>
      <c r="AF42" s="11">
        <f>'Quarterly YTD'!X42-AE42</f>
        <v>0</v>
      </c>
      <c r="AG42" s="11">
        <f>'Quarterly YTD'!Y42-'Quarterly YTD'!X42</f>
        <v>0</v>
      </c>
      <c r="AH42" s="11">
        <f>H42-'Quarterly YTD'!Y42</f>
        <v>0</v>
      </c>
      <c r="AI42" s="0">
        <v>0</v>
      </c>
      <c r="AJ42" s="11">
        <f>'Quarterly YTD'!AB42-AI42</f>
        <v>0</v>
      </c>
      <c r="AK42" s="11">
        <f>'Quarterly YTD'!AC42-'Quarterly YTD'!AB42</f>
        <v>0</v>
      </c>
      <c r="AL42" s="11">
        <f>I42-'Quarterly YTD'!AC42</f>
        <v>0</v>
      </c>
      <c r="AM42" s="0">
        <v>0</v>
      </c>
      <c r="AN42" s="11">
        <f>'Quarterly YTD'!AF42-AM42</f>
        <v>0</v>
      </c>
      <c r="AO42" s="14"/>
      <c r="AP42" s="14"/>
    </row>
    <row customHeight="1" ht="15">
      <c r="A43" s="9" t="s">
        <v>80</v>
      </c>
      <c r="B43" s="0">
        <v>-0.166</v>
      </c>
      <c r="C43" s="0">
        <v>0</v>
      </c>
      <c r="D43" s="0">
        <v>-3.829</v>
      </c>
      <c r="E43" s="0">
        <v>-5.13</v>
      </c>
      <c r="F43" s="0">
        <v>-2.396</v>
      </c>
      <c r="G43" s="0">
        <v>-9.853</v>
      </c>
      <c r="H43" s="0">
        <v>0</v>
      </c>
      <c r="I43" s="0">
        <v>-204.806</v>
      </c>
      <c r="J43" s="10">
        <f>I43+'Quarterly YTD'!AF43-'Quarterly YTD'!AB43</f>
        <v>-245.079</v>
      </c>
      <c r="K43" s="0">
        <v>0</v>
      </c>
      <c r="L43" s="11">
        <f>'Quarterly YTD'!D43-K43</f>
        <v>0</v>
      </c>
      <c r="M43" s="11">
        <f>'Quarterly YTD'!E43-'Quarterly YTD'!D43</f>
        <v>0</v>
      </c>
      <c r="N43" s="11">
        <f>C43-'Quarterly YTD'!E43</f>
        <v>0</v>
      </c>
      <c r="O43" s="0">
        <v>0</v>
      </c>
      <c r="P43" s="11">
        <f>'Quarterly YTD'!H43-O43</f>
        <v>-2.68</v>
      </c>
      <c r="Q43" s="11">
        <f>'Quarterly YTD'!I43-'Quarterly YTD'!H43</f>
        <v>0</v>
      </c>
      <c r="R43" s="11">
        <f>D43-'Quarterly YTD'!I43</f>
        <v>-1.149</v>
      </c>
      <c r="S43" s="0">
        <v>0</v>
      </c>
      <c r="T43" s="11">
        <f>'Quarterly YTD'!L43-S43</f>
        <v>0</v>
      </c>
      <c r="U43" s="11">
        <f>'Quarterly YTD'!M43-'Quarterly YTD'!L43</f>
        <v>-5.13</v>
      </c>
      <c r="V43" s="11">
        <f>E43-'Quarterly YTD'!M43</f>
        <v>0</v>
      </c>
      <c r="W43" s="0">
        <v>-2.968</v>
      </c>
      <c r="X43" s="11">
        <f>'Quarterly YTD'!P43-W43</f>
        <v>0.035</v>
      </c>
      <c r="Y43" s="11">
        <f>'Quarterly YTD'!Q43-'Quarterly YTD'!P43</f>
        <v>-0.048</v>
      </c>
      <c r="Z43" s="11">
        <f>F43-'Quarterly YTD'!Q43</f>
        <v>0.585</v>
      </c>
      <c r="AA43" s="0">
        <v>-7.189</v>
      </c>
      <c r="AB43" s="11">
        <f>'Quarterly YTD'!T43-AA43</f>
        <v>0</v>
      </c>
      <c r="AC43" s="11">
        <f>'Quarterly YTD'!U43-'Quarterly YTD'!T43</f>
        <v>-0.971</v>
      </c>
      <c r="AD43" s="11">
        <f>G43-'Quarterly YTD'!U43</f>
        <v>-1.693</v>
      </c>
      <c r="AE43" s="0">
        <v>0</v>
      </c>
      <c r="AF43" s="11">
        <f>'Quarterly YTD'!X43-AE43</f>
        <v>0</v>
      </c>
      <c r="AG43" s="11">
        <f>'Quarterly YTD'!Y43-'Quarterly YTD'!X43</f>
        <v>0</v>
      </c>
      <c r="AH43" s="11">
        <f>H43-'Quarterly YTD'!Y43</f>
        <v>0</v>
      </c>
      <c r="AI43" s="0">
        <v>0</v>
      </c>
      <c r="AJ43" s="11">
        <f>'Quarterly YTD'!AB43-AI43</f>
        <v>0</v>
      </c>
      <c r="AK43" s="11">
        <f>'Quarterly YTD'!AC43-'Quarterly YTD'!AB43</f>
        <v>-2.293</v>
      </c>
      <c r="AL43" s="11">
        <f>I43-'Quarterly YTD'!AC43</f>
        <v>-202.513</v>
      </c>
      <c r="AM43" s="0">
        <v>0</v>
      </c>
      <c r="AN43" s="11">
        <f>'Quarterly YTD'!AF43-AM43</f>
        <v>-40.273</v>
      </c>
      <c r="AO43" s="14"/>
      <c r="AP43" s="14"/>
    </row>
    <row customHeight="1" ht="15">
      <c r="A44" s="9" t="s">
        <v>81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10">
        <f>I44+'Quarterly YTD'!AF44-'Quarterly YTD'!AB44</f>
        <v>-0.984</v>
      </c>
      <c r="K44" s="0">
        <v>0</v>
      </c>
      <c r="L44" s="11">
        <f>'Quarterly YTD'!D44-K44</f>
        <v>0</v>
      </c>
      <c r="M44" s="11">
        <f>'Quarterly YTD'!E44-'Quarterly YTD'!D44</f>
        <v>0</v>
      </c>
      <c r="N44" s="11">
        <f>C44-'Quarterly YTD'!E44</f>
        <v>0</v>
      </c>
      <c r="O44" s="0">
        <v>0</v>
      </c>
      <c r="P44" s="11">
        <f>'Quarterly YTD'!H44-O44</f>
        <v>0</v>
      </c>
      <c r="Q44" s="11">
        <f>'Quarterly YTD'!I44-'Quarterly YTD'!H44</f>
        <v>0</v>
      </c>
      <c r="R44" s="11">
        <f>D44-'Quarterly YTD'!I44</f>
        <v>0</v>
      </c>
      <c r="S44" s="0">
        <v>0</v>
      </c>
      <c r="T44" s="11">
        <f>'Quarterly YTD'!L44-S44</f>
        <v>0</v>
      </c>
      <c r="U44" s="11">
        <f>'Quarterly YTD'!M44-'Quarterly YTD'!L44</f>
        <v>0</v>
      </c>
      <c r="V44" s="11">
        <f>E44-'Quarterly YTD'!M44</f>
        <v>0</v>
      </c>
      <c r="W44" s="0">
        <v>0</v>
      </c>
      <c r="X44" s="11">
        <f>'Quarterly YTD'!P44-W44</f>
        <v>0</v>
      </c>
      <c r="Y44" s="11">
        <f>'Quarterly YTD'!Q44-'Quarterly YTD'!P44</f>
        <v>0</v>
      </c>
      <c r="Z44" s="11">
        <f>F44-'Quarterly YTD'!Q44</f>
        <v>0</v>
      </c>
      <c r="AA44" s="0">
        <v>0</v>
      </c>
      <c r="AB44" s="11">
        <f>'Quarterly YTD'!T44-AA44</f>
        <v>0</v>
      </c>
      <c r="AC44" s="11">
        <f>'Quarterly YTD'!U44-'Quarterly YTD'!T44</f>
        <v>0</v>
      </c>
      <c r="AD44" s="11">
        <f>G44-'Quarterly YTD'!U44</f>
        <v>0</v>
      </c>
      <c r="AE44" s="0">
        <v>0</v>
      </c>
      <c r="AF44" s="11">
        <f>'Quarterly YTD'!X44-AE44</f>
        <v>0</v>
      </c>
      <c r="AG44" s="11">
        <f>'Quarterly YTD'!Y44-'Quarterly YTD'!X44</f>
        <v>0</v>
      </c>
      <c r="AH44" s="11">
        <f>H44-'Quarterly YTD'!Y44</f>
        <v>0</v>
      </c>
      <c r="AI44" s="0">
        <v>0</v>
      </c>
      <c r="AJ44" s="11">
        <f>'Quarterly YTD'!AB44-AI44</f>
        <v>0</v>
      </c>
      <c r="AK44" s="11">
        <f>'Quarterly YTD'!AC44-'Quarterly YTD'!AB44</f>
        <v>0</v>
      </c>
      <c r="AL44" s="11">
        <f>I44-'Quarterly YTD'!AC44</f>
        <v>0</v>
      </c>
      <c r="AM44" s="0">
        <v>0</v>
      </c>
      <c r="AN44" s="11">
        <f>'Quarterly YTD'!AF44-AM44</f>
        <v>-0.984</v>
      </c>
      <c r="AO44" s="14"/>
      <c r="AP44" s="14"/>
    </row>
    <row customHeight="1" ht="15">
      <c r="A45" s="9" t="s">
        <v>82</v>
      </c>
      <c r="B45" s="0">
        <v>-0.254</v>
      </c>
      <c r="C45" s="0">
        <v>-0.243</v>
      </c>
      <c r="D45" s="0">
        <v>-0.238</v>
      </c>
      <c r="E45" s="0">
        <v>-0.237</v>
      </c>
      <c r="F45" s="0">
        <v>-0.192</v>
      </c>
      <c r="G45" s="0">
        <v>-0.106</v>
      </c>
      <c r="H45" s="0">
        <v>-0.004</v>
      </c>
      <c r="I45" s="0">
        <v>-0.77</v>
      </c>
      <c r="J45" s="10">
        <f>I45+'Quarterly YTD'!AF45-'Quarterly YTD'!AB45</f>
        <v>-0.576</v>
      </c>
      <c r="K45" s="0">
        <v>-0.062</v>
      </c>
      <c r="L45" s="11">
        <f>'Quarterly YTD'!D45-K45</f>
        <v>-0.06</v>
      </c>
      <c r="M45" s="11">
        <f>'Quarterly YTD'!E45-'Quarterly YTD'!D45</f>
        <v>-0.061</v>
      </c>
      <c r="N45" s="11">
        <f>C45-'Quarterly YTD'!E45</f>
        <v>-0.06</v>
      </c>
      <c r="O45" s="0">
        <v>-0.06</v>
      </c>
      <c r="P45" s="11">
        <f>'Quarterly YTD'!H45-O45</f>
        <v>-0.059</v>
      </c>
      <c r="Q45" s="11">
        <f>'Quarterly YTD'!I45-'Quarterly YTD'!H45</f>
        <v>-0.06</v>
      </c>
      <c r="R45" s="11">
        <f>D45-'Quarterly YTD'!I45</f>
        <v>-0.059</v>
      </c>
      <c r="S45" s="0">
        <v>-0.059</v>
      </c>
      <c r="T45" s="11">
        <f>'Quarterly YTD'!L45-S45</f>
        <v>-0.06</v>
      </c>
      <c r="U45" s="11">
        <f>'Quarterly YTD'!M45-'Quarterly YTD'!L45</f>
        <v>-0.059</v>
      </c>
      <c r="V45" s="11">
        <f>E45-'Quarterly YTD'!M45</f>
        <v>-0.059</v>
      </c>
      <c r="W45" s="0">
        <v>-0.053</v>
      </c>
      <c r="X45" s="11">
        <f>'Quarterly YTD'!P45-W45</f>
        <v>-0.048</v>
      </c>
      <c r="Y45" s="11">
        <f>'Quarterly YTD'!Q45-'Quarterly YTD'!P45</f>
        <v>-0.045</v>
      </c>
      <c r="Z45" s="11">
        <f>F45-'Quarterly YTD'!Q45</f>
        <v>-0.046</v>
      </c>
      <c r="AA45" s="0">
        <v>-0.044</v>
      </c>
      <c r="AB45" s="11">
        <f>'Quarterly YTD'!T45-AA45</f>
        <v>-0.039</v>
      </c>
      <c r="AC45" s="11">
        <f>'Quarterly YTD'!U45-'Quarterly YTD'!T45</f>
        <v>-0.024</v>
      </c>
      <c r="AD45" s="11">
        <f>G45-'Quarterly YTD'!U45</f>
        <v>0.001</v>
      </c>
      <c r="AE45" s="0">
        <v>0</v>
      </c>
      <c r="AF45" s="11">
        <f>'Quarterly YTD'!X45-AE45</f>
        <v>-0.002</v>
      </c>
      <c r="AG45" s="11">
        <f>'Quarterly YTD'!Y45-'Quarterly YTD'!X45</f>
        <v>-0.001</v>
      </c>
      <c r="AH45" s="11">
        <f>H45-'Quarterly YTD'!Y45</f>
        <v>-0.001</v>
      </c>
      <c r="AI45" s="0">
        <v>0</v>
      </c>
      <c r="AJ45" s="11">
        <f>'Quarterly YTD'!AB45-AI45</f>
        <v>-0.199</v>
      </c>
      <c r="AK45" s="11">
        <f>'Quarterly YTD'!AC45-'Quarterly YTD'!AB45</f>
        <v>-0.231</v>
      </c>
      <c r="AL45" s="11">
        <f>I45-'Quarterly YTD'!AC45</f>
        <v>-0.34</v>
      </c>
      <c r="AM45" s="0">
        <v>-0.002</v>
      </c>
      <c r="AN45" s="11">
        <f>'Quarterly YTD'!AF45-AM45</f>
        <v>-0.003</v>
      </c>
      <c r="AO45" s="14"/>
      <c r="AP45" s="14"/>
    </row>
    <row customHeight="1" ht="15">
      <c r="A46" s="9" t="s">
        <v>83</v>
      </c>
      <c r="B46" s="0">
        <v>-0.134</v>
      </c>
      <c r="C46" s="0">
        <v>-0.552</v>
      </c>
      <c r="D46" s="0">
        <v>-3.133</v>
      </c>
      <c r="E46" s="0">
        <v>-1.473</v>
      </c>
      <c r="F46" s="0">
        <v>-3.505</v>
      </c>
      <c r="G46" s="0">
        <v>-6.94</v>
      </c>
      <c r="H46" s="0">
        <v>-8.245</v>
      </c>
      <c r="I46" s="0">
        <v>-6.97</v>
      </c>
      <c r="J46" s="10">
        <f>I46+'Quarterly YTD'!AF46-'Quarterly YTD'!AB46</f>
        <v>-7.507</v>
      </c>
      <c r="K46" s="0">
        <v>-0.09</v>
      </c>
      <c r="L46" s="11">
        <f>'Quarterly YTD'!D46-K46</f>
        <v>-0.207</v>
      </c>
      <c r="M46" s="11">
        <f>'Quarterly YTD'!E46-'Quarterly YTD'!D46</f>
        <v>0.14</v>
      </c>
      <c r="N46" s="11">
        <f>C46-'Quarterly YTD'!E46</f>
        <v>-0.395</v>
      </c>
      <c r="O46" s="0">
        <v>-0.4</v>
      </c>
      <c r="P46" s="11">
        <f>'Quarterly YTD'!H46-O46</f>
        <v>-1.004</v>
      </c>
      <c r="Q46" s="11">
        <f>'Quarterly YTD'!I46-'Quarterly YTD'!H46</f>
        <v>-0.372</v>
      </c>
      <c r="R46" s="11">
        <f>D46-'Quarterly YTD'!I46</f>
        <v>-1.357</v>
      </c>
      <c r="S46" s="0">
        <v>-0.395</v>
      </c>
      <c r="T46" s="11">
        <f>'Quarterly YTD'!L46-S46</f>
        <v>-0.429</v>
      </c>
      <c r="U46" s="11">
        <f>'Quarterly YTD'!M46-'Quarterly YTD'!L46</f>
        <v>-0.471</v>
      </c>
      <c r="V46" s="11">
        <f>E46-'Quarterly YTD'!M46</f>
        <v>-0.178</v>
      </c>
      <c r="W46" s="0">
        <v>-0.451</v>
      </c>
      <c r="X46" s="11">
        <f>'Quarterly YTD'!P46-W46</f>
        <v>-0.382</v>
      </c>
      <c r="Y46" s="11">
        <f>'Quarterly YTD'!Q46-'Quarterly YTD'!P46</f>
        <v>-0.52</v>
      </c>
      <c r="Z46" s="11">
        <f>F46-'Quarterly YTD'!Q46</f>
        <v>-2.152</v>
      </c>
      <c r="AA46" s="0">
        <v>-0.262</v>
      </c>
      <c r="AB46" s="11">
        <f>'Quarterly YTD'!T46-AA46</f>
        <v>-0.578</v>
      </c>
      <c r="AC46" s="11">
        <f>'Quarterly YTD'!U46-'Quarterly YTD'!T46</f>
        <v>-0.891</v>
      </c>
      <c r="AD46" s="11">
        <f>G46-'Quarterly YTD'!U46</f>
        <v>-5.209</v>
      </c>
      <c r="AE46" s="0">
        <v>-1.065</v>
      </c>
      <c r="AF46" s="11">
        <f>'Quarterly YTD'!X46-AE46</f>
        <v>-2.286</v>
      </c>
      <c r="AG46" s="11">
        <f>'Quarterly YTD'!Y46-'Quarterly YTD'!X46</f>
        <v>-2.793</v>
      </c>
      <c r="AH46" s="11">
        <f>H46-'Quarterly YTD'!Y46</f>
        <v>-2.101</v>
      </c>
      <c r="AI46" s="0">
        <v>-1.255</v>
      </c>
      <c r="AJ46" s="11">
        <f>'Quarterly YTD'!AB46-AI46</f>
        <v>-0.971</v>
      </c>
      <c r="AK46" s="11">
        <f>'Quarterly YTD'!AC46-'Quarterly YTD'!AB46</f>
        <v>-1.34</v>
      </c>
      <c r="AL46" s="11">
        <f>I46-'Quarterly YTD'!AC46</f>
        <v>-3.404</v>
      </c>
      <c r="AM46" s="0">
        <v>-1.199</v>
      </c>
      <c r="AN46" s="11">
        <f>'Quarterly YTD'!AF46-AM46</f>
        <v>-1.564</v>
      </c>
      <c r="AO46" s="14"/>
      <c r="AP46" s="14"/>
    </row>
    <row customHeight="1" ht="15">
      <c r="A47" s="9" t="s">
        <v>84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-0.013</v>
      </c>
      <c r="I47" s="0">
        <v>0.255</v>
      </c>
      <c r="J47" s="10">
        <f>I47+'Quarterly YTD'!AF47-'Quarterly YTD'!AB47</f>
        <v>0.255</v>
      </c>
      <c r="K47" s="0">
        <v>0</v>
      </c>
      <c r="L47" s="11">
        <f>'Quarterly YTD'!D47-K47</f>
        <v>0</v>
      </c>
      <c r="M47" s="11">
        <f>'Quarterly YTD'!E47-'Quarterly YTD'!D47</f>
        <v>0</v>
      </c>
      <c r="N47" s="11">
        <f>C47-'Quarterly YTD'!E47</f>
        <v>0</v>
      </c>
      <c r="O47" s="0">
        <v>0</v>
      </c>
      <c r="P47" s="11">
        <f>'Quarterly YTD'!H47-O47</f>
        <v>0</v>
      </c>
      <c r="Q47" s="11">
        <f>'Quarterly YTD'!I47-'Quarterly YTD'!H47</f>
        <v>0</v>
      </c>
      <c r="R47" s="11">
        <f>D47-'Quarterly YTD'!I47</f>
        <v>0</v>
      </c>
      <c r="S47" s="0">
        <v>0</v>
      </c>
      <c r="T47" s="11">
        <f>'Quarterly YTD'!L47-S47</f>
        <v>0</v>
      </c>
      <c r="U47" s="11">
        <f>'Quarterly YTD'!M47-'Quarterly YTD'!L47</f>
        <v>0</v>
      </c>
      <c r="V47" s="11">
        <f>E47-'Quarterly YTD'!M47</f>
        <v>0</v>
      </c>
      <c r="W47" s="0">
        <v>0</v>
      </c>
      <c r="X47" s="11">
        <f>'Quarterly YTD'!P47-W47</f>
        <v>0</v>
      </c>
      <c r="Y47" s="11">
        <f>'Quarterly YTD'!Q47-'Quarterly YTD'!P47</f>
        <v>0</v>
      </c>
      <c r="Z47" s="11">
        <f>F47-'Quarterly YTD'!Q47</f>
        <v>0</v>
      </c>
      <c r="AA47" s="0">
        <v>0</v>
      </c>
      <c r="AB47" s="11">
        <f>'Quarterly YTD'!T47-AA47</f>
        <v>0</v>
      </c>
      <c r="AC47" s="11">
        <f>'Quarterly YTD'!U47-'Quarterly YTD'!T47</f>
        <v>0</v>
      </c>
      <c r="AD47" s="11">
        <f>G47-'Quarterly YTD'!U47</f>
        <v>0</v>
      </c>
      <c r="AE47" s="0">
        <v>0</v>
      </c>
      <c r="AF47" s="11">
        <f>'Quarterly YTD'!X47-AE47</f>
        <v>0</v>
      </c>
      <c r="AG47" s="11">
        <f>'Quarterly YTD'!Y47-'Quarterly YTD'!X47</f>
        <v>0</v>
      </c>
      <c r="AH47" s="11">
        <f>H47-'Quarterly YTD'!Y47</f>
        <v>-0.013</v>
      </c>
      <c r="AI47" s="0">
        <v>0</v>
      </c>
      <c r="AJ47" s="11">
        <f>'Quarterly YTD'!AB47-AI47</f>
        <v>0</v>
      </c>
      <c r="AK47" s="11">
        <f>'Quarterly YTD'!AC47-'Quarterly YTD'!AB47</f>
        <v>0</v>
      </c>
      <c r="AL47" s="11">
        <f>I47-'Quarterly YTD'!AC47</f>
        <v>0.255</v>
      </c>
      <c r="AM47" s="0">
        <v>0</v>
      </c>
      <c r="AN47" s="11">
        <f>'Quarterly YTD'!AF47-AM47</f>
        <v>0</v>
      </c>
      <c r="AO47" s="14"/>
      <c r="AP47" s="14"/>
    </row>
    <row customHeight="1" ht="15">
      <c r="A48" s="9" t="s">
        <v>85</v>
      </c>
      <c r="B48" s="0">
        <v>0</v>
      </c>
      <c r="C48" s="0">
        <v>1.027</v>
      </c>
      <c r="D48" s="0">
        <v>1.19</v>
      </c>
      <c r="E48" s="0">
        <v>-1.458</v>
      </c>
      <c r="F48" s="0">
        <v>55.091</v>
      </c>
      <c r="G48" s="0">
        <v>-2.706</v>
      </c>
      <c r="H48" s="0">
        <v>0</v>
      </c>
      <c r="I48" s="0">
        <v>0</v>
      </c>
      <c r="J48" s="10">
        <f>I48+'Quarterly YTD'!AF48-'Quarterly YTD'!AB48</f>
        <v>0.007</v>
      </c>
      <c r="K48" s="0">
        <v>0.054</v>
      </c>
      <c r="L48" s="11">
        <f>'Quarterly YTD'!D48-K48</f>
        <v>0.025</v>
      </c>
      <c r="M48" s="11">
        <f>'Quarterly YTD'!E48-'Quarterly YTD'!D48</f>
        <v>0.859</v>
      </c>
      <c r="N48" s="11">
        <f>C48-'Quarterly YTD'!E48</f>
        <v>0.089</v>
      </c>
      <c r="O48" s="0">
        <v>-0.84</v>
      </c>
      <c r="P48" s="11">
        <f>'Quarterly YTD'!H48-O48</f>
        <v>-1.009</v>
      </c>
      <c r="Q48" s="11">
        <f>'Quarterly YTD'!I48-'Quarterly YTD'!H48</f>
        <v>-1.562</v>
      </c>
      <c r="R48" s="11">
        <f>D48-'Quarterly YTD'!I48</f>
        <v>4.601</v>
      </c>
      <c r="S48" s="0">
        <v>-0.022</v>
      </c>
      <c r="T48" s="11">
        <f>'Quarterly YTD'!L48-S48</f>
        <v>0.004</v>
      </c>
      <c r="U48" s="11">
        <f>'Quarterly YTD'!M48-'Quarterly YTD'!L48</f>
        <v>0.067</v>
      </c>
      <c r="V48" s="11">
        <f>E48-'Quarterly YTD'!M48</f>
        <v>-1.507</v>
      </c>
      <c r="W48" s="0">
        <v>-0.023</v>
      </c>
      <c r="X48" s="11">
        <f>'Quarterly YTD'!P48-W48</f>
        <v>0.03</v>
      </c>
      <c r="Y48" s="11">
        <f>'Quarterly YTD'!Q48-'Quarterly YTD'!P48</f>
        <v>0.006</v>
      </c>
      <c r="Z48" s="11">
        <f>F48-'Quarterly YTD'!Q48</f>
        <v>55.078</v>
      </c>
      <c r="AA48" s="0">
        <v>-0.004</v>
      </c>
      <c r="AB48" s="11">
        <f>'Quarterly YTD'!T48-AA48</f>
        <v>-2.093</v>
      </c>
      <c r="AC48" s="11">
        <f>'Quarterly YTD'!U48-'Quarterly YTD'!T48</f>
        <v>-0.381</v>
      </c>
      <c r="AD48" s="11">
        <f>G48-'Quarterly YTD'!U48</f>
        <v>-0.228</v>
      </c>
      <c r="AE48" s="0">
        <v>-0.004</v>
      </c>
      <c r="AF48" s="11">
        <f>'Quarterly YTD'!X48-AE48</f>
        <v>0</v>
      </c>
      <c r="AG48" s="11">
        <f>'Quarterly YTD'!Y48-'Quarterly YTD'!X48</f>
        <v>-0.001</v>
      </c>
      <c r="AH48" s="11">
        <f>H48-'Quarterly YTD'!Y48</f>
        <v>0.005</v>
      </c>
      <c r="AI48" s="0">
        <v>0</v>
      </c>
      <c r="AJ48" s="11">
        <f>'Quarterly YTD'!AB48-AI48</f>
        <v>-0.012</v>
      </c>
      <c r="AK48" s="11">
        <f>'Quarterly YTD'!AC48-'Quarterly YTD'!AB48</f>
        <v>0</v>
      </c>
      <c r="AL48" s="11">
        <f>I48-'Quarterly YTD'!AC48</f>
        <v>0.012</v>
      </c>
      <c r="AM48" s="0">
        <v>0</v>
      </c>
      <c r="AN48" s="11">
        <f>'Quarterly YTD'!AF48-AM48</f>
        <v>-0.005</v>
      </c>
      <c r="AO48" s="14"/>
      <c r="AP48" s="14"/>
    </row>
    <row customHeight="1" ht="15">
      <c r="A49" s="9" t="s">
        <v>86</v>
      </c>
      <c r="B49" s="0">
        <v>1.217</v>
      </c>
      <c r="C49" s="0">
        <v>-24.084</v>
      </c>
      <c r="D49" s="0">
        <v>58.453</v>
      </c>
      <c r="E49" s="0">
        <v>-26.844</v>
      </c>
      <c r="F49" s="0">
        <v>3.298</v>
      </c>
      <c r="G49" s="0">
        <v>6.901</v>
      </c>
      <c r="H49" s="0">
        <v>-72.934</v>
      </c>
      <c r="I49" s="0">
        <v>-10.603</v>
      </c>
      <c r="J49" s="10">
        <f>I49+'Quarterly YTD'!AF49-'Quarterly YTD'!AB49</f>
        <v>-1.154</v>
      </c>
      <c r="K49" s="0">
        <v>1.258</v>
      </c>
      <c r="L49" s="11">
        <f>'Quarterly YTD'!D49-K49</f>
        <v>-0.645</v>
      </c>
      <c r="M49" s="11">
        <f>'Quarterly YTD'!E49-'Quarterly YTD'!D49</f>
        <v>-2.715</v>
      </c>
      <c r="N49" s="11">
        <f>C49-'Quarterly YTD'!E49</f>
        <v>-21.982</v>
      </c>
      <c r="O49" s="0">
        <v>58.46</v>
      </c>
      <c r="P49" s="11">
        <f>'Quarterly YTD'!H49-O49</f>
        <v>-0.445</v>
      </c>
      <c r="Q49" s="11">
        <f>'Quarterly YTD'!I49-'Quarterly YTD'!H49</f>
        <v>-4.744</v>
      </c>
      <c r="R49" s="11">
        <f>D49-'Quarterly YTD'!I49</f>
        <v>5.182</v>
      </c>
      <c r="S49" s="0">
        <v>-5.624</v>
      </c>
      <c r="T49" s="11">
        <f>'Quarterly YTD'!L49-S49</f>
        <v>-9.704</v>
      </c>
      <c r="U49" s="11">
        <f>'Quarterly YTD'!M49-'Quarterly YTD'!L49</f>
        <v>-8.336</v>
      </c>
      <c r="V49" s="11">
        <f>E49-'Quarterly YTD'!M49</f>
        <v>-3.18</v>
      </c>
      <c r="W49" s="0">
        <v>12.04</v>
      </c>
      <c r="X49" s="11">
        <f>'Quarterly YTD'!P49-W49</f>
        <v>-28.117</v>
      </c>
      <c r="Y49" s="11">
        <f>'Quarterly YTD'!Q49-'Quarterly YTD'!P49</f>
        <v>-13.397</v>
      </c>
      <c r="Z49" s="11">
        <f>F49-'Quarterly YTD'!Q49</f>
        <v>32.772</v>
      </c>
      <c r="AA49" s="0">
        <v>-8.757</v>
      </c>
      <c r="AB49" s="11">
        <f>'Quarterly YTD'!T49-AA49</f>
        <v>-9.361</v>
      </c>
      <c r="AC49" s="11">
        <f>'Quarterly YTD'!U49-'Quarterly YTD'!T49</f>
        <v>-12.457</v>
      </c>
      <c r="AD49" s="11">
        <f>G49-'Quarterly YTD'!U49</f>
        <v>37.476</v>
      </c>
      <c r="AE49" s="0">
        <v>-5.613</v>
      </c>
      <c r="AF49" s="11">
        <f>'Quarterly YTD'!X49-AE49</f>
        <v>-21.833</v>
      </c>
      <c r="AG49" s="11">
        <f>'Quarterly YTD'!Y49-'Quarterly YTD'!X49</f>
        <v>-45.371</v>
      </c>
      <c r="AH49" s="11">
        <f>H49-'Quarterly YTD'!Y49</f>
        <v>-0.117000000000004</v>
      </c>
      <c r="AI49" s="0">
        <v>21.06</v>
      </c>
      <c r="AJ49" s="11">
        <f>'Quarterly YTD'!AB49-AI49</f>
        <v>-3.762</v>
      </c>
      <c r="AK49" s="11">
        <f>'Quarterly YTD'!AC49-'Quarterly YTD'!AB49</f>
        <v>15.002</v>
      </c>
      <c r="AL49" s="11">
        <f>I49-'Quarterly YTD'!AC49</f>
        <v>-42.903</v>
      </c>
      <c r="AM49" s="0">
        <v>22.656</v>
      </c>
      <c r="AN49" s="11">
        <f>'Quarterly YTD'!AF49-AM49</f>
        <v>4.091</v>
      </c>
      <c r="AO49" s="14"/>
      <c r="AP49" s="14"/>
    </row>
    <row customHeight="1" ht="15">
      <c r="A50" s="9" t="s">
        <v>87</v>
      </c>
      <c r="B50" s="0">
        <v>-10.783</v>
      </c>
      <c r="C50" s="0">
        <v>-1.533</v>
      </c>
      <c r="D50" s="0">
        <v>15.818</v>
      </c>
      <c r="E50" s="0">
        <v>-140.502</v>
      </c>
      <c r="F50" s="0">
        <v>-42.187</v>
      </c>
      <c r="G50" s="0">
        <v>-76.5</v>
      </c>
      <c r="H50" s="0">
        <v>-2.796</v>
      </c>
      <c r="I50" s="0">
        <v>-76.038</v>
      </c>
      <c r="J50" s="10">
        <f>I50+'Quarterly YTD'!AF50-'Quarterly YTD'!AB50</f>
        <v>-66.938</v>
      </c>
      <c r="K50" s="0">
        <v>-6.486</v>
      </c>
      <c r="L50" s="11">
        <f>'Quarterly YTD'!D50-K50</f>
        <v>-0.464</v>
      </c>
      <c r="M50" s="11">
        <f>'Quarterly YTD'!E50-'Quarterly YTD'!D50</f>
        <v>-6.325</v>
      </c>
      <c r="N50" s="11">
        <f>C50-'Quarterly YTD'!E50</f>
        <v>11.742</v>
      </c>
      <c r="O50" s="0">
        <v>-27.374</v>
      </c>
      <c r="P50" s="11">
        <f>'Quarterly YTD'!H50-O50</f>
        <v>26.3</v>
      </c>
      <c r="Q50" s="11">
        <f>'Quarterly YTD'!I50-'Quarterly YTD'!H50</f>
        <v>-3.785</v>
      </c>
      <c r="R50" s="11">
        <f>D50-'Quarterly YTD'!I50</f>
        <v>20.677</v>
      </c>
      <c r="S50" s="0">
        <v>-32.739</v>
      </c>
      <c r="T50" s="11">
        <f>'Quarterly YTD'!L50-S50</f>
        <v>-25.817</v>
      </c>
      <c r="U50" s="11">
        <f>'Quarterly YTD'!M50-'Quarterly YTD'!L50</f>
        <v>-35.482</v>
      </c>
      <c r="V50" s="11">
        <f>E50-'Quarterly YTD'!M50</f>
        <v>-46.464</v>
      </c>
      <c r="W50" s="0">
        <v>-8.776</v>
      </c>
      <c r="X50" s="11">
        <f>'Quarterly YTD'!P50-W50</f>
        <v>-25.684</v>
      </c>
      <c r="Y50" s="11">
        <f>'Quarterly YTD'!Q50-'Quarterly YTD'!P50</f>
        <v>-32.486</v>
      </c>
      <c r="Z50" s="11">
        <f>F50-'Quarterly YTD'!Q50</f>
        <v>24.759</v>
      </c>
      <c r="AA50" s="0">
        <v>-47.637</v>
      </c>
      <c r="AB50" s="11">
        <f>'Quarterly YTD'!T50-AA50</f>
        <v>-32.065</v>
      </c>
      <c r="AC50" s="11">
        <f>'Quarterly YTD'!U50-'Quarterly YTD'!T50</f>
        <v>-7.084</v>
      </c>
      <c r="AD50" s="11">
        <f>G50-'Quarterly YTD'!U50</f>
        <v>10.286</v>
      </c>
      <c r="AE50" s="0">
        <v>-40.815</v>
      </c>
      <c r="AF50" s="11">
        <f>'Quarterly YTD'!X50-AE50</f>
        <v>-35.258</v>
      </c>
      <c r="AG50" s="11">
        <f>'Quarterly YTD'!Y50-'Quarterly YTD'!X50</f>
        <v>27.972</v>
      </c>
      <c r="AH50" s="11">
        <f>H50-'Quarterly YTD'!Y50</f>
        <v>45.305</v>
      </c>
      <c r="AI50" s="0">
        <v>-12.048</v>
      </c>
      <c r="AJ50" s="11">
        <f>'Quarterly YTD'!AB50-AI50</f>
        <v>-1.795</v>
      </c>
      <c r="AK50" s="11">
        <f>'Quarterly YTD'!AC50-'Quarterly YTD'!AB50</f>
        <v>16.688</v>
      </c>
      <c r="AL50" s="11">
        <f>I50-'Quarterly YTD'!AC50</f>
        <v>-78.883</v>
      </c>
      <c r="AM50" s="0">
        <v>-44.89</v>
      </c>
      <c r="AN50" s="11">
        <f>'Quarterly YTD'!AF50-AM50</f>
        <v>40.147</v>
      </c>
      <c r="AO50" s="14"/>
      <c r="AP50" s="14"/>
    </row>
    <row customHeight="1" ht="15">
      <c r="A51" s="9" t="s">
        <v>88</v>
      </c>
      <c r="B51" s="0">
        <v>-0.679</v>
      </c>
      <c r="C51" s="0">
        <v>-6.119</v>
      </c>
      <c r="D51" s="0">
        <v>-0.04</v>
      </c>
      <c r="E51" s="0">
        <v>-14.444</v>
      </c>
      <c r="F51" s="0">
        <v>-28.291</v>
      </c>
      <c r="G51" s="0">
        <v>-36.044</v>
      </c>
      <c r="H51" s="0">
        <v>-16.774</v>
      </c>
      <c r="I51" s="0">
        <v>1.236</v>
      </c>
      <c r="J51" s="10">
        <f>I51+'Quarterly YTD'!AF51-'Quarterly YTD'!AB51</f>
        <v>1.503</v>
      </c>
      <c r="K51" s="0">
        <v>0</v>
      </c>
      <c r="L51" s="11">
        <f>'Quarterly YTD'!D51-K51</f>
        <v>0</v>
      </c>
      <c r="M51" s="11">
        <f>'Quarterly YTD'!E51-'Quarterly YTD'!D51</f>
        <v>0</v>
      </c>
      <c r="N51" s="11">
        <f>C51-'Quarterly YTD'!E51</f>
        <v>-6.119</v>
      </c>
      <c r="O51" s="0">
        <v>-0.506</v>
      </c>
      <c r="P51" s="11">
        <f>'Quarterly YTD'!H51-O51</f>
        <v>0.506</v>
      </c>
      <c r="Q51" s="11">
        <f>'Quarterly YTD'!I51-'Quarterly YTD'!H51</f>
        <v>0</v>
      </c>
      <c r="R51" s="11">
        <f>D51-'Quarterly YTD'!I51</f>
        <v>-0.04</v>
      </c>
      <c r="S51" s="0">
        <v>0.36</v>
      </c>
      <c r="T51" s="11">
        <f>'Quarterly YTD'!L51-S51</f>
        <v>-2.037</v>
      </c>
      <c r="U51" s="11">
        <f>'Quarterly YTD'!M51-'Quarterly YTD'!L51</f>
        <v>-5.518</v>
      </c>
      <c r="V51" s="11">
        <f>E51-'Quarterly YTD'!M51</f>
        <v>-7.249</v>
      </c>
      <c r="W51" s="0">
        <v>-5.156</v>
      </c>
      <c r="X51" s="11">
        <f>'Quarterly YTD'!P51-W51</f>
        <v>-4.778</v>
      </c>
      <c r="Y51" s="11">
        <f>'Quarterly YTD'!Q51-'Quarterly YTD'!P51</f>
        <v>-6.617</v>
      </c>
      <c r="Z51" s="11">
        <f>F51-'Quarterly YTD'!Q51</f>
        <v>-11.74</v>
      </c>
      <c r="AA51" s="0">
        <v>-13.46</v>
      </c>
      <c r="AB51" s="11">
        <f>'Quarterly YTD'!T51-AA51</f>
        <v>-10.086</v>
      </c>
      <c r="AC51" s="11">
        <f>'Quarterly YTD'!U51-'Quarterly YTD'!T51</f>
        <v>-6.476</v>
      </c>
      <c r="AD51" s="11">
        <f>G51-'Quarterly YTD'!U51</f>
        <v>-6.022</v>
      </c>
      <c r="AE51" s="0">
        <v>-7.138</v>
      </c>
      <c r="AF51" s="11">
        <f>'Quarterly YTD'!X51-AE51</f>
        <v>-2.74</v>
      </c>
      <c r="AG51" s="11">
        <f>'Quarterly YTD'!Y51-'Quarterly YTD'!X51</f>
        <v>-13.827</v>
      </c>
      <c r="AH51" s="11">
        <f>H51-'Quarterly YTD'!Y51</f>
        <v>6.931</v>
      </c>
      <c r="AI51" s="0">
        <v>-1.789</v>
      </c>
      <c r="AJ51" s="11">
        <f>'Quarterly YTD'!AB51-AI51</f>
        <v>2.167</v>
      </c>
      <c r="AK51" s="11">
        <f>'Quarterly YTD'!AC51-'Quarterly YTD'!AB51</f>
        <v>-1.517</v>
      </c>
      <c r="AL51" s="11">
        <f>I51-'Quarterly YTD'!AC51</f>
        <v>2.375</v>
      </c>
      <c r="AM51" s="0">
        <v>-0.194</v>
      </c>
      <c r="AN51" s="11">
        <f>'Quarterly YTD'!AF51-AM51</f>
        <v>0.839</v>
      </c>
      <c r="AO51" s="14"/>
      <c r="AP51" s="14"/>
    </row>
    <row customHeight="1" ht="15">
      <c r="A52" s="9" t="s">
        <v>89</v>
      </c>
      <c r="B52" s="0">
        <v>1.021</v>
      </c>
      <c r="C52" s="0">
        <v>6.241</v>
      </c>
      <c r="D52" s="0">
        <v>-0.255</v>
      </c>
      <c r="E52" s="0">
        <v>-0.136</v>
      </c>
      <c r="F52" s="0">
        <v>-1.351</v>
      </c>
      <c r="G52" s="0">
        <v>-0.086</v>
      </c>
      <c r="H52" s="0">
        <v>0</v>
      </c>
      <c r="I52" s="0">
        <v>0</v>
      </c>
      <c r="J52" s="10">
        <f>I52+'Quarterly YTD'!AF52-'Quarterly YTD'!AB52</f>
        <v>0</v>
      </c>
      <c r="K52" s="0">
        <v>-0.101</v>
      </c>
      <c r="L52" s="11">
        <f>'Quarterly YTD'!D52-K52</f>
        <v>0.097</v>
      </c>
      <c r="M52" s="11">
        <f>'Quarterly YTD'!E52-'Quarterly YTD'!D52</f>
        <v>0.508</v>
      </c>
      <c r="N52" s="11">
        <f>C52-'Quarterly YTD'!E52</f>
        <v>5.737</v>
      </c>
      <c r="O52" s="0">
        <v>0.478</v>
      </c>
      <c r="P52" s="11">
        <f>'Quarterly YTD'!H52-O52</f>
        <v>-0.779</v>
      </c>
      <c r="Q52" s="11">
        <f>'Quarterly YTD'!I52-'Quarterly YTD'!H52</f>
        <v>-0.092</v>
      </c>
      <c r="R52" s="11">
        <f>D52-'Quarterly YTD'!I52</f>
        <v>0.138</v>
      </c>
      <c r="S52" s="0">
        <v>-0.033</v>
      </c>
      <c r="T52" s="11">
        <f>'Quarterly YTD'!L52-S52</f>
        <v>0.033</v>
      </c>
      <c r="U52" s="11">
        <f>'Quarterly YTD'!M52-'Quarterly YTD'!L52</f>
        <v>0.458</v>
      </c>
      <c r="V52" s="11">
        <f>E52-'Quarterly YTD'!M52</f>
        <v>-0.594</v>
      </c>
      <c r="W52" s="0">
        <v>-0.141</v>
      </c>
      <c r="X52" s="11">
        <f>'Quarterly YTD'!P52-W52</f>
        <v>-0.309</v>
      </c>
      <c r="Y52" s="11">
        <f>'Quarterly YTD'!Q52-'Quarterly YTD'!P52</f>
        <v>-0.015</v>
      </c>
      <c r="Z52" s="11">
        <f>F52-'Quarterly YTD'!Q52</f>
        <v>-0.886</v>
      </c>
      <c r="AA52" s="0">
        <v>-0.039</v>
      </c>
      <c r="AB52" s="11">
        <f>'Quarterly YTD'!T52-AA52</f>
        <v>-0.059</v>
      </c>
      <c r="AC52" s="11">
        <f>'Quarterly YTD'!U52-'Quarterly YTD'!T52</f>
        <v>-0.052</v>
      </c>
      <c r="AD52" s="11">
        <f>G52-'Quarterly YTD'!U52</f>
        <v>0.064</v>
      </c>
      <c r="AE52" s="0">
        <v>0</v>
      </c>
      <c r="AF52" s="11">
        <f>'Quarterly YTD'!X52-AE52</f>
        <v>0.268</v>
      </c>
      <c r="AG52" s="11">
        <f>'Quarterly YTD'!Y52-'Quarterly YTD'!X52</f>
        <v>-0.268</v>
      </c>
      <c r="AH52" s="11">
        <f>H52-'Quarterly YTD'!Y52</f>
        <v>0</v>
      </c>
      <c r="AI52" s="0">
        <v>0</v>
      </c>
      <c r="AJ52" s="11">
        <f>'Quarterly YTD'!AB52-AI52</f>
        <v>0</v>
      </c>
      <c r="AK52" s="11">
        <f>'Quarterly YTD'!AC52-'Quarterly YTD'!AB52</f>
        <v>0</v>
      </c>
      <c r="AL52" s="11">
        <f>I52-'Quarterly YTD'!AC52</f>
        <v>0</v>
      </c>
      <c r="AM52" s="0">
        <v>0</v>
      </c>
      <c r="AN52" s="11">
        <f>'Quarterly YTD'!AF52-AM52</f>
        <v>0</v>
      </c>
      <c r="AO52" s="14"/>
      <c r="AP52" s="14"/>
    </row>
    <row customHeight="1" ht="15">
      <c r="A53" s="9" t="s">
        <v>90</v>
      </c>
      <c r="B53" s="0">
        <v>7.612</v>
      </c>
      <c r="C53" s="0">
        <v>10.783</v>
      </c>
      <c r="D53" s="0">
        <v>-25.283</v>
      </c>
      <c r="E53" s="0">
        <v>106.822</v>
      </c>
      <c r="F53" s="0">
        <v>16.476</v>
      </c>
      <c r="G53" s="0">
        <v>80.396</v>
      </c>
      <c r="H53" s="0">
        <v>75.427</v>
      </c>
      <c r="I53" s="0">
        <v>101.135</v>
      </c>
      <c r="J53" s="10">
        <f>I53+'Quarterly YTD'!AF53-'Quarterly YTD'!AB53</f>
        <v>40.663</v>
      </c>
      <c r="K53" s="0">
        <v>6.89</v>
      </c>
      <c r="L53" s="11">
        <f>'Quarterly YTD'!D53-K53</f>
        <v>-0.87</v>
      </c>
      <c r="M53" s="11">
        <f>'Quarterly YTD'!E53-'Quarterly YTD'!D53</f>
        <v>-1.759</v>
      </c>
      <c r="N53" s="11">
        <f>C53-'Quarterly YTD'!E53</f>
        <v>6.522</v>
      </c>
      <c r="O53" s="0">
        <v>-5.299</v>
      </c>
      <c r="P53" s="11">
        <f>'Quarterly YTD'!H53-O53</f>
        <v>4.862</v>
      </c>
      <c r="Q53" s="11">
        <f>'Quarterly YTD'!I53-'Quarterly YTD'!H53</f>
        <v>-31.143</v>
      </c>
      <c r="R53" s="11">
        <f>D53-'Quarterly YTD'!I53</f>
        <v>6.297</v>
      </c>
      <c r="S53" s="0">
        <v>25.919</v>
      </c>
      <c r="T53" s="11">
        <f>'Quarterly YTD'!L53-S53</f>
        <v>21.69</v>
      </c>
      <c r="U53" s="11">
        <f>'Quarterly YTD'!M53-'Quarterly YTD'!L53</f>
        <v>20.62</v>
      </c>
      <c r="V53" s="11">
        <f>E53-'Quarterly YTD'!M53</f>
        <v>38.593</v>
      </c>
      <c r="W53" s="0">
        <v>21.257</v>
      </c>
      <c r="X53" s="11">
        <f>'Quarterly YTD'!P53-W53</f>
        <v>19.036</v>
      </c>
      <c r="Y53" s="11">
        <f>'Quarterly YTD'!Q53-'Quarterly YTD'!P53</f>
        <v>23.887</v>
      </c>
      <c r="Z53" s="11">
        <f>F53-'Quarterly YTD'!Q53</f>
        <v>-47.704</v>
      </c>
      <c r="AA53" s="0">
        <v>76.776</v>
      </c>
      <c r="AB53" s="11">
        <f>'Quarterly YTD'!T53-AA53</f>
        <v>43.769</v>
      </c>
      <c r="AC53" s="11">
        <f>'Quarterly YTD'!U53-'Quarterly YTD'!T53</f>
        <v>-29.793</v>
      </c>
      <c r="AD53" s="11">
        <f>G53-'Quarterly YTD'!U53</f>
        <v>-10.356</v>
      </c>
      <c r="AE53" s="0">
        <v>115.156</v>
      </c>
      <c r="AF53" s="11">
        <f>'Quarterly YTD'!X53-AE53</f>
        <v>37.557</v>
      </c>
      <c r="AG53" s="11">
        <f>'Quarterly YTD'!Y53-'Quarterly YTD'!X53</f>
        <v>-15.242</v>
      </c>
      <c r="AH53" s="11">
        <f>H53-'Quarterly YTD'!Y53</f>
        <v>-62.044</v>
      </c>
      <c r="AI53" s="0">
        <v>45.651</v>
      </c>
      <c r="AJ53" s="11">
        <f>'Quarterly YTD'!AB53-AI53</f>
        <v>42.398</v>
      </c>
      <c r="AK53" s="11">
        <f>'Quarterly YTD'!AC53-'Quarterly YTD'!AB53</f>
        <v>-62.136</v>
      </c>
      <c r="AL53" s="11">
        <f>I53-'Quarterly YTD'!AC53</f>
        <v>75.222</v>
      </c>
      <c r="AM53" s="0">
        <v>40.802</v>
      </c>
      <c r="AN53" s="11">
        <f>'Quarterly YTD'!AF53-AM53</f>
        <v>-13.225</v>
      </c>
      <c r="AO53" s="14"/>
      <c r="AP53" s="14"/>
    </row>
    <row customHeight="1" ht="15">
      <c r="A54" s="9" t="s">
        <v>91</v>
      </c>
      <c r="B54" s="0">
        <v>0.014</v>
      </c>
      <c r="C54" s="0">
        <v>1.345</v>
      </c>
      <c r="D54" s="0">
        <v>1.965</v>
      </c>
      <c r="E54" s="0">
        <v>2.677</v>
      </c>
      <c r="F54" s="0">
        <v>9.332</v>
      </c>
      <c r="G54" s="0">
        <v>10.664</v>
      </c>
      <c r="H54" s="0">
        <v>15.497</v>
      </c>
      <c r="I54" s="0">
        <v>12.113</v>
      </c>
      <c r="J54" s="10">
        <f>I54+'Quarterly YTD'!AF54-'Quarterly YTD'!AB54</f>
        <v>10.807</v>
      </c>
      <c r="K54" s="0">
        <v>0.036</v>
      </c>
      <c r="L54" s="11">
        <f>'Quarterly YTD'!D54-K54</f>
        <v>0.288</v>
      </c>
      <c r="M54" s="11">
        <f>'Quarterly YTD'!E54-'Quarterly YTD'!D54</f>
        <v>0.143</v>
      </c>
      <c r="N54" s="11">
        <f>C54-'Quarterly YTD'!E54</f>
        <v>0.878</v>
      </c>
      <c r="O54" s="0">
        <v>1.434</v>
      </c>
      <c r="P54" s="11">
        <f>'Quarterly YTD'!H54-O54</f>
        <v>0.691</v>
      </c>
      <c r="Q54" s="11">
        <f>'Quarterly YTD'!I54-'Quarterly YTD'!H54</f>
        <v>-0.425</v>
      </c>
      <c r="R54" s="11">
        <f>D54-'Quarterly YTD'!I54</f>
        <v>0.265</v>
      </c>
      <c r="S54" s="0">
        <v>0.041</v>
      </c>
      <c r="T54" s="11">
        <f>'Quarterly YTD'!L54-S54</f>
        <v>2.629</v>
      </c>
      <c r="U54" s="11">
        <f>'Quarterly YTD'!M54-'Quarterly YTD'!L54</f>
        <v>-0.799</v>
      </c>
      <c r="V54" s="11">
        <f>E54-'Quarterly YTD'!M54</f>
        <v>0.806</v>
      </c>
      <c r="W54" s="0">
        <v>4.128</v>
      </c>
      <c r="X54" s="11">
        <f>'Quarterly YTD'!P54-W54</f>
        <v>4.05</v>
      </c>
      <c r="Y54" s="11">
        <f>'Quarterly YTD'!Q54-'Quarterly YTD'!P54</f>
        <v>2.992</v>
      </c>
      <c r="Z54" s="11">
        <f>F54-'Quarterly YTD'!Q54</f>
        <v>-1.838</v>
      </c>
      <c r="AA54" s="0">
        <v>4.345</v>
      </c>
      <c r="AB54" s="11">
        <f>'Quarterly YTD'!T54-AA54</f>
        <v>9.912</v>
      </c>
      <c r="AC54" s="11">
        <f>'Quarterly YTD'!U54-'Quarterly YTD'!T54</f>
        <v>-1.408</v>
      </c>
      <c r="AD54" s="11">
        <f>G54-'Quarterly YTD'!U54</f>
        <v>-2.185</v>
      </c>
      <c r="AE54" s="0">
        <v>21.742</v>
      </c>
      <c r="AF54" s="11">
        <f>'Quarterly YTD'!X54-AE54</f>
        <v>-10.244</v>
      </c>
      <c r="AG54" s="11">
        <f>'Quarterly YTD'!Y54-'Quarterly YTD'!X54</f>
        <v>2.833</v>
      </c>
      <c r="AH54" s="11">
        <f>H54-'Quarterly YTD'!Y54</f>
        <v>1.166</v>
      </c>
      <c r="AI54" s="0">
        <v>1.585</v>
      </c>
      <c r="AJ54" s="11">
        <f>'Quarterly YTD'!AB54-AI54</f>
        <v>5.475</v>
      </c>
      <c r="AK54" s="11">
        <f>'Quarterly YTD'!AC54-'Quarterly YTD'!AB54</f>
        <v>1.886</v>
      </c>
      <c r="AL54" s="11">
        <f>I54-'Quarterly YTD'!AC54</f>
        <v>3.167</v>
      </c>
      <c r="AM54" s="0">
        <v>4.438</v>
      </c>
      <c r="AN54" s="11">
        <f>'Quarterly YTD'!AF54-AM54</f>
        <v>1.316</v>
      </c>
      <c r="AO54" s="14"/>
      <c r="AP54" s="14"/>
    </row>
    <row customHeight="1" ht="15">
      <c r="A55" s="9" t="s">
        <v>92</v>
      </c>
      <c r="B55" s="11">
        <f>SUM(B24:B30)+B32+SUM(B34:B35)+B43+SUM(B45:B46)+SUM(B48:B54)</f>
        <v>22.857</v>
      </c>
      <c r="C55" s="11">
        <f t="shared" si="8" ref="C55:F55">SUM(C24:C30)+C32+SUM(C34:C35)+SUM(C37:C38)+SUM(C42:C43)+SUM(C45:C46)+SUM(C48:C54)</f>
        <v>50.447</v>
      </c>
      <c r="D55" s="11">
        <f t="shared" si="8"/>
        <v>132.888</v>
      </c>
      <c r="E55" s="11">
        <f t="shared" si="8"/>
        <v>84.745</v>
      </c>
      <c r="F55" s="11">
        <f t="shared" si="8"/>
        <v>235.793</v>
      </c>
      <c r="G55" s="11">
        <f>SUM(G24:G30)+SUM(G32:G35)+G38+SUM(G40:G43)+SUM(G45:G46)+SUM(G48:G54)</f>
        <v>367.304</v>
      </c>
      <c r="H55" s="11">
        <f t="shared" si="9" ref="H55:I55">SUM(H24:H30)+SUM(H32:H33)+H35+H38+SUM(H40:H41)+H43+SUM(H45:H47)+SUM(H49:H51)+SUM(H53:H54)</f>
        <v>431.774</v>
      </c>
      <c r="I55" s="11">
        <f t="shared" si="9"/>
        <v>370.204</v>
      </c>
      <c r="J55" s="10">
        <f>I55+'Quarterly YTD'!AF55-'Quarterly YTD'!AB55</f>
        <v>292.216</v>
      </c>
      <c r="K55" s="11">
        <f>SUM(K24:K30)+SUM(K34:K35)+SUM(K45:K46)+SUM(K48:K50)+SUM(K52:K54)</f>
        <v>6.971</v>
      </c>
      <c r="L55" s="11">
        <f t="shared" si="10" ref="L55:AN55">SUM(L24:L54)</f>
        <v>6.297</v>
      </c>
      <c r="M55" s="11">
        <f t="shared" si="10"/>
        <v>-2.32</v>
      </c>
      <c r="N55" s="11">
        <f t="shared" si="10"/>
        <v>39.499</v>
      </c>
      <c r="O55" s="11">
        <f>SUM(O24:O30)+O32+SUM(O34:O35)+O38+O42+SUM(O45:O46)+SUM(O48:O54)</f>
        <v>61.513</v>
      </c>
      <c r="P55" s="11">
        <f t="shared" si="10"/>
        <v>72.297</v>
      </c>
      <c r="Q55" s="11">
        <f t="shared" si="10"/>
        <v>-40.216</v>
      </c>
      <c r="R55" s="11">
        <f t="shared" si="10"/>
        <v>39.294</v>
      </c>
      <c r="S55" s="11">
        <f>SUM(S24:S30)+S32+SUM(S34:S35)+SUM(S38:S39)+SUM(S42:S43)+SUM(S45:S46)+SUM(S48:S54)</f>
        <v>18.472</v>
      </c>
      <c r="T55" s="11">
        <f t="shared" si="10"/>
        <v>14.883</v>
      </c>
      <c r="U55" s="11">
        <f t="shared" si="10"/>
        <v>27.682</v>
      </c>
      <c r="V55" s="11">
        <f t="shared" si="10"/>
        <v>23.708</v>
      </c>
      <c r="W55" s="11">
        <f>SUM(W24:W30)+W32+SUM(W34:W35)+W38+SUM(W42:W43)+SUM(W45:W46)+SUM(W48:W54)</f>
        <v>49.747</v>
      </c>
      <c r="X55" s="11">
        <f t="shared" si="10"/>
        <v>48.655</v>
      </c>
      <c r="Y55" s="11">
        <f t="shared" si="10"/>
        <v>102.353</v>
      </c>
      <c r="Z55" s="11">
        <f t="shared" si="10"/>
        <v>35.038</v>
      </c>
      <c r="AA55" s="11">
        <f>SUM(AA24:AA30)+AA32+SUM(AA34:AA35)+AA38+AA43+SUM(AA45:AA46)+SUM(AA48:AA54)</f>
        <v>24.817</v>
      </c>
      <c r="AB55" s="11">
        <f t="shared" si="10"/>
        <v>116.7</v>
      </c>
      <c r="AC55" s="11">
        <f t="shared" si="10"/>
        <v>130.213</v>
      </c>
      <c r="AD55" s="11">
        <f t="shared" si="10"/>
        <v>95.574</v>
      </c>
      <c r="AE55" s="11">
        <f>SUM(AE24:AE30)+SUM(AE32:AE35)+AE38+AE41+AE46+SUM(AE48:AE51)+SUM(AE53:AE54)</f>
        <v>85.338</v>
      </c>
      <c r="AF55" s="11">
        <f t="shared" si="10"/>
        <v>133.14</v>
      </c>
      <c r="AG55" s="11">
        <f t="shared" si="10"/>
        <v>176.844</v>
      </c>
      <c r="AH55" s="11">
        <f t="shared" si="10"/>
        <v>36.452</v>
      </c>
      <c r="AI55" s="11">
        <f t="shared" si="11" ref="AI55:AM55">SUM(AI24:AI30)+SUM(AI32:AI33)+AI35+AI38+AI41+SUM(AI45:AI46)+SUM(AI49:AI51)+SUM(AI53:AI54)</f>
        <v>52.193</v>
      </c>
      <c r="AJ55" s="11">
        <f t="shared" si="10"/>
        <v>157.087</v>
      </c>
      <c r="AK55" s="11">
        <f t="shared" si="10"/>
        <v>181.991</v>
      </c>
      <c r="AL55" s="11">
        <f t="shared" si="10"/>
        <v>-21.067</v>
      </c>
      <c r="AM55" s="11">
        <f t="shared" si="11"/>
        <v>51.785</v>
      </c>
      <c r="AN55" s="11">
        <f t="shared" si="10"/>
        <v>79.507</v>
      </c>
      <c r="AO55" s="14"/>
      <c r="AP55" s="14"/>
    </row>
    <row customHeight="1" ht="15">
      <c r="A56" s="9" t="s">
        <v>93</v>
      </c>
      <c r="B56" s="0">
        <v>0.001</v>
      </c>
      <c r="C56" s="0">
        <v>0.002</v>
      </c>
      <c r="D56" s="0">
        <v>0.952</v>
      </c>
      <c r="E56" s="0">
        <v>1.711</v>
      </c>
      <c r="F56" s="0">
        <v>2.337</v>
      </c>
      <c r="G56" s="0">
        <v>5.272</v>
      </c>
      <c r="H56" s="0">
        <v>7.141</v>
      </c>
      <c r="I56" s="0">
        <v>2.114</v>
      </c>
      <c r="J56" s="10">
        <f>I56+'Quarterly YTD'!AF56-'Quarterly YTD'!AB56</f>
        <v>1.455</v>
      </c>
      <c r="K56" s="0">
        <v>0</v>
      </c>
      <c r="L56" s="11">
        <f>'Quarterly YTD'!D56-K56</f>
        <v>0.027</v>
      </c>
      <c r="M56" s="11">
        <f>'Quarterly YTD'!E56-'Quarterly YTD'!D56</f>
        <v>0.001</v>
      </c>
      <c r="N56" s="11">
        <f>C56-'Quarterly YTD'!E56</f>
        <v>-0.026</v>
      </c>
      <c r="O56" s="0">
        <v>0</v>
      </c>
      <c r="P56" s="11">
        <f>'Quarterly YTD'!H56-O56</f>
        <v>0.397</v>
      </c>
      <c r="Q56" s="11">
        <f>'Quarterly YTD'!I56-'Quarterly YTD'!H56</f>
        <v>0.029</v>
      </c>
      <c r="R56" s="11">
        <f>D56-'Quarterly YTD'!I56</f>
        <v>0.526</v>
      </c>
      <c r="S56" s="0">
        <v>-2.072</v>
      </c>
      <c r="T56" s="11">
        <f>'Quarterly YTD'!L56-S56</f>
        <v>2.909</v>
      </c>
      <c r="U56" s="11">
        <f>'Quarterly YTD'!M56-'Quarterly YTD'!L56</f>
        <v>0.009</v>
      </c>
      <c r="V56" s="11">
        <f>E56-'Quarterly YTD'!M56</f>
        <v>0.865</v>
      </c>
      <c r="W56" s="0">
        <v>0.095</v>
      </c>
      <c r="X56" s="11">
        <f>'Quarterly YTD'!P56-W56</f>
        <v>-0.082</v>
      </c>
      <c r="Y56" s="11">
        <f>'Quarterly YTD'!Q56-'Quarterly YTD'!P56</f>
        <v>1.466</v>
      </c>
      <c r="Z56" s="11">
        <f>F56-'Quarterly YTD'!Q56</f>
        <v>0.858</v>
      </c>
      <c r="AA56" s="0">
        <v>0.192</v>
      </c>
      <c r="AB56" s="11">
        <f>'Quarterly YTD'!T56-AA56</f>
        <v>0.065</v>
      </c>
      <c r="AC56" s="11">
        <f>'Quarterly YTD'!U56-'Quarterly YTD'!T56</f>
        <v>0.017</v>
      </c>
      <c r="AD56" s="11">
        <f>G56-'Quarterly YTD'!U56</f>
        <v>4.998</v>
      </c>
      <c r="AE56" s="0">
        <v>0.607</v>
      </c>
      <c r="AF56" s="11">
        <f>'Quarterly YTD'!X56-AE56</f>
        <v>2.544</v>
      </c>
      <c r="AG56" s="11">
        <f>'Quarterly YTD'!Y56-'Quarterly YTD'!X56</f>
        <v>1.454</v>
      </c>
      <c r="AH56" s="11">
        <f>H56-'Quarterly YTD'!Y56</f>
        <v>2.536</v>
      </c>
      <c r="AI56" s="0">
        <v>0.65</v>
      </c>
      <c r="AJ56" s="11">
        <f>'Quarterly YTD'!AB56-AI56</f>
        <v>0.368</v>
      </c>
      <c r="AK56" s="11">
        <f>'Quarterly YTD'!AC56-'Quarterly YTD'!AB56</f>
        <v>0.632</v>
      </c>
      <c r="AL56" s="11">
        <f>I56-'Quarterly YTD'!AC56</f>
        <v>0.464</v>
      </c>
      <c r="AM56" s="0">
        <v>0.18</v>
      </c>
      <c r="AN56" s="11">
        <f>'Quarterly YTD'!AF56-AM56</f>
        <v>0.179</v>
      </c>
      <c r="AO56" s="14"/>
      <c r="AP56" s="14"/>
    </row>
    <row customHeight="1" ht="15">
      <c r="A57" s="9" t="s">
        <v>94</v>
      </c>
      <c r="B57" s="0">
        <v>-1.456</v>
      </c>
      <c r="C57" s="0">
        <v>-7.718</v>
      </c>
      <c r="D57" s="0">
        <v>-29.584</v>
      </c>
      <c r="E57" s="0">
        <v>-27.567</v>
      </c>
      <c r="F57" s="0">
        <v>-44.188</v>
      </c>
      <c r="G57" s="0">
        <v>-79.833</v>
      </c>
      <c r="H57" s="0">
        <v>-131.204</v>
      </c>
      <c r="I57" s="0">
        <v>-110.568</v>
      </c>
      <c r="J57" s="10">
        <f>I57+'Quarterly YTD'!AF57-'Quarterly YTD'!AB57</f>
        <v>-89.314</v>
      </c>
      <c r="K57" s="0">
        <v>-0.726</v>
      </c>
      <c r="L57" s="11">
        <f>'Quarterly YTD'!D57-K57</f>
        <v>-0.414</v>
      </c>
      <c r="M57" s="11">
        <f>'Quarterly YTD'!E57-'Quarterly YTD'!D57</f>
        <v>-0.705</v>
      </c>
      <c r="N57" s="11">
        <f>C57-'Quarterly YTD'!E57</f>
        <v>-5.873</v>
      </c>
      <c r="O57" s="0">
        <v>-4.566</v>
      </c>
      <c r="P57" s="11">
        <f>'Quarterly YTD'!H57-O57</f>
        <v>-14.899</v>
      </c>
      <c r="Q57" s="11">
        <f>'Quarterly YTD'!I57-'Quarterly YTD'!H57</f>
        <v>3.757</v>
      </c>
      <c r="R57" s="11">
        <f>D57-'Quarterly YTD'!I57</f>
        <v>-13.876</v>
      </c>
      <c r="S57" s="0">
        <v>0.005</v>
      </c>
      <c r="T57" s="11">
        <f>'Quarterly YTD'!L57-S57</f>
        <v>-13.42</v>
      </c>
      <c r="U57" s="11">
        <f>'Quarterly YTD'!M57-'Quarterly YTD'!L57</f>
        <v>-3.06</v>
      </c>
      <c r="V57" s="11">
        <f>E57-'Quarterly YTD'!M57</f>
        <v>-11.092</v>
      </c>
      <c r="W57" s="0">
        <v>-3.275</v>
      </c>
      <c r="X57" s="11">
        <f>'Quarterly YTD'!P57-W57</f>
        <v>-14.314</v>
      </c>
      <c r="Y57" s="11">
        <f>'Quarterly YTD'!Q57-'Quarterly YTD'!P57</f>
        <v>-8.762</v>
      </c>
      <c r="Z57" s="11">
        <f>F57-'Quarterly YTD'!Q57</f>
        <v>-17.837</v>
      </c>
      <c r="AA57" s="0">
        <v>-9.784</v>
      </c>
      <c r="AB57" s="11">
        <f>'Quarterly YTD'!T57-AA57</f>
        <v>-22.233</v>
      </c>
      <c r="AC57" s="11">
        <f>'Quarterly YTD'!U57-'Quarterly YTD'!T57</f>
        <v>-16.214</v>
      </c>
      <c r="AD57" s="11">
        <f>G57-'Quarterly YTD'!U57</f>
        <v>-31.602</v>
      </c>
      <c r="AE57" s="0">
        <v>-24.293</v>
      </c>
      <c r="AF57" s="11">
        <f>'Quarterly YTD'!X57-AE57</f>
        <v>-33.548</v>
      </c>
      <c r="AG57" s="11">
        <f>'Quarterly YTD'!Y57-'Quarterly YTD'!X57</f>
        <v>-29.518</v>
      </c>
      <c r="AH57" s="11">
        <f>H57-'Quarterly YTD'!Y57</f>
        <v>-43.845</v>
      </c>
      <c r="AI57" s="0">
        <v>-25.054</v>
      </c>
      <c r="AJ57" s="11">
        <f>'Quarterly YTD'!AB57-AI57</f>
        <v>-37.196</v>
      </c>
      <c r="AK57" s="11">
        <f>'Quarterly YTD'!AC57-'Quarterly YTD'!AB57</f>
        <v>-20.744</v>
      </c>
      <c r="AL57" s="11">
        <f>I57-'Quarterly YTD'!AC57</f>
        <v>-27.574</v>
      </c>
      <c r="AM57" s="0">
        <v>-13.015</v>
      </c>
      <c r="AN57" s="11">
        <f>'Quarterly YTD'!AF57-AM57</f>
        <v>-27.981</v>
      </c>
      <c r="AO57" s="14"/>
      <c r="AP57" s="14"/>
    </row>
    <row customHeight="1" ht="15">
      <c r="A58" s="9" t="s">
        <v>95</v>
      </c>
      <c r="B58" s="0">
        <v>-0.931</v>
      </c>
      <c r="C58" s="0">
        <v>-3.536</v>
      </c>
      <c r="D58" s="0">
        <v>-6.885</v>
      </c>
      <c r="E58" s="0">
        <v>-16.208</v>
      </c>
      <c r="F58" s="0">
        <v>-20.421</v>
      </c>
      <c r="G58" s="0">
        <v>-24.529</v>
      </c>
      <c r="H58" s="0">
        <v>-14.017</v>
      </c>
      <c r="I58" s="0">
        <v>-17.702</v>
      </c>
      <c r="J58" s="10">
        <f>I58+'Quarterly YTD'!AF58-'Quarterly YTD'!AB58</f>
        <v>-13.607</v>
      </c>
      <c r="K58" s="0">
        <v>-0.067</v>
      </c>
      <c r="L58" s="11">
        <f>'Quarterly YTD'!D58-K58</f>
        <v>-1.61</v>
      </c>
      <c r="M58" s="11">
        <f>'Quarterly YTD'!E58-'Quarterly YTD'!D58</f>
        <v>0.11</v>
      </c>
      <c r="N58" s="11">
        <f>C58-'Quarterly YTD'!E58</f>
        <v>-1.969</v>
      </c>
      <c r="O58" s="0">
        <v>-0.16</v>
      </c>
      <c r="P58" s="11">
        <f>'Quarterly YTD'!H58-O58</f>
        <v>-0.814</v>
      </c>
      <c r="Q58" s="11">
        <f>'Quarterly YTD'!I58-'Quarterly YTD'!H58</f>
        <v>-0.354</v>
      </c>
      <c r="R58" s="11">
        <f>D58-'Quarterly YTD'!I58</f>
        <v>-5.557</v>
      </c>
      <c r="S58" s="0">
        <v>-4.986</v>
      </c>
      <c r="T58" s="11">
        <f>'Quarterly YTD'!L58-S58</f>
        <v>-1.939</v>
      </c>
      <c r="U58" s="11">
        <f>'Quarterly YTD'!M58-'Quarterly YTD'!L58</f>
        <v>-10.076</v>
      </c>
      <c r="V58" s="11">
        <f>E58-'Quarterly YTD'!M58</f>
        <v>0.793000000000003</v>
      </c>
      <c r="W58" s="0">
        <v>-3.411</v>
      </c>
      <c r="X58" s="11">
        <f>'Quarterly YTD'!P58-W58</f>
        <v>-6.827</v>
      </c>
      <c r="Y58" s="11">
        <f>'Quarterly YTD'!Q58-'Quarterly YTD'!P58</f>
        <v>-4.432</v>
      </c>
      <c r="Z58" s="11">
        <f>F58-'Quarterly YTD'!Q58</f>
        <v>-5.751</v>
      </c>
      <c r="AA58" s="0">
        <v>-11.307</v>
      </c>
      <c r="AB58" s="11">
        <f>'Quarterly YTD'!T58-AA58</f>
        <v>3.794</v>
      </c>
      <c r="AC58" s="11">
        <f>'Quarterly YTD'!U58-'Quarterly YTD'!T58</f>
        <v>-12.193</v>
      </c>
      <c r="AD58" s="11">
        <f>G58-'Quarterly YTD'!U58</f>
        <v>-4.823</v>
      </c>
      <c r="AE58" s="0">
        <v>-2.367</v>
      </c>
      <c r="AF58" s="11">
        <f>'Quarterly YTD'!X58-AE58</f>
        <v>-2.469</v>
      </c>
      <c r="AG58" s="11">
        <f>'Quarterly YTD'!Y58-'Quarterly YTD'!X58</f>
        <v>-4.594</v>
      </c>
      <c r="AH58" s="11">
        <f>H58-'Quarterly YTD'!Y58</f>
        <v>-4.587</v>
      </c>
      <c r="AI58" s="0">
        <v>-1.631</v>
      </c>
      <c r="AJ58" s="11">
        <f>'Quarterly YTD'!AB58-AI58</f>
        <v>-7.657</v>
      </c>
      <c r="AK58" s="11">
        <f>'Quarterly YTD'!AC58-'Quarterly YTD'!AB58</f>
        <v>-4.444</v>
      </c>
      <c r="AL58" s="11">
        <f>I58-'Quarterly YTD'!AC58</f>
        <v>-3.97</v>
      </c>
      <c r="AM58" s="0">
        <v>-1.405</v>
      </c>
      <c r="AN58" s="11">
        <f>'Quarterly YTD'!AF58-AM58</f>
        <v>-3.788</v>
      </c>
      <c r="AO58" s="14"/>
      <c r="AP58" s="14"/>
    </row>
    <row customHeight="1" ht="15">
      <c r="A59" s="9" t="s">
        <v>96</v>
      </c>
      <c r="B59" s="11">
        <f t="shared" si="12" ref="B59:AN226">SUM(B55:B58)</f>
        <v>20.471</v>
      </c>
      <c r="C59" s="11">
        <f t="shared" si="12"/>
        <v>39.195</v>
      </c>
      <c r="D59" s="11">
        <f t="shared" si="12"/>
        <v>97.371</v>
      </c>
      <c r="E59" s="11">
        <f t="shared" si="12"/>
        <v>42.681</v>
      </c>
      <c r="F59" s="11">
        <f t="shared" si="12"/>
        <v>173.521</v>
      </c>
      <c r="G59" s="11">
        <f t="shared" si="12"/>
        <v>268.214</v>
      </c>
      <c r="H59" s="11">
        <f t="shared" si="12"/>
        <v>293.694</v>
      </c>
      <c r="I59" s="11">
        <f t="shared" si="12"/>
        <v>244.048</v>
      </c>
      <c r="J59" s="10">
        <f t="shared" si="12"/>
        <v>190.75</v>
      </c>
      <c r="K59" s="11">
        <f>K55+SUM(K57:K58)</f>
        <v>6.178</v>
      </c>
      <c r="L59" s="11">
        <f t="shared" si="12"/>
        <v>4.3</v>
      </c>
      <c r="M59" s="11">
        <f t="shared" si="12"/>
        <v>-2.914</v>
      </c>
      <c r="N59" s="11">
        <f t="shared" si="12"/>
        <v>31.631</v>
      </c>
      <c r="O59" s="11">
        <f t="shared" si="12"/>
        <v>56.787</v>
      </c>
      <c r="P59" s="11">
        <f t="shared" si="12"/>
        <v>56.981</v>
      </c>
      <c r="Q59" s="11">
        <f t="shared" si="12"/>
        <v>-36.784</v>
      </c>
      <c r="R59" s="11">
        <f t="shared" si="12"/>
        <v>20.387</v>
      </c>
      <c r="S59" s="11">
        <f t="shared" si="12"/>
        <v>11.419</v>
      </c>
      <c r="T59" s="11">
        <f t="shared" si="12"/>
        <v>2.433</v>
      </c>
      <c r="U59" s="11">
        <f t="shared" si="12"/>
        <v>14.555</v>
      </c>
      <c r="V59" s="11">
        <f t="shared" si="12"/>
        <v>14.274</v>
      </c>
      <c r="W59" s="11">
        <f t="shared" si="12"/>
        <v>43.156</v>
      </c>
      <c r="X59" s="11">
        <f t="shared" si="12"/>
        <v>27.432</v>
      </c>
      <c r="Y59" s="11">
        <f t="shared" si="12"/>
        <v>90.625</v>
      </c>
      <c r="Z59" s="11">
        <f t="shared" si="12"/>
        <v>12.308</v>
      </c>
      <c r="AA59" s="11">
        <f t="shared" si="12"/>
        <v>3.918</v>
      </c>
      <c r="AB59" s="11">
        <f t="shared" si="12"/>
        <v>98.326</v>
      </c>
      <c r="AC59" s="11">
        <f t="shared" si="12"/>
        <v>101.823</v>
      </c>
      <c r="AD59" s="11">
        <f t="shared" si="12"/>
        <v>64.147</v>
      </c>
      <c r="AE59" s="11">
        <f t="shared" si="12"/>
        <v>59.285</v>
      </c>
      <c r="AF59" s="11">
        <f t="shared" si="12"/>
        <v>99.667</v>
      </c>
      <c r="AG59" s="11">
        <f t="shared" si="12"/>
        <v>144.186</v>
      </c>
      <c r="AH59" s="11">
        <f t="shared" si="12"/>
        <v>-9.444</v>
      </c>
      <c r="AI59" s="11">
        <f t="shared" si="12"/>
        <v>26.158</v>
      </c>
      <c r="AJ59" s="11">
        <f t="shared" si="12"/>
        <v>112.602</v>
      </c>
      <c r="AK59" s="11">
        <f t="shared" si="12"/>
        <v>157.435</v>
      </c>
      <c r="AL59" s="11">
        <f t="shared" si="12"/>
        <v>-52.147</v>
      </c>
      <c r="AM59" s="11">
        <f t="shared" si="12"/>
        <v>37.545</v>
      </c>
      <c r="AN59" s="11">
        <f t="shared" si="12"/>
        <v>47.917</v>
      </c>
      <c r="AO59" s="14"/>
      <c r="AP59" s="14"/>
    </row>
    <row customHeight="1" ht="15">
      <c r="A60" s="4" t="s">
        <v>97</v>
      </c>
      <c r="B60" s="7">
        <f t="shared" si="13" ref="B60:AN101">B59</f>
        <v>20.471</v>
      </c>
      <c r="C60" s="7">
        <f t="shared" si="13"/>
        <v>39.195</v>
      </c>
      <c r="D60" s="7">
        <f t="shared" si="13"/>
        <v>97.371</v>
      </c>
      <c r="E60" s="7">
        <f t="shared" si="13"/>
        <v>42.681</v>
      </c>
      <c r="F60" s="7">
        <f t="shared" si="13"/>
        <v>173.521</v>
      </c>
      <c r="G60" s="7">
        <f t="shared" si="13"/>
        <v>268.214</v>
      </c>
      <c r="H60" s="7">
        <f t="shared" si="13"/>
        <v>293.694</v>
      </c>
      <c r="I60" s="7">
        <f t="shared" si="13"/>
        <v>244.048</v>
      </c>
      <c r="J60" s="6">
        <f t="shared" si="13"/>
        <v>190.75</v>
      </c>
      <c r="K60" s="7">
        <f t="shared" si="13"/>
        <v>6.178</v>
      </c>
      <c r="L60" s="7">
        <f t="shared" si="13"/>
        <v>4.3</v>
      </c>
      <c r="M60" s="7">
        <f t="shared" si="13"/>
        <v>-2.914</v>
      </c>
      <c r="N60" s="7">
        <f t="shared" si="13"/>
        <v>31.631</v>
      </c>
      <c r="O60" s="7">
        <f t="shared" si="13"/>
        <v>56.787</v>
      </c>
      <c r="P60" s="7">
        <f t="shared" si="13"/>
        <v>56.981</v>
      </c>
      <c r="Q60" s="7">
        <f t="shared" si="13"/>
        <v>-36.784</v>
      </c>
      <c r="R60" s="7">
        <f t="shared" si="13"/>
        <v>20.387</v>
      </c>
      <c r="S60" s="7">
        <f t="shared" si="13"/>
        <v>11.419</v>
      </c>
      <c r="T60" s="7">
        <f t="shared" si="13"/>
        <v>2.433</v>
      </c>
      <c r="U60" s="7">
        <f t="shared" si="13"/>
        <v>14.555</v>
      </c>
      <c r="V60" s="7">
        <f t="shared" si="13"/>
        <v>14.274</v>
      </c>
      <c r="W60" s="7">
        <f t="shared" si="13"/>
        <v>43.156</v>
      </c>
      <c r="X60" s="7">
        <f t="shared" si="13"/>
        <v>27.432</v>
      </c>
      <c r="Y60" s="7">
        <f t="shared" si="13"/>
        <v>90.625</v>
      </c>
      <c r="Z60" s="7">
        <f t="shared" si="13"/>
        <v>12.308</v>
      </c>
      <c r="AA60" s="7">
        <f t="shared" si="13"/>
        <v>3.918</v>
      </c>
      <c r="AB60" s="7">
        <f t="shared" si="13"/>
        <v>98.326</v>
      </c>
      <c r="AC60" s="7">
        <f t="shared" si="13"/>
        <v>101.823</v>
      </c>
      <c r="AD60" s="7">
        <f t="shared" si="13"/>
        <v>64.147</v>
      </c>
      <c r="AE60" s="7">
        <f t="shared" si="13"/>
        <v>59.285</v>
      </c>
      <c r="AF60" s="7">
        <f t="shared" si="13"/>
        <v>99.667</v>
      </c>
      <c r="AG60" s="7">
        <f t="shared" si="13"/>
        <v>144.186</v>
      </c>
      <c r="AH60" s="7">
        <f t="shared" si="13"/>
        <v>-9.444</v>
      </c>
      <c r="AI60" s="7">
        <f t="shared" si="13"/>
        <v>26.158</v>
      </c>
      <c r="AJ60" s="7">
        <f t="shared" si="13"/>
        <v>112.602</v>
      </c>
      <c r="AK60" s="7">
        <f t="shared" si="13"/>
        <v>157.435</v>
      </c>
      <c r="AL60" s="7">
        <f t="shared" si="13"/>
        <v>-52.147</v>
      </c>
      <c r="AM60" s="7">
        <f t="shared" si="13"/>
        <v>37.545</v>
      </c>
      <c r="AN60" s="7">
        <f t="shared" si="13"/>
        <v>47.917</v>
      </c>
      <c r="AO60" s="8">
        <f t="shared" si="0"/>
        <v>0.276255160474098</v>
      </c>
      <c r="AP60" s="8">
        <f t="shared" si="1"/>
        <v>-0.574456936821726</v>
      </c>
    </row>
    <row customHeight="1" ht="15">
      <c r="A61" s="9" t="s">
        <v>98</v>
      </c>
      <c r="B61" s="0">
        <v>-25.222</v>
      </c>
      <c r="C61" s="0">
        <v>-39.674</v>
      </c>
      <c r="D61" s="0">
        <v>-93.132</v>
      </c>
      <c r="E61" s="0">
        <v>-70.253</v>
      </c>
      <c r="F61" s="0">
        <v>-154.722</v>
      </c>
      <c r="G61" s="0">
        <v>-204.822</v>
      </c>
      <c r="H61" s="0">
        <v>-230.833</v>
      </c>
      <c r="I61" s="0">
        <v>-162.507</v>
      </c>
      <c r="J61" s="10">
        <f>I61+'Quarterly YTD'!AF61-'Quarterly YTD'!AB61</f>
        <v>-155.115</v>
      </c>
      <c r="K61" s="0">
        <v>-3.532</v>
      </c>
      <c r="L61" s="11">
        <f>'Quarterly YTD'!D61-K61</f>
        <v>-13.197</v>
      </c>
      <c r="M61" s="11">
        <f>'Quarterly YTD'!E61-'Quarterly YTD'!D61</f>
        <v>12.707</v>
      </c>
      <c r="N61" s="11">
        <f>C61-'Quarterly YTD'!E61</f>
        <v>-35.652</v>
      </c>
      <c r="O61" s="0">
        <v>-18.545</v>
      </c>
      <c r="P61" s="11">
        <f>'Quarterly YTD'!H61-O61</f>
        <v>-30.936</v>
      </c>
      <c r="Q61" s="11">
        <f>'Quarterly YTD'!I61-'Quarterly YTD'!H61</f>
        <v>-19.794</v>
      </c>
      <c r="R61" s="11">
        <f>D61-'Quarterly YTD'!I61</f>
        <v>-23.857</v>
      </c>
      <c r="S61" s="0">
        <v>-26.252</v>
      </c>
      <c r="T61" s="11">
        <f>'Quarterly YTD'!L61-S61</f>
        <v>-12.095</v>
      </c>
      <c r="U61" s="11">
        <f>'Quarterly YTD'!M61-'Quarterly YTD'!L61</f>
        <v>-11.268</v>
      </c>
      <c r="V61" s="11">
        <f>E61-'Quarterly YTD'!M61</f>
        <v>-20.638</v>
      </c>
      <c r="W61" s="0">
        <v>-21.649</v>
      </c>
      <c r="X61" s="11">
        <f>'Quarterly YTD'!P61-W61</f>
        <v>-18.101</v>
      </c>
      <c r="Y61" s="11">
        <f>'Quarterly YTD'!Q61-'Quarterly YTD'!P61</f>
        <v>-20.731</v>
      </c>
      <c r="Z61" s="11">
        <f>F61-'Quarterly YTD'!Q61</f>
        <v>-94.241</v>
      </c>
      <c r="AA61" s="0">
        <v>-34.387</v>
      </c>
      <c r="AB61" s="11">
        <f>'Quarterly YTD'!T61-AA61</f>
        <v>-55.834</v>
      </c>
      <c r="AC61" s="11">
        <f>'Quarterly YTD'!U61-'Quarterly YTD'!T61</f>
        <v>-32.57</v>
      </c>
      <c r="AD61" s="11">
        <f>G61-'Quarterly YTD'!U61</f>
        <v>-82.031</v>
      </c>
      <c r="AE61" s="0">
        <v>-42.935</v>
      </c>
      <c r="AF61" s="11">
        <f>'Quarterly YTD'!X61-AE61</f>
        <v>-40.025</v>
      </c>
      <c r="AG61" s="11">
        <f>'Quarterly YTD'!Y61-'Quarterly YTD'!X61</f>
        <v>-72.69</v>
      </c>
      <c r="AH61" s="11">
        <f>H61-'Quarterly YTD'!Y61</f>
        <v>-75.183</v>
      </c>
      <c r="AI61" s="0">
        <v>-47.439</v>
      </c>
      <c r="AJ61" s="11">
        <f>'Quarterly YTD'!AB61-AI61</f>
        <v>-29.473</v>
      </c>
      <c r="AK61" s="11">
        <f>'Quarterly YTD'!AC61-'Quarterly YTD'!AB61</f>
        <v>-35.433</v>
      </c>
      <c r="AL61" s="11">
        <f>I61-'Quarterly YTD'!AC61</f>
        <v>-50.162</v>
      </c>
      <c r="AM61" s="0">
        <v>-12.02</v>
      </c>
      <c r="AN61" s="11">
        <f>'Quarterly YTD'!AF61-AM61</f>
        <v>-57.5</v>
      </c>
      <c r="AO61" s="14"/>
      <c r="AP61" s="14"/>
    </row>
    <row customHeight="1" ht="15">
      <c r="A62" s="9" t="s">
        <v>99</v>
      </c>
      <c r="B62" s="0">
        <v>0</v>
      </c>
      <c r="C62" s="0">
        <v>0</v>
      </c>
      <c r="D62" s="0">
        <v>0</v>
      </c>
      <c r="E62" s="0">
        <v>0</v>
      </c>
      <c r="F62" s="0">
        <v>-4.348</v>
      </c>
      <c r="G62" s="0">
        <v>-8.962</v>
      </c>
      <c r="H62" s="0">
        <v>-9.512</v>
      </c>
      <c r="I62" s="0">
        <v>-6.608</v>
      </c>
      <c r="J62" s="10">
        <f>I62+'Quarterly YTD'!AF62-'Quarterly YTD'!AB62</f>
        <v>-7.432</v>
      </c>
      <c r="K62" s="0">
        <v>0</v>
      </c>
      <c r="L62" s="11">
        <f>'Quarterly YTD'!D62-K62</f>
        <v>0</v>
      </c>
      <c r="M62" s="11">
        <f>'Quarterly YTD'!E62-'Quarterly YTD'!D62</f>
        <v>0</v>
      </c>
      <c r="N62" s="11">
        <f>C62-'Quarterly YTD'!E62</f>
        <v>0</v>
      </c>
      <c r="O62" s="0">
        <v>0</v>
      </c>
      <c r="P62" s="11">
        <f>'Quarterly YTD'!H62-O62</f>
        <v>0</v>
      </c>
      <c r="Q62" s="11">
        <f>'Quarterly YTD'!I62-'Quarterly YTD'!H62</f>
        <v>0</v>
      </c>
      <c r="R62" s="11">
        <f>D62-'Quarterly YTD'!I62</f>
        <v>0</v>
      </c>
      <c r="S62" s="0">
        <v>0</v>
      </c>
      <c r="T62" s="11">
        <f>'Quarterly YTD'!L62-S62</f>
        <v>0</v>
      </c>
      <c r="U62" s="11">
        <f>'Quarterly YTD'!M62-'Quarterly YTD'!L62</f>
        <v>0</v>
      </c>
      <c r="V62" s="11">
        <f>E62-'Quarterly YTD'!M62</f>
        <v>0</v>
      </c>
      <c r="W62" s="0">
        <v>0</v>
      </c>
      <c r="X62" s="11">
        <f>'Quarterly YTD'!P62-W62</f>
        <v>0</v>
      </c>
      <c r="Y62" s="11">
        <f>'Quarterly YTD'!Q62-'Quarterly YTD'!P62</f>
        <v>0</v>
      </c>
      <c r="Z62" s="11">
        <f>F62-'Quarterly YTD'!Q62</f>
        <v>-4.348</v>
      </c>
      <c r="AA62" s="0">
        <v>-2.179</v>
      </c>
      <c r="AB62" s="11">
        <f>'Quarterly YTD'!T62-AA62</f>
        <v>-2.386</v>
      </c>
      <c r="AC62" s="11">
        <f>'Quarterly YTD'!U62-'Quarterly YTD'!T62</f>
        <v>-1.801</v>
      </c>
      <c r="AD62" s="11">
        <f>G62-'Quarterly YTD'!U62</f>
        <v>-2.596</v>
      </c>
      <c r="AE62" s="0">
        <v>-1.957</v>
      </c>
      <c r="AF62" s="11">
        <f>'Quarterly YTD'!X62-AE62</f>
        <v>-2.39</v>
      </c>
      <c r="AG62" s="11">
        <f>'Quarterly YTD'!Y62-'Quarterly YTD'!X62</f>
        <v>-2.694</v>
      </c>
      <c r="AH62" s="11">
        <f>H62-'Quarterly YTD'!Y62</f>
        <v>-2.471</v>
      </c>
      <c r="AI62" s="0">
        <v>-1.302</v>
      </c>
      <c r="AJ62" s="11">
        <f>'Quarterly YTD'!AB62-AI62</f>
        <v>-1.096</v>
      </c>
      <c r="AK62" s="11">
        <f>'Quarterly YTD'!AC62-'Quarterly YTD'!AB62</f>
        <v>-1.403</v>
      </c>
      <c r="AL62" s="11">
        <f>I62-'Quarterly YTD'!AC62</f>
        <v>-2.807</v>
      </c>
      <c r="AM62" s="0">
        <v>-1.481</v>
      </c>
      <c r="AN62" s="11">
        <f>'Quarterly YTD'!AF62-AM62</f>
        <v>-1.741</v>
      </c>
      <c r="AO62" s="14"/>
      <c r="AP62" s="14"/>
    </row>
    <row customHeight="1" ht="15">
      <c r="A63" s="9" t="s">
        <v>100</v>
      </c>
      <c r="B63" s="0">
        <v>0.215</v>
      </c>
      <c r="C63" s="0">
        <v>3.422</v>
      </c>
      <c r="D63" s="0">
        <v>9.145</v>
      </c>
      <c r="E63" s="0">
        <v>4.129</v>
      </c>
      <c r="F63" s="0">
        <v>3.9</v>
      </c>
      <c r="G63" s="0">
        <v>21.152</v>
      </c>
      <c r="H63" s="0">
        <v>6.519</v>
      </c>
      <c r="I63" s="0">
        <v>18.903</v>
      </c>
      <c r="J63" s="10">
        <f>I63+'Quarterly YTD'!AF63-'Quarterly YTD'!AB63</f>
        <v>5.833</v>
      </c>
      <c r="K63" s="0">
        <v>0.328</v>
      </c>
      <c r="L63" s="11">
        <f>'Quarterly YTD'!D63-K63</f>
        <v>0.17</v>
      </c>
      <c r="M63" s="11">
        <f>'Quarterly YTD'!E63-'Quarterly YTD'!D63</f>
        <v>0.03</v>
      </c>
      <c r="N63" s="11">
        <f>C63-'Quarterly YTD'!E63</f>
        <v>2.894</v>
      </c>
      <c r="O63" s="0">
        <v>0.433</v>
      </c>
      <c r="P63" s="11">
        <f>'Quarterly YTD'!H63-O63</f>
        <v>0.265</v>
      </c>
      <c r="Q63" s="11">
        <f>'Quarterly YTD'!I63-'Quarterly YTD'!H63</f>
        <v>-0.033</v>
      </c>
      <c r="R63" s="11">
        <f>D63-'Quarterly YTD'!I63</f>
        <v>8.48</v>
      </c>
      <c r="S63" s="0">
        <v>0.05</v>
      </c>
      <c r="T63" s="11">
        <f>'Quarterly YTD'!L63-S63</f>
        <v>0.347</v>
      </c>
      <c r="U63" s="11">
        <f>'Quarterly YTD'!M63-'Quarterly YTD'!L63</f>
        <v>0.19</v>
      </c>
      <c r="V63" s="11">
        <f>E63-'Quarterly YTD'!M63</f>
        <v>3.542</v>
      </c>
      <c r="W63" s="0">
        <v>1.976</v>
      </c>
      <c r="X63" s="11">
        <f>'Quarterly YTD'!P63-W63</f>
        <v>0.048</v>
      </c>
      <c r="Y63" s="11">
        <f>'Quarterly YTD'!Q63-'Quarterly YTD'!P63</f>
        <v>21.262</v>
      </c>
      <c r="Z63" s="11">
        <f>F63-'Quarterly YTD'!Q63</f>
        <v>-19.386</v>
      </c>
      <c r="AA63" s="0">
        <v>0.053</v>
      </c>
      <c r="AB63" s="11">
        <f>'Quarterly YTD'!T63-AA63</f>
        <v>-0.052</v>
      </c>
      <c r="AC63" s="11">
        <f>'Quarterly YTD'!U63-'Quarterly YTD'!T63</f>
        <v>0.103</v>
      </c>
      <c r="AD63" s="11">
        <f>G63-'Quarterly YTD'!U63</f>
        <v>21.048</v>
      </c>
      <c r="AE63" s="0">
        <v>0.041</v>
      </c>
      <c r="AF63" s="11">
        <f>'Quarterly YTD'!X63-AE63</f>
        <v>1.314</v>
      </c>
      <c r="AG63" s="11">
        <f>'Quarterly YTD'!Y63-'Quarterly YTD'!X63</f>
        <v>3.979</v>
      </c>
      <c r="AH63" s="11">
        <f>H63-'Quarterly YTD'!Y63</f>
        <v>1.185</v>
      </c>
      <c r="AI63" s="0">
        <v>9.265</v>
      </c>
      <c r="AJ63" s="11">
        <f>'Quarterly YTD'!AB63-AI63</f>
        <v>6.385</v>
      </c>
      <c r="AK63" s="11">
        <f>'Quarterly YTD'!AC63-'Quarterly YTD'!AB63</f>
        <v>-4.158</v>
      </c>
      <c r="AL63" s="11">
        <f>I63-'Quarterly YTD'!AC63</f>
        <v>7.411</v>
      </c>
      <c r="AM63" s="0">
        <v>0.297</v>
      </c>
      <c r="AN63" s="11">
        <f>'Quarterly YTD'!AF63-AM63</f>
        <v>2.283</v>
      </c>
      <c r="AO63" s="14"/>
      <c r="AP63" s="14"/>
    </row>
    <row customHeight="1" ht="15">
      <c r="A64" s="9" t="s">
        <v>101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10">
        <f>I64+'Quarterly YTD'!AF64-'Quarterly YTD'!AB64</f>
        <v>0</v>
      </c>
      <c r="K64" s="0">
        <v>0</v>
      </c>
      <c r="L64" s="11">
        <f>'Quarterly YTD'!D64-K64</f>
        <v>0</v>
      </c>
      <c r="M64" s="11">
        <f>'Quarterly YTD'!E64-'Quarterly YTD'!D64</f>
        <v>0</v>
      </c>
      <c r="N64" s="11">
        <f>C64-'Quarterly YTD'!E64</f>
        <v>0</v>
      </c>
      <c r="O64" s="0">
        <v>0</v>
      </c>
      <c r="P64" s="11">
        <f>'Quarterly YTD'!H64-O64</f>
        <v>0</v>
      </c>
      <c r="Q64" s="11">
        <f>'Quarterly YTD'!I64-'Quarterly YTD'!H64</f>
        <v>0</v>
      </c>
      <c r="R64" s="11">
        <f>D64-'Quarterly YTD'!I64</f>
        <v>0</v>
      </c>
      <c r="S64" s="0">
        <v>0</v>
      </c>
      <c r="T64" s="11">
        <f>'Quarterly YTD'!L64-S64</f>
        <v>0</v>
      </c>
      <c r="U64" s="11">
        <f>'Quarterly YTD'!M64-'Quarterly YTD'!L64</f>
        <v>0</v>
      </c>
      <c r="V64" s="11">
        <f>E64-'Quarterly YTD'!M64</f>
        <v>0</v>
      </c>
      <c r="W64" s="0">
        <v>0</v>
      </c>
      <c r="X64" s="11">
        <f>'Quarterly YTD'!P64-W64</f>
        <v>0</v>
      </c>
      <c r="Y64" s="11">
        <f>'Quarterly YTD'!Q64-'Quarterly YTD'!P64</f>
        <v>0</v>
      </c>
      <c r="Z64" s="11">
        <f>F64-'Quarterly YTD'!Q64</f>
        <v>0</v>
      </c>
      <c r="AA64" s="0">
        <v>0</v>
      </c>
      <c r="AB64" s="11">
        <f>'Quarterly YTD'!T64-AA64</f>
        <v>0</v>
      </c>
      <c r="AC64" s="11">
        <f>'Quarterly YTD'!U64-'Quarterly YTD'!T64</f>
        <v>0</v>
      </c>
      <c r="AD64" s="11">
        <f>G64-'Quarterly YTD'!U64</f>
        <v>0</v>
      </c>
      <c r="AE64" s="0">
        <v>0</v>
      </c>
      <c r="AF64" s="11">
        <f>'Quarterly YTD'!X64-AE64</f>
        <v>0</v>
      </c>
      <c r="AG64" s="11">
        <f>'Quarterly YTD'!Y64-'Quarterly YTD'!X64</f>
        <v>0</v>
      </c>
      <c r="AH64" s="11">
        <f>H64-'Quarterly YTD'!Y64</f>
        <v>0</v>
      </c>
      <c r="AI64" s="0">
        <v>0</v>
      </c>
      <c r="AJ64" s="11">
        <f>'Quarterly YTD'!AB64-AI64</f>
        <v>0</v>
      </c>
      <c r="AK64" s="11">
        <f>'Quarterly YTD'!AC64-'Quarterly YTD'!AB64</f>
        <v>0</v>
      </c>
      <c r="AL64" s="11">
        <f>I64-'Quarterly YTD'!AC64</f>
        <v>0</v>
      </c>
      <c r="AM64" s="0">
        <v>0</v>
      </c>
      <c r="AN64" s="11">
        <f>'Quarterly YTD'!AF64-AM64</f>
        <v>0</v>
      </c>
      <c r="AO64" s="14"/>
      <c r="AP64" s="14"/>
    </row>
    <row customHeight="1" ht="15">
      <c r="A65" s="9" t="s">
        <v>102</v>
      </c>
      <c r="B65" s="0">
        <v>0</v>
      </c>
      <c r="C65" s="0">
        <v>0</v>
      </c>
      <c r="D65" s="0">
        <v>0</v>
      </c>
      <c r="E65" s="0">
        <v>0</v>
      </c>
      <c r="F65" s="0">
        <v>-81.411</v>
      </c>
      <c r="G65" s="0">
        <v>0</v>
      </c>
      <c r="H65" s="0">
        <v>0</v>
      </c>
      <c r="I65" s="0">
        <v>0</v>
      </c>
      <c r="J65" s="10">
        <f>I65+'Quarterly YTD'!AF65-'Quarterly YTD'!AB65</f>
        <v>0</v>
      </c>
      <c r="K65" s="0">
        <v>0</v>
      </c>
      <c r="L65" s="11">
        <f>'Quarterly YTD'!D65-K65</f>
        <v>0</v>
      </c>
      <c r="M65" s="11">
        <f>'Quarterly YTD'!E65-'Quarterly YTD'!D65</f>
        <v>0</v>
      </c>
      <c r="N65" s="11">
        <f>C65-'Quarterly YTD'!E65</f>
        <v>0</v>
      </c>
      <c r="O65" s="0">
        <v>0</v>
      </c>
      <c r="P65" s="11">
        <f>'Quarterly YTD'!H65-O65</f>
        <v>0</v>
      </c>
      <c r="Q65" s="11">
        <f>'Quarterly YTD'!I65-'Quarterly YTD'!H65</f>
        <v>0</v>
      </c>
      <c r="R65" s="11">
        <f>D65-'Quarterly YTD'!I65</f>
        <v>0</v>
      </c>
      <c r="S65" s="0">
        <v>0</v>
      </c>
      <c r="T65" s="11">
        <f>'Quarterly YTD'!L65-S65</f>
        <v>0</v>
      </c>
      <c r="U65" s="11">
        <f>'Quarterly YTD'!M65-'Quarterly YTD'!L65</f>
        <v>0</v>
      </c>
      <c r="V65" s="11">
        <f>E65-'Quarterly YTD'!M65</f>
        <v>0</v>
      </c>
      <c r="W65" s="0">
        <v>0</v>
      </c>
      <c r="X65" s="11">
        <f>'Quarterly YTD'!P65-W65</f>
        <v>0</v>
      </c>
      <c r="Y65" s="11">
        <f>'Quarterly YTD'!Q65-'Quarterly YTD'!P65</f>
        <v>0</v>
      </c>
      <c r="Z65" s="11">
        <f>F65-'Quarterly YTD'!Q65</f>
        <v>-81.411</v>
      </c>
      <c r="AA65" s="0">
        <v>0</v>
      </c>
      <c r="AB65" s="11">
        <f>'Quarterly YTD'!T65-AA65</f>
        <v>0</v>
      </c>
      <c r="AC65" s="11">
        <f>'Quarterly YTD'!U65-'Quarterly YTD'!T65</f>
        <v>0</v>
      </c>
      <c r="AD65" s="11">
        <f>G65-'Quarterly YTD'!U65</f>
        <v>0</v>
      </c>
      <c r="AE65" s="0">
        <v>0</v>
      </c>
      <c r="AF65" s="11">
        <f>'Quarterly YTD'!X65-AE65</f>
        <v>0</v>
      </c>
      <c r="AG65" s="11">
        <f>'Quarterly YTD'!Y65-'Quarterly YTD'!X65</f>
        <v>0</v>
      </c>
      <c r="AH65" s="11">
        <f>H65-'Quarterly YTD'!Y65</f>
        <v>0</v>
      </c>
      <c r="AI65" s="0">
        <v>0</v>
      </c>
      <c r="AJ65" s="11">
        <f>'Quarterly YTD'!AB65-AI65</f>
        <v>0</v>
      </c>
      <c r="AK65" s="11">
        <f>'Quarterly YTD'!AC65-'Quarterly YTD'!AB65</f>
        <v>0</v>
      </c>
      <c r="AL65" s="11">
        <f>I65-'Quarterly YTD'!AC65</f>
        <v>0</v>
      </c>
      <c r="AM65" s="0">
        <v>0</v>
      </c>
      <c r="AN65" s="11">
        <f>'Quarterly YTD'!AF65-AM65</f>
        <v>0</v>
      </c>
      <c r="AO65" s="14"/>
      <c r="AP65" s="14"/>
    </row>
    <row customHeight="1" ht="15">
      <c r="A66" s="9" t="s">
        <v>103</v>
      </c>
      <c r="B66" s="0">
        <v>0</v>
      </c>
      <c r="C66" s="0">
        <v>0</v>
      </c>
      <c r="D66" s="0">
        <v>0</v>
      </c>
      <c r="E66" s="0">
        <v>0</v>
      </c>
      <c r="F66" s="0">
        <v>98.738</v>
      </c>
      <c r="G66" s="0">
        <v>6.621</v>
      </c>
      <c r="H66" s="0">
        <v>57.737</v>
      </c>
      <c r="I66" s="0">
        <v>27.5</v>
      </c>
      <c r="J66" s="10">
        <f>I66+'Quarterly YTD'!AF66-'Quarterly YTD'!AB66</f>
        <v>6.494</v>
      </c>
      <c r="K66" s="0">
        <v>0</v>
      </c>
      <c r="L66" s="11">
        <f>'Quarterly YTD'!D66-K66</f>
        <v>0</v>
      </c>
      <c r="M66" s="11">
        <f>'Quarterly YTD'!E66-'Quarterly YTD'!D66</f>
        <v>0</v>
      </c>
      <c r="N66" s="11">
        <f>C66-'Quarterly YTD'!E66</f>
        <v>0</v>
      </c>
      <c r="O66" s="0">
        <v>0</v>
      </c>
      <c r="P66" s="11">
        <f>'Quarterly YTD'!H66-O66</f>
        <v>0</v>
      </c>
      <c r="Q66" s="11">
        <f>'Quarterly YTD'!I66-'Quarterly YTD'!H66</f>
        <v>0</v>
      </c>
      <c r="R66" s="11">
        <f>D66-'Quarterly YTD'!I66</f>
        <v>0</v>
      </c>
      <c r="S66" s="0">
        <v>0</v>
      </c>
      <c r="T66" s="11">
        <f>'Quarterly YTD'!L66-S66</f>
        <v>0</v>
      </c>
      <c r="U66" s="11">
        <f>'Quarterly YTD'!M66-'Quarterly YTD'!L66</f>
        <v>0</v>
      </c>
      <c r="V66" s="11">
        <f>E66-'Quarterly YTD'!M66</f>
        <v>0</v>
      </c>
      <c r="W66" s="0">
        <v>0</v>
      </c>
      <c r="X66" s="11">
        <f>'Quarterly YTD'!P66-W66</f>
        <v>0</v>
      </c>
      <c r="Y66" s="11">
        <f>'Quarterly YTD'!Q66-'Quarterly YTD'!P66</f>
        <v>0</v>
      </c>
      <c r="Z66" s="11">
        <f>F66-'Quarterly YTD'!Q66</f>
        <v>98.738</v>
      </c>
      <c r="AA66" s="0">
        <v>0</v>
      </c>
      <c r="AB66" s="11">
        <f>'Quarterly YTD'!T66-AA66</f>
        <v>0</v>
      </c>
      <c r="AC66" s="11">
        <f>'Quarterly YTD'!U66-'Quarterly YTD'!T66</f>
        <v>0</v>
      </c>
      <c r="AD66" s="11">
        <f>G66-'Quarterly YTD'!U66</f>
        <v>6.621</v>
      </c>
      <c r="AE66" s="0">
        <v>33.24</v>
      </c>
      <c r="AF66" s="11">
        <f>'Quarterly YTD'!X66-AE66</f>
        <v>9.15</v>
      </c>
      <c r="AG66" s="11">
        <f>'Quarterly YTD'!Y66-'Quarterly YTD'!X66</f>
        <v>1.706</v>
      </c>
      <c r="AH66" s="11">
        <f>H66-'Quarterly YTD'!Y66</f>
        <v>13.641</v>
      </c>
      <c r="AI66" s="0">
        <v>12.077</v>
      </c>
      <c r="AJ66" s="11">
        <f>'Quarterly YTD'!AB66-AI66</f>
        <v>15.732</v>
      </c>
      <c r="AK66" s="11">
        <f>'Quarterly YTD'!AC66-'Quarterly YTD'!AB66</f>
        <v>-0.126000000000001</v>
      </c>
      <c r="AL66" s="11">
        <f>I66-'Quarterly YTD'!AC66</f>
        <v>-0.183</v>
      </c>
      <c r="AM66" s="0">
        <v>6.695</v>
      </c>
      <c r="AN66" s="11">
        <f>'Quarterly YTD'!AF66-AM66</f>
        <v>0.108</v>
      </c>
      <c r="AO66" s="14"/>
      <c r="AP66" s="14"/>
    </row>
    <row customHeight="1" ht="15">
      <c r="A67" s="9" t="s">
        <v>104</v>
      </c>
      <c r="B67" s="0">
        <v>0</v>
      </c>
      <c r="C67" s="0">
        <v>0</v>
      </c>
      <c r="D67" s="0">
        <v>-0.57</v>
      </c>
      <c r="E67" s="0">
        <v>-6.626</v>
      </c>
      <c r="F67" s="0">
        <v>-0.607</v>
      </c>
      <c r="G67" s="0">
        <v>0</v>
      </c>
      <c r="H67" s="0">
        <v>0</v>
      </c>
      <c r="I67" s="0">
        <v>0</v>
      </c>
      <c r="J67" s="10">
        <f>I67+'Quarterly YTD'!AF67-'Quarterly YTD'!AB67</f>
        <v>0</v>
      </c>
      <c r="K67" s="0">
        <v>0</v>
      </c>
      <c r="L67" s="11">
        <f>'Quarterly YTD'!D67-K67</f>
        <v>-2.868</v>
      </c>
      <c r="M67" s="11">
        <f>'Quarterly YTD'!E67-'Quarterly YTD'!D67</f>
        <v>2.868</v>
      </c>
      <c r="N67" s="11">
        <f>C67-'Quarterly YTD'!E67</f>
        <v>0</v>
      </c>
      <c r="O67" s="0">
        <v>0</v>
      </c>
      <c r="P67" s="11">
        <f>'Quarterly YTD'!H67-O67</f>
        <v>-0.468</v>
      </c>
      <c r="Q67" s="11">
        <f>'Quarterly YTD'!I67-'Quarterly YTD'!H67</f>
        <v>0.025</v>
      </c>
      <c r="R67" s="11">
        <f>D67-'Quarterly YTD'!I67</f>
        <v>-0.127</v>
      </c>
      <c r="S67" s="0">
        <v>0</v>
      </c>
      <c r="T67" s="11">
        <f>'Quarterly YTD'!L67-S67</f>
        <v>-0.831</v>
      </c>
      <c r="U67" s="11">
        <f>'Quarterly YTD'!M67-'Quarterly YTD'!L67</f>
        <v>-2.28</v>
      </c>
      <c r="V67" s="11">
        <f>E67-'Quarterly YTD'!M67</f>
        <v>-3.515</v>
      </c>
      <c r="W67" s="0">
        <v>-0.305</v>
      </c>
      <c r="X67" s="11">
        <f>'Quarterly YTD'!P67-W67</f>
        <v>-0.008</v>
      </c>
      <c r="Y67" s="11">
        <f>'Quarterly YTD'!Q67-'Quarterly YTD'!P67</f>
        <v>0.313</v>
      </c>
      <c r="Z67" s="11">
        <f>F67-'Quarterly YTD'!Q67</f>
        <v>-0.607</v>
      </c>
      <c r="AA67" s="0">
        <v>0</v>
      </c>
      <c r="AB67" s="11">
        <f>'Quarterly YTD'!T67-AA67</f>
        <v>0</v>
      </c>
      <c r="AC67" s="11">
        <f>'Quarterly YTD'!U67-'Quarterly YTD'!T67</f>
        <v>0</v>
      </c>
      <c r="AD67" s="11">
        <f>G67-'Quarterly YTD'!U67</f>
        <v>0</v>
      </c>
      <c r="AE67" s="0">
        <v>0</v>
      </c>
      <c r="AF67" s="11">
        <f>'Quarterly YTD'!X67-AE67</f>
        <v>0</v>
      </c>
      <c r="AG67" s="11">
        <f>'Quarterly YTD'!Y67-'Quarterly YTD'!X67</f>
        <v>0</v>
      </c>
      <c r="AH67" s="11">
        <f>H67-'Quarterly YTD'!Y67</f>
        <v>0</v>
      </c>
      <c r="AI67" s="0">
        <v>0</v>
      </c>
      <c r="AJ67" s="11">
        <f>'Quarterly YTD'!AB67-AI67</f>
        <v>0</v>
      </c>
      <c r="AK67" s="11">
        <f>'Quarterly YTD'!AC67-'Quarterly YTD'!AB67</f>
        <v>0</v>
      </c>
      <c r="AL67" s="11">
        <f>I67-'Quarterly YTD'!AC67</f>
        <v>0</v>
      </c>
      <c r="AM67" s="0">
        <v>0</v>
      </c>
      <c r="AN67" s="11">
        <f>'Quarterly YTD'!AF67-AM67</f>
        <v>0</v>
      </c>
      <c r="AO67" s="14"/>
      <c r="AP67" s="14"/>
    </row>
    <row customHeight="1" ht="15">
      <c r="A68" s="9" t="s">
        <v>105</v>
      </c>
      <c r="B68" s="0">
        <v>0</v>
      </c>
      <c r="C68" s="0">
        <v>0</v>
      </c>
      <c r="D68" s="0">
        <v>2.117</v>
      </c>
      <c r="E68" s="0">
        <v>6.37</v>
      </c>
      <c r="F68" s="0">
        <v>0.287</v>
      </c>
      <c r="G68" s="0">
        <v>0.209</v>
      </c>
      <c r="H68" s="0">
        <v>5.107</v>
      </c>
      <c r="I68" s="0">
        <v>6.773</v>
      </c>
      <c r="J68" s="10">
        <f>I68+'Quarterly YTD'!AF68-'Quarterly YTD'!AB68</f>
        <v>-0.438</v>
      </c>
      <c r="K68" s="0">
        <v>0</v>
      </c>
      <c r="L68" s="11">
        <f>'Quarterly YTD'!D68-K68</f>
        <v>0</v>
      </c>
      <c r="M68" s="11">
        <f>'Quarterly YTD'!E68-'Quarterly YTD'!D68</f>
        <v>0</v>
      </c>
      <c r="N68" s="11">
        <f>C68-'Quarterly YTD'!E68</f>
        <v>0</v>
      </c>
      <c r="O68" s="0">
        <v>0</v>
      </c>
      <c r="P68" s="11">
        <f>'Quarterly YTD'!H68-O68</f>
        <v>0</v>
      </c>
      <c r="Q68" s="11">
        <f>'Quarterly YTD'!I68-'Quarterly YTD'!H68</f>
        <v>0</v>
      </c>
      <c r="R68" s="11">
        <f>D68-'Quarterly YTD'!I68</f>
        <v>2.117</v>
      </c>
      <c r="S68" s="0">
        <v>0</v>
      </c>
      <c r="T68" s="11">
        <f>'Quarterly YTD'!L68-S68</f>
        <v>0</v>
      </c>
      <c r="U68" s="11">
        <f>'Quarterly YTD'!M68-'Quarterly YTD'!L68</f>
        <v>2.275</v>
      </c>
      <c r="V68" s="11">
        <f>E68-'Quarterly YTD'!M68</f>
        <v>4.095</v>
      </c>
      <c r="W68" s="0">
        <v>0.269</v>
      </c>
      <c r="X68" s="11">
        <f>'Quarterly YTD'!P68-W68</f>
        <v>0.007</v>
      </c>
      <c r="Y68" s="11">
        <f>'Quarterly YTD'!Q68-'Quarterly YTD'!P68</f>
        <v>0.008</v>
      </c>
      <c r="Z68" s="11">
        <f>F68-'Quarterly YTD'!Q68</f>
        <v>0.003</v>
      </c>
      <c r="AA68" s="0">
        <v>0</v>
      </c>
      <c r="AB68" s="11">
        <f>'Quarterly YTD'!T68-AA68</f>
        <v>0.487</v>
      </c>
      <c r="AC68" s="11">
        <f>'Quarterly YTD'!U68-'Quarterly YTD'!T68</f>
        <v>-0.167</v>
      </c>
      <c r="AD68" s="11">
        <f>G68-'Quarterly YTD'!U68</f>
        <v>-0.111</v>
      </c>
      <c r="AE68" s="0">
        <v>0.061</v>
      </c>
      <c r="AF68" s="11">
        <f>'Quarterly YTD'!X68-AE68</f>
        <v>-0.002</v>
      </c>
      <c r="AG68" s="11">
        <f>'Quarterly YTD'!Y68-'Quarterly YTD'!X68</f>
        <v>3.573</v>
      </c>
      <c r="AH68" s="11">
        <f>H68-'Quarterly YTD'!Y68</f>
        <v>1.475</v>
      </c>
      <c r="AI68" s="0">
        <v>0.001</v>
      </c>
      <c r="AJ68" s="11">
        <f>'Quarterly YTD'!AB68-AI68</f>
        <v>7.219</v>
      </c>
      <c r="AK68" s="11">
        <f>'Quarterly YTD'!AC68-'Quarterly YTD'!AB68</f>
        <v>0.025</v>
      </c>
      <c r="AL68" s="11">
        <f>I68-'Quarterly YTD'!AC68</f>
        <v>-0.472</v>
      </c>
      <c r="AM68" s="0">
        <v>0</v>
      </c>
      <c r="AN68" s="11">
        <f>'Quarterly YTD'!AF68-AM68</f>
        <v>0.009</v>
      </c>
      <c r="AO68" s="14"/>
      <c r="AP68" s="14"/>
    </row>
    <row customHeight="1" ht="15">
      <c r="A69" s="9" t="s">
        <v>106</v>
      </c>
      <c r="B69" s="0">
        <v>-1.471</v>
      </c>
      <c r="C69" s="0">
        <v>-2.729</v>
      </c>
      <c r="D69" s="0">
        <v>-4.733</v>
      </c>
      <c r="E69" s="0">
        <v>-10.733</v>
      </c>
      <c r="F69" s="0">
        <v>-5.108</v>
      </c>
      <c r="G69" s="0">
        <v>-4.541</v>
      </c>
      <c r="H69" s="0">
        <v>-6.028</v>
      </c>
      <c r="I69" s="0">
        <v>-1.797</v>
      </c>
      <c r="J69" s="10">
        <f>I69+'Quarterly YTD'!AF69-'Quarterly YTD'!AB69</f>
        <v>-7.039</v>
      </c>
      <c r="K69" s="0">
        <v>-0.586</v>
      </c>
      <c r="L69" s="11">
        <f>'Quarterly YTD'!D69-K69</f>
        <v>-0.069</v>
      </c>
      <c r="M69" s="11">
        <f>'Quarterly YTD'!E69-'Quarterly YTD'!D69</f>
        <v>-0.164</v>
      </c>
      <c r="N69" s="11">
        <f>C69-'Quarterly YTD'!E69</f>
        <v>-1.91</v>
      </c>
      <c r="O69" s="0">
        <v>-0.511</v>
      </c>
      <c r="P69" s="11">
        <f>'Quarterly YTD'!H69-O69</f>
        <v>-3.023</v>
      </c>
      <c r="Q69" s="11">
        <f>'Quarterly YTD'!I69-'Quarterly YTD'!H69</f>
        <v>-0.698</v>
      </c>
      <c r="R69" s="11">
        <f>D69-'Quarterly YTD'!I69</f>
        <v>-0.501</v>
      </c>
      <c r="S69" s="0">
        <v>-2.131</v>
      </c>
      <c r="T69" s="11">
        <f>'Quarterly YTD'!L69-S69</f>
        <v>-1.496</v>
      </c>
      <c r="U69" s="11">
        <f>'Quarterly YTD'!M69-'Quarterly YTD'!L69</f>
        <v>-6.972</v>
      </c>
      <c r="V69" s="11">
        <f>E69-'Quarterly YTD'!M69</f>
        <v>-0.134</v>
      </c>
      <c r="W69" s="0">
        <v>-0.729</v>
      </c>
      <c r="X69" s="11">
        <f>'Quarterly YTD'!P69-W69</f>
        <v>-3.283</v>
      </c>
      <c r="Y69" s="11">
        <f>'Quarterly YTD'!Q69-'Quarterly YTD'!P69</f>
        <v>-10.104</v>
      </c>
      <c r="Z69" s="11">
        <f>F69-'Quarterly YTD'!Q69</f>
        <v>9.008</v>
      </c>
      <c r="AA69" s="0">
        <v>-0.011</v>
      </c>
      <c r="AB69" s="11">
        <f>'Quarterly YTD'!T69-AA69</f>
        <v>-4.019</v>
      </c>
      <c r="AC69" s="11">
        <f>'Quarterly YTD'!U69-'Quarterly YTD'!T69</f>
        <v>-0.0059999999999993</v>
      </c>
      <c r="AD69" s="11">
        <f>G69-'Quarterly YTD'!U69</f>
        <v>-0.505</v>
      </c>
      <c r="AE69" s="0">
        <v>-4.437</v>
      </c>
      <c r="AF69" s="11">
        <f>'Quarterly YTD'!X69-AE69</f>
        <v>-0.074</v>
      </c>
      <c r="AG69" s="11">
        <f>'Quarterly YTD'!Y69-'Quarterly YTD'!X69</f>
        <v>-0.538</v>
      </c>
      <c r="AH69" s="11">
        <f>H69-'Quarterly YTD'!Y69</f>
        <v>-0.979</v>
      </c>
      <c r="AI69" s="0">
        <v>-0.035</v>
      </c>
      <c r="AJ69" s="11">
        <f>'Quarterly YTD'!AB69-AI69</f>
        <v>-1.229</v>
      </c>
      <c r="AK69" s="11">
        <f>'Quarterly YTD'!AC69-'Quarterly YTD'!AB69</f>
        <v>-0.006</v>
      </c>
      <c r="AL69" s="11">
        <f>I69-'Quarterly YTD'!AC69</f>
        <v>-0.527</v>
      </c>
      <c r="AM69" s="0">
        <v>-2.965</v>
      </c>
      <c r="AN69" s="11">
        <f>'Quarterly YTD'!AF69-AM69</f>
        <v>-3.541</v>
      </c>
      <c r="AO69" s="14"/>
      <c r="AP69" s="14"/>
    </row>
    <row customHeight="1" ht="15">
      <c r="A70" s="9" t="s">
        <v>107</v>
      </c>
      <c r="B70" s="0">
        <v>1.023</v>
      </c>
      <c r="C70" s="0">
        <v>0.312</v>
      </c>
      <c r="D70" s="0">
        <v>0.182</v>
      </c>
      <c r="E70" s="0">
        <v>1.311</v>
      </c>
      <c r="F70" s="0">
        <v>3.139</v>
      </c>
      <c r="G70" s="0">
        <v>2.876</v>
      </c>
      <c r="H70" s="0">
        <v>1.835</v>
      </c>
      <c r="I70" s="0">
        <v>1.482</v>
      </c>
      <c r="J70" s="10">
        <f>I70+'Quarterly YTD'!AF70-'Quarterly YTD'!AB70</f>
        <v>0.665</v>
      </c>
      <c r="K70" s="0">
        <v>0.313</v>
      </c>
      <c r="L70" s="11">
        <f>'Quarterly YTD'!D70-K70</f>
        <v>-0.298</v>
      </c>
      <c r="M70" s="11">
        <f>'Quarterly YTD'!E70-'Quarterly YTD'!D70</f>
        <v>0</v>
      </c>
      <c r="N70" s="11">
        <f>C70-'Quarterly YTD'!E70</f>
        <v>0.297</v>
      </c>
      <c r="O70" s="0">
        <v>0.177</v>
      </c>
      <c r="P70" s="11">
        <f>'Quarterly YTD'!H70-O70</f>
        <v>-0.02</v>
      </c>
      <c r="Q70" s="11">
        <f>'Quarterly YTD'!I70-'Quarterly YTD'!H70</f>
        <v>0.01</v>
      </c>
      <c r="R70" s="11">
        <f>D70-'Quarterly YTD'!I70</f>
        <v>0.015</v>
      </c>
      <c r="S70" s="0">
        <v>0.008</v>
      </c>
      <c r="T70" s="11">
        <f>'Quarterly YTD'!L70-S70</f>
        <v>0</v>
      </c>
      <c r="U70" s="11">
        <f>'Quarterly YTD'!M70-'Quarterly YTD'!L70</f>
        <v>1.171</v>
      </c>
      <c r="V70" s="11">
        <f>E70-'Quarterly YTD'!M70</f>
        <v>0.132</v>
      </c>
      <c r="W70" s="0">
        <v>1.785</v>
      </c>
      <c r="X70" s="11">
        <f>'Quarterly YTD'!P70-W70</f>
        <v>0.648</v>
      </c>
      <c r="Y70" s="11">
        <f>'Quarterly YTD'!Q70-'Quarterly YTD'!P70</f>
        <v>0.666</v>
      </c>
      <c r="Z70" s="11">
        <f>F70-'Quarterly YTD'!Q70</f>
        <v>0.04</v>
      </c>
      <c r="AA70" s="0">
        <v>0.027</v>
      </c>
      <c r="AB70" s="11">
        <f>'Quarterly YTD'!T70-AA70</f>
        <v>2.195</v>
      </c>
      <c r="AC70" s="11">
        <f>'Quarterly YTD'!U70-'Quarterly YTD'!T70</f>
        <v>0.0030000000000001</v>
      </c>
      <c r="AD70" s="11">
        <f>G70-'Quarterly YTD'!U70</f>
        <v>0.651</v>
      </c>
      <c r="AE70" s="0">
        <v>0.047</v>
      </c>
      <c r="AF70" s="11">
        <f>'Quarterly YTD'!X70-AE70</f>
        <v>0.345</v>
      </c>
      <c r="AG70" s="11">
        <f>'Quarterly YTD'!Y70-'Quarterly YTD'!X70</f>
        <v>0.55</v>
      </c>
      <c r="AH70" s="11">
        <f>H70-'Quarterly YTD'!Y70</f>
        <v>0.893</v>
      </c>
      <c r="AI70" s="0">
        <v>0.358</v>
      </c>
      <c r="AJ70" s="11">
        <f>'Quarterly YTD'!AB70-AI70</f>
        <v>1.025</v>
      </c>
      <c r="AK70" s="11">
        <f>'Quarterly YTD'!AC70-'Quarterly YTD'!AB70</f>
        <v>0.043</v>
      </c>
      <c r="AL70" s="11">
        <f>I70-'Quarterly YTD'!AC70</f>
        <v>0.056</v>
      </c>
      <c r="AM70" s="0">
        <v>0.079</v>
      </c>
      <c r="AN70" s="11">
        <f>'Quarterly YTD'!AF70-AM70</f>
        <v>0.487</v>
      </c>
      <c r="AO70" s="14"/>
      <c r="AP70" s="14"/>
    </row>
    <row customHeight="1" ht="15">
      <c r="A71" s="9" t="s">
        <v>108</v>
      </c>
      <c r="B71" s="0">
        <v>0</v>
      </c>
      <c r="C71" s="0">
        <v>-84.994</v>
      </c>
      <c r="D71" s="0">
        <v>-363.039</v>
      </c>
      <c r="E71" s="0">
        <v>-225.941</v>
      </c>
      <c r="F71" s="0">
        <v>-1.553</v>
      </c>
      <c r="G71" s="0">
        <v>-1.5</v>
      </c>
      <c r="H71" s="0">
        <v>-0.581</v>
      </c>
      <c r="I71" s="0">
        <v>2.142</v>
      </c>
      <c r="J71" s="10">
        <f>I71+'Quarterly YTD'!AF71-'Quarterly YTD'!AB71</f>
        <v>-6.881</v>
      </c>
      <c r="K71" s="0">
        <v>-0.567</v>
      </c>
      <c r="L71" s="11">
        <f>'Quarterly YTD'!D71-K71</f>
        <v>0.567</v>
      </c>
      <c r="M71" s="11">
        <f>'Quarterly YTD'!E71-'Quarterly YTD'!D71</f>
        <v>0</v>
      </c>
      <c r="N71" s="11">
        <f>C71-'Quarterly YTD'!E71</f>
        <v>-84.994</v>
      </c>
      <c r="O71" s="0">
        <v>-141.549</v>
      </c>
      <c r="P71" s="11">
        <f>'Quarterly YTD'!H71-O71</f>
        <v>-134.554</v>
      </c>
      <c r="Q71" s="11">
        <f>'Quarterly YTD'!I71-'Quarterly YTD'!H71</f>
        <v>-21.477</v>
      </c>
      <c r="R71" s="11">
        <f>D71-'Quarterly YTD'!I71</f>
        <v>-65.459</v>
      </c>
      <c r="S71" s="0">
        <v>-0.374</v>
      </c>
      <c r="T71" s="11">
        <f>'Quarterly YTD'!L71-S71</f>
        <v>-0.539</v>
      </c>
      <c r="U71" s="11">
        <f>'Quarterly YTD'!M71-'Quarterly YTD'!L71</f>
        <v>-0.017</v>
      </c>
      <c r="V71" s="11">
        <f>E71-'Quarterly YTD'!M71</f>
        <v>-225.011</v>
      </c>
      <c r="W71" s="0">
        <v>-0.026</v>
      </c>
      <c r="X71" s="11">
        <f>'Quarterly YTD'!P71-W71</f>
        <v>-1.424</v>
      </c>
      <c r="Y71" s="11">
        <f>'Quarterly YTD'!Q71-'Quarterly YTD'!P71</f>
        <v>1.45</v>
      </c>
      <c r="Z71" s="11">
        <f>F71-'Quarterly YTD'!Q71</f>
        <v>-1.553</v>
      </c>
      <c r="AA71" s="0">
        <v>1.398</v>
      </c>
      <c r="AB71" s="11">
        <f>'Quarterly YTD'!T71-AA71</f>
        <v>-0.016</v>
      </c>
      <c r="AC71" s="11">
        <f>'Quarterly YTD'!U71-'Quarterly YTD'!T71</f>
        <v>-0.069</v>
      </c>
      <c r="AD71" s="11">
        <f>G71-'Quarterly YTD'!U71</f>
        <v>-2.813</v>
      </c>
      <c r="AE71" s="0">
        <v>2.175</v>
      </c>
      <c r="AF71" s="11">
        <f>'Quarterly YTD'!X71-AE71</f>
        <v>-11.422</v>
      </c>
      <c r="AG71" s="11">
        <f>'Quarterly YTD'!Y71-'Quarterly YTD'!X71</f>
        <v>-9.452</v>
      </c>
      <c r="AH71" s="11">
        <f>H71-'Quarterly YTD'!Y71</f>
        <v>18.118</v>
      </c>
      <c r="AI71" s="0">
        <v>2.998</v>
      </c>
      <c r="AJ71" s="11">
        <f>'Quarterly YTD'!AB71-AI71</f>
        <v>-0.234</v>
      </c>
      <c r="AK71" s="11">
        <f>'Quarterly YTD'!AC71-'Quarterly YTD'!AB71</f>
        <v>0.772</v>
      </c>
      <c r="AL71" s="11">
        <f>I71-'Quarterly YTD'!AC71</f>
        <v>-1.394</v>
      </c>
      <c r="AM71" s="0">
        <v>-0.444</v>
      </c>
      <c r="AN71" s="11">
        <f>'Quarterly YTD'!AF71-AM71</f>
        <v>-5.815</v>
      </c>
      <c r="AO71" s="14"/>
      <c r="AP71" s="14"/>
    </row>
    <row customHeight="1" ht="15">
      <c r="A72" s="9" t="s">
        <v>109</v>
      </c>
      <c r="B72" s="0">
        <v>0</v>
      </c>
      <c r="C72" s="0">
        <v>0</v>
      </c>
      <c r="D72" s="0">
        <v>418.311</v>
      </c>
      <c r="E72" s="0">
        <v>26.471</v>
      </c>
      <c r="F72" s="0">
        <v>226.651</v>
      </c>
      <c r="G72" s="0">
        <v>0</v>
      </c>
      <c r="H72" s="0">
        <v>0</v>
      </c>
      <c r="I72" s="0">
        <v>0</v>
      </c>
      <c r="J72" s="10">
        <f>I72+'Quarterly YTD'!AF72-'Quarterly YTD'!AB72</f>
        <v>0</v>
      </c>
      <c r="K72" s="0">
        <v>0.047</v>
      </c>
      <c r="L72" s="11">
        <f>'Quarterly YTD'!D72-K72</f>
        <v>-0.047</v>
      </c>
      <c r="M72" s="11">
        <f>'Quarterly YTD'!E72-'Quarterly YTD'!D72</f>
        <v>0</v>
      </c>
      <c r="N72" s="11">
        <f>C72-'Quarterly YTD'!E72</f>
        <v>0</v>
      </c>
      <c r="O72" s="0">
        <v>54.407</v>
      </c>
      <c r="P72" s="11">
        <f>'Quarterly YTD'!H72-O72</f>
        <v>233.408</v>
      </c>
      <c r="Q72" s="11">
        <f>'Quarterly YTD'!I72-'Quarterly YTD'!H72</f>
        <v>66.164</v>
      </c>
      <c r="R72" s="11">
        <f>D72-'Quarterly YTD'!I72</f>
        <v>64.332</v>
      </c>
      <c r="S72" s="0">
        <v>0.913</v>
      </c>
      <c r="T72" s="11">
        <f>'Quarterly YTD'!L72-S72</f>
        <v>25.065</v>
      </c>
      <c r="U72" s="11">
        <f>'Quarterly YTD'!M72-'Quarterly YTD'!L72</f>
        <v>0.195999999999998</v>
      </c>
      <c r="V72" s="11">
        <f>E72-'Quarterly YTD'!M72</f>
        <v>0.297</v>
      </c>
      <c r="W72" s="0">
        <v>90.073</v>
      </c>
      <c r="X72" s="11">
        <f>'Quarterly YTD'!P72-W72</f>
        <v>49.512</v>
      </c>
      <c r="Y72" s="11">
        <f>'Quarterly YTD'!Q72-'Quarterly YTD'!P72</f>
        <v>-65.673</v>
      </c>
      <c r="Z72" s="11">
        <f>F72-'Quarterly YTD'!Q72</f>
        <v>152.739</v>
      </c>
      <c r="AA72" s="0">
        <v>0</v>
      </c>
      <c r="AB72" s="11">
        <f>'Quarterly YTD'!T72-AA72</f>
        <v>0</v>
      </c>
      <c r="AC72" s="11">
        <f>'Quarterly YTD'!U72-'Quarterly YTD'!T72</f>
        <v>0</v>
      </c>
      <c r="AD72" s="11">
        <f>G72-'Quarterly YTD'!U72</f>
        <v>0</v>
      </c>
      <c r="AE72" s="0">
        <v>0</v>
      </c>
      <c r="AF72" s="11">
        <f>'Quarterly YTD'!X72-AE72</f>
        <v>0</v>
      </c>
      <c r="AG72" s="11">
        <f>'Quarterly YTD'!Y72-'Quarterly YTD'!X72</f>
        <v>0</v>
      </c>
      <c r="AH72" s="11">
        <f>H72-'Quarterly YTD'!Y72</f>
        <v>0</v>
      </c>
      <c r="AI72" s="0">
        <v>0</v>
      </c>
      <c r="AJ72" s="11">
        <f>'Quarterly YTD'!AB72-AI72</f>
        <v>0</v>
      </c>
      <c r="AK72" s="11">
        <f>'Quarterly YTD'!AC72-'Quarterly YTD'!AB72</f>
        <v>0</v>
      </c>
      <c r="AL72" s="11">
        <f>I72-'Quarterly YTD'!AC72</f>
        <v>0</v>
      </c>
      <c r="AM72" s="0">
        <v>0</v>
      </c>
      <c r="AN72" s="11">
        <f>'Quarterly YTD'!AF72-AM72</f>
        <v>0</v>
      </c>
      <c r="AO72" s="14"/>
      <c r="AP72" s="14"/>
    </row>
    <row customHeight="1" ht="15">
      <c r="A73" s="9" t="s">
        <v>88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10">
        <f>I73+'Quarterly YTD'!AF73-'Quarterly YTD'!AB73</f>
        <v>0</v>
      </c>
      <c r="K73" s="0">
        <v>0</v>
      </c>
      <c r="L73" s="11">
        <f>'Quarterly YTD'!D73-K73</f>
        <v>-3.336</v>
      </c>
      <c r="M73" s="11">
        <f>'Quarterly YTD'!E73-'Quarterly YTD'!D73</f>
        <v>-0.557</v>
      </c>
      <c r="N73" s="11">
        <f>C73-'Quarterly YTD'!E73</f>
        <v>3.893</v>
      </c>
      <c r="O73" s="0">
        <v>0</v>
      </c>
      <c r="P73" s="11">
        <f>'Quarterly YTD'!H73-O73</f>
        <v>-3.149</v>
      </c>
      <c r="Q73" s="11">
        <f>'Quarterly YTD'!I73-'Quarterly YTD'!H73</f>
        <v>1.262</v>
      </c>
      <c r="R73" s="11">
        <f>D73-'Quarterly YTD'!I73</f>
        <v>1.887</v>
      </c>
      <c r="S73" s="0">
        <v>0</v>
      </c>
      <c r="T73" s="11">
        <f>'Quarterly YTD'!L73-S73</f>
        <v>0</v>
      </c>
      <c r="U73" s="11">
        <f>'Quarterly YTD'!M73-'Quarterly YTD'!L73</f>
        <v>0</v>
      </c>
      <c r="V73" s="11">
        <f>E73-'Quarterly YTD'!M73</f>
        <v>0</v>
      </c>
      <c r="W73" s="0">
        <v>0</v>
      </c>
      <c r="X73" s="11">
        <f>'Quarterly YTD'!P73-W73</f>
        <v>0</v>
      </c>
      <c r="Y73" s="11">
        <f>'Quarterly YTD'!Q73-'Quarterly YTD'!P73</f>
        <v>0</v>
      </c>
      <c r="Z73" s="11">
        <f>F73-'Quarterly YTD'!Q73</f>
        <v>0</v>
      </c>
      <c r="AA73" s="0">
        <v>0</v>
      </c>
      <c r="AB73" s="11">
        <f>'Quarterly YTD'!T73-AA73</f>
        <v>0</v>
      </c>
      <c r="AC73" s="11">
        <f>'Quarterly YTD'!U73-'Quarterly YTD'!T73</f>
        <v>0</v>
      </c>
      <c r="AD73" s="11">
        <f>G73-'Quarterly YTD'!U73</f>
        <v>0</v>
      </c>
      <c r="AE73" s="0">
        <v>0</v>
      </c>
      <c r="AF73" s="11">
        <f>'Quarterly YTD'!X73-AE73</f>
        <v>0</v>
      </c>
      <c r="AG73" s="11">
        <f>'Quarterly YTD'!Y73-'Quarterly YTD'!X73</f>
        <v>0</v>
      </c>
      <c r="AH73" s="11">
        <f>H73-'Quarterly YTD'!Y73</f>
        <v>0</v>
      </c>
      <c r="AI73" s="0">
        <v>0</v>
      </c>
      <c r="AJ73" s="11">
        <f>'Quarterly YTD'!AB73-AI73</f>
        <v>0</v>
      </c>
      <c r="AK73" s="11">
        <f>'Quarterly YTD'!AC73-'Quarterly YTD'!AB73</f>
        <v>0</v>
      </c>
      <c r="AL73" s="11">
        <f>I73-'Quarterly YTD'!AC73</f>
        <v>0</v>
      </c>
      <c r="AM73" s="0">
        <v>0</v>
      </c>
      <c r="AN73" s="11">
        <f>'Quarterly YTD'!AF73-AM73</f>
        <v>0</v>
      </c>
      <c r="AO73" s="14"/>
      <c r="AP73" s="14"/>
    </row>
    <row customHeight="1" ht="15">
      <c r="A74" s="9" t="s">
        <v>110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10">
        <f>I74+'Quarterly YTD'!AF74-'Quarterly YTD'!AB74</f>
        <v>0</v>
      </c>
      <c r="K74" s="0">
        <v>0</v>
      </c>
      <c r="L74" s="11">
        <f>'Quarterly YTD'!D74-K74</f>
        <v>0.052</v>
      </c>
      <c r="M74" s="11">
        <f>'Quarterly YTD'!E74-'Quarterly YTD'!D74</f>
        <v>0.08</v>
      </c>
      <c r="N74" s="11">
        <f>C74-'Quarterly YTD'!E74</f>
        <v>-0.132</v>
      </c>
      <c r="O74" s="0">
        <v>0</v>
      </c>
      <c r="P74" s="11">
        <f>'Quarterly YTD'!H74-O74</f>
        <v>2.981</v>
      </c>
      <c r="Q74" s="11">
        <f>'Quarterly YTD'!I74-'Quarterly YTD'!H74</f>
        <v>-0.366</v>
      </c>
      <c r="R74" s="11">
        <f>D74-'Quarterly YTD'!I74</f>
        <v>-2.615</v>
      </c>
      <c r="S74" s="0">
        <v>0</v>
      </c>
      <c r="T74" s="11">
        <f>'Quarterly YTD'!L74-S74</f>
        <v>0</v>
      </c>
      <c r="U74" s="11">
        <f>'Quarterly YTD'!M74-'Quarterly YTD'!L74</f>
        <v>0</v>
      </c>
      <c r="V74" s="11">
        <f>E74-'Quarterly YTD'!M74</f>
        <v>0</v>
      </c>
      <c r="W74" s="0">
        <v>0</v>
      </c>
      <c r="X74" s="11">
        <f>'Quarterly YTD'!P74-W74</f>
        <v>0</v>
      </c>
      <c r="Y74" s="11">
        <f>'Quarterly YTD'!Q74-'Quarterly YTD'!P74</f>
        <v>0</v>
      </c>
      <c r="Z74" s="11">
        <f>F74-'Quarterly YTD'!Q74</f>
        <v>0</v>
      </c>
      <c r="AA74" s="0">
        <v>0</v>
      </c>
      <c r="AB74" s="11">
        <f>'Quarterly YTD'!T74-AA74</f>
        <v>0</v>
      </c>
      <c r="AC74" s="11">
        <f>'Quarterly YTD'!U74-'Quarterly YTD'!T74</f>
        <v>0</v>
      </c>
      <c r="AD74" s="11">
        <f>G74-'Quarterly YTD'!U74</f>
        <v>0</v>
      </c>
      <c r="AE74" s="0">
        <v>0</v>
      </c>
      <c r="AF74" s="11">
        <f>'Quarterly YTD'!X74-AE74</f>
        <v>0</v>
      </c>
      <c r="AG74" s="11">
        <f>'Quarterly YTD'!Y74-'Quarterly YTD'!X74</f>
        <v>0</v>
      </c>
      <c r="AH74" s="11">
        <f>H74-'Quarterly YTD'!Y74</f>
        <v>0</v>
      </c>
      <c r="AI74" s="0">
        <v>0</v>
      </c>
      <c r="AJ74" s="11">
        <f>'Quarterly YTD'!AB74-AI74</f>
        <v>0</v>
      </c>
      <c r="AK74" s="11">
        <f>'Quarterly YTD'!AC74-'Quarterly YTD'!AB74</f>
        <v>0</v>
      </c>
      <c r="AL74" s="11">
        <f>I74-'Quarterly YTD'!AC74</f>
        <v>0</v>
      </c>
      <c r="AM74" s="0">
        <v>0</v>
      </c>
      <c r="AN74" s="11">
        <f>'Quarterly YTD'!AF74-AM74</f>
        <v>0</v>
      </c>
      <c r="AO74" s="14"/>
      <c r="AP74" s="14"/>
    </row>
    <row customHeight="1" ht="15">
      <c r="A75" s="9" t="s">
        <v>111</v>
      </c>
      <c r="B75" s="0">
        <v>-3.239</v>
      </c>
      <c r="C75" s="0">
        <v>83.741</v>
      </c>
      <c r="D75" s="0">
        <v>-21.351</v>
      </c>
      <c r="E75" s="0">
        <v>-22.826</v>
      </c>
      <c r="F75" s="0">
        <v>0</v>
      </c>
      <c r="G75" s="0">
        <v>-9.473</v>
      </c>
      <c r="H75" s="0">
        <v>-11.888</v>
      </c>
      <c r="I75" s="0">
        <v>0</v>
      </c>
      <c r="J75" s="10">
        <f>I75+'Quarterly YTD'!AF75-'Quarterly YTD'!AB75</f>
        <v>-24.812</v>
      </c>
      <c r="K75" s="0">
        <v>0</v>
      </c>
      <c r="L75" s="11">
        <f>'Quarterly YTD'!D75-K75</f>
        <v>0.164</v>
      </c>
      <c r="M75" s="11">
        <f>'Quarterly YTD'!E75-'Quarterly YTD'!D75</f>
        <v>0</v>
      </c>
      <c r="N75" s="11">
        <f>C75-'Quarterly YTD'!E75</f>
        <v>83.577</v>
      </c>
      <c r="O75" s="0">
        <v>-3.925</v>
      </c>
      <c r="P75" s="11">
        <f>'Quarterly YTD'!H75-O75</f>
        <v>-1.838</v>
      </c>
      <c r="Q75" s="11">
        <f>'Quarterly YTD'!I75-'Quarterly YTD'!H75</f>
        <v>-0.027</v>
      </c>
      <c r="R75" s="11">
        <f>D75-'Quarterly YTD'!I75</f>
        <v>-15.561</v>
      </c>
      <c r="S75" s="0">
        <v>-3.605</v>
      </c>
      <c r="T75" s="11">
        <f>'Quarterly YTD'!L75-S75</f>
        <v>0</v>
      </c>
      <c r="U75" s="11">
        <f>'Quarterly YTD'!M75-'Quarterly YTD'!L75</f>
        <v>-6.513</v>
      </c>
      <c r="V75" s="11">
        <f>E75-'Quarterly YTD'!M75</f>
        <v>-12.708</v>
      </c>
      <c r="W75" s="0">
        <v>0</v>
      </c>
      <c r="X75" s="11">
        <f>'Quarterly YTD'!P75-W75</f>
        <v>0</v>
      </c>
      <c r="Y75" s="11">
        <f>'Quarterly YTD'!Q75-'Quarterly YTD'!P75</f>
        <v>9.631</v>
      </c>
      <c r="Z75" s="11">
        <f>F75-'Quarterly YTD'!Q75</f>
        <v>-9.631</v>
      </c>
      <c r="AA75" s="0">
        <v>-2.008</v>
      </c>
      <c r="AB75" s="11">
        <f>'Quarterly YTD'!T75-AA75</f>
        <v>-4.393</v>
      </c>
      <c r="AC75" s="11">
        <f>'Quarterly YTD'!U75-'Quarterly YTD'!T75</f>
        <v>-3.869</v>
      </c>
      <c r="AD75" s="11">
        <f>G75-'Quarterly YTD'!U75</f>
        <v>0.796999999999999</v>
      </c>
      <c r="AE75" s="0">
        <v>-5.729</v>
      </c>
      <c r="AF75" s="11">
        <f>'Quarterly YTD'!X75-AE75</f>
        <v>2.873</v>
      </c>
      <c r="AG75" s="11">
        <f>'Quarterly YTD'!Y75-'Quarterly YTD'!X75</f>
        <v>-4.368</v>
      </c>
      <c r="AH75" s="11">
        <f>H75-'Quarterly YTD'!Y75</f>
        <v>-4.664</v>
      </c>
      <c r="AI75" s="0">
        <v>0</v>
      </c>
      <c r="AJ75" s="11">
        <f>'Quarterly YTD'!AB75-AI75</f>
        <v>-0.012</v>
      </c>
      <c r="AK75" s="11">
        <f>'Quarterly YTD'!AC75-'Quarterly YTD'!AB75+-0.012</f>
        <v>0</v>
      </c>
      <c r="AL75" s="11">
        <f>I75-'Quarterly YTD'!AC75</f>
        <v>0</v>
      </c>
      <c r="AM75" s="0">
        <v>-27.788</v>
      </c>
      <c r="AN75" s="11">
        <f>'Quarterly YTD'!AF75-AM75</f>
        <v>2.964</v>
      </c>
      <c r="AO75" s="14"/>
      <c r="AP75" s="14"/>
    </row>
    <row customHeight="1" ht="15">
      <c r="A76" s="9" t="s">
        <v>112</v>
      </c>
      <c r="B76" s="11">
        <f>B61+B63+SUM(B69:B71)+B75+SUM(B77:B78)</f>
        <v>-30.78</v>
      </c>
      <c r="C76" s="11">
        <f>C61+C63+SUM(C67:C71)+C75+SUM(C77:C79)</f>
        <v>-41.352</v>
      </c>
      <c r="D76" s="11">
        <f>D61+D63+SUM(D67:D72)+D75+SUM(D77:D79)</f>
        <v>-84.247</v>
      </c>
      <c r="E76" s="11">
        <f>E61+SUM(E63:E64)+SUM(E67:E72)+E75+SUM(E77:E78)</f>
        <v>-292.192</v>
      </c>
      <c r="F76" s="11">
        <f>SUM(F61:F63)+SUM(F65:F72)+F75+F77+F79</f>
        <v>84.892</v>
      </c>
      <c r="G76" s="11">
        <f t="shared" si="17" ref="G76:AA76">SUM(G61:G63)+G66+SUM(G68:G71)+G75+G77+G79</f>
        <v>-180.123</v>
      </c>
      <c r="H76" s="11">
        <f t="shared" si="14" ref="H76:I76">SUM(H61:H63)+H66+SUM(H68:H71)+H75+H77+SUM(H79:H80)</f>
        <v>-190.521</v>
      </c>
      <c r="I76" s="11">
        <f t="shared" si="14"/>
        <v>-114.056</v>
      </c>
      <c r="J76" s="10">
        <f t="shared" si="15" ref="J76:AN76">SUM(J61:J75)+SUM(J77:J80)</f>
        <v>-192.585</v>
      </c>
      <c r="K76" s="11">
        <f t="shared" si="16" ref="K76:O76">K61+K63+SUM(K69:K72)+K75+SUM(K78:K79)</f>
        <v>-8.236</v>
      </c>
      <c r="L76" s="11">
        <f t="shared" si="15"/>
        <v>-15.969</v>
      </c>
      <c r="M76" s="11">
        <f t="shared" si="15"/>
        <v>14.877</v>
      </c>
      <c r="N76" s="11">
        <f t="shared" si="15"/>
        <v>-32.024</v>
      </c>
      <c r="O76" s="11">
        <f t="shared" si="16"/>
        <v>-121.293</v>
      </c>
      <c r="P76" s="11">
        <f t="shared" si="15"/>
        <v>61.258</v>
      </c>
      <c r="Q76" s="11">
        <f t="shared" si="15"/>
        <v>25.066</v>
      </c>
      <c r="R76" s="11">
        <f t="shared" si="15"/>
        <v>-49.278</v>
      </c>
      <c r="S76" s="11">
        <f>S61+S63+S67+SUM(S69:S72)+S75+S77</f>
        <v>-31.391</v>
      </c>
      <c r="T76" s="11">
        <f t="shared" si="15"/>
        <v>10.451</v>
      </c>
      <c r="U76" s="11">
        <f t="shared" si="15"/>
        <v>-16.805</v>
      </c>
      <c r="V76" s="11">
        <f t="shared" si="15"/>
        <v>-254.447</v>
      </c>
      <c r="W76" s="11">
        <f>W61+W63+SUM(W67:W72)+W75+W77</f>
        <v>71.352</v>
      </c>
      <c r="X76" s="11">
        <f t="shared" si="15"/>
        <v>27.386</v>
      </c>
      <c r="Y76" s="11">
        <f t="shared" si="15"/>
        <v>-63.178</v>
      </c>
      <c r="Z76" s="11">
        <f t="shared" si="15"/>
        <v>49.332</v>
      </c>
      <c r="AA76" s="11">
        <f t="shared" si="17"/>
        <v>-16.845</v>
      </c>
      <c r="AB76" s="11">
        <f t="shared" si="15"/>
        <v>-64.133</v>
      </c>
      <c r="AC76" s="11">
        <f t="shared" si="15"/>
        <v>-40.246</v>
      </c>
      <c r="AD76" s="11">
        <f t="shared" si="15"/>
        <v>-58.899</v>
      </c>
      <c r="AE76" s="11">
        <f t="shared" si="18" ref="AE76:AM76">SUM(AE61:AE63)+AE66+SUM(AE68:AE71)+AE75+AE79</f>
        <v>-22.324</v>
      </c>
      <c r="AF76" s="11">
        <f t="shared" si="15"/>
        <v>-40.231</v>
      </c>
      <c r="AG76" s="11">
        <f t="shared" si="15"/>
        <v>-79.979</v>
      </c>
      <c r="AH76" s="11">
        <f t="shared" si="15"/>
        <v>-47.987</v>
      </c>
      <c r="AI76" s="11">
        <f t="shared" si="18"/>
        <v>-24.077</v>
      </c>
      <c r="AJ76" s="11">
        <f t="shared" si="15"/>
        <v>-0.907999999999998</v>
      </c>
      <c r="AK76" s="11">
        <f t="shared" si="15"/>
        <v>-40.649</v>
      </c>
      <c r="AL76" s="11">
        <f t="shared" si="15"/>
        <v>-48.422</v>
      </c>
      <c r="AM76" s="11">
        <f t="shared" si="18"/>
        <v>-42.446</v>
      </c>
      <c r="AN76" s="11">
        <f t="shared" si="15"/>
        <v>-61.068</v>
      </c>
      <c r="AO76" s="14"/>
      <c r="AP76" s="14"/>
    </row>
    <row customHeight="1" ht="15">
      <c r="A77" s="9" t="s">
        <v>113</v>
      </c>
      <c r="B77" s="0">
        <v>-1.983</v>
      </c>
      <c r="C77" s="0">
        <v>0</v>
      </c>
      <c r="D77" s="0">
        <v>-5.951</v>
      </c>
      <c r="E77" s="0">
        <v>6.413</v>
      </c>
      <c r="F77" s="0">
        <v>-0.074</v>
      </c>
      <c r="G77" s="0">
        <v>20.137</v>
      </c>
      <c r="H77" s="0">
        <v>0</v>
      </c>
      <c r="I77" s="0">
        <v>-0.719</v>
      </c>
      <c r="J77" s="10">
        <f>I77+'Quarterly YTD'!AF77-'Quarterly YTD'!AB77</f>
        <v>0.92</v>
      </c>
      <c r="K77" s="0">
        <v>0</v>
      </c>
      <c r="L77" s="11">
        <f>'Quarterly YTD'!D77-K77</f>
        <v>0</v>
      </c>
      <c r="M77" s="11">
        <f>'Quarterly YTD'!E77-'Quarterly YTD'!D77</f>
        <v>0</v>
      </c>
      <c r="N77" s="11">
        <f>C77-'Quarterly YTD'!E77</f>
        <v>0</v>
      </c>
      <c r="O77" s="0">
        <v>0</v>
      </c>
      <c r="P77" s="11">
        <f>'Quarterly YTD'!H77-O77</f>
        <v>0.038</v>
      </c>
      <c r="Q77" s="11">
        <f>'Quarterly YTD'!I77-'Quarterly YTD'!H77</f>
        <v>0</v>
      </c>
      <c r="R77" s="11">
        <f>D77-'Quarterly YTD'!I77</f>
        <v>-5.989</v>
      </c>
      <c r="S77" s="0">
        <v>0</v>
      </c>
      <c r="T77" s="11">
        <f>'Quarterly YTD'!L77-S77</f>
        <v>0</v>
      </c>
      <c r="U77" s="11">
        <f>'Quarterly YTD'!M77-'Quarterly YTD'!L77</f>
        <v>6.413</v>
      </c>
      <c r="V77" s="11">
        <f>E77-'Quarterly YTD'!M77</f>
        <v>0</v>
      </c>
      <c r="W77" s="0">
        <v>-0.042</v>
      </c>
      <c r="X77" s="11">
        <f>'Quarterly YTD'!P77-W77</f>
        <v>-0.013</v>
      </c>
      <c r="Y77" s="11">
        <f>'Quarterly YTD'!Q77-'Quarterly YTD'!P77</f>
        <v>0</v>
      </c>
      <c r="Z77" s="11">
        <f>F77-'Quarterly YTD'!Q77</f>
        <v>-0.019</v>
      </c>
      <c r="AA77" s="0">
        <v>20.262</v>
      </c>
      <c r="AB77" s="11">
        <f>'Quarterly YTD'!T77-AA77</f>
        <v>-0.115000000000002</v>
      </c>
      <c r="AC77" s="11">
        <f>'Quarterly YTD'!U77-'Quarterly YTD'!T77</f>
        <v>-0.049999999999997</v>
      </c>
      <c r="AD77" s="11">
        <f>G77-'Quarterly YTD'!U77</f>
        <v>0.039999999999999</v>
      </c>
      <c r="AE77" s="0">
        <v>0</v>
      </c>
      <c r="AF77" s="11">
        <f>'Quarterly YTD'!X77-AE77</f>
        <v>0</v>
      </c>
      <c r="AG77" s="11">
        <f>'Quarterly YTD'!Y77-'Quarterly YTD'!X77</f>
        <v>0</v>
      </c>
      <c r="AH77" s="11">
        <f>H77-'Quarterly YTD'!Y77</f>
        <v>0</v>
      </c>
      <c r="AI77" s="0">
        <v>0</v>
      </c>
      <c r="AJ77" s="11">
        <f>'Quarterly YTD'!AB77-AI77</f>
        <v>0</v>
      </c>
      <c r="AK77" s="11">
        <f>'Quarterly YTD'!AC77-'Quarterly YTD'!AB77</f>
        <v>-0.363</v>
      </c>
      <c r="AL77" s="11">
        <f>I77-'Quarterly YTD'!AC77</f>
        <v>-0.356</v>
      </c>
      <c r="AM77" s="0">
        <v>0</v>
      </c>
      <c r="AN77" s="11">
        <f>'Quarterly YTD'!AF77-AM77</f>
        <v>1.639</v>
      </c>
      <c r="AO77" s="14"/>
      <c r="AP77" s="14"/>
    </row>
    <row customHeight="1" ht="15">
      <c r="A78" s="9" t="s">
        <v>114</v>
      </c>
      <c r="B78" s="0">
        <v>-0.103</v>
      </c>
      <c r="C78" s="0">
        <v>-1.43</v>
      </c>
      <c r="D78" s="0">
        <v>-1.658</v>
      </c>
      <c r="E78" s="0">
        <v>-0.507</v>
      </c>
      <c r="F78" s="0">
        <v>0</v>
      </c>
      <c r="G78" s="0">
        <v>0</v>
      </c>
      <c r="H78" s="0">
        <v>0</v>
      </c>
      <c r="I78" s="0">
        <v>0</v>
      </c>
      <c r="J78" s="10">
        <f>I78+'Quarterly YTD'!AF78-'Quarterly YTD'!AB78</f>
        <v>0</v>
      </c>
      <c r="K78" s="0">
        <v>-4.239</v>
      </c>
      <c r="L78" s="11">
        <f>'Quarterly YTD'!D78-K78</f>
        <v>2.893</v>
      </c>
      <c r="M78" s="11">
        <f>'Quarterly YTD'!E78-'Quarterly YTD'!D78</f>
        <v>-0.087</v>
      </c>
      <c r="N78" s="11">
        <f>C78-'Quarterly YTD'!E78</f>
        <v>0.0030000000000001</v>
      </c>
      <c r="O78" s="0">
        <v>-0.272</v>
      </c>
      <c r="P78" s="11">
        <f>'Quarterly YTD'!H78-O78</f>
        <v>-1.386</v>
      </c>
      <c r="Q78" s="11">
        <f>'Quarterly YTD'!I78-'Quarterly YTD'!H78</f>
        <v>0</v>
      </c>
      <c r="R78" s="11">
        <f>D78-'Quarterly YTD'!I78</f>
        <v>0</v>
      </c>
      <c r="S78" s="0">
        <v>0</v>
      </c>
      <c r="T78" s="11">
        <f>'Quarterly YTD'!L78-S78</f>
        <v>0</v>
      </c>
      <c r="U78" s="11">
        <f>'Quarterly YTD'!M78-'Quarterly YTD'!L78</f>
        <v>0</v>
      </c>
      <c r="V78" s="11">
        <f>E78-'Quarterly YTD'!M78</f>
        <v>-0.507</v>
      </c>
      <c r="W78" s="0">
        <v>0</v>
      </c>
      <c r="X78" s="11">
        <f>'Quarterly YTD'!P78-W78</f>
        <v>0</v>
      </c>
      <c r="Y78" s="11">
        <f>'Quarterly YTD'!Q78-'Quarterly YTD'!P78</f>
        <v>0</v>
      </c>
      <c r="Z78" s="11">
        <f>F78-'Quarterly YTD'!Q78</f>
        <v>0</v>
      </c>
      <c r="AA78" s="0">
        <v>0</v>
      </c>
      <c r="AB78" s="11">
        <f>'Quarterly YTD'!T78-AA78</f>
        <v>0</v>
      </c>
      <c r="AC78" s="11">
        <f>'Quarterly YTD'!U78-'Quarterly YTD'!T78</f>
        <v>0</v>
      </c>
      <c r="AD78" s="11">
        <f>G78-'Quarterly YTD'!U78</f>
        <v>0</v>
      </c>
      <c r="AE78" s="0">
        <v>0</v>
      </c>
      <c r="AF78" s="11">
        <f>'Quarterly YTD'!X78-AE78</f>
        <v>0</v>
      </c>
      <c r="AG78" s="11">
        <f>'Quarterly YTD'!Y78-'Quarterly YTD'!X78</f>
        <v>0</v>
      </c>
      <c r="AH78" s="11">
        <f>H78-'Quarterly YTD'!Y78</f>
        <v>0</v>
      </c>
      <c r="AI78" s="0">
        <v>0</v>
      </c>
      <c r="AJ78" s="11">
        <f>'Quarterly YTD'!AB78-AI78</f>
        <v>0</v>
      </c>
      <c r="AK78" s="11">
        <f>'Quarterly YTD'!AC78-'Quarterly YTD'!AB78</f>
        <v>0</v>
      </c>
      <c r="AL78" s="11">
        <f>I78-'Quarterly YTD'!AC78</f>
        <v>0</v>
      </c>
      <c r="AM78" s="0">
        <v>0</v>
      </c>
      <c r="AN78" s="11">
        <f>'Quarterly YTD'!AF78-AM78</f>
        <v>0</v>
      </c>
      <c r="AO78" s="14"/>
      <c r="AP78" s="14"/>
    </row>
    <row customHeight="1" ht="15">
      <c r="A79" s="9" t="s">
        <v>115</v>
      </c>
      <c r="B79" s="0">
        <v>0</v>
      </c>
      <c r="C79" s="0">
        <v>0</v>
      </c>
      <c r="D79" s="0">
        <v>-23.568</v>
      </c>
      <c r="E79" s="0">
        <v>0</v>
      </c>
      <c r="F79" s="0">
        <v>0</v>
      </c>
      <c r="G79" s="0">
        <v>-1.82</v>
      </c>
      <c r="H79" s="0">
        <v>-2.877</v>
      </c>
      <c r="I79" s="0">
        <v>0</v>
      </c>
      <c r="J79" s="10">
        <f>I79+'Quarterly YTD'!AF79-'Quarterly YTD'!AB79</f>
        <v>-4.832</v>
      </c>
      <c r="K79" s="0">
        <v>0</v>
      </c>
      <c r="L79" s="11">
        <f>'Quarterly YTD'!D79-K79</f>
        <v>0</v>
      </c>
      <c r="M79" s="11">
        <f>'Quarterly YTD'!E79-'Quarterly YTD'!D79</f>
        <v>0</v>
      </c>
      <c r="N79" s="11">
        <f>C79-'Quarterly YTD'!E79</f>
        <v>0</v>
      </c>
      <c r="O79" s="0">
        <v>-11.508</v>
      </c>
      <c r="P79" s="11">
        <f>'Quarterly YTD'!H79-O79</f>
        <v>-0.06</v>
      </c>
      <c r="Q79" s="11">
        <f>'Quarterly YTD'!I79-'Quarterly YTD'!H79</f>
        <v>0</v>
      </c>
      <c r="R79" s="11">
        <f>D79-'Quarterly YTD'!I79</f>
        <v>-12</v>
      </c>
      <c r="S79" s="0">
        <v>0</v>
      </c>
      <c r="T79" s="11">
        <f>'Quarterly YTD'!L79-S79</f>
        <v>0</v>
      </c>
      <c r="U79" s="11">
        <f>'Quarterly YTD'!M79-'Quarterly YTD'!L79</f>
        <v>0</v>
      </c>
      <c r="V79" s="11">
        <f>E79-'Quarterly YTD'!M79</f>
        <v>0</v>
      </c>
      <c r="W79" s="0">
        <v>0</v>
      </c>
      <c r="X79" s="11">
        <f>'Quarterly YTD'!P79-W79</f>
        <v>0</v>
      </c>
      <c r="Y79" s="11">
        <f>'Quarterly YTD'!Q79-'Quarterly YTD'!P79</f>
        <v>0</v>
      </c>
      <c r="Z79" s="11">
        <f>F79-'Quarterly YTD'!Q79</f>
        <v>0</v>
      </c>
      <c r="AA79" s="0">
        <v>0</v>
      </c>
      <c r="AB79" s="11">
        <f>'Quarterly YTD'!T79-AA79</f>
        <v>0</v>
      </c>
      <c r="AC79" s="11">
        <f>'Quarterly YTD'!U79-'Quarterly YTD'!T79</f>
        <v>-1.82</v>
      </c>
      <c r="AD79" s="11">
        <f>G79-'Quarterly YTD'!U79</f>
        <v>0</v>
      </c>
      <c r="AE79" s="0">
        <v>-2.83</v>
      </c>
      <c r="AF79" s="11">
        <f>'Quarterly YTD'!X79-AE79</f>
        <v>0</v>
      </c>
      <c r="AG79" s="11">
        <f>'Quarterly YTD'!Y79-'Quarterly YTD'!X79</f>
        <v>-0.045</v>
      </c>
      <c r="AH79" s="11">
        <f>H79-'Quarterly YTD'!Y79</f>
        <v>-0.0019999999999998</v>
      </c>
      <c r="AI79" s="0">
        <v>0</v>
      </c>
      <c r="AJ79" s="11">
        <f>'Quarterly YTD'!AB79-AI79</f>
        <v>0</v>
      </c>
      <c r="AK79" s="11">
        <f>'Quarterly YTD'!AC79-'Quarterly YTD'!AB79+0.012</f>
        <v>0</v>
      </c>
      <c r="AL79" s="11">
        <f>I79-'Quarterly YTD'!AC79</f>
        <v>0.012</v>
      </c>
      <c r="AM79" s="0">
        <v>-4.819</v>
      </c>
      <c r="AN79" s="11">
        <f>'Quarterly YTD'!AF79-AM79</f>
        <v>-0.013</v>
      </c>
      <c r="AO79" s="14"/>
      <c r="AP79" s="14"/>
    </row>
    <row customHeight="1" ht="15">
      <c r="A80" s="9" t="s">
        <v>116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0.775</v>
      </c>
      <c r="J80" s="10">
        <f>I80+'Quarterly YTD'!AF80-'Quarterly YTD'!AB80</f>
        <v>0.052</v>
      </c>
      <c r="K80" s="0">
        <v>0</v>
      </c>
      <c r="L80" s="11">
        <f>'Quarterly YTD'!D80-K80</f>
        <v>0</v>
      </c>
      <c r="M80" s="11">
        <f>'Quarterly YTD'!E80-'Quarterly YTD'!D80</f>
        <v>0</v>
      </c>
      <c r="N80" s="11">
        <f>C80-'Quarterly YTD'!E80</f>
        <v>0</v>
      </c>
      <c r="O80" s="0">
        <v>0</v>
      </c>
      <c r="P80" s="11">
        <f>'Quarterly YTD'!H80-O80</f>
        <v>0</v>
      </c>
      <c r="Q80" s="11">
        <f>'Quarterly YTD'!I80-'Quarterly YTD'!H80</f>
        <v>0</v>
      </c>
      <c r="R80" s="11">
        <f>D80-'Quarterly YTD'!I80</f>
        <v>0</v>
      </c>
      <c r="S80" s="0">
        <v>0</v>
      </c>
      <c r="T80" s="11">
        <f>'Quarterly YTD'!L80-S80</f>
        <v>0</v>
      </c>
      <c r="U80" s="11">
        <f>'Quarterly YTD'!M80-'Quarterly YTD'!L80</f>
        <v>0</v>
      </c>
      <c r="V80" s="11">
        <f>E80-'Quarterly YTD'!M80</f>
        <v>0</v>
      </c>
      <c r="W80" s="0">
        <v>0</v>
      </c>
      <c r="X80" s="11">
        <f>'Quarterly YTD'!P80-W80</f>
        <v>0</v>
      </c>
      <c r="Y80" s="11">
        <f>'Quarterly YTD'!Q80-'Quarterly YTD'!P80</f>
        <v>0</v>
      </c>
      <c r="Z80" s="11">
        <f>F80-'Quarterly YTD'!Q80</f>
        <v>0</v>
      </c>
      <c r="AA80" s="0">
        <v>0</v>
      </c>
      <c r="AB80" s="11">
        <f>'Quarterly YTD'!T80-AA80</f>
        <v>0</v>
      </c>
      <c r="AC80" s="11">
        <f>'Quarterly YTD'!U80-'Quarterly YTD'!T80</f>
        <v>0</v>
      </c>
      <c r="AD80" s="11">
        <f>G80-'Quarterly YTD'!U80</f>
        <v>0</v>
      </c>
      <c r="AE80" s="0">
        <v>0</v>
      </c>
      <c r="AF80" s="11">
        <f>'Quarterly YTD'!X80-AE80</f>
        <v>0</v>
      </c>
      <c r="AG80" s="11">
        <f>'Quarterly YTD'!Y80-'Quarterly YTD'!X80</f>
        <v>0</v>
      </c>
      <c r="AH80" s="11">
        <f>H80-'Quarterly YTD'!Y80</f>
        <v>0</v>
      </c>
      <c r="AI80" s="0">
        <v>0</v>
      </c>
      <c r="AJ80" s="11">
        <f>'Quarterly YTD'!AB80-AI80</f>
        <v>0.775</v>
      </c>
      <c r="AK80" s="11">
        <f>'Quarterly YTD'!AC80-'Quarterly YTD'!AB80</f>
        <v>0</v>
      </c>
      <c r="AL80" s="11">
        <f>I80-'Quarterly YTD'!AC80</f>
        <v>0</v>
      </c>
      <c r="AM80" s="0">
        <v>0</v>
      </c>
      <c r="AN80" s="11">
        <f>'Quarterly YTD'!AF80-AM80</f>
        <v>0.052</v>
      </c>
      <c r="AO80" s="14"/>
      <c r="AP80" s="14"/>
    </row>
    <row customHeight="1" ht="15">
      <c r="A81" s="4" t="s">
        <v>117</v>
      </c>
      <c r="B81" s="7">
        <f t="shared" si="19" ref="B81:AN81">B76</f>
        <v>-30.78</v>
      </c>
      <c r="C81" s="7">
        <f t="shared" si="19"/>
        <v>-41.352</v>
      </c>
      <c r="D81" s="7">
        <f t="shared" si="19"/>
        <v>-84.247</v>
      </c>
      <c r="E81" s="7">
        <f t="shared" si="19"/>
        <v>-292.192</v>
      </c>
      <c r="F81" s="7">
        <f t="shared" si="19"/>
        <v>84.892</v>
      </c>
      <c r="G81" s="7">
        <f t="shared" si="19"/>
        <v>-180.123</v>
      </c>
      <c r="H81" s="7">
        <f t="shared" si="19"/>
        <v>-190.521</v>
      </c>
      <c r="I81" s="7">
        <f t="shared" si="19"/>
        <v>-114.056</v>
      </c>
      <c r="J81" s="6">
        <f t="shared" si="19"/>
        <v>-192.585</v>
      </c>
      <c r="K81" s="7">
        <f t="shared" si="19"/>
        <v>-8.236</v>
      </c>
      <c r="L81" s="7">
        <f t="shared" si="19"/>
        <v>-15.969</v>
      </c>
      <c r="M81" s="7">
        <f t="shared" si="19"/>
        <v>14.877</v>
      </c>
      <c r="N81" s="7">
        <f t="shared" si="19"/>
        <v>-32.024</v>
      </c>
      <c r="O81" s="7">
        <f t="shared" si="19"/>
        <v>-121.293</v>
      </c>
      <c r="P81" s="7">
        <f t="shared" si="19"/>
        <v>61.258</v>
      </c>
      <c r="Q81" s="7">
        <f t="shared" si="19"/>
        <v>25.066</v>
      </c>
      <c r="R81" s="7">
        <f t="shared" si="19"/>
        <v>-49.278</v>
      </c>
      <c r="S81" s="7">
        <f t="shared" si="19"/>
        <v>-31.391</v>
      </c>
      <c r="T81" s="7">
        <f t="shared" si="19"/>
        <v>10.451</v>
      </c>
      <c r="U81" s="7">
        <f t="shared" si="19"/>
        <v>-16.805</v>
      </c>
      <c r="V81" s="7">
        <f t="shared" si="19"/>
        <v>-254.447</v>
      </c>
      <c r="W81" s="7">
        <f t="shared" si="19"/>
        <v>71.352</v>
      </c>
      <c r="X81" s="7">
        <f t="shared" si="19"/>
        <v>27.386</v>
      </c>
      <c r="Y81" s="7">
        <f t="shared" si="19"/>
        <v>-63.178</v>
      </c>
      <c r="Z81" s="7">
        <f t="shared" si="19"/>
        <v>49.332</v>
      </c>
      <c r="AA81" s="7">
        <f t="shared" si="19"/>
        <v>-16.845</v>
      </c>
      <c r="AB81" s="7">
        <f t="shared" si="19"/>
        <v>-64.133</v>
      </c>
      <c r="AC81" s="7">
        <f t="shared" si="19"/>
        <v>-40.246</v>
      </c>
      <c r="AD81" s="7">
        <f t="shared" si="19"/>
        <v>-58.899</v>
      </c>
      <c r="AE81" s="7">
        <f t="shared" si="19"/>
        <v>-22.324</v>
      </c>
      <c r="AF81" s="7">
        <f t="shared" si="19"/>
        <v>-40.231</v>
      </c>
      <c r="AG81" s="7">
        <f t="shared" si="19"/>
        <v>-79.979</v>
      </c>
      <c r="AH81" s="7">
        <f t="shared" si="19"/>
        <v>-47.987</v>
      </c>
      <c r="AI81" s="7">
        <f t="shared" si="19"/>
        <v>-24.077</v>
      </c>
      <c r="AJ81" s="7">
        <f t="shared" si="19"/>
        <v>-0.907999999999998</v>
      </c>
      <c r="AK81" s="7">
        <f t="shared" si="19"/>
        <v>-40.649</v>
      </c>
      <c r="AL81" s="7">
        <f t="shared" si="19"/>
        <v>-48.422</v>
      </c>
      <c r="AM81" s="7">
        <f t="shared" si="19"/>
        <v>-42.446</v>
      </c>
      <c r="AN81" s="7">
        <f t="shared" si="19"/>
        <v>-61.068</v>
      </c>
      <c r="AO81" s="8">
        <f t="shared" si="2"/>
        <v>0.438722141073364</v>
      </c>
      <c r="AP81" s="8">
        <f t="shared" si="3"/>
        <v>66.2555066079297</v>
      </c>
    </row>
    <row customHeight="1" ht="15">
      <c r="A82" s="9" t="s">
        <v>118</v>
      </c>
      <c r="B82" s="0">
        <v>-0.049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10">
        <f>I82+'Quarterly YTD'!AF82-'Quarterly YTD'!AB82</f>
        <v>0</v>
      </c>
      <c r="K82" s="0">
        <v>0</v>
      </c>
      <c r="L82" s="11">
        <f>'Quarterly YTD'!D82-K82</f>
        <v>-0.005</v>
      </c>
      <c r="M82" s="11">
        <f>'Quarterly YTD'!E82-'Quarterly YTD'!D82</f>
        <v>0</v>
      </c>
      <c r="N82" s="11">
        <f>C82-'Quarterly YTD'!E82</f>
        <v>0.005</v>
      </c>
      <c r="O82" s="0">
        <v>0</v>
      </c>
      <c r="P82" s="11">
        <f>'Quarterly YTD'!H82-O82</f>
        <v>0</v>
      </c>
      <c r="Q82" s="11">
        <f>'Quarterly YTD'!I82-'Quarterly YTD'!H82</f>
        <v>0</v>
      </c>
      <c r="R82" s="11">
        <f>D82-'Quarterly YTD'!I82</f>
        <v>0</v>
      </c>
      <c r="S82" s="0">
        <v>0</v>
      </c>
      <c r="T82" s="11">
        <f>'Quarterly YTD'!L82-S82</f>
        <v>0</v>
      </c>
      <c r="U82" s="11">
        <f>'Quarterly YTD'!M82-'Quarterly YTD'!L82</f>
        <v>0</v>
      </c>
      <c r="V82" s="11">
        <f>E82-'Quarterly YTD'!M82</f>
        <v>0</v>
      </c>
      <c r="W82" s="0">
        <v>0</v>
      </c>
      <c r="X82" s="11">
        <f>'Quarterly YTD'!P82-W82</f>
        <v>0</v>
      </c>
      <c r="Y82" s="11">
        <f>'Quarterly YTD'!Q82-'Quarterly YTD'!P82</f>
        <v>0</v>
      </c>
      <c r="Z82" s="11">
        <f>F82-'Quarterly YTD'!Q82</f>
        <v>0</v>
      </c>
      <c r="AA82" s="0">
        <v>0</v>
      </c>
      <c r="AB82" s="11">
        <f>'Quarterly YTD'!T82-AA82</f>
        <v>0</v>
      </c>
      <c r="AC82" s="11">
        <f>'Quarterly YTD'!U82-'Quarterly YTD'!T82</f>
        <v>0</v>
      </c>
      <c r="AD82" s="11">
        <f>G82-'Quarterly YTD'!U82</f>
        <v>0</v>
      </c>
      <c r="AE82" s="0">
        <v>0</v>
      </c>
      <c r="AF82" s="11">
        <f>'Quarterly YTD'!X82-AE82</f>
        <v>0</v>
      </c>
      <c r="AG82" s="11">
        <f>'Quarterly YTD'!Y82-'Quarterly YTD'!X82</f>
        <v>0</v>
      </c>
      <c r="AH82" s="11">
        <f>H82-'Quarterly YTD'!Y82</f>
        <v>0</v>
      </c>
      <c r="AI82" s="0">
        <v>0</v>
      </c>
      <c r="AJ82" s="11">
        <f>'Quarterly YTD'!AB82-AI82</f>
        <v>0</v>
      </c>
      <c r="AK82" s="11">
        <f>'Quarterly YTD'!AC82-'Quarterly YTD'!AB82</f>
        <v>0</v>
      </c>
      <c r="AL82" s="11">
        <f>I82-'Quarterly YTD'!AC82</f>
        <v>0</v>
      </c>
      <c r="AM82" s="0">
        <v>0</v>
      </c>
      <c r="AN82" s="11">
        <f>'Quarterly YTD'!AF82-AM82</f>
        <v>0</v>
      </c>
      <c r="AO82" s="14"/>
      <c r="AP82" s="14"/>
    </row>
    <row customHeight="1" ht="15">
      <c r="A83" s="9" t="s">
        <v>119</v>
      </c>
      <c r="B83" s="0">
        <v>0</v>
      </c>
      <c r="C83" s="0">
        <v>0</v>
      </c>
      <c r="D83" s="0">
        <v>-0.675</v>
      </c>
      <c r="E83" s="0">
        <v>-0.293</v>
      </c>
      <c r="F83" s="0">
        <v>-30.328</v>
      </c>
      <c r="G83" s="0">
        <v>-25.995</v>
      </c>
      <c r="H83" s="0">
        <v>-1.492</v>
      </c>
      <c r="I83" s="0">
        <v>-2.097</v>
      </c>
      <c r="J83" s="10">
        <f>I83+'Quarterly YTD'!AF83-'Quarterly YTD'!AB83</f>
        <v>-2.92</v>
      </c>
      <c r="K83" s="0">
        <v>0</v>
      </c>
      <c r="L83" s="11">
        <f>'Quarterly YTD'!D83-K83</f>
        <v>0</v>
      </c>
      <c r="M83" s="11">
        <f>'Quarterly YTD'!E83-'Quarterly YTD'!D83</f>
        <v>0</v>
      </c>
      <c r="N83" s="11">
        <f>C83-'Quarterly YTD'!E83</f>
        <v>0</v>
      </c>
      <c r="O83" s="0">
        <v>0</v>
      </c>
      <c r="P83" s="11">
        <f>'Quarterly YTD'!H83-O83</f>
        <v>0</v>
      </c>
      <c r="Q83" s="11">
        <f>'Quarterly YTD'!I83-'Quarterly YTD'!H83</f>
        <v>0</v>
      </c>
      <c r="R83" s="11">
        <f>D83-'Quarterly YTD'!I83</f>
        <v>-0.675</v>
      </c>
      <c r="S83" s="0">
        <v>-0.293</v>
      </c>
      <c r="T83" s="11">
        <f>'Quarterly YTD'!L83-S83</f>
        <v>0</v>
      </c>
      <c r="U83" s="11">
        <f>'Quarterly YTD'!M83-'Quarterly YTD'!L83</f>
        <v>0</v>
      </c>
      <c r="V83" s="11">
        <f>E83-'Quarterly YTD'!M83</f>
        <v>0</v>
      </c>
      <c r="W83" s="0">
        <v>0</v>
      </c>
      <c r="X83" s="11">
        <f>'Quarterly YTD'!P83-W83</f>
        <v>-29.764</v>
      </c>
      <c r="Y83" s="11">
        <f>'Quarterly YTD'!Q83-'Quarterly YTD'!P83</f>
        <v>-0.529</v>
      </c>
      <c r="Z83" s="11">
        <f>F83-'Quarterly YTD'!Q83</f>
        <v>-0.035</v>
      </c>
      <c r="AA83" s="0">
        <v>0</v>
      </c>
      <c r="AB83" s="11">
        <f>'Quarterly YTD'!T83-AA83</f>
        <v>-0.572</v>
      </c>
      <c r="AC83" s="11">
        <f>'Quarterly YTD'!U83-'Quarterly YTD'!T83</f>
        <v>-0.736</v>
      </c>
      <c r="AD83" s="11">
        <f>G83-'Quarterly YTD'!U83</f>
        <v>-24.687</v>
      </c>
      <c r="AE83" s="0">
        <v>-0.07</v>
      </c>
      <c r="AF83" s="11">
        <f>'Quarterly YTD'!X83-AE83</f>
        <v>-0.665</v>
      </c>
      <c r="AG83" s="11">
        <f>'Quarterly YTD'!Y83-'Quarterly YTD'!X83</f>
        <v>-0.289</v>
      </c>
      <c r="AH83" s="11">
        <f>H83-'Quarterly YTD'!Y83</f>
        <v>-0.468</v>
      </c>
      <c r="AI83" s="0">
        <v>-0.148</v>
      </c>
      <c r="AJ83" s="11">
        <f>'Quarterly YTD'!AB83-AI83</f>
        <v>-0.105</v>
      </c>
      <c r="AK83" s="11">
        <f>'Quarterly YTD'!AC83-'Quarterly YTD'!AB83</f>
        <v>-1.844</v>
      </c>
      <c r="AL83" s="11">
        <f>I83-'Quarterly YTD'!AC83</f>
        <v>0</v>
      </c>
      <c r="AM83" s="0">
        <v>-0.155</v>
      </c>
      <c r="AN83" s="11">
        <f>'Quarterly YTD'!AF83-AM83</f>
        <v>-0.921</v>
      </c>
      <c r="AO83" s="14"/>
      <c r="AP83" s="14"/>
    </row>
    <row customHeight="1" ht="15">
      <c r="A84" s="9" t="s">
        <v>120</v>
      </c>
      <c r="B84" s="0">
        <v>0</v>
      </c>
      <c r="C84" s="0">
        <v>0</v>
      </c>
      <c r="D84" s="0">
        <v>0</v>
      </c>
      <c r="E84" s="0">
        <v>300</v>
      </c>
      <c r="F84" s="0">
        <v>0</v>
      </c>
      <c r="G84" s="0">
        <v>0</v>
      </c>
      <c r="H84" s="0">
        <v>0</v>
      </c>
      <c r="I84" s="0">
        <v>0</v>
      </c>
      <c r="J84" s="10">
        <f>I84+'Quarterly YTD'!AF84-'Quarterly YTD'!AB84</f>
        <v>0</v>
      </c>
      <c r="K84" s="0">
        <v>0</v>
      </c>
      <c r="L84" s="11">
        <f>'Quarterly YTD'!D84-K84</f>
        <v>0</v>
      </c>
      <c r="M84" s="11">
        <f>'Quarterly YTD'!E84-'Quarterly YTD'!D84</f>
        <v>0</v>
      </c>
      <c r="N84" s="11">
        <f>C84-'Quarterly YTD'!E84</f>
        <v>0</v>
      </c>
      <c r="O84" s="0">
        <v>0</v>
      </c>
      <c r="P84" s="11">
        <f>'Quarterly YTD'!H84-O84</f>
        <v>0</v>
      </c>
      <c r="Q84" s="11">
        <f>'Quarterly YTD'!I84-'Quarterly YTD'!H84</f>
        <v>0</v>
      </c>
      <c r="R84" s="11">
        <f>D84-'Quarterly YTD'!I84</f>
        <v>0</v>
      </c>
      <c r="S84" s="0">
        <v>0</v>
      </c>
      <c r="T84" s="11">
        <f>'Quarterly YTD'!L84-S84</f>
        <v>0</v>
      </c>
      <c r="U84" s="11">
        <f>'Quarterly YTD'!M84-'Quarterly YTD'!L84</f>
        <v>0</v>
      </c>
      <c r="V84" s="11">
        <f>E84-'Quarterly YTD'!M84</f>
        <v>300</v>
      </c>
      <c r="W84" s="0">
        <v>0</v>
      </c>
      <c r="X84" s="11">
        <f>'Quarterly YTD'!P84-W84</f>
        <v>0</v>
      </c>
      <c r="Y84" s="11">
        <f>'Quarterly YTD'!Q84-'Quarterly YTD'!P84</f>
        <v>0</v>
      </c>
      <c r="Z84" s="11">
        <f>F84-'Quarterly YTD'!Q84</f>
        <v>0</v>
      </c>
      <c r="AA84" s="0">
        <v>0</v>
      </c>
      <c r="AB84" s="11">
        <f>'Quarterly YTD'!T84-AA84</f>
        <v>0</v>
      </c>
      <c r="AC84" s="11">
        <f>'Quarterly YTD'!U84-'Quarterly YTD'!T84</f>
        <v>0</v>
      </c>
      <c r="AD84" s="11">
        <f>G84-'Quarterly YTD'!U84</f>
        <v>0</v>
      </c>
      <c r="AE84" s="0">
        <v>0</v>
      </c>
      <c r="AF84" s="11">
        <f>'Quarterly YTD'!X84-AE84</f>
        <v>0</v>
      </c>
      <c r="AG84" s="11">
        <f>'Quarterly YTD'!Y84-'Quarterly YTD'!X84</f>
        <v>0</v>
      </c>
      <c r="AH84" s="11">
        <f>H84-'Quarterly YTD'!Y84</f>
        <v>0</v>
      </c>
      <c r="AI84" s="0">
        <v>0</v>
      </c>
      <c r="AJ84" s="11">
        <f>'Quarterly YTD'!AB84-AI84</f>
        <v>0</v>
      </c>
      <c r="AK84" s="11">
        <f>'Quarterly YTD'!AC84-'Quarterly YTD'!AB84</f>
        <v>0</v>
      </c>
      <c r="AL84" s="11">
        <f>I84-'Quarterly YTD'!AC84</f>
        <v>0</v>
      </c>
      <c r="AM84" s="0">
        <v>0</v>
      </c>
      <c r="AN84" s="11">
        <f>'Quarterly YTD'!AF84-AM84</f>
        <v>0</v>
      </c>
      <c r="AO84" s="14"/>
      <c r="AP84" s="14"/>
    </row>
    <row customHeight="1" ht="15">
      <c r="A85" s="9" t="s">
        <v>121</v>
      </c>
      <c r="B85" s="0">
        <v>0</v>
      </c>
      <c r="C85" s="0">
        <v>-0.004</v>
      </c>
      <c r="D85" s="0">
        <v>-2.905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10">
        <f>I85+'Quarterly YTD'!AF85-'Quarterly YTD'!AB85</f>
        <v>0</v>
      </c>
      <c r="K85" s="0">
        <v>0</v>
      </c>
      <c r="L85" s="11">
        <f>'Quarterly YTD'!D85-K85</f>
        <v>0</v>
      </c>
      <c r="M85" s="11">
        <f>'Quarterly YTD'!E85-'Quarterly YTD'!D85</f>
        <v>0</v>
      </c>
      <c r="N85" s="11">
        <f>C85-'Quarterly YTD'!E85</f>
        <v>-0.004</v>
      </c>
      <c r="O85" s="0">
        <v>0</v>
      </c>
      <c r="P85" s="11">
        <f>'Quarterly YTD'!H85-O85</f>
        <v>0</v>
      </c>
      <c r="Q85" s="11">
        <f>'Quarterly YTD'!I85-'Quarterly YTD'!H85</f>
        <v>0</v>
      </c>
      <c r="R85" s="11">
        <f>D85-'Quarterly YTD'!I85</f>
        <v>-2.905</v>
      </c>
      <c r="S85" s="0">
        <v>0</v>
      </c>
      <c r="T85" s="11">
        <f>'Quarterly YTD'!L85-S85</f>
        <v>0</v>
      </c>
      <c r="U85" s="11">
        <f>'Quarterly YTD'!M85-'Quarterly YTD'!L85</f>
        <v>0</v>
      </c>
      <c r="V85" s="11">
        <f>E85-'Quarterly YTD'!M85</f>
        <v>0</v>
      </c>
      <c r="W85" s="0">
        <v>0</v>
      </c>
      <c r="X85" s="11">
        <f>'Quarterly YTD'!P85-W85</f>
        <v>0</v>
      </c>
      <c r="Y85" s="11">
        <f>'Quarterly YTD'!Q85-'Quarterly YTD'!P85</f>
        <v>0</v>
      </c>
      <c r="Z85" s="11">
        <f>F85-'Quarterly YTD'!Q85</f>
        <v>0</v>
      </c>
      <c r="AA85" s="0">
        <v>0</v>
      </c>
      <c r="AB85" s="11">
        <f>'Quarterly YTD'!T85-AA85</f>
        <v>0</v>
      </c>
      <c r="AC85" s="11">
        <f>'Quarterly YTD'!U85-'Quarterly YTD'!T85</f>
        <v>0</v>
      </c>
      <c r="AD85" s="11">
        <f>G85-'Quarterly YTD'!U85</f>
        <v>0</v>
      </c>
      <c r="AE85" s="0">
        <v>0</v>
      </c>
      <c r="AF85" s="11">
        <f>'Quarterly YTD'!X85-AE85</f>
        <v>0</v>
      </c>
      <c r="AG85" s="11">
        <f>'Quarterly YTD'!Y85-'Quarterly YTD'!X85</f>
        <v>0</v>
      </c>
      <c r="AH85" s="11">
        <f>H85-'Quarterly YTD'!Y85</f>
        <v>0</v>
      </c>
      <c r="AI85" s="0">
        <v>0</v>
      </c>
      <c r="AJ85" s="11">
        <f>'Quarterly YTD'!AB85-AI85</f>
        <v>0</v>
      </c>
      <c r="AK85" s="11">
        <f>'Quarterly YTD'!AC85-'Quarterly YTD'!AB85</f>
        <v>0</v>
      </c>
      <c r="AL85" s="11">
        <f>I85-'Quarterly YTD'!AC85</f>
        <v>0</v>
      </c>
      <c r="AM85" s="0">
        <v>0</v>
      </c>
      <c r="AN85" s="11">
        <f>'Quarterly YTD'!AF85-AM85</f>
        <v>0</v>
      </c>
      <c r="AO85" s="14"/>
      <c r="AP85" s="14"/>
    </row>
    <row customHeight="1" ht="15">
      <c r="A86" s="9" t="s">
        <v>122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10">
        <f>I86+'Quarterly YTD'!AF86-'Quarterly YTD'!AB86</f>
        <v>0</v>
      </c>
      <c r="K86" s="0">
        <v>0</v>
      </c>
      <c r="L86" s="11">
        <f>'Quarterly YTD'!D86-K86</f>
        <v>0</v>
      </c>
      <c r="M86" s="11">
        <f>'Quarterly YTD'!E86-'Quarterly YTD'!D86</f>
        <v>0</v>
      </c>
      <c r="N86" s="11">
        <f>C86-'Quarterly YTD'!E86</f>
        <v>0</v>
      </c>
      <c r="O86" s="0">
        <v>0</v>
      </c>
      <c r="P86" s="11">
        <f>'Quarterly YTD'!H86-O86</f>
        <v>0</v>
      </c>
      <c r="Q86" s="11">
        <f>'Quarterly YTD'!I86-'Quarterly YTD'!H86</f>
        <v>0</v>
      </c>
      <c r="R86" s="11">
        <f>D86-'Quarterly YTD'!I86</f>
        <v>0</v>
      </c>
      <c r="S86" s="0">
        <v>0</v>
      </c>
      <c r="T86" s="11">
        <f>'Quarterly YTD'!L86-S86</f>
        <v>0</v>
      </c>
      <c r="U86" s="11">
        <f>'Quarterly YTD'!M86-'Quarterly YTD'!L86</f>
        <v>0</v>
      </c>
      <c r="V86" s="11">
        <f>E86-'Quarterly YTD'!M86</f>
        <v>0</v>
      </c>
      <c r="W86" s="0">
        <v>0</v>
      </c>
      <c r="X86" s="11">
        <f>'Quarterly YTD'!P86-W86</f>
        <v>0</v>
      </c>
      <c r="Y86" s="11">
        <f>'Quarterly YTD'!Q86-'Quarterly YTD'!P86</f>
        <v>0</v>
      </c>
      <c r="Z86" s="11">
        <f>F86-'Quarterly YTD'!Q86</f>
        <v>0</v>
      </c>
      <c r="AA86" s="0">
        <v>0</v>
      </c>
      <c r="AB86" s="11">
        <f>'Quarterly YTD'!T86-AA86</f>
        <v>0</v>
      </c>
      <c r="AC86" s="11">
        <f>'Quarterly YTD'!U86-'Quarterly YTD'!T86</f>
        <v>0</v>
      </c>
      <c r="AD86" s="11">
        <f>G86-'Quarterly YTD'!U86</f>
        <v>0</v>
      </c>
      <c r="AE86" s="0">
        <v>0</v>
      </c>
      <c r="AF86" s="11">
        <f>'Quarterly YTD'!X86-AE86</f>
        <v>0</v>
      </c>
      <c r="AG86" s="11">
        <f>'Quarterly YTD'!Y86-'Quarterly YTD'!X86</f>
        <v>0</v>
      </c>
      <c r="AH86" s="11">
        <f>H86-'Quarterly YTD'!Y86</f>
        <v>0</v>
      </c>
      <c r="AI86" s="0">
        <v>0</v>
      </c>
      <c r="AJ86" s="11">
        <f>'Quarterly YTD'!AB86-AI86</f>
        <v>0</v>
      </c>
      <c r="AK86" s="11">
        <f>'Quarterly YTD'!AC86-'Quarterly YTD'!AB86</f>
        <v>0</v>
      </c>
      <c r="AL86" s="11">
        <f>I86-'Quarterly YTD'!AC86</f>
        <v>0</v>
      </c>
      <c r="AM86" s="0">
        <v>0</v>
      </c>
      <c r="AN86" s="11">
        <f>'Quarterly YTD'!AF86-AM86</f>
        <v>0</v>
      </c>
      <c r="AO86" s="14"/>
      <c r="AP86" s="14"/>
    </row>
    <row customHeight="1" ht="15">
      <c r="A87" s="9" t="s">
        <v>123</v>
      </c>
      <c r="B87" s="0">
        <v>0</v>
      </c>
      <c r="C87" s="0">
        <v>0</v>
      </c>
      <c r="D87" s="0">
        <v>0</v>
      </c>
      <c r="E87" s="0">
        <v>0</v>
      </c>
      <c r="F87" s="0">
        <v>-0.048</v>
      </c>
      <c r="G87" s="0">
        <v>-0.359</v>
      </c>
      <c r="H87" s="0">
        <v>0</v>
      </c>
      <c r="I87" s="0">
        <v>0</v>
      </c>
      <c r="J87" s="10">
        <f>I87+'Quarterly YTD'!AF87-'Quarterly YTD'!AB87</f>
        <v>0</v>
      </c>
      <c r="K87" s="0">
        <v>0</v>
      </c>
      <c r="L87" s="11">
        <f>'Quarterly YTD'!D87-K87</f>
        <v>0</v>
      </c>
      <c r="M87" s="11">
        <f>'Quarterly YTD'!E87-'Quarterly YTD'!D87</f>
        <v>0</v>
      </c>
      <c r="N87" s="11">
        <f>C87-'Quarterly YTD'!E87</f>
        <v>0</v>
      </c>
      <c r="O87" s="0">
        <v>0</v>
      </c>
      <c r="P87" s="11">
        <f>'Quarterly YTD'!H87-O87</f>
        <v>0</v>
      </c>
      <c r="Q87" s="11">
        <f>'Quarterly YTD'!I87-'Quarterly YTD'!H87</f>
        <v>0</v>
      </c>
      <c r="R87" s="11">
        <f>D87-'Quarterly YTD'!I87</f>
        <v>0</v>
      </c>
      <c r="S87" s="0">
        <v>0</v>
      </c>
      <c r="T87" s="11">
        <f>'Quarterly YTD'!L87-S87</f>
        <v>0</v>
      </c>
      <c r="U87" s="11">
        <f>'Quarterly YTD'!M87-'Quarterly YTD'!L87</f>
        <v>0</v>
      </c>
      <c r="V87" s="11">
        <f>E87-'Quarterly YTD'!M87</f>
        <v>0</v>
      </c>
      <c r="W87" s="0">
        <v>0</v>
      </c>
      <c r="X87" s="11">
        <f>'Quarterly YTD'!P87-W87</f>
        <v>0</v>
      </c>
      <c r="Y87" s="11">
        <f>'Quarterly YTD'!Q87-'Quarterly YTD'!P87</f>
        <v>0</v>
      </c>
      <c r="Z87" s="11">
        <f>F87-'Quarterly YTD'!Q87</f>
        <v>-0.048</v>
      </c>
      <c r="AA87" s="0">
        <v>0</v>
      </c>
      <c r="AB87" s="11">
        <f>'Quarterly YTD'!T87-AA87</f>
        <v>0</v>
      </c>
      <c r="AC87" s="11">
        <f>'Quarterly YTD'!U87-'Quarterly YTD'!T87</f>
        <v>0</v>
      </c>
      <c r="AD87" s="11">
        <f>G87-'Quarterly YTD'!U87</f>
        <v>-0.359</v>
      </c>
      <c r="AE87" s="0">
        <v>0</v>
      </c>
      <c r="AF87" s="11">
        <f>'Quarterly YTD'!X87-AE87</f>
        <v>0</v>
      </c>
      <c r="AG87" s="11">
        <f>'Quarterly YTD'!Y87-'Quarterly YTD'!X87</f>
        <v>0</v>
      </c>
      <c r="AH87" s="11">
        <f>H87-'Quarterly YTD'!Y87</f>
        <v>0</v>
      </c>
      <c r="AI87" s="0">
        <v>0</v>
      </c>
      <c r="AJ87" s="11">
        <f>'Quarterly YTD'!AB87-AI87</f>
        <v>0</v>
      </c>
      <c r="AK87" s="11">
        <f>'Quarterly YTD'!AC87-'Quarterly YTD'!AB87</f>
        <v>0</v>
      </c>
      <c r="AL87" s="11">
        <f>I87-'Quarterly YTD'!AC87</f>
        <v>0</v>
      </c>
      <c r="AM87" s="0">
        <v>0</v>
      </c>
      <c r="AN87" s="11">
        <f>'Quarterly YTD'!AF87-AM87</f>
        <v>0</v>
      </c>
      <c r="AO87" s="14"/>
      <c r="AP87" s="14"/>
    </row>
    <row customHeight="1" ht="15">
      <c r="A88" s="9" t="s">
        <v>124</v>
      </c>
      <c r="B88" s="0">
        <v>14.047</v>
      </c>
      <c r="C88" s="0">
        <v>5.728</v>
      </c>
      <c r="D88" s="0">
        <v>8.658</v>
      </c>
      <c r="E88" s="0">
        <v>22.118</v>
      </c>
      <c r="F88" s="0">
        <v>11.094</v>
      </c>
      <c r="G88" s="0">
        <v>1.11</v>
      </c>
      <c r="H88" s="0">
        <v>33.158</v>
      </c>
      <c r="I88" s="0">
        <v>80.896</v>
      </c>
      <c r="J88" s="10">
        <f>I88+'Quarterly YTD'!AF88-'Quarterly YTD'!AB88</f>
        <v>156.099</v>
      </c>
      <c r="K88" s="0">
        <v>0.731</v>
      </c>
      <c r="L88" s="11">
        <f>'Quarterly YTD'!D88-K88</f>
        <v>1.358</v>
      </c>
      <c r="M88" s="11">
        <f>'Quarterly YTD'!E88-'Quarterly YTD'!D88</f>
        <v>0.551</v>
      </c>
      <c r="N88" s="11">
        <f>C88-'Quarterly YTD'!E88</f>
        <v>3.088</v>
      </c>
      <c r="O88" s="0">
        <v>1.455</v>
      </c>
      <c r="P88" s="11">
        <f>'Quarterly YTD'!H88-O88</f>
        <v>0.00099999999999989</v>
      </c>
      <c r="Q88" s="11">
        <f>'Quarterly YTD'!I88-'Quarterly YTD'!H88</f>
        <v>0.24</v>
      </c>
      <c r="R88" s="11">
        <f>D88-'Quarterly YTD'!I88</f>
        <v>6.962</v>
      </c>
      <c r="S88" s="0">
        <v>0.714</v>
      </c>
      <c r="T88" s="11">
        <f>'Quarterly YTD'!L88-S88</f>
        <v>15.843</v>
      </c>
      <c r="U88" s="11">
        <f>'Quarterly YTD'!M88-'Quarterly YTD'!L88</f>
        <v>9.564</v>
      </c>
      <c r="V88" s="11">
        <f>E88-'Quarterly YTD'!M88</f>
        <v>-4.003</v>
      </c>
      <c r="W88" s="0">
        <v>5.426</v>
      </c>
      <c r="X88" s="11">
        <f>'Quarterly YTD'!P88-W88</f>
        <v>5.203</v>
      </c>
      <c r="Y88" s="11">
        <f>'Quarterly YTD'!Q88-'Quarterly YTD'!P88</f>
        <v>0.453000000000001</v>
      </c>
      <c r="Z88" s="11">
        <f>F88-'Quarterly YTD'!Q88</f>
        <v>0.0119999999999987</v>
      </c>
      <c r="AA88" s="0">
        <v>0</v>
      </c>
      <c r="AB88" s="11">
        <f>'Quarterly YTD'!T88-AA88</f>
        <v>0.276</v>
      </c>
      <c r="AC88" s="11">
        <f>'Quarterly YTD'!U88-'Quarterly YTD'!T88</f>
        <v>1.705</v>
      </c>
      <c r="AD88" s="11">
        <f>G88-'Quarterly YTD'!U88</f>
        <v>-0.871</v>
      </c>
      <c r="AE88" s="0">
        <v>0.839</v>
      </c>
      <c r="AF88" s="11">
        <f>'Quarterly YTD'!X88-AE88</f>
        <v>15.021</v>
      </c>
      <c r="AG88" s="11">
        <f>'Quarterly YTD'!Y88-'Quarterly YTD'!X88</f>
        <v>0.07</v>
      </c>
      <c r="AH88" s="11">
        <f>H88-'Quarterly YTD'!Y88</f>
        <v>17.228</v>
      </c>
      <c r="AI88" s="0">
        <v>28.516</v>
      </c>
      <c r="AJ88" s="11">
        <f>'Quarterly YTD'!AB88-AI88</f>
        <v>22.791</v>
      </c>
      <c r="AK88" s="11">
        <f>'Quarterly YTD'!AC88-'Quarterly YTD'!AB88</f>
        <v>2.485</v>
      </c>
      <c r="AL88" s="11">
        <f>I88-'Quarterly YTD'!AC88</f>
        <v>27.104</v>
      </c>
      <c r="AM88" s="0">
        <v>54.916</v>
      </c>
      <c r="AN88" s="11">
        <f>'Quarterly YTD'!AF88-AM88</f>
        <v>71.594</v>
      </c>
      <c r="AO88" s="14"/>
      <c r="AP88" s="14"/>
    </row>
    <row customHeight="1" ht="15">
      <c r="A89" s="9" t="s">
        <v>125</v>
      </c>
      <c r="B89" s="0">
        <v>-8.976</v>
      </c>
      <c r="C89" s="0">
        <v>-9.493</v>
      </c>
      <c r="D89" s="0">
        <v>-0.842</v>
      </c>
      <c r="E89" s="0">
        <v>-4.121</v>
      </c>
      <c r="F89" s="0">
        <v>-3.891</v>
      </c>
      <c r="G89" s="0">
        <v>-3.875</v>
      </c>
      <c r="H89" s="0">
        <v>-14.861</v>
      </c>
      <c r="I89" s="0">
        <v>-10.148</v>
      </c>
      <c r="J89" s="10">
        <f>I89+'Quarterly YTD'!AF89-'Quarterly YTD'!AB89</f>
        <v>-26.255</v>
      </c>
      <c r="K89" s="0">
        <v>-1.053</v>
      </c>
      <c r="L89" s="11">
        <f>'Quarterly YTD'!D89-K89</f>
        <v>-1.475</v>
      </c>
      <c r="M89" s="11">
        <f>'Quarterly YTD'!E89-'Quarterly YTD'!D89</f>
        <v>-1.413</v>
      </c>
      <c r="N89" s="11">
        <f>C89-'Quarterly YTD'!E89</f>
        <v>-5.552</v>
      </c>
      <c r="O89" s="0">
        <v>-1.082</v>
      </c>
      <c r="P89" s="11">
        <f>'Quarterly YTD'!H89-O89</f>
        <v>-0.163</v>
      </c>
      <c r="Q89" s="11">
        <f>'Quarterly YTD'!I89-'Quarterly YTD'!H89</f>
        <v>-0.424</v>
      </c>
      <c r="R89" s="11">
        <f>D89-'Quarterly YTD'!I89</f>
        <v>0.827</v>
      </c>
      <c r="S89" s="0">
        <v>-0.584</v>
      </c>
      <c r="T89" s="11">
        <f>'Quarterly YTD'!L89-S89</f>
        <v>-0.796</v>
      </c>
      <c r="U89" s="11">
        <f>'Quarterly YTD'!M89-'Quarterly YTD'!L89</f>
        <v>-3.473</v>
      </c>
      <c r="V89" s="11">
        <f>E89-'Quarterly YTD'!M89</f>
        <v>0.732</v>
      </c>
      <c r="W89" s="0">
        <v>-0.65</v>
      </c>
      <c r="X89" s="11">
        <f>'Quarterly YTD'!P89-W89</f>
        <v>-0.423</v>
      </c>
      <c r="Y89" s="11">
        <f>'Quarterly YTD'!Q89-'Quarterly YTD'!P89</f>
        <v>-2.428</v>
      </c>
      <c r="Z89" s="11">
        <f>F89-'Quarterly YTD'!Q89</f>
        <v>-0.39</v>
      </c>
      <c r="AA89" s="0">
        <v>-1.314</v>
      </c>
      <c r="AB89" s="11">
        <f>'Quarterly YTD'!T89-AA89</f>
        <v>-0.554</v>
      </c>
      <c r="AC89" s="11">
        <f>'Quarterly YTD'!U89-'Quarterly YTD'!T89</f>
        <v>-1.359</v>
      </c>
      <c r="AD89" s="11">
        <f>G89-'Quarterly YTD'!U89</f>
        <v>-0.648</v>
      </c>
      <c r="AE89" s="0">
        <v>-1.435</v>
      </c>
      <c r="AF89" s="11">
        <f>'Quarterly YTD'!X89-AE89</f>
        <v>-0.785</v>
      </c>
      <c r="AG89" s="11">
        <f>'Quarterly YTD'!Y89-'Quarterly YTD'!X89</f>
        <v>-2.009</v>
      </c>
      <c r="AH89" s="11">
        <f>H89-'Quarterly YTD'!Y89</f>
        <v>-10.632</v>
      </c>
      <c r="AI89" s="0">
        <v>-1.59</v>
      </c>
      <c r="AJ89" s="11">
        <f>'Quarterly YTD'!AB89-AI89</f>
        <v>-0.91</v>
      </c>
      <c r="AK89" s="11">
        <f>'Quarterly YTD'!AC89-'Quarterly YTD'!AB89</f>
        <v>-3.616</v>
      </c>
      <c r="AL89" s="11">
        <f>I89-'Quarterly YTD'!AC89</f>
        <v>-4.032</v>
      </c>
      <c r="AM89" s="0">
        <v>-14.123</v>
      </c>
      <c r="AN89" s="11">
        <f>'Quarterly YTD'!AF89-AM89</f>
        <v>-4.484</v>
      </c>
      <c r="AO89" s="14"/>
      <c r="AP89" s="14"/>
    </row>
    <row customHeight="1" ht="15">
      <c r="A90" s="9" t="s">
        <v>126</v>
      </c>
      <c r="B90" s="0">
        <v>2.434</v>
      </c>
      <c r="C90" s="0">
        <v>7.699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10">
        <f>I90+'Quarterly YTD'!AF90-'Quarterly YTD'!AB90</f>
        <v>0</v>
      </c>
      <c r="K90" s="0">
        <v>2.905</v>
      </c>
      <c r="L90" s="11">
        <f>'Quarterly YTD'!D90-K90</f>
        <v>11.467</v>
      </c>
      <c r="M90" s="11">
        <f>'Quarterly YTD'!E90-'Quarterly YTD'!D90</f>
        <v>-0.734</v>
      </c>
      <c r="N90" s="11">
        <f>C90-'Quarterly YTD'!E90</f>
        <v>-5.939</v>
      </c>
      <c r="O90" s="0">
        <v>0</v>
      </c>
      <c r="P90" s="11">
        <f>'Quarterly YTD'!H90-O90</f>
        <v>0</v>
      </c>
      <c r="Q90" s="11">
        <f>'Quarterly YTD'!I90-'Quarterly YTD'!H90</f>
        <v>0</v>
      </c>
      <c r="R90" s="11">
        <f>D90-'Quarterly YTD'!I90</f>
        <v>0</v>
      </c>
      <c r="S90" s="0">
        <v>0</v>
      </c>
      <c r="T90" s="11">
        <f>'Quarterly YTD'!L90-S90</f>
        <v>0</v>
      </c>
      <c r="U90" s="11">
        <f>'Quarterly YTD'!M90-'Quarterly YTD'!L90</f>
        <v>0</v>
      </c>
      <c r="V90" s="11">
        <f>E90-'Quarterly YTD'!M90</f>
        <v>0</v>
      </c>
      <c r="W90" s="0">
        <v>0</v>
      </c>
      <c r="X90" s="11">
        <f>'Quarterly YTD'!P90-W90</f>
        <v>0</v>
      </c>
      <c r="Y90" s="11">
        <f>'Quarterly YTD'!Q90-'Quarterly YTD'!P90</f>
        <v>0</v>
      </c>
      <c r="Z90" s="11">
        <f>F90-'Quarterly YTD'!Q90</f>
        <v>0</v>
      </c>
      <c r="AA90" s="0">
        <v>0</v>
      </c>
      <c r="AB90" s="11">
        <f>'Quarterly YTD'!T90-AA90</f>
        <v>0</v>
      </c>
      <c r="AC90" s="11">
        <f>'Quarterly YTD'!U90-'Quarterly YTD'!T90</f>
        <v>0</v>
      </c>
      <c r="AD90" s="11">
        <f>G90-'Quarterly YTD'!U90</f>
        <v>0</v>
      </c>
      <c r="AE90" s="0">
        <v>0</v>
      </c>
      <c r="AF90" s="11">
        <f>'Quarterly YTD'!X90-AE90</f>
        <v>0</v>
      </c>
      <c r="AG90" s="11">
        <f>'Quarterly YTD'!Y90-'Quarterly YTD'!X90</f>
        <v>0</v>
      </c>
      <c r="AH90" s="11">
        <f>H90-'Quarterly YTD'!Y90</f>
        <v>0</v>
      </c>
      <c r="AI90" s="0">
        <v>0</v>
      </c>
      <c r="AJ90" s="11">
        <f>'Quarterly YTD'!AB90-AI90</f>
        <v>0</v>
      </c>
      <c r="AK90" s="11">
        <f>'Quarterly YTD'!AC90-'Quarterly YTD'!AB90</f>
        <v>0</v>
      </c>
      <c r="AL90" s="11">
        <f>I90-'Quarterly YTD'!AC90</f>
        <v>0</v>
      </c>
      <c r="AM90" s="0">
        <v>0</v>
      </c>
      <c r="AN90" s="11">
        <f>'Quarterly YTD'!AF90-AM90</f>
        <v>0</v>
      </c>
      <c r="AO90" s="14"/>
      <c r="AP90" s="14"/>
    </row>
    <row customHeight="1" ht="15">
      <c r="A91" s="9" t="s">
        <v>127</v>
      </c>
      <c r="B91" s="0">
        <v>-0.193</v>
      </c>
      <c r="C91" s="0">
        <v>-6.634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10">
        <f>I91+'Quarterly YTD'!AF91-'Quarterly YTD'!AB91</f>
        <v>0</v>
      </c>
      <c r="K91" s="0">
        <v>0</v>
      </c>
      <c r="L91" s="11">
        <f>'Quarterly YTD'!D91-K91</f>
        <v>0</v>
      </c>
      <c r="M91" s="11">
        <f>'Quarterly YTD'!E91-'Quarterly YTD'!D91</f>
        <v>0</v>
      </c>
      <c r="N91" s="11">
        <f>C91-'Quarterly YTD'!E91</f>
        <v>-6.634</v>
      </c>
      <c r="O91" s="0">
        <v>0</v>
      </c>
      <c r="P91" s="11">
        <f>'Quarterly YTD'!H91-O91</f>
        <v>0</v>
      </c>
      <c r="Q91" s="11">
        <f>'Quarterly YTD'!I91-'Quarterly YTD'!H91</f>
        <v>0</v>
      </c>
      <c r="R91" s="11">
        <f>D91-'Quarterly YTD'!I91</f>
        <v>0</v>
      </c>
      <c r="S91" s="0">
        <v>0</v>
      </c>
      <c r="T91" s="11">
        <f>'Quarterly YTD'!L91-S91</f>
        <v>0</v>
      </c>
      <c r="U91" s="11">
        <f>'Quarterly YTD'!M91-'Quarterly YTD'!L91</f>
        <v>0</v>
      </c>
      <c r="V91" s="11">
        <f>E91-'Quarterly YTD'!M91</f>
        <v>0</v>
      </c>
      <c r="W91" s="0">
        <v>0</v>
      </c>
      <c r="X91" s="11">
        <f>'Quarterly YTD'!P91-W91</f>
        <v>0</v>
      </c>
      <c r="Y91" s="11">
        <f>'Quarterly YTD'!Q91-'Quarterly YTD'!P91</f>
        <v>0</v>
      </c>
      <c r="Z91" s="11">
        <f>F91-'Quarterly YTD'!Q91</f>
        <v>0</v>
      </c>
      <c r="AA91" s="0">
        <v>0</v>
      </c>
      <c r="AB91" s="11">
        <f>'Quarterly YTD'!T91-AA91</f>
        <v>0</v>
      </c>
      <c r="AC91" s="11">
        <f>'Quarterly YTD'!U91-'Quarterly YTD'!T91</f>
        <v>0</v>
      </c>
      <c r="AD91" s="11">
        <f>G91-'Quarterly YTD'!U91</f>
        <v>0</v>
      </c>
      <c r="AE91" s="0">
        <v>0</v>
      </c>
      <c r="AF91" s="11">
        <f>'Quarterly YTD'!X91-AE91</f>
        <v>0</v>
      </c>
      <c r="AG91" s="11">
        <f>'Quarterly YTD'!Y91-'Quarterly YTD'!X91</f>
        <v>0</v>
      </c>
      <c r="AH91" s="11">
        <f>H91-'Quarterly YTD'!Y91</f>
        <v>0</v>
      </c>
      <c r="AI91" s="0">
        <v>0</v>
      </c>
      <c r="AJ91" s="11">
        <f>'Quarterly YTD'!AB91-AI91</f>
        <v>0</v>
      </c>
      <c r="AK91" s="11">
        <f>'Quarterly YTD'!AC91-'Quarterly YTD'!AB91</f>
        <v>0</v>
      </c>
      <c r="AL91" s="11">
        <f>I91-'Quarterly YTD'!AC91</f>
        <v>0</v>
      </c>
      <c r="AM91" s="0">
        <v>0</v>
      </c>
      <c r="AN91" s="11">
        <f>'Quarterly YTD'!AF91-AM91</f>
        <v>0</v>
      </c>
      <c r="AO91" s="14"/>
      <c r="AP91" s="14"/>
    </row>
    <row customHeight="1" ht="15">
      <c r="A92" s="9" t="s">
        <v>128</v>
      </c>
      <c r="B92" s="0">
        <v>0</v>
      </c>
      <c r="C92" s="0">
        <v>0</v>
      </c>
      <c r="D92" s="0">
        <v>1.878</v>
      </c>
      <c r="E92" s="0">
        <v>8.383</v>
      </c>
      <c r="F92" s="0">
        <v>1.63</v>
      </c>
      <c r="G92" s="0">
        <v>1.035</v>
      </c>
      <c r="H92" s="0">
        <v>1.22</v>
      </c>
      <c r="I92" s="0">
        <v>3.75</v>
      </c>
      <c r="J92" s="10">
        <f>I92+'Quarterly YTD'!AF92-'Quarterly YTD'!AB92</f>
        <v>2.69</v>
      </c>
      <c r="K92" s="0">
        <v>0</v>
      </c>
      <c r="L92" s="11">
        <f>'Quarterly YTD'!D92-K92</f>
        <v>0</v>
      </c>
      <c r="M92" s="11">
        <f>'Quarterly YTD'!E92-'Quarterly YTD'!D92</f>
        <v>0</v>
      </c>
      <c r="N92" s="11">
        <f>C92-'Quarterly YTD'!E92</f>
        <v>0</v>
      </c>
      <c r="O92" s="0">
        <v>0</v>
      </c>
      <c r="P92" s="11">
        <f>'Quarterly YTD'!H92-O92</f>
        <v>0</v>
      </c>
      <c r="Q92" s="11">
        <f>'Quarterly YTD'!I92-'Quarterly YTD'!H92</f>
        <v>0</v>
      </c>
      <c r="R92" s="11">
        <f>D92-'Quarterly YTD'!I92</f>
        <v>1.878</v>
      </c>
      <c r="S92" s="0">
        <v>0.449</v>
      </c>
      <c r="T92" s="11">
        <f>'Quarterly YTD'!L92-S92</f>
        <v>0.382</v>
      </c>
      <c r="U92" s="11">
        <f>'Quarterly YTD'!M92-'Quarterly YTD'!L92</f>
        <v>2.189</v>
      </c>
      <c r="V92" s="11">
        <f>E92-'Quarterly YTD'!M92</f>
        <v>5.363</v>
      </c>
      <c r="W92" s="0">
        <v>0</v>
      </c>
      <c r="X92" s="11">
        <f>'Quarterly YTD'!P92-W92</f>
        <v>0</v>
      </c>
      <c r="Y92" s="11">
        <f>'Quarterly YTD'!Q92-'Quarterly YTD'!P92</f>
        <v>0.043</v>
      </c>
      <c r="Z92" s="11">
        <f>F92-'Quarterly YTD'!Q92</f>
        <v>1.587</v>
      </c>
      <c r="AA92" s="0">
        <v>0</v>
      </c>
      <c r="AB92" s="11">
        <f>'Quarterly YTD'!T92-AA92</f>
        <v>0</v>
      </c>
      <c r="AC92" s="11">
        <f>'Quarterly YTD'!U92-'Quarterly YTD'!T92</f>
        <v>1.03</v>
      </c>
      <c r="AD92" s="11">
        <f>G92-'Quarterly YTD'!U92</f>
        <v>0.0049999999999999</v>
      </c>
      <c r="AE92" s="0">
        <v>0</v>
      </c>
      <c r="AF92" s="11">
        <f>'Quarterly YTD'!X92-AE92</f>
        <v>0</v>
      </c>
      <c r="AG92" s="11">
        <f>'Quarterly YTD'!Y92-'Quarterly YTD'!X92</f>
        <v>0</v>
      </c>
      <c r="AH92" s="11">
        <f>H92-'Quarterly YTD'!Y92</f>
        <v>1.22</v>
      </c>
      <c r="AI92" s="0">
        <v>0</v>
      </c>
      <c r="AJ92" s="11">
        <f>'Quarterly YTD'!AB92-AI92</f>
        <v>1.419</v>
      </c>
      <c r="AK92" s="11">
        <f>'Quarterly YTD'!AC92-'Quarterly YTD'!AB92</f>
        <v>-0.13</v>
      </c>
      <c r="AL92" s="11">
        <f>I92-'Quarterly YTD'!AC92</f>
        <v>2.461</v>
      </c>
      <c r="AM92" s="0">
        <v>0</v>
      </c>
      <c r="AN92" s="11">
        <f>'Quarterly YTD'!AF92-AM92</f>
        <v>0.359</v>
      </c>
      <c r="AO92" s="14"/>
      <c r="AP92" s="14"/>
    </row>
    <row customHeight="1" ht="15">
      <c r="A93" s="9" t="s">
        <v>129</v>
      </c>
      <c r="B93" s="0">
        <v>0</v>
      </c>
      <c r="C93" s="0">
        <v>0</v>
      </c>
      <c r="D93" s="0">
        <v>-0.096</v>
      </c>
      <c r="E93" s="0">
        <v>-0.115</v>
      </c>
      <c r="F93" s="0">
        <v>-1.898</v>
      </c>
      <c r="G93" s="0">
        <v>-9.238</v>
      </c>
      <c r="H93" s="0">
        <v>-4.733</v>
      </c>
      <c r="I93" s="0">
        <v>-3.704</v>
      </c>
      <c r="J93" s="10">
        <f>I93+'Quarterly YTD'!AF93-'Quarterly YTD'!AB93</f>
        <v>-14.048</v>
      </c>
      <c r="K93" s="0">
        <v>0</v>
      </c>
      <c r="L93" s="11">
        <f>'Quarterly YTD'!D93-K93</f>
        <v>0</v>
      </c>
      <c r="M93" s="11">
        <f>'Quarterly YTD'!E93-'Quarterly YTD'!D93</f>
        <v>-6.634</v>
      </c>
      <c r="N93" s="11">
        <f>C93-'Quarterly YTD'!E93</f>
        <v>6.634</v>
      </c>
      <c r="O93" s="0">
        <v>-0.1</v>
      </c>
      <c r="P93" s="11">
        <f>'Quarterly YTD'!H93-O93</f>
        <v>0.1</v>
      </c>
      <c r="Q93" s="11">
        <f>'Quarterly YTD'!I93-'Quarterly YTD'!H93</f>
        <v>0</v>
      </c>
      <c r="R93" s="11">
        <f>D93-'Quarterly YTD'!I93</f>
        <v>-0.096</v>
      </c>
      <c r="S93" s="0">
        <v>-0.109</v>
      </c>
      <c r="T93" s="11">
        <f>'Quarterly YTD'!L93-S93</f>
        <v>0.092</v>
      </c>
      <c r="U93" s="11">
        <f>'Quarterly YTD'!M93-'Quarterly YTD'!L93</f>
        <v>0.017</v>
      </c>
      <c r="V93" s="11">
        <f>E93-'Quarterly YTD'!M93</f>
        <v>-0.115</v>
      </c>
      <c r="W93" s="0">
        <v>-4.43</v>
      </c>
      <c r="X93" s="11">
        <f>'Quarterly YTD'!P93-W93</f>
        <v>1.31</v>
      </c>
      <c r="Y93" s="11">
        <f>'Quarterly YTD'!Q93-'Quarterly YTD'!P93</f>
        <v>1.18</v>
      </c>
      <c r="Z93" s="11">
        <f>F93-'Quarterly YTD'!Q93</f>
        <v>0.042</v>
      </c>
      <c r="AA93" s="0">
        <v>-3.734</v>
      </c>
      <c r="AB93" s="11">
        <f>'Quarterly YTD'!T93-AA93</f>
        <v>-10.408</v>
      </c>
      <c r="AC93" s="11">
        <f>'Quarterly YTD'!U93-'Quarterly YTD'!T93</f>
        <v>5.037</v>
      </c>
      <c r="AD93" s="11">
        <f>G93-'Quarterly YTD'!U93</f>
        <v>-0.133</v>
      </c>
      <c r="AE93" s="0">
        <v>-0.845</v>
      </c>
      <c r="AF93" s="11">
        <f>'Quarterly YTD'!X93-AE93</f>
        <v>-0.954</v>
      </c>
      <c r="AG93" s="11">
        <f>'Quarterly YTD'!Y93-'Quarterly YTD'!X93</f>
        <v>-2.587</v>
      </c>
      <c r="AH93" s="11">
        <f>H93-'Quarterly YTD'!Y93</f>
        <v>-0.347</v>
      </c>
      <c r="AI93" s="0">
        <v>-2.277</v>
      </c>
      <c r="AJ93" s="11">
        <f>'Quarterly YTD'!AB93-AI93</f>
        <v>-1.198</v>
      </c>
      <c r="AK93" s="11">
        <f>'Quarterly YTD'!AC93-'Quarterly YTD'!AB93</f>
        <v>-0.693</v>
      </c>
      <c r="AL93" s="11">
        <f>I93-'Quarterly YTD'!AC93</f>
        <v>0.464</v>
      </c>
      <c r="AM93" s="0">
        <v>-13.573</v>
      </c>
      <c r="AN93" s="11">
        <f>'Quarterly YTD'!AF93-AM93</f>
        <v>-0.246</v>
      </c>
      <c r="AO93" s="14"/>
      <c r="AP93" s="14"/>
    </row>
    <row customHeight="1" ht="15">
      <c r="A94" s="9" t="s">
        <v>130</v>
      </c>
      <c r="B94" s="0">
        <v>0</v>
      </c>
      <c r="C94" s="0">
        <v>264.457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10">
        <f>I94+'Quarterly YTD'!AF94-'Quarterly YTD'!AB94</f>
        <v>0</v>
      </c>
      <c r="K94" s="0">
        <v>0</v>
      </c>
      <c r="L94" s="11">
        <f>'Quarterly YTD'!D94-K94</f>
        <v>0</v>
      </c>
      <c r="M94" s="11">
        <f>'Quarterly YTD'!E94-'Quarterly YTD'!D94</f>
        <v>0</v>
      </c>
      <c r="N94" s="11">
        <f>C94-'Quarterly YTD'!E94</f>
        <v>264.457</v>
      </c>
      <c r="O94" s="0">
        <v>0</v>
      </c>
      <c r="P94" s="11">
        <f>'Quarterly YTD'!H94-O94</f>
        <v>0</v>
      </c>
      <c r="Q94" s="11">
        <f>'Quarterly YTD'!I94-'Quarterly YTD'!H94</f>
        <v>0</v>
      </c>
      <c r="R94" s="11">
        <f>D94-'Quarterly YTD'!I94</f>
        <v>0</v>
      </c>
      <c r="S94" s="0">
        <v>0</v>
      </c>
      <c r="T94" s="11">
        <f>'Quarterly YTD'!L94-S94</f>
        <v>0</v>
      </c>
      <c r="U94" s="11">
        <f>'Quarterly YTD'!M94-'Quarterly YTD'!L94</f>
        <v>0</v>
      </c>
      <c r="V94" s="11">
        <f>E94-'Quarterly YTD'!M94</f>
        <v>0</v>
      </c>
      <c r="W94" s="0">
        <v>0</v>
      </c>
      <c r="X94" s="11">
        <f>'Quarterly YTD'!P94-W94</f>
        <v>0</v>
      </c>
      <c r="Y94" s="11">
        <f>'Quarterly YTD'!Q94-'Quarterly YTD'!P94</f>
        <v>0</v>
      </c>
      <c r="Z94" s="11">
        <f>F94-'Quarterly YTD'!Q94</f>
        <v>0</v>
      </c>
      <c r="AA94" s="0">
        <v>0</v>
      </c>
      <c r="AB94" s="11">
        <f>'Quarterly YTD'!T94-AA94</f>
        <v>0</v>
      </c>
      <c r="AC94" s="11">
        <f>'Quarterly YTD'!U94-'Quarterly YTD'!T94</f>
        <v>0</v>
      </c>
      <c r="AD94" s="11">
        <f>G94-'Quarterly YTD'!U94</f>
        <v>0</v>
      </c>
      <c r="AE94" s="0">
        <v>0</v>
      </c>
      <c r="AF94" s="11">
        <f>'Quarterly YTD'!X94-AE94</f>
        <v>0</v>
      </c>
      <c r="AG94" s="11">
        <f>'Quarterly YTD'!Y94-'Quarterly YTD'!X94</f>
        <v>0</v>
      </c>
      <c r="AH94" s="11">
        <f>H94-'Quarterly YTD'!Y94</f>
        <v>0</v>
      </c>
      <c r="AI94" s="0">
        <v>0</v>
      </c>
      <c r="AJ94" s="11">
        <f>'Quarterly YTD'!AB94-AI94</f>
        <v>0</v>
      </c>
      <c r="AK94" s="11">
        <f>'Quarterly YTD'!AC94-'Quarterly YTD'!AB94</f>
        <v>0</v>
      </c>
      <c r="AL94" s="11">
        <f>I94-'Quarterly YTD'!AC94</f>
        <v>0</v>
      </c>
      <c r="AM94" s="0">
        <v>0</v>
      </c>
      <c r="AN94" s="11">
        <f>'Quarterly YTD'!AF94-AM94</f>
        <v>0</v>
      </c>
      <c r="AO94" s="14"/>
      <c r="AP94" s="14"/>
    </row>
    <row customHeight="1" ht="15">
      <c r="A95" s="9" t="s">
        <v>131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-7.262</v>
      </c>
      <c r="I95" s="0">
        <v>-0.024</v>
      </c>
      <c r="J95" s="10">
        <f>I95+'Quarterly YTD'!AF95-'Quarterly YTD'!AB95</f>
        <v>-0.024</v>
      </c>
      <c r="K95" s="0">
        <v>0</v>
      </c>
      <c r="L95" s="11">
        <f>'Quarterly YTD'!D95-K95</f>
        <v>0</v>
      </c>
      <c r="M95" s="11">
        <f>'Quarterly YTD'!E95-'Quarterly YTD'!D95</f>
        <v>0</v>
      </c>
      <c r="N95" s="11">
        <f>C95-'Quarterly YTD'!E95</f>
        <v>0</v>
      </c>
      <c r="O95" s="0">
        <v>0</v>
      </c>
      <c r="P95" s="11">
        <f>'Quarterly YTD'!H95-O95</f>
        <v>0</v>
      </c>
      <c r="Q95" s="11">
        <f>'Quarterly YTD'!I95-'Quarterly YTD'!H95</f>
        <v>0</v>
      </c>
      <c r="R95" s="11">
        <f>D95-'Quarterly YTD'!I95</f>
        <v>0</v>
      </c>
      <c r="S95" s="0">
        <v>0</v>
      </c>
      <c r="T95" s="11">
        <f>'Quarterly YTD'!L95-S95</f>
        <v>0</v>
      </c>
      <c r="U95" s="11">
        <f>'Quarterly YTD'!M95-'Quarterly YTD'!L95</f>
        <v>0</v>
      </c>
      <c r="V95" s="11">
        <f>E95-'Quarterly YTD'!M95</f>
        <v>0</v>
      </c>
      <c r="W95" s="0">
        <v>0</v>
      </c>
      <c r="X95" s="11">
        <f>'Quarterly YTD'!P95-W95</f>
        <v>0</v>
      </c>
      <c r="Y95" s="11">
        <f>'Quarterly YTD'!Q95-'Quarterly YTD'!P95</f>
        <v>0</v>
      </c>
      <c r="Z95" s="11">
        <f>F95-'Quarterly YTD'!Q95</f>
        <v>0</v>
      </c>
      <c r="AA95" s="0">
        <v>0</v>
      </c>
      <c r="AB95" s="11">
        <f>'Quarterly YTD'!T95-AA95</f>
        <v>0</v>
      </c>
      <c r="AC95" s="11">
        <f>'Quarterly YTD'!U95-'Quarterly YTD'!T95</f>
        <v>0</v>
      </c>
      <c r="AD95" s="11">
        <f>G95-'Quarterly YTD'!U95</f>
        <v>0</v>
      </c>
      <c r="AE95" s="0">
        <v>0</v>
      </c>
      <c r="AF95" s="11">
        <f>'Quarterly YTD'!X95-AE95</f>
        <v>-6.934</v>
      </c>
      <c r="AG95" s="11">
        <f>'Quarterly YTD'!Y95-'Quarterly YTD'!X95</f>
        <v>-0.305</v>
      </c>
      <c r="AH95" s="11">
        <f>H95-'Quarterly YTD'!Y95</f>
        <v>-0.023</v>
      </c>
      <c r="AI95" s="0">
        <v>0</v>
      </c>
      <c r="AJ95" s="11">
        <f>'Quarterly YTD'!AB95-AI95</f>
        <v>0</v>
      </c>
      <c r="AK95" s="11">
        <f>'Quarterly YTD'!AC95-'Quarterly YTD'!AB95</f>
        <v>0</v>
      </c>
      <c r="AL95" s="11">
        <f>I95-'Quarterly YTD'!AC95</f>
        <v>-0.024</v>
      </c>
      <c r="AM95" s="0">
        <v>-0.13</v>
      </c>
      <c r="AN95" s="11">
        <f>'Quarterly YTD'!AF95-AM95</f>
        <v>0.13</v>
      </c>
      <c r="AO95" s="14"/>
      <c r="AP95" s="14"/>
    </row>
    <row customHeight="1" ht="15">
      <c r="A96" s="9" t="s">
        <v>132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278.836</v>
      </c>
      <c r="I96" s="0">
        <v>0</v>
      </c>
      <c r="J96" s="10">
        <f>I96+'Quarterly YTD'!AF96-'Quarterly YTD'!AB96</f>
        <v>0</v>
      </c>
      <c r="K96" s="0">
        <v>0</v>
      </c>
      <c r="L96" s="11">
        <f>'Quarterly YTD'!D96-K96</f>
        <v>0</v>
      </c>
      <c r="M96" s="11">
        <f>'Quarterly YTD'!E96-'Quarterly YTD'!D96</f>
        <v>0</v>
      </c>
      <c r="N96" s="11">
        <f>C96-'Quarterly YTD'!E96</f>
        <v>0</v>
      </c>
      <c r="O96" s="0">
        <v>0</v>
      </c>
      <c r="P96" s="11">
        <f>'Quarterly YTD'!H96-O96</f>
        <v>0</v>
      </c>
      <c r="Q96" s="11">
        <f>'Quarterly YTD'!I96-'Quarterly YTD'!H96</f>
        <v>0</v>
      </c>
      <c r="R96" s="11">
        <f>D96-'Quarterly YTD'!I96</f>
        <v>0</v>
      </c>
      <c r="S96" s="0">
        <v>0</v>
      </c>
      <c r="T96" s="11">
        <f>'Quarterly YTD'!L96-S96</f>
        <v>0</v>
      </c>
      <c r="U96" s="11">
        <f>'Quarterly YTD'!M96-'Quarterly YTD'!L96</f>
        <v>0</v>
      </c>
      <c r="V96" s="11">
        <f>E96-'Quarterly YTD'!M96</f>
        <v>0</v>
      </c>
      <c r="W96" s="0">
        <v>0</v>
      </c>
      <c r="X96" s="11">
        <f>'Quarterly YTD'!P96-W96</f>
        <v>0</v>
      </c>
      <c r="Y96" s="11">
        <f>'Quarterly YTD'!Q96-'Quarterly YTD'!P96</f>
        <v>0</v>
      </c>
      <c r="Z96" s="11">
        <f>F96-'Quarterly YTD'!Q96</f>
        <v>0</v>
      </c>
      <c r="AA96" s="0">
        <v>0</v>
      </c>
      <c r="AB96" s="11">
        <f>'Quarterly YTD'!T96-AA96</f>
        <v>0</v>
      </c>
      <c r="AC96" s="11">
        <f>'Quarterly YTD'!U96-'Quarterly YTD'!T96</f>
        <v>0</v>
      </c>
      <c r="AD96" s="11">
        <f>G96-'Quarterly YTD'!U96</f>
        <v>0</v>
      </c>
      <c r="AE96" s="0">
        <v>0</v>
      </c>
      <c r="AF96" s="11">
        <f>'Quarterly YTD'!X96-AE96</f>
        <v>277.444</v>
      </c>
      <c r="AG96" s="11">
        <f>'Quarterly YTD'!Y96-'Quarterly YTD'!X96</f>
        <v>1.392</v>
      </c>
      <c r="AH96" s="11">
        <f>H96-'Quarterly YTD'!Y96</f>
        <v>0</v>
      </c>
      <c r="AI96" s="0">
        <v>0</v>
      </c>
      <c r="AJ96" s="11">
        <f>'Quarterly YTD'!AB96-AI96</f>
        <v>0</v>
      </c>
      <c r="AK96" s="11">
        <f>'Quarterly YTD'!AC96-'Quarterly YTD'!AB96</f>
        <v>0</v>
      </c>
      <c r="AL96" s="11">
        <f>I96-'Quarterly YTD'!AC96</f>
        <v>0</v>
      </c>
      <c r="AM96" s="0">
        <v>0</v>
      </c>
      <c r="AN96" s="11">
        <f>'Quarterly YTD'!AF96-AM96</f>
        <v>0</v>
      </c>
      <c r="AO96" s="14"/>
      <c r="AP96" s="14"/>
    </row>
    <row customHeight="1" ht="15">
      <c r="A97" s="9" t="s">
        <v>133</v>
      </c>
      <c r="B97" s="0">
        <v>0</v>
      </c>
      <c r="C97" s="0">
        <v>0</v>
      </c>
      <c r="D97" s="0">
        <v>-15.578</v>
      </c>
      <c r="E97" s="0">
        <v>-0.509</v>
      </c>
      <c r="F97" s="0">
        <v>-64.702</v>
      </c>
      <c r="G97" s="0">
        <v>-19.847</v>
      </c>
      <c r="H97" s="0">
        <v>-167.611</v>
      </c>
      <c r="I97" s="0">
        <v>0</v>
      </c>
      <c r="J97" s="10">
        <f>I97+'Quarterly YTD'!AF97-'Quarterly YTD'!AB97</f>
        <v>0</v>
      </c>
      <c r="K97" s="0">
        <v>0</v>
      </c>
      <c r="L97" s="11">
        <f>'Quarterly YTD'!D97-K97</f>
        <v>0</v>
      </c>
      <c r="M97" s="11">
        <f>'Quarterly YTD'!E97-'Quarterly YTD'!D97</f>
        <v>0</v>
      </c>
      <c r="N97" s="11">
        <f>C97-'Quarterly YTD'!E97</f>
        <v>0</v>
      </c>
      <c r="O97" s="0">
        <v>0</v>
      </c>
      <c r="P97" s="11">
        <f>'Quarterly YTD'!H97-O97</f>
        <v>-5.228</v>
      </c>
      <c r="Q97" s="11">
        <f>'Quarterly YTD'!I97-'Quarterly YTD'!H97</f>
        <v>-1.923</v>
      </c>
      <c r="R97" s="11">
        <f>D97-'Quarterly YTD'!I97</f>
        <v>-8.427</v>
      </c>
      <c r="S97" s="0">
        <v>-0.5</v>
      </c>
      <c r="T97" s="11">
        <f>'Quarterly YTD'!L97-S97</f>
        <v>0</v>
      </c>
      <c r="U97" s="11">
        <f>'Quarterly YTD'!M97-'Quarterly YTD'!L97</f>
        <v>-0.003</v>
      </c>
      <c r="V97" s="11">
        <f>E97-'Quarterly YTD'!M97</f>
        <v>-0.006</v>
      </c>
      <c r="W97" s="0">
        <v>-0.853</v>
      </c>
      <c r="X97" s="11">
        <f>'Quarterly YTD'!P97-W97</f>
        <v>-9.851</v>
      </c>
      <c r="Y97" s="11">
        <f>'Quarterly YTD'!Q97-'Quarterly YTD'!P97</f>
        <v>-44.888</v>
      </c>
      <c r="Z97" s="11">
        <f>F97-'Quarterly YTD'!Q97</f>
        <v>-9.11</v>
      </c>
      <c r="AA97" s="0">
        <v>0</v>
      </c>
      <c r="AB97" s="11">
        <f>'Quarterly YTD'!T97-AA97</f>
        <v>-19.858</v>
      </c>
      <c r="AC97" s="11">
        <f>'Quarterly YTD'!U97-'Quarterly YTD'!T97</f>
        <v>0.047000000000001</v>
      </c>
      <c r="AD97" s="11">
        <f>G97-'Quarterly YTD'!U97</f>
        <v>-0.0360000000000014</v>
      </c>
      <c r="AE97" s="0">
        <v>0</v>
      </c>
      <c r="AF97" s="11">
        <f>'Quarterly YTD'!X97-AE97</f>
        <v>-166.774</v>
      </c>
      <c r="AG97" s="11">
        <f>'Quarterly YTD'!Y97-'Quarterly YTD'!X97</f>
        <v>-0.836999999999989</v>
      </c>
      <c r="AH97" s="11">
        <f>H97-'Quarterly YTD'!Y97</f>
        <v>0</v>
      </c>
      <c r="AI97" s="0">
        <v>0</v>
      </c>
      <c r="AJ97" s="11">
        <f>'Quarterly YTD'!AB97-AI97</f>
        <v>0</v>
      </c>
      <c r="AK97" s="11">
        <f>'Quarterly YTD'!AC97-'Quarterly YTD'!AB97</f>
        <v>0</v>
      </c>
      <c r="AL97" s="11">
        <f>I97-'Quarterly YTD'!AC97</f>
        <v>0</v>
      </c>
      <c r="AM97" s="0">
        <v>0</v>
      </c>
      <c r="AN97" s="11">
        <f>'Quarterly YTD'!AF97-AM97</f>
        <v>0</v>
      </c>
      <c r="AO97" s="14"/>
      <c r="AP97" s="14"/>
    </row>
    <row customHeight="1" ht="15">
      <c r="A98" s="9" t="s">
        <v>134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10">
        <f>I98+'Quarterly YTD'!AF98-'Quarterly YTD'!AB98</f>
        <v>-0.13</v>
      </c>
      <c r="K98" s="0">
        <v>0</v>
      </c>
      <c r="L98" s="11">
        <f>'Quarterly YTD'!D98-K98</f>
        <v>0</v>
      </c>
      <c r="M98" s="11">
        <f>'Quarterly YTD'!E98-'Quarterly YTD'!D98</f>
        <v>0</v>
      </c>
      <c r="N98" s="11">
        <f>C98-'Quarterly YTD'!E98</f>
        <v>0</v>
      </c>
      <c r="O98" s="0">
        <v>0</v>
      </c>
      <c r="P98" s="11">
        <f>'Quarterly YTD'!H98-O98</f>
        <v>0</v>
      </c>
      <c r="Q98" s="11">
        <f>'Quarterly YTD'!I98-'Quarterly YTD'!H98</f>
        <v>0</v>
      </c>
      <c r="R98" s="11">
        <f>D98-'Quarterly YTD'!I98</f>
        <v>0</v>
      </c>
      <c r="S98" s="0">
        <v>0</v>
      </c>
      <c r="T98" s="11">
        <f>'Quarterly YTD'!L98-S98</f>
        <v>0</v>
      </c>
      <c r="U98" s="11">
        <f>'Quarterly YTD'!M98-'Quarterly YTD'!L98</f>
        <v>0</v>
      </c>
      <c r="V98" s="11">
        <f>E98-'Quarterly YTD'!M98</f>
        <v>0</v>
      </c>
      <c r="W98" s="0">
        <v>0</v>
      </c>
      <c r="X98" s="11">
        <f>'Quarterly YTD'!P98-W98</f>
        <v>0</v>
      </c>
      <c r="Y98" s="11">
        <f>'Quarterly YTD'!Q98-'Quarterly YTD'!P98</f>
        <v>0</v>
      </c>
      <c r="Z98" s="11">
        <f>F98-'Quarterly YTD'!Q98</f>
        <v>0</v>
      </c>
      <c r="AA98" s="0">
        <v>0</v>
      </c>
      <c r="AB98" s="11">
        <f>'Quarterly YTD'!T98-AA98</f>
        <v>0</v>
      </c>
      <c r="AC98" s="11">
        <f>'Quarterly YTD'!U98-'Quarterly YTD'!T98</f>
        <v>0</v>
      </c>
      <c r="AD98" s="11">
        <f>G98-'Quarterly YTD'!U98</f>
        <v>0</v>
      </c>
      <c r="AE98" s="0">
        <v>0</v>
      </c>
      <c r="AF98" s="11">
        <f>'Quarterly YTD'!X98-AE98</f>
        <v>0</v>
      </c>
      <c r="AG98" s="11">
        <f>'Quarterly YTD'!Y98-'Quarterly YTD'!X98</f>
        <v>0</v>
      </c>
      <c r="AH98" s="11">
        <f>H98-'Quarterly YTD'!Y98</f>
        <v>0</v>
      </c>
      <c r="AI98" s="0">
        <v>0</v>
      </c>
      <c r="AJ98" s="11">
        <f>'Quarterly YTD'!AB98-AI98</f>
        <v>0</v>
      </c>
      <c r="AK98" s="11">
        <f>'Quarterly YTD'!AC98-'Quarterly YTD'!AB98</f>
        <v>0</v>
      </c>
      <c r="AL98" s="11">
        <f>I98-'Quarterly YTD'!AC98</f>
        <v>0</v>
      </c>
      <c r="AM98" s="0">
        <v>0</v>
      </c>
      <c r="AN98" s="11">
        <f>'Quarterly YTD'!AF98-AM98</f>
        <v>-0.13</v>
      </c>
      <c r="AO98" s="14"/>
      <c r="AP98" s="14"/>
    </row>
    <row customHeight="1" ht="15">
      <c r="A99" s="9" t="s">
        <v>135</v>
      </c>
      <c r="B99" s="0">
        <v>-2.072</v>
      </c>
      <c r="C99" s="0">
        <v>-30.873</v>
      </c>
      <c r="D99" s="0">
        <v>-37.801</v>
      </c>
      <c r="E99" s="0">
        <v>-37.939</v>
      </c>
      <c r="F99" s="0">
        <v>-63.864</v>
      </c>
      <c r="G99" s="0">
        <v>-151.442</v>
      </c>
      <c r="H99" s="0">
        <v>-242.596</v>
      </c>
      <c r="I99" s="0">
        <v>-252.388</v>
      </c>
      <c r="J99" s="10">
        <f>I99+'Quarterly YTD'!AF99-'Quarterly YTD'!AB99</f>
        <v>-192.443</v>
      </c>
      <c r="K99" s="0">
        <v>-1.543</v>
      </c>
      <c r="L99" s="11">
        <f>'Quarterly YTD'!D99-K99</f>
        <v>-1.477</v>
      </c>
      <c r="M99" s="11">
        <f>'Quarterly YTD'!E99-'Quarterly YTD'!D99</f>
        <v>-1.711</v>
      </c>
      <c r="N99" s="11">
        <f>C99-'Quarterly YTD'!E99</f>
        <v>-26.142</v>
      </c>
      <c r="O99" s="0">
        <v>-16.841</v>
      </c>
      <c r="P99" s="11">
        <f>'Quarterly YTD'!H99-O99</f>
        <v>-23.732</v>
      </c>
      <c r="Q99" s="11">
        <f>'Quarterly YTD'!I99-'Quarterly YTD'!H99</f>
        <v>8.235</v>
      </c>
      <c r="R99" s="11">
        <f>D99-'Quarterly YTD'!I99</f>
        <v>-5.463</v>
      </c>
      <c r="S99" s="0">
        <v>-6.749</v>
      </c>
      <c r="T99" s="11">
        <f>'Quarterly YTD'!L99-S99</f>
        <v>-8.659</v>
      </c>
      <c r="U99" s="11">
        <f>'Quarterly YTD'!M99-'Quarterly YTD'!L99</f>
        <v>-11.178</v>
      </c>
      <c r="V99" s="11">
        <f>E99-'Quarterly YTD'!M99</f>
        <v>-11.353</v>
      </c>
      <c r="W99" s="0">
        <v>-11.958</v>
      </c>
      <c r="X99" s="11">
        <f>'Quarterly YTD'!P99-W99</f>
        <v>-7.823</v>
      </c>
      <c r="Y99" s="11">
        <f>'Quarterly YTD'!Q99-'Quarterly YTD'!P99</f>
        <v>-19.376</v>
      </c>
      <c r="Z99" s="11">
        <f>F99-'Quarterly YTD'!Q99</f>
        <v>-24.707</v>
      </c>
      <c r="AA99" s="0">
        <v>-21.097</v>
      </c>
      <c r="AB99" s="11">
        <f>'Quarterly YTD'!T99-AA99</f>
        <v>-28.759</v>
      </c>
      <c r="AC99" s="11">
        <f>'Quarterly YTD'!U99-'Quarterly YTD'!T99</f>
        <v>-43.527</v>
      </c>
      <c r="AD99" s="11">
        <f>G99-'Quarterly YTD'!U99</f>
        <v>-58.059</v>
      </c>
      <c r="AE99" s="0">
        <v>-50.913</v>
      </c>
      <c r="AF99" s="11">
        <f>'Quarterly YTD'!X99-AE99</f>
        <v>-65.648</v>
      </c>
      <c r="AG99" s="11">
        <f>'Quarterly YTD'!Y99-'Quarterly YTD'!X99</f>
        <v>-71.169</v>
      </c>
      <c r="AH99" s="11">
        <f>H99-'Quarterly YTD'!Y99</f>
        <v>-54.866</v>
      </c>
      <c r="AI99" s="0">
        <v>-78.083</v>
      </c>
      <c r="AJ99" s="11">
        <f>'Quarterly YTD'!AB99-AI99</f>
        <v>-62.351</v>
      </c>
      <c r="AK99" s="11">
        <f>'Quarterly YTD'!AC99-'Quarterly YTD'!AB99</f>
        <v>-66.02</v>
      </c>
      <c r="AL99" s="11">
        <f>I99-'Quarterly YTD'!AC99</f>
        <v>-45.934</v>
      </c>
      <c r="AM99" s="0">
        <v>-41.338</v>
      </c>
      <c r="AN99" s="11">
        <f>'Quarterly YTD'!AF99-AM99</f>
        <v>-39.151</v>
      </c>
      <c r="AO99" s="14"/>
      <c r="AP99" s="14"/>
    </row>
    <row customHeight="1" ht="15">
      <c r="A100" s="9" t="s">
        <v>136</v>
      </c>
      <c r="B100" s="11">
        <f>B82+SUM(B88:B91)+B94+B99</f>
        <v>5.191</v>
      </c>
      <c r="C100" s="11">
        <f>C83+C85+SUM(C88:C94)+C97+C99</f>
        <v>230.88</v>
      </c>
      <c r="D100" s="11">
        <f>SUM(D83:D85)+SUM(D88:D93)+D97+D99</f>
        <v>-47.361</v>
      </c>
      <c r="E100" s="11">
        <f>SUM(E83:E84)+E86+SUM(E88:E89)+SUM(E92:E93)+E97+E99</f>
        <v>287.524</v>
      </c>
      <c r="F100" s="11">
        <f>F83+SUM(F87:F89)+SUM(F92:F93)+F97+F99</f>
        <v>-152.007</v>
      </c>
      <c r="G100" s="11">
        <f>G83+SUM(G87:G89)+SUM(G92:G93)+SUM(G95:G97)+G99</f>
        <v>-208.611</v>
      </c>
      <c r="H100" s="11">
        <f t="shared" si="20" ref="H100:I100">H83+SUM(H88:H89)+SUM(H92:H93)+SUM(H95:H97)+H99</f>
        <v>-125.341</v>
      </c>
      <c r="I100" s="11">
        <f t="shared" si="20"/>
        <v>-183.715</v>
      </c>
      <c r="J100" s="10">
        <f t="shared" si="21" ref="J100:AN100">SUM(J82:J99)</f>
        <v>-77.031</v>
      </c>
      <c r="K100" s="11">
        <f>SUM(K88:K90)+K93+K99</f>
        <v>1.04</v>
      </c>
      <c r="L100" s="11">
        <f t="shared" si="21"/>
        <v>9.868</v>
      </c>
      <c r="M100" s="11">
        <f t="shared" si="21"/>
        <v>-9.941</v>
      </c>
      <c r="N100" s="11">
        <f t="shared" si="21"/>
        <v>229.913</v>
      </c>
      <c r="O100" s="11">
        <f t="shared" si="22" ref="O100:S100">O83+SUM(O88:O89)+SUM(O92:O93)+O97+O99</f>
        <v>-16.568</v>
      </c>
      <c r="P100" s="11">
        <f t="shared" si="21"/>
        <v>-29.022</v>
      </c>
      <c r="Q100" s="11">
        <f t="shared" si="21"/>
        <v>6.128</v>
      </c>
      <c r="R100" s="11">
        <f t="shared" si="21"/>
        <v>-7.899</v>
      </c>
      <c r="S100" s="11">
        <f t="shared" si="22"/>
        <v>-7.072</v>
      </c>
      <c r="T100" s="11">
        <f t="shared" si="21"/>
        <v>6.862</v>
      </c>
      <c r="U100" s="11">
        <f t="shared" si="21"/>
        <v>-2.884</v>
      </c>
      <c r="V100" s="11">
        <f t="shared" si="21"/>
        <v>290.618</v>
      </c>
      <c r="W100" s="11">
        <f>W83+SUM(W88:W89)+W93+W97+W99</f>
        <v>-12.465</v>
      </c>
      <c r="X100" s="11">
        <f t="shared" si="21"/>
        <v>-41.348</v>
      </c>
      <c r="Y100" s="11">
        <f t="shared" si="21"/>
        <v>-65.545</v>
      </c>
      <c r="Z100" s="11">
        <f t="shared" si="21"/>
        <v>-32.649</v>
      </c>
      <c r="AA100" s="11">
        <f t="shared" si="23" ref="AA100:AE100">AA83+SUM(AA88:AA89)+AA93+AA99</f>
        <v>-26.145</v>
      </c>
      <c r="AB100" s="11">
        <f t="shared" si="21"/>
        <v>-59.875</v>
      </c>
      <c r="AC100" s="11">
        <f t="shared" si="21"/>
        <v>-37.803</v>
      </c>
      <c r="AD100" s="11">
        <f t="shared" si="21"/>
        <v>-84.788</v>
      </c>
      <c r="AE100" s="11">
        <f t="shared" si="23"/>
        <v>-52.424</v>
      </c>
      <c r="AF100" s="11">
        <f t="shared" si="21"/>
        <v>50.705</v>
      </c>
      <c r="AG100" s="11">
        <f t="shared" si="21"/>
        <v>-75.734</v>
      </c>
      <c r="AH100" s="11">
        <f t="shared" si="21"/>
        <v>-47.888</v>
      </c>
      <c r="AI100" s="11">
        <f t="shared" si="24" ref="AI100:AM100">AI83+SUM(AI88:AI89)+AI93+AI95+AI99</f>
        <v>-53.582</v>
      </c>
      <c r="AJ100" s="11">
        <f t="shared" si="21"/>
        <v>-40.354</v>
      </c>
      <c r="AK100" s="11">
        <f t="shared" si="21"/>
        <v>-69.818</v>
      </c>
      <c r="AL100" s="11">
        <f t="shared" si="21"/>
        <v>-19.961</v>
      </c>
      <c r="AM100" s="11">
        <f t="shared" si="24"/>
        <v>-14.403</v>
      </c>
      <c r="AN100" s="11">
        <f t="shared" si="21"/>
        <v>27.151</v>
      </c>
      <c r="AO100" s="14"/>
      <c r="AP100" s="14"/>
    </row>
    <row customHeight="1" ht="15">
      <c r="A101" s="4" t="s">
        <v>137</v>
      </c>
      <c r="B101" s="7">
        <f t="shared" si="13"/>
        <v>5.191</v>
      </c>
      <c r="C101" s="7">
        <f t="shared" si="13"/>
        <v>230.88</v>
      </c>
      <c r="D101" s="7">
        <f t="shared" si="13"/>
        <v>-47.361</v>
      </c>
      <c r="E101" s="7">
        <f t="shared" si="13"/>
        <v>287.524</v>
      </c>
      <c r="F101" s="7">
        <f t="shared" si="13"/>
        <v>-152.007</v>
      </c>
      <c r="G101" s="7">
        <f t="shared" si="13"/>
        <v>-208.611</v>
      </c>
      <c r="H101" s="7">
        <f t="shared" si="13"/>
        <v>-125.341</v>
      </c>
      <c r="I101" s="7">
        <f t="shared" si="13"/>
        <v>-183.715</v>
      </c>
      <c r="J101" s="6">
        <f t="shared" si="13"/>
        <v>-77.031</v>
      </c>
      <c r="K101" s="7">
        <f t="shared" si="13"/>
        <v>1.04</v>
      </c>
      <c r="L101" s="7">
        <f t="shared" si="13"/>
        <v>9.868</v>
      </c>
      <c r="M101" s="7">
        <f t="shared" si="13"/>
        <v>-9.941</v>
      </c>
      <c r="N101" s="7">
        <f t="shared" si="13"/>
        <v>229.913</v>
      </c>
      <c r="O101" s="7">
        <f t="shared" si="13"/>
        <v>-16.568</v>
      </c>
      <c r="P101" s="7">
        <f t="shared" si="13"/>
        <v>-29.022</v>
      </c>
      <c r="Q101" s="7">
        <f t="shared" si="13"/>
        <v>6.128</v>
      </c>
      <c r="R101" s="7">
        <f t="shared" si="13"/>
        <v>-7.899</v>
      </c>
      <c r="S101" s="7">
        <f t="shared" si="13"/>
        <v>-7.072</v>
      </c>
      <c r="T101" s="7">
        <f t="shared" si="13"/>
        <v>6.862</v>
      </c>
      <c r="U101" s="7">
        <f t="shared" si="13"/>
        <v>-2.884</v>
      </c>
      <c r="V101" s="7">
        <f t="shared" si="13"/>
        <v>290.618</v>
      </c>
      <c r="W101" s="7">
        <f t="shared" si="13"/>
        <v>-12.465</v>
      </c>
      <c r="X101" s="7">
        <f t="shared" si="13"/>
        <v>-41.348</v>
      </c>
      <c r="Y101" s="7">
        <f t="shared" si="13"/>
        <v>-65.545</v>
      </c>
      <c r="Z101" s="7">
        <f t="shared" si="13"/>
        <v>-32.649</v>
      </c>
      <c r="AA101" s="7">
        <f t="shared" si="13"/>
        <v>-26.145</v>
      </c>
      <c r="AB101" s="7">
        <f t="shared" si="13"/>
        <v>-59.875</v>
      </c>
      <c r="AC101" s="7">
        <f t="shared" si="13"/>
        <v>-37.803</v>
      </c>
      <c r="AD101" s="7">
        <f t="shared" si="13"/>
        <v>-84.788</v>
      </c>
      <c r="AE101" s="7">
        <f t="shared" si="13"/>
        <v>-52.424</v>
      </c>
      <c r="AF101" s="7">
        <f t="shared" si="13"/>
        <v>50.705</v>
      </c>
      <c r="AG101" s="7">
        <f t="shared" si="13"/>
        <v>-75.734</v>
      </c>
      <c r="AH101" s="7">
        <f t="shared" si="13"/>
        <v>-47.888</v>
      </c>
      <c r="AI101" s="7">
        <f t="shared" si="13"/>
        <v>-53.582</v>
      </c>
      <c r="AJ101" s="7">
        <f t="shared" si="13"/>
        <v>-40.354</v>
      </c>
      <c r="AK101" s="7">
        <f t="shared" si="13"/>
        <v>-69.818</v>
      </c>
      <c r="AL101" s="7">
        <f t="shared" si="13"/>
        <v>-19.961</v>
      </c>
      <c r="AM101" s="7">
        <f t="shared" si="13"/>
        <v>-14.403</v>
      </c>
      <c r="AN101" s="7">
        <f t="shared" si="13"/>
        <v>27.151</v>
      </c>
      <c r="AO101" s="8">
        <f t="shared" si="0"/>
        <v>2.88509338332292</v>
      </c>
      <c r="AP101" s="8">
        <f t="shared" si="1"/>
        <v>1.67282053823661</v>
      </c>
    </row>
    <row customHeight="1" ht="15">
      <c r="A102" s="9" t="s">
        <v>138</v>
      </c>
      <c r="B102" s="0">
        <v>0</v>
      </c>
      <c r="C102" s="0">
        <v>0</v>
      </c>
      <c r="D102" s="0">
        <v>0</v>
      </c>
      <c r="E102" s="0">
        <v>0</v>
      </c>
      <c r="F102" s="0">
        <v>2.336</v>
      </c>
      <c r="G102" s="0">
        <v>-3.534</v>
      </c>
      <c r="H102" s="0">
        <v>6.316</v>
      </c>
      <c r="I102" s="0">
        <v>-8.323</v>
      </c>
      <c r="J102" s="10">
        <f>I102+'Quarterly YTD'!AF102-'Quarterly YTD'!AB102</f>
        <v>1.105</v>
      </c>
      <c r="K102" s="0">
        <v>0</v>
      </c>
      <c r="L102" s="11">
        <f>'Quarterly YTD'!D102-K102</f>
        <v>0</v>
      </c>
      <c r="M102" s="11">
        <f>'Quarterly YTD'!E102-'Quarterly YTD'!D102</f>
        <v>0</v>
      </c>
      <c r="N102" s="11">
        <f>C102-'Quarterly YTD'!E102</f>
        <v>0</v>
      </c>
      <c r="O102" s="0">
        <v>0</v>
      </c>
      <c r="P102" s="11">
        <f>'Quarterly YTD'!H102-O102</f>
        <v>0</v>
      </c>
      <c r="Q102" s="11">
        <f>'Quarterly YTD'!I102-'Quarterly YTD'!H102</f>
        <v>0</v>
      </c>
      <c r="R102" s="11">
        <f>D102-'Quarterly YTD'!I102</f>
        <v>0</v>
      </c>
      <c r="S102" s="0">
        <v>0</v>
      </c>
      <c r="T102" s="11">
        <f>'Quarterly YTD'!L102-S102</f>
        <v>0</v>
      </c>
      <c r="U102" s="11">
        <f>'Quarterly YTD'!M102-'Quarterly YTD'!L102</f>
        <v>0</v>
      </c>
      <c r="V102" s="11">
        <f>E102-'Quarterly YTD'!M102</f>
        <v>0</v>
      </c>
      <c r="W102" s="0">
        <v>0</v>
      </c>
      <c r="X102" s="11">
        <f>'Quarterly YTD'!P102-W102</f>
        <v>0</v>
      </c>
      <c r="Y102" s="11">
        <f>'Quarterly YTD'!Q102-'Quarterly YTD'!P102</f>
        <v>0</v>
      </c>
      <c r="Z102" s="11">
        <f>F102-'Quarterly YTD'!Q102</f>
        <v>2.336</v>
      </c>
      <c r="AA102" s="0">
        <v>0</v>
      </c>
      <c r="AB102" s="11">
        <f>'Quarterly YTD'!T102-AA102</f>
        <v>0</v>
      </c>
      <c r="AC102" s="11">
        <f>'Quarterly YTD'!U102-'Quarterly YTD'!T102</f>
        <v>0</v>
      </c>
      <c r="AD102" s="11">
        <f>G102-'Quarterly YTD'!U102</f>
        <v>-3.534</v>
      </c>
      <c r="AE102" s="0">
        <v>1.883</v>
      </c>
      <c r="AF102" s="11">
        <f>'Quarterly YTD'!X102-AE102</f>
        <v>1.577</v>
      </c>
      <c r="AG102" s="11">
        <f>'Quarterly YTD'!Y102-'Quarterly YTD'!X102</f>
        <v>-8.429</v>
      </c>
      <c r="AH102" s="11">
        <f>H102-'Quarterly YTD'!Y102</f>
        <v>11.285</v>
      </c>
      <c r="AI102" s="0">
        <v>-2.587</v>
      </c>
      <c r="AJ102" s="11">
        <f>'Quarterly YTD'!AB102-AI102</f>
        <v>-6.238</v>
      </c>
      <c r="AK102" s="11">
        <f>'Quarterly YTD'!AC102-'Quarterly YTD'!AB102</f>
        <v>-0.549000000000001</v>
      </c>
      <c r="AL102" s="11">
        <f>I102-'Quarterly YTD'!AC102</f>
        <v>1.051</v>
      </c>
      <c r="AM102" s="0">
        <v>0.781</v>
      </c>
      <c r="AN102" s="11">
        <f>'Quarterly YTD'!AF102-AM102</f>
        <v>-0.178</v>
      </c>
      <c r="AO102" s="14"/>
      <c r="AP102" s="14"/>
    </row>
    <row customHeight="1" ht="15">
      <c r="A103" s="9" t="s">
        <v>139</v>
      </c>
      <c r="B103" s="0">
        <v>-11.516</v>
      </c>
      <c r="C103" s="0">
        <v>-16.634</v>
      </c>
      <c r="D103" s="0">
        <v>212.089</v>
      </c>
      <c r="E103" s="0">
        <v>177.852</v>
      </c>
      <c r="F103" s="0">
        <v>215.865</v>
      </c>
      <c r="G103" s="0">
        <v>324.607</v>
      </c>
      <c r="H103" s="0">
        <v>200.553</v>
      </c>
      <c r="I103" s="11">
        <f>'Quarterly YTD'!AB103</f>
        <v>184.701</v>
      </c>
      <c r="J103" s="10">
        <f>'Quarterly YTD'!AB105</f>
        <v>195.715</v>
      </c>
      <c r="K103" s="11">
        <f>C103</f>
        <v>-16.634</v>
      </c>
      <c r="L103" s="11">
        <f t="shared" si="25" ref="L103:AN103">K105</f>
        <v>-17.652</v>
      </c>
      <c r="M103" s="11">
        <f>'Quarterly YTD'!D105</f>
        <v>-19.453</v>
      </c>
      <c r="N103" s="11">
        <f>'Quarterly YTD'!E105</f>
        <v>-17.431</v>
      </c>
      <c r="O103" s="11">
        <f>D103</f>
        <v>212.089</v>
      </c>
      <c r="P103" s="11">
        <f t="shared" si="25"/>
        <v>131.015</v>
      </c>
      <c r="Q103" s="11">
        <f>'Quarterly YTD'!H105</f>
        <v>220.232</v>
      </c>
      <c r="R103" s="11">
        <f>'Quarterly YTD'!I105</f>
        <v>214.642</v>
      </c>
      <c r="S103" s="11">
        <f>E103</f>
        <v>177.852</v>
      </c>
      <c r="T103" s="11">
        <f t="shared" si="25"/>
        <v>150.808</v>
      </c>
      <c r="U103" s="11">
        <f>'Quarterly YTD'!L105</f>
        <v>170.554</v>
      </c>
      <c r="V103" s="11">
        <f>'Quarterly YTD'!M105</f>
        <v>165.42</v>
      </c>
      <c r="W103" s="11">
        <f>F103</f>
        <v>215.865</v>
      </c>
      <c r="X103" s="11">
        <f t="shared" si="25"/>
        <v>317.908</v>
      </c>
      <c r="Y103" s="11">
        <f>'Quarterly YTD'!P105</f>
        <v>331.378</v>
      </c>
      <c r="Z103" s="11">
        <f>'Quarterly YTD'!Q105</f>
        <v>293.28</v>
      </c>
      <c r="AA103" s="11">
        <f>G103</f>
        <v>324.607</v>
      </c>
      <c r="AB103" s="11">
        <f t="shared" si="25"/>
        <v>285.535</v>
      </c>
      <c r="AC103" s="11">
        <f>'Quarterly YTD'!T105</f>
        <v>259.853</v>
      </c>
      <c r="AD103" s="11">
        <f>'Quarterly YTD'!U105</f>
        <v>283.627</v>
      </c>
      <c r="AE103" s="11">
        <f>H103</f>
        <v>200.553</v>
      </c>
      <c r="AF103" s="11">
        <f t="shared" si="25"/>
        <v>186.973</v>
      </c>
      <c r="AG103" s="11">
        <f>'Quarterly YTD'!X105</f>
        <v>298.691</v>
      </c>
      <c r="AH103" s="11">
        <f>'Quarterly YTD'!Y105</f>
        <v>278.735</v>
      </c>
      <c r="AI103" s="11">
        <f>'Quarterly YTD'!AB103</f>
        <v>184.701</v>
      </c>
      <c r="AJ103" s="11">
        <f t="shared" si="25"/>
        <v>130.613</v>
      </c>
      <c r="AK103" s="11">
        <f>'Quarterly YTD'!AB105</f>
        <v>195.715</v>
      </c>
      <c r="AL103" s="11">
        <f>'Quarterly YTD'!AC105</f>
        <v>242.134</v>
      </c>
      <c r="AM103" s="11">
        <f>'Quarterly YTD'!AF103</f>
        <v>122.655</v>
      </c>
      <c r="AN103" s="11">
        <f t="shared" si="25"/>
        <v>104.132</v>
      </c>
      <c r="AO103" s="12">
        <f t="shared" si="0"/>
        <v>-0.151017080428845</v>
      </c>
      <c r="AP103" s="12">
        <f t="shared" si="1"/>
        <v>-0.202743984136342</v>
      </c>
    </row>
    <row customHeight="1" ht="15">
      <c r="A104" s="9" t="s">
        <v>140</v>
      </c>
      <c r="B104" s="11">
        <f t="shared" si="26" ref="B104:W104">B60+B81+B101</f>
        <v>-5.118</v>
      </c>
      <c r="C104" s="11">
        <f t="shared" si="26"/>
        <v>228.723</v>
      </c>
      <c r="D104" s="11">
        <f t="shared" si="26"/>
        <v>-34.237</v>
      </c>
      <c r="E104" s="11">
        <f t="shared" si="26"/>
        <v>38.013</v>
      </c>
      <c r="F104" s="11">
        <f t="shared" si="27" ref="F104:AN104">F60+F81+SUM(F101:F102)</f>
        <v>108.742</v>
      </c>
      <c r="G104" s="11">
        <f t="shared" si="27"/>
        <v>-124.054</v>
      </c>
      <c r="H104" s="11">
        <f t="shared" si="27"/>
        <v>-15.852</v>
      </c>
      <c r="I104" s="11">
        <f t="shared" si="27"/>
        <v>-62.046</v>
      </c>
      <c r="J104" s="10">
        <f>I104+'Quarterly YTD'!AF104-'Quarterly YTD'!AB104</f>
        <v>-77.761</v>
      </c>
      <c r="K104" s="11">
        <f t="shared" si="26"/>
        <v>-1.018</v>
      </c>
      <c r="L104" s="11">
        <f t="shared" si="27"/>
        <v>-1.801</v>
      </c>
      <c r="M104" s="11">
        <f t="shared" si="27"/>
        <v>2.022</v>
      </c>
      <c r="N104" s="11">
        <f t="shared" si="27"/>
        <v>229.52</v>
      </c>
      <c r="O104" s="11">
        <f t="shared" si="26"/>
        <v>-81.074</v>
      </c>
      <c r="P104" s="11">
        <f t="shared" si="27"/>
        <v>89.217</v>
      </c>
      <c r="Q104" s="11">
        <f t="shared" si="27"/>
        <v>-5.59</v>
      </c>
      <c r="R104" s="11">
        <f t="shared" si="27"/>
        <v>-36.79</v>
      </c>
      <c r="S104" s="11">
        <f t="shared" si="26"/>
        <v>-27.044</v>
      </c>
      <c r="T104" s="11">
        <f t="shared" si="27"/>
        <v>19.746</v>
      </c>
      <c r="U104" s="11">
        <f t="shared" si="27"/>
        <v>-5.134</v>
      </c>
      <c r="V104" s="11">
        <f t="shared" si="27"/>
        <v>50.445</v>
      </c>
      <c r="W104" s="11">
        <f t="shared" si="26"/>
        <v>102.043</v>
      </c>
      <c r="X104" s="11">
        <f t="shared" si="27"/>
        <v>13.47</v>
      </c>
      <c r="Y104" s="11">
        <f t="shared" si="27"/>
        <v>-38.098</v>
      </c>
      <c r="Z104" s="11">
        <f t="shared" si="27"/>
        <v>31.327</v>
      </c>
      <c r="AA104" s="11">
        <f t="shared" si="27"/>
        <v>-39.072</v>
      </c>
      <c r="AB104" s="11">
        <f t="shared" si="27"/>
        <v>-25.682</v>
      </c>
      <c r="AC104" s="11">
        <f t="shared" si="27"/>
        <v>23.774</v>
      </c>
      <c r="AD104" s="11">
        <f t="shared" si="27"/>
        <v>-83.074</v>
      </c>
      <c r="AE104" s="11">
        <f t="shared" si="27"/>
        <v>-13.58</v>
      </c>
      <c r="AF104" s="11">
        <f t="shared" si="27"/>
        <v>111.718</v>
      </c>
      <c r="AG104" s="11">
        <f t="shared" si="27"/>
        <v>-19.956</v>
      </c>
      <c r="AH104" s="11">
        <f t="shared" si="27"/>
        <v>-94.034</v>
      </c>
      <c r="AI104" s="11">
        <f t="shared" si="27"/>
        <v>-54.088</v>
      </c>
      <c r="AJ104" s="11">
        <f t="shared" si="27"/>
        <v>65.102</v>
      </c>
      <c r="AK104" s="11">
        <f t="shared" si="27"/>
        <v>46.419</v>
      </c>
      <c r="AL104" s="11">
        <f t="shared" si="27"/>
        <v>-119.479</v>
      </c>
      <c r="AM104" s="11">
        <f t="shared" si="27"/>
        <v>-18.523</v>
      </c>
      <c r="AN104" s="11">
        <f t="shared" si="27"/>
        <v>13.822</v>
      </c>
      <c r="AO104" s="12">
        <f t="shared" si="0"/>
        <v>1.74620741780489</v>
      </c>
      <c r="AP104" s="12">
        <f t="shared" si="1"/>
        <v>-0.787687014223833</v>
      </c>
    </row>
    <row customHeight="1" ht="15">
      <c r="A105" s="4" t="s">
        <v>141</v>
      </c>
      <c r="B105" s="7">
        <f t="shared" si="5"/>
        <v>-16.634</v>
      </c>
      <c r="C105" s="7">
        <f t="shared" si="5"/>
        <v>212.089</v>
      </c>
      <c r="D105" s="7">
        <f t="shared" si="5"/>
        <v>177.852</v>
      </c>
      <c r="E105" s="7">
        <f t="shared" si="5"/>
        <v>215.865</v>
      </c>
      <c r="F105" s="7">
        <f t="shared" si="5"/>
        <v>324.607</v>
      </c>
      <c r="G105" s="7">
        <f t="shared" si="5"/>
        <v>200.553</v>
      </c>
      <c r="H105" s="7">
        <f t="shared" si="5"/>
        <v>184.701</v>
      </c>
      <c r="I105" s="7">
        <f t="shared" si="5"/>
        <v>122.655</v>
      </c>
      <c r="J105" s="6">
        <f t="shared" si="5"/>
        <v>117.954</v>
      </c>
      <c r="K105" s="7">
        <f t="shared" si="5"/>
        <v>-17.652</v>
      </c>
      <c r="L105" s="7">
        <f t="shared" si="5"/>
        <v>-19.453</v>
      </c>
      <c r="M105" s="7">
        <f t="shared" si="5"/>
        <v>-17.431</v>
      </c>
      <c r="N105" s="7">
        <f t="shared" si="5"/>
        <v>212.089</v>
      </c>
      <c r="O105" s="7">
        <f t="shared" si="5"/>
        <v>131.015</v>
      </c>
      <c r="P105" s="7">
        <f t="shared" si="5"/>
        <v>220.232</v>
      </c>
      <c r="Q105" s="7">
        <f t="shared" si="5"/>
        <v>214.642</v>
      </c>
      <c r="R105" s="7">
        <f t="shared" si="5"/>
        <v>177.852</v>
      </c>
      <c r="S105" s="7">
        <f t="shared" si="5"/>
        <v>150.808</v>
      </c>
      <c r="T105" s="7">
        <f t="shared" si="5"/>
        <v>170.554</v>
      </c>
      <c r="U105" s="7">
        <f t="shared" si="5"/>
        <v>165.42</v>
      </c>
      <c r="V105" s="7">
        <f t="shared" si="5"/>
        <v>215.865</v>
      </c>
      <c r="W105" s="7">
        <f t="shared" si="5"/>
        <v>317.908</v>
      </c>
      <c r="X105" s="7">
        <f t="shared" si="5"/>
        <v>331.378</v>
      </c>
      <c r="Y105" s="7">
        <f t="shared" si="5"/>
        <v>293.28</v>
      </c>
      <c r="Z105" s="7">
        <f t="shared" si="5"/>
        <v>324.607</v>
      </c>
      <c r="AA105" s="7">
        <f t="shared" si="5"/>
        <v>285.535</v>
      </c>
      <c r="AB105" s="7">
        <f t="shared" si="5"/>
        <v>259.853</v>
      </c>
      <c r="AC105" s="7">
        <f t="shared" si="5"/>
        <v>283.627</v>
      </c>
      <c r="AD105" s="7">
        <f t="shared" si="5"/>
        <v>200.553</v>
      </c>
      <c r="AE105" s="7">
        <f t="shared" si="5"/>
        <v>186.973</v>
      </c>
      <c r="AF105" s="7">
        <f t="shared" si="5"/>
        <v>298.691</v>
      </c>
      <c r="AG105" s="7">
        <f t="shared" si="5"/>
        <v>278.735</v>
      </c>
      <c r="AH105" s="7">
        <f t="shared" si="5"/>
        <v>184.701</v>
      </c>
      <c r="AI105" s="7">
        <f t="shared" si="5"/>
        <v>130.613</v>
      </c>
      <c r="AJ105" s="7">
        <f t="shared" si="5"/>
        <v>195.715</v>
      </c>
      <c r="AK105" s="7">
        <f t="shared" si="5"/>
        <v>242.134</v>
      </c>
      <c r="AL105" s="7">
        <f t="shared" si="5"/>
        <v>122.655</v>
      </c>
      <c r="AM105" s="7">
        <f t="shared" si="5"/>
        <v>104.132</v>
      </c>
      <c r="AN105" s="7">
        <f t="shared" si="5"/>
        <v>117.954</v>
      </c>
      <c r="AO105" s="8">
        <f t="shared" si="0"/>
        <v>0.132735374332578</v>
      </c>
      <c r="AP105" s="8">
        <f t="shared" si="1"/>
        <v>-0.397317528038219</v>
      </c>
    </row>
    <row customHeight="1" ht="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customHeight="1" ht="15">
      <c r="A107" s="2" t="s">
        <v>142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customHeight="1" ht="15">
      <c r="A108" s="9" t="s">
        <v>143</v>
      </c>
      <c r="B108" s="0">
        <v>62.449</v>
      </c>
      <c r="C108" s="0">
        <v>363.286</v>
      </c>
      <c r="D108" s="0">
        <v>352.931</v>
      </c>
      <c r="E108" s="0">
        <v>414.443</v>
      </c>
      <c r="F108" s="0">
        <v>776.321</v>
      </c>
      <c r="G108" s="0">
        <v>1410.635</v>
      </c>
      <c r="H108" s="0">
        <v>1723.662</v>
      </c>
      <c r="I108" s="0">
        <v>1084.449</v>
      </c>
      <c r="J108" s="10">
        <f t="shared" si="28" ref="J108:J167">AN108</f>
        <v>939.053</v>
      </c>
      <c r="N108" s="0">
        <v>363.286</v>
      </c>
      <c r="O108" s="0">
        <v>405.787</v>
      </c>
      <c r="P108" s="0">
        <v>388.096</v>
      </c>
      <c r="Q108" s="0">
        <v>380.535</v>
      </c>
      <c r="R108" s="0">
        <v>352.931</v>
      </c>
      <c r="S108" s="0">
        <v>364.592</v>
      </c>
      <c r="T108" s="0">
        <v>380.509</v>
      </c>
      <c r="U108" s="0">
        <v>396.674</v>
      </c>
      <c r="V108" s="0">
        <v>414.443</v>
      </c>
      <c r="W108" s="0">
        <v>464.724</v>
      </c>
      <c r="X108" s="0">
        <v>573.566</v>
      </c>
      <c r="Y108" s="0">
        <v>752.719</v>
      </c>
      <c r="Z108" s="0">
        <v>776.321</v>
      </c>
      <c r="AA108" s="0">
        <v>953.524</v>
      </c>
      <c r="AB108" s="0">
        <v>1144.169</v>
      </c>
      <c r="AC108" s="0">
        <v>1299.404</v>
      </c>
      <c r="AD108" s="0">
        <v>1410.635</v>
      </c>
      <c r="AE108" s="0">
        <v>1584.065</v>
      </c>
      <c r="AF108" s="0">
        <v>1670.091</v>
      </c>
      <c r="AG108" s="0">
        <v>1671.461</v>
      </c>
      <c r="AH108" s="0">
        <v>1723.662</v>
      </c>
      <c r="AI108" s="0">
        <v>1604.095</v>
      </c>
      <c r="AJ108" s="0">
        <v>1403.598</v>
      </c>
      <c r="AK108" s="0">
        <v>1340.629</v>
      </c>
      <c r="AL108" s="0">
        <v>1084.449</v>
      </c>
      <c r="AM108" s="0">
        <v>1106.064</v>
      </c>
      <c r="AN108" s="0">
        <v>939.053</v>
      </c>
      <c r="AO108" s="12">
        <f t="shared" si="0"/>
        <v>-0.150995783245816</v>
      </c>
      <c r="AP108" s="12">
        <f t="shared" si="1"/>
        <v>-0.33096727125573</v>
      </c>
    </row>
    <row customHeight="1" ht="15">
      <c r="A109" s="9" t="s">
        <v>144</v>
      </c>
      <c r="B109" s="0">
        <v>0</v>
      </c>
      <c r="C109" s="0">
        <v>11.842</v>
      </c>
      <c r="D109" s="0">
        <v>10.132</v>
      </c>
      <c r="E109" s="0">
        <v>31.03</v>
      </c>
      <c r="F109" s="0">
        <v>41.64</v>
      </c>
      <c r="G109" s="0">
        <v>41.151</v>
      </c>
      <c r="H109" s="0">
        <v>59.644</v>
      </c>
      <c r="I109" s="0">
        <v>53.604</v>
      </c>
      <c r="J109" s="10">
        <f t="shared" si="28"/>
        <v>52.892</v>
      </c>
      <c r="N109" s="0">
        <v>11.842</v>
      </c>
      <c r="O109" s="0">
        <v>12.645</v>
      </c>
      <c r="P109" s="0">
        <v>10.851</v>
      </c>
      <c r="Q109" s="0">
        <v>10.473</v>
      </c>
      <c r="R109" s="0">
        <v>10.132</v>
      </c>
      <c r="S109" s="0">
        <v>13.356</v>
      </c>
      <c r="T109" s="0">
        <v>10.5</v>
      </c>
      <c r="U109" s="0">
        <v>11.599</v>
      </c>
      <c r="V109" s="0">
        <v>31.03</v>
      </c>
      <c r="W109" s="0">
        <v>27.166</v>
      </c>
      <c r="X109" s="0">
        <v>28.21</v>
      </c>
      <c r="Y109" s="0">
        <v>38.728</v>
      </c>
      <c r="Z109" s="0">
        <v>41.64</v>
      </c>
      <c r="AA109" s="0">
        <v>43.62</v>
      </c>
      <c r="AB109" s="0">
        <v>43.159</v>
      </c>
      <c r="AC109" s="0">
        <v>41.398</v>
      </c>
      <c r="AD109" s="0">
        <v>41.151</v>
      </c>
      <c r="AE109" s="0">
        <v>64.49</v>
      </c>
      <c r="AF109" s="0">
        <v>60.761</v>
      </c>
      <c r="AG109" s="0">
        <v>60.181</v>
      </c>
      <c r="AH109" s="0">
        <v>59.644</v>
      </c>
      <c r="AI109" s="0">
        <v>58.938</v>
      </c>
      <c r="AJ109" s="0">
        <v>55.613</v>
      </c>
      <c r="AK109" s="0">
        <v>54.886</v>
      </c>
      <c r="AL109" s="0">
        <v>53.604</v>
      </c>
      <c r="AM109" s="0">
        <v>53.268</v>
      </c>
      <c r="AN109" s="0">
        <v>52.892</v>
      </c>
      <c r="AO109" s="12">
        <f t="shared" si="0"/>
        <v>-0.00705864684238189</v>
      </c>
      <c r="AP109" s="12">
        <f t="shared" si="1"/>
        <v>-0.0489274090590329</v>
      </c>
    </row>
    <row customHeight="1" ht="15">
      <c r="A110" s="9" t="s">
        <v>145</v>
      </c>
      <c r="B110" s="0">
        <v>6.963</v>
      </c>
      <c r="C110" s="0">
        <v>74.412</v>
      </c>
      <c r="D110" s="0">
        <v>102.777</v>
      </c>
      <c r="E110" s="0">
        <v>113.584</v>
      </c>
      <c r="F110" s="0">
        <v>110.215</v>
      </c>
      <c r="G110" s="0">
        <v>139.622</v>
      </c>
      <c r="H110" s="0">
        <v>151.848</v>
      </c>
      <c r="I110" s="0">
        <v>133.318</v>
      </c>
      <c r="J110" s="10">
        <f t="shared" si="28"/>
        <v>132.969</v>
      </c>
      <c r="N110" s="0">
        <v>74.412</v>
      </c>
      <c r="O110" s="0">
        <v>94.381</v>
      </c>
      <c r="P110" s="0">
        <v>95.323</v>
      </c>
      <c r="Q110" s="0">
        <v>94.424</v>
      </c>
      <c r="R110" s="0">
        <v>102.777</v>
      </c>
      <c r="S110" s="0">
        <v>107.53</v>
      </c>
      <c r="T110" s="0">
        <v>107.253</v>
      </c>
      <c r="U110" s="0">
        <v>108.882</v>
      </c>
      <c r="V110" s="0">
        <v>113.584</v>
      </c>
      <c r="W110" s="0">
        <v>116.219</v>
      </c>
      <c r="X110" s="0">
        <v>117.558</v>
      </c>
      <c r="Y110" s="0">
        <v>115.845</v>
      </c>
      <c r="Z110" s="0">
        <v>110.215</v>
      </c>
      <c r="AA110" s="0">
        <v>110.473</v>
      </c>
      <c r="AB110" s="0">
        <v>130.668</v>
      </c>
      <c r="AC110" s="0">
        <v>136.333</v>
      </c>
      <c r="AD110" s="0">
        <v>139.622</v>
      </c>
      <c r="AE110" s="0">
        <v>146.163</v>
      </c>
      <c r="AF110" s="0">
        <v>147.907</v>
      </c>
      <c r="AG110" s="0">
        <v>148.537</v>
      </c>
      <c r="AH110" s="0">
        <v>151.848</v>
      </c>
      <c r="AI110" s="0">
        <v>150.29</v>
      </c>
      <c r="AJ110" s="0">
        <v>145.31</v>
      </c>
      <c r="AK110" s="0">
        <v>144.14</v>
      </c>
      <c r="AL110" s="0">
        <v>133.318</v>
      </c>
      <c r="AM110" s="0">
        <v>134.15</v>
      </c>
      <c r="AN110" s="0">
        <v>132.969</v>
      </c>
      <c r="AO110" s="12">
        <f t="shared" si="0"/>
        <v>-0.00880357808423415</v>
      </c>
      <c r="AP110" s="12">
        <f t="shared" si="1"/>
        <v>-0.0849287729681372</v>
      </c>
    </row>
    <row customHeight="1" ht="15">
      <c r="A111" s="9" t="s">
        <v>146</v>
      </c>
      <c r="B111" s="0">
        <v>0.103</v>
      </c>
      <c r="C111" s="0">
        <v>47.034</v>
      </c>
      <c r="D111" s="0">
        <v>43.68</v>
      </c>
      <c r="E111" s="0">
        <v>51.602</v>
      </c>
      <c r="F111" s="0">
        <v>0.349</v>
      </c>
      <c r="G111" s="0">
        <v>0.348</v>
      </c>
      <c r="H111" s="0">
        <v>0.368</v>
      </c>
      <c r="I111" s="0">
        <v>0.086</v>
      </c>
      <c r="J111" s="10">
        <f t="shared" si="28"/>
        <v>0.103</v>
      </c>
      <c r="N111" s="0">
        <v>47.034</v>
      </c>
      <c r="O111" s="0">
        <v>48.816</v>
      </c>
      <c r="P111" s="0">
        <v>50.254</v>
      </c>
      <c r="Q111" s="0">
        <v>50.101</v>
      </c>
      <c r="R111" s="0">
        <v>43.68</v>
      </c>
      <c r="S111" s="0">
        <v>46.333</v>
      </c>
      <c r="T111" s="0">
        <v>46.338</v>
      </c>
      <c r="U111" s="0">
        <v>48.208</v>
      </c>
      <c r="V111" s="0">
        <v>51.602</v>
      </c>
      <c r="W111" s="0">
        <v>52.664</v>
      </c>
      <c r="X111" s="0">
        <v>56.224</v>
      </c>
      <c r="Y111" s="0">
        <v>59.877</v>
      </c>
      <c r="Z111" s="0">
        <v>0.349</v>
      </c>
      <c r="AA111" s="0">
        <v>0.349</v>
      </c>
      <c r="AB111" s="0">
        <v>0.358</v>
      </c>
      <c r="AC111" s="0">
        <v>0.358</v>
      </c>
      <c r="AD111" s="0">
        <v>0.348</v>
      </c>
      <c r="AE111" s="0">
        <v>0.356</v>
      </c>
      <c r="AF111" s="0">
        <v>0.354</v>
      </c>
      <c r="AG111" s="0">
        <v>0</v>
      </c>
      <c r="AH111" s="0">
        <v>0.368</v>
      </c>
      <c r="AI111" s="0">
        <v>0.359</v>
      </c>
      <c r="AJ111" s="0">
        <v>0.353</v>
      </c>
      <c r="AK111" s="0">
        <v>0.352</v>
      </c>
      <c r="AL111" s="0">
        <v>0.086</v>
      </c>
      <c r="AM111" s="0">
        <v>0.093</v>
      </c>
      <c r="AN111" s="0">
        <v>0.103</v>
      </c>
      <c r="AO111" s="12">
        <f t="shared" si="0"/>
        <v>0.10752688172043</v>
      </c>
      <c r="AP111" s="12">
        <f t="shared" si="1"/>
        <v>-0.708215297450425</v>
      </c>
    </row>
    <row customHeight="1" ht="15">
      <c r="A112" s="9" t="s">
        <v>147</v>
      </c>
      <c r="B112" s="0">
        <v>6.914</v>
      </c>
      <c r="C112" s="0">
        <v>9.615</v>
      </c>
      <c r="D112" s="0">
        <v>17.161</v>
      </c>
      <c r="E112" s="0">
        <v>16.728</v>
      </c>
      <c r="F112" s="0">
        <v>17.646</v>
      </c>
      <c r="G112" s="0">
        <v>38.486</v>
      </c>
      <c r="H112" s="0">
        <v>72.029</v>
      </c>
      <c r="I112" s="0">
        <v>64.647</v>
      </c>
      <c r="J112" s="10">
        <f t="shared" si="28"/>
        <v>84.819</v>
      </c>
      <c r="N112" s="0">
        <v>9.615</v>
      </c>
      <c r="O112" s="0">
        <v>15.222</v>
      </c>
      <c r="P112" s="0">
        <v>17.666</v>
      </c>
      <c r="Q112" s="0">
        <v>22.331</v>
      </c>
      <c r="R112" s="0">
        <v>17.161</v>
      </c>
      <c r="S112" s="0">
        <v>18.559</v>
      </c>
      <c r="T112" s="0">
        <v>16.317</v>
      </c>
      <c r="U112" s="0">
        <v>16.438</v>
      </c>
      <c r="V112" s="0">
        <v>16.728</v>
      </c>
      <c r="W112" s="0">
        <v>18.975</v>
      </c>
      <c r="X112" s="0">
        <v>17.458</v>
      </c>
      <c r="Y112" s="0">
        <v>18.065</v>
      </c>
      <c r="Z112" s="0">
        <v>17.646</v>
      </c>
      <c r="AA112" s="0">
        <v>25.679</v>
      </c>
      <c r="AB112" s="0">
        <v>24.404</v>
      </c>
      <c r="AC112" s="0">
        <v>30.234</v>
      </c>
      <c r="AD112" s="0">
        <v>38.486</v>
      </c>
      <c r="AE112" s="0">
        <v>57.412</v>
      </c>
      <c r="AF112" s="0">
        <v>52.405</v>
      </c>
      <c r="AG112" s="0">
        <v>43.533</v>
      </c>
      <c r="AH112" s="0">
        <v>72.029</v>
      </c>
      <c r="AI112" s="0">
        <v>84.194</v>
      </c>
      <c r="AJ112" s="0">
        <v>66.137</v>
      </c>
      <c r="AK112" s="0">
        <v>52.719</v>
      </c>
      <c r="AL112" s="0">
        <v>64.647</v>
      </c>
      <c r="AM112" s="0">
        <v>80.672</v>
      </c>
      <c r="AN112" s="0">
        <v>84.819</v>
      </c>
      <c r="AO112" s="12">
        <f t="shared" si="0"/>
        <v>0.0514056921856407</v>
      </c>
      <c r="AP112" s="12">
        <f t="shared" si="1"/>
        <v>0.282474257979648</v>
      </c>
    </row>
    <row customHeight="1" ht="15">
      <c r="A113" s="9" t="s">
        <v>148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10">
        <f t="shared" si="28"/>
        <v>0.012</v>
      </c>
      <c r="N113" s="0">
        <v>0</v>
      </c>
      <c r="O113" s="0">
        <v>0</v>
      </c>
      <c r="P113" s="0">
        <v>0.468</v>
      </c>
      <c r="Q113" s="0">
        <v>1.289</v>
      </c>
      <c r="R113" s="0">
        <v>0</v>
      </c>
      <c r="S113" s="0">
        <v>3.246</v>
      </c>
      <c r="T113" s="0">
        <v>3.909</v>
      </c>
      <c r="U113" s="0">
        <v>5.334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0.012</v>
      </c>
      <c r="AO113" s="12" t="str">
        <f t="shared" si="0"/>
        <v>NM</v>
      </c>
      <c r="AP113" s="12" t="str">
        <f t="shared" si="1"/>
        <v>NM</v>
      </c>
    </row>
    <row customHeight="1" ht="15">
      <c r="A114" s="9" t="s">
        <v>149</v>
      </c>
      <c r="B114" s="0">
        <v>0</v>
      </c>
      <c r="C114" s="0">
        <v>0</v>
      </c>
      <c r="D114" s="0">
        <v>1.231</v>
      </c>
      <c r="E114" s="0">
        <v>2.924</v>
      </c>
      <c r="F114" s="0">
        <v>1.649</v>
      </c>
      <c r="G114" s="0">
        <v>1.289</v>
      </c>
      <c r="H114" s="0">
        <v>0.01</v>
      </c>
      <c r="I114" s="0">
        <v>0</v>
      </c>
      <c r="J114" s="10">
        <f t="shared" si="28"/>
        <v>0.54</v>
      </c>
      <c r="N114" s="0">
        <v>0</v>
      </c>
      <c r="O114" s="0">
        <v>0</v>
      </c>
      <c r="P114" s="0">
        <v>0</v>
      </c>
      <c r="Q114" s="0">
        <v>0</v>
      </c>
      <c r="R114" s="0">
        <v>1.231</v>
      </c>
      <c r="S114" s="0">
        <v>0</v>
      </c>
      <c r="T114" s="0">
        <v>0</v>
      </c>
      <c r="U114" s="0">
        <v>0</v>
      </c>
      <c r="V114" s="0">
        <v>2.924</v>
      </c>
      <c r="W114" s="0">
        <v>2.967</v>
      </c>
      <c r="X114" s="0">
        <v>2.967</v>
      </c>
      <c r="Y114" s="0">
        <v>2.977</v>
      </c>
      <c r="Z114" s="0">
        <v>1.649</v>
      </c>
      <c r="AA114" s="0">
        <v>1.531</v>
      </c>
      <c r="AB114" s="0">
        <v>1.507</v>
      </c>
      <c r="AC114" s="0">
        <v>1.506</v>
      </c>
      <c r="AD114" s="0">
        <v>1.289</v>
      </c>
      <c r="AE114" s="0">
        <v>1.311</v>
      </c>
      <c r="AF114" s="0">
        <v>1.324</v>
      </c>
      <c r="AG114" s="0">
        <v>1.617</v>
      </c>
      <c r="AH114" s="0">
        <v>0.01</v>
      </c>
      <c r="AI114" s="0">
        <v>0</v>
      </c>
      <c r="AJ114" s="0">
        <v>0</v>
      </c>
      <c r="AK114" s="0">
        <v>0.002</v>
      </c>
      <c r="AL114" s="0">
        <v>0</v>
      </c>
      <c r="AM114" s="0">
        <v>0.54</v>
      </c>
      <c r="AN114" s="0">
        <v>0.54</v>
      </c>
      <c r="AO114" s="12">
        <f t="shared" si="0"/>
        <v>0</v>
      </c>
      <c r="AP114" s="12" t="str">
        <f t="shared" si="1"/>
        <v>NM</v>
      </c>
    </row>
    <row customHeight="1" ht="15">
      <c r="A115" s="9" t="s">
        <v>150</v>
      </c>
      <c r="B115" s="0">
        <v>0</v>
      </c>
      <c r="C115" s="0">
        <v>3.672</v>
      </c>
      <c r="D115" s="0">
        <v>3.563</v>
      </c>
      <c r="E115" s="0">
        <v>4.667</v>
      </c>
      <c r="F115" s="0">
        <v>5.513</v>
      </c>
      <c r="G115" s="0">
        <v>2.774</v>
      </c>
      <c r="H115" s="0">
        <v>6.023</v>
      </c>
      <c r="I115" s="0">
        <v>0</v>
      </c>
      <c r="J115" s="10">
        <f t="shared" si="28"/>
        <v>0</v>
      </c>
      <c r="N115" s="0">
        <v>3.672</v>
      </c>
      <c r="O115" s="0">
        <v>7.665</v>
      </c>
      <c r="P115" s="0">
        <v>6.48</v>
      </c>
      <c r="Q115" s="0">
        <v>5.321</v>
      </c>
      <c r="R115" s="0">
        <v>3.563</v>
      </c>
      <c r="S115" s="0">
        <v>4.707</v>
      </c>
      <c r="T115" s="0">
        <v>3.828</v>
      </c>
      <c r="U115" s="0">
        <v>4.471</v>
      </c>
      <c r="V115" s="0">
        <v>4.667</v>
      </c>
      <c r="W115" s="0">
        <v>4.995</v>
      </c>
      <c r="X115" s="0">
        <v>7.577</v>
      </c>
      <c r="Y115" s="0">
        <v>15.864</v>
      </c>
      <c r="Z115" s="0">
        <v>5.513</v>
      </c>
      <c r="AA115" s="0">
        <v>4.719</v>
      </c>
      <c r="AB115" s="0">
        <v>3.854</v>
      </c>
      <c r="AC115" s="0">
        <v>6.568</v>
      </c>
      <c r="AD115" s="0">
        <v>2.774</v>
      </c>
      <c r="AE115" s="0">
        <v>4.092</v>
      </c>
      <c r="AF115" s="0">
        <v>1.579</v>
      </c>
      <c r="AG115" s="0">
        <v>0</v>
      </c>
      <c r="AH115" s="0">
        <v>6.023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12">
        <f t="shared" si="0"/>
        <v>0</v>
      </c>
      <c r="AP115" s="12">
        <f t="shared" si="1"/>
        <v>0</v>
      </c>
    </row>
    <row customHeight="1" ht="15">
      <c r="A116" s="9" t="s">
        <v>151</v>
      </c>
      <c r="B116" s="0">
        <v>0</v>
      </c>
      <c r="C116" s="0">
        <v>0.983</v>
      </c>
      <c r="D116" s="0">
        <v>1.226</v>
      </c>
      <c r="E116" s="0">
        <v>2.297</v>
      </c>
      <c r="F116" s="0">
        <v>0.859</v>
      </c>
      <c r="G116" s="0">
        <v>0.865</v>
      </c>
      <c r="H116" s="0">
        <v>0.362</v>
      </c>
      <c r="I116" s="0">
        <v>1.762</v>
      </c>
      <c r="J116" s="10">
        <f t="shared" si="28"/>
        <v>3.397</v>
      </c>
      <c r="N116" s="0">
        <v>0.983</v>
      </c>
      <c r="O116" s="0">
        <v>0.997</v>
      </c>
      <c r="P116" s="0">
        <v>0.975</v>
      </c>
      <c r="Q116" s="0">
        <v>0.94</v>
      </c>
      <c r="R116" s="0">
        <v>1.226</v>
      </c>
      <c r="S116" s="0">
        <v>1.523</v>
      </c>
      <c r="T116" s="0">
        <v>2.18</v>
      </c>
      <c r="U116" s="0">
        <v>2.244</v>
      </c>
      <c r="V116" s="0">
        <v>2.297</v>
      </c>
      <c r="W116" s="0">
        <v>2.338</v>
      </c>
      <c r="X116" s="0">
        <v>0.895</v>
      </c>
      <c r="Y116" s="0">
        <v>0.946</v>
      </c>
      <c r="Z116" s="0">
        <v>0.859</v>
      </c>
      <c r="AA116" s="0">
        <v>0.854</v>
      </c>
      <c r="AB116" s="0">
        <v>0.858</v>
      </c>
      <c r="AC116" s="0">
        <v>0.866</v>
      </c>
      <c r="AD116" s="0">
        <v>0.865</v>
      </c>
      <c r="AE116" s="0">
        <v>0.875</v>
      </c>
      <c r="AF116" s="0">
        <v>0.878</v>
      </c>
      <c r="AG116" s="0">
        <v>0.866</v>
      </c>
      <c r="AH116" s="0">
        <v>0.362</v>
      </c>
      <c r="AI116" s="0">
        <v>0.006</v>
      </c>
      <c r="AJ116" s="0">
        <v>0</v>
      </c>
      <c r="AK116" s="0">
        <v>0.106</v>
      </c>
      <c r="AL116" s="0">
        <v>1.762</v>
      </c>
      <c r="AM116" s="0">
        <v>0.645</v>
      </c>
      <c r="AN116" s="0">
        <v>3.397</v>
      </c>
      <c r="AO116" s="12">
        <f t="shared" si="0"/>
        <v>4.26666666666667</v>
      </c>
      <c r="AP116" s="12" t="str">
        <f t="shared" si="1"/>
        <v>NM</v>
      </c>
    </row>
    <row customHeight="1" ht="15">
      <c r="A117" s="9" t="s">
        <v>152</v>
      </c>
      <c r="B117" s="0">
        <v>4.052</v>
      </c>
      <c r="C117" s="0">
        <v>40.319</v>
      </c>
      <c r="D117" s="0">
        <v>42.091</v>
      </c>
      <c r="E117" s="0">
        <v>49.725</v>
      </c>
      <c r="F117" s="0">
        <v>81.12</v>
      </c>
      <c r="G117" s="0">
        <v>112.618</v>
      </c>
      <c r="H117" s="0">
        <v>134.58</v>
      </c>
      <c r="I117" s="0">
        <v>81.777</v>
      </c>
      <c r="J117" s="10">
        <f t="shared" si="28"/>
        <v>75.186</v>
      </c>
      <c r="N117" s="0">
        <v>40.319</v>
      </c>
      <c r="O117" s="0">
        <v>47.791</v>
      </c>
      <c r="P117" s="0">
        <v>47.104</v>
      </c>
      <c r="Q117" s="0">
        <v>45.451</v>
      </c>
      <c r="R117" s="0">
        <v>42.091</v>
      </c>
      <c r="S117" s="0">
        <v>43.301</v>
      </c>
      <c r="T117" s="0">
        <v>47.009</v>
      </c>
      <c r="U117" s="0">
        <v>55.884</v>
      </c>
      <c r="V117" s="0">
        <v>49.725</v>
      </c>
      <c r="W117" s="0">
        <v>53.375</v>
      </c>
      <c r="X117" s="0">
        <v>59.674</v>
      </c>
      <c r="Y117" s="0">
        <v>80.256</v>
      </c>
      <c r="Z117" s="0">
        <v>81.12</v>
      </c>
      <c r="AA117" s="0">
        <v>92.223</v>
      </c>
      <c r="AB117" s="0">
        <v>106.504</v>
      </c>
      <c r="AC117" s="0">
        <v>111.652</v>
      </c>
      <c r="AD117" s="0">
        <v>112.618</v>
      </c>
      <c r="AE117" s="0">
        <v>120.322</v>
      </c>
      <c r="AF117" s="0">
        <v>136.818</v>
      </c>
      <c r="AG117" s="0">
        <v>147.712</v>
      </c>
      <c r="AH117" s="0">
        <v>134.58</v>
      </c>
      <c r="AI117" s="0">
        <v>114.172</v>
      </c>
      <c r="AJ117" s="0">
        <v>107.278</v>
      </c>
      <c r="AK117" s="0">
        <v>106.819</v>
      </c>
      <c r="AL117" s="0">
        <v>81.777</v>
      </c>
      <c r="AM117" s="0">
        <v>84.641</v>
      </c>
      <c r="AN117" s="0">
        <v>75.186</v>
      </c>
      <c r="AO117" s="12">
        <f t="shared" si="0"/>
        <v>-0.111707092307511</v>
      </c>
      <c r="AP117" s="12">
        <f t="shared" si="1"/>
        <v>-0.299148007979269</v>
      </c>
    </row>
    <row customHeight="1" ht="15">
      <c r="A118" s="4" t="s">
        <v>153</v>
      </c>
      <c r="B118" s="7">
        <f t="shared" si="30" ref="B118:O118">SUM(B108:B112)+SUM(B115:B117)</f>
        <v>80.481</v>
      </c>
      <c r="C118" s="7">
        <f t="shared" si="29" ref="C118:AK118">SUM(C108:C112)+SUM(C114:C117)</f>
        <v>551.163</v>
      </c>
      <c r="D118" s="7">
        <f t="shared" si="29"/>
        <v>574.792</v>
      </c>
      <c r="E118" s="7">
        <f t="shared" si="29"/>
        <v>687</v>
      </c>
      <c r="F118" s="7">
        <f t="shared" si="29"/>
        <v>1035.312</v>
      </c>
      <c r="G118" s="7">
        <f t="shared" si="29"/>
        <v>1747.788</v>
      </c>
      <c r="H118" s="7">
        <f t="shared" si="29"/>
        <v>2148.526</v>
      </c>
      <c r="I118" s="7">
        <f t="shared" si="32" ref="I118:AN118">SUM(I108:I114)+SUM(I116:I117)</f>
        <v>1419.643</v>
      </c>
      <c r="J118" s="6">
        <f t="shared" si="28"/>
        <v>1288.971</v>
      </c>
      <c r="N118" s="7">
        <f t="shared" si="29"/>
        <v>551.163</v>
      </c>
      <c r="O118" s="7">
        <f t="shared" si="30"/>
        <v>633.304</v>
      </c>
      <c r="P118" s="7">
        <f t="shared" si="31" ref="P118:U118">SUM(P108:P113)+SUM(P115:P117)</f>
        <v>617.217</v>
      </c>
      <c r="Q118" s="7">
        <f t="shared" si="31"/>
        <v>610.865</v>
      </c>
      <c r="R118" s="7">
        <f t="shared" si="29"/>
        <v>574.792</v>
      </c>
      <c r="S118" s="7">
        <f t="shared" si="31"/>
        <v>603.147</v>
      </c>
      <c r="T118" s="7">
        <f t="shared" si="31"/>
        <v>617.843</v>
      </c>
      <c r="U118" s="7">
        <f t="shared" si="31"/>
        <v>649.734</v>
      </c>
      <c r="V118" s="7">
        <f t="shared" si="29"/>
        <v>687</v>
      </c>
      <c r="W118" s="7">
        <f t="shared" si="29"/>
        <v>743.423</v>
      </c>
      <c r="X118" s="7">
        <f t="shared" si="29"/>
        <v>864.129</v>
      </c>
      <c r="Y118" s="7">
        <f t="shared" si="29"/>
        <v>1085.277</v>
      </c>
      <c r="Z118" s="7">
        <f t="shared" si="29"/>
        <v>1035.312</v>
      </c>
      <c r="AA118" s="7">
        <f t="shared" si="29"/>
        <v>1232.972</v>
      </c>
      <c r="AB118" s="7">
        <f t="shared" si="29"/>
        <v>1455.481</v>
      </c>
      <c r="AC118" s="7">
        <f t="shared" si="29"/>
        <v>1628.319</v>
      </c>
      <c r="AD118" s="7">
        <f t="shared" si="29"/>
        <v>1747.788</v>
      </c>
      <c r="AE118" s="7">
        <f t="shared" si="29"/>
        <v>1979.086</v>
      </c>
      <c r="AF118" s="7">
        <f t="shared" si="29"/>
        <v>2072.117</v>
      </c>
      <c r="AG118" s="7">
        <f t="shared" si="29"/>
        <v>2073.907</v>
      </c>
      <c r="AH118" s="7">
        <f t="shared" si="29"/>
        <v>2148.526</v>
      </c>
      <c r="AI118" s="7">
        <f t="shared" si="29"/>
        <v>2012.054</v>
      </c>
      <c r="AJ118" s="7">
        <f t="shared" si="29"/>
        <v>1778.289</v>
      </c>
      <c r="AK118" s="7">
        <f t="shared" si="29"/>
        <v>1699.653</v>
      </c>
      <c r="AL118" s="7">
        <f t="shared" si="32"/>
        <v>1419.643</v>
      </c>
      <c r="AM118" s="7">
        <f>SUM(AM108:AM112)+AM114+SUM(AM116:AM117)</f>
        <v>1460.073</v>
      </c>
      <c r="AN118" s="7">
        <f t="shared" si="32"/>
        <v>1288.971</v>
      </c>
      <c r="AO118" s="8">
        <f t="shared" si="0"/>
        <v>-0.117187291320366</v>
      </c>
      <c r="AP118" s="8">
        <f t="shared" si="1"/>
        <v>-0.275162248655871</v>
      </c>
    </row>
    <row customHeight="1" ht="15">
      <c r="A119" s="9" t="s">
        <v>86</v>
      </c>
      <c r="B119" s="0">
        <v>26.709</v>
      </c>
      <c r="C119" s="0">
        <v>95.847</v>
      </c>
      <c r="D119" s="0">
        <v>38.976</v>
      </c>
      <c r="E119" s="0">
        <v>73.551</v>
      </c>
      <c r="F119" s="0">
        <v>89.855</v>
      </c>
      <c r="G119" s="0">
        <v>125.745</v>
      </c>
      <c r="H119" s="0">
        <v>248.835</v>
      </c>
      <c r="I119" s="0">
        <v>221.047</v>
      </c>
      <c r="J119" s="10">
        <f t="shared" si="28"/>
        <v>190.585</v>
      </c>
      <c r="N119" s="0">
        <v>95.847</v>
      </c>
      <c r="O119" s="0">
        <v>39.111</v>
      </c>
      <c r="P119" s="0">
        <v>39.443</v>
      </c>
      <c r="Q119" s="0">
        <v>41.206</v>
      </c>
      <c r="R119" s="0">
        <v>38.976</v>
      </c>
      <c r="S119" s="0">
        <v>44.288</v>
      </c>
      <c r="T119" s="0">
        <v>62.885</v>
      </c>
      <c r="U119" s="0">
        <v>77.206</v>
      </c>
      <c r="V119" s="0">
        <v>73.551</v>
      </c>
      <c r="W119" s="0">
        <v>76.52</v>
      </c>
      <c r="X119" s="0">
        <v>110.29</v>
      </c>
      <c r="Y119" s="0">
        <v>126.329</v>
      </c>
      <c r="Z119" s="0">
        <v>89.855</v>
      </c>
      <c r="AA119" s="0">
        <v>94.526</v>
      </c>
      <c r="AB119" s="0">
        <v>109.463</v>
      </c>
      <c r="AC119" s="0">
        <v>133.908</v>
      </c>
      <c r="AD119" s="0">
        <v>125.745</v>
      </c>
      <c r="AE119" s="0">
        <v>151.759</v>
      </c>
      <c r="AF119" s="0">
        <v>159.693</v>
      </c>
      <c r="AG119" s="0">
        <v>200.006</v>
      </c>
      <c r="AH119" s="0">
        <v>248.835</v>
      </c>
      <c r="AI119" s="0">
        <v>223.859</v>
      </c>
      <c r="AJ119" s="0">
        <v>209.073</v>
      </c>
      <c r="AK119" s="0">
        <v>201.883</v>
      </c>
      <c r="AL119" s="0">
        <v>221.047</v>
      </c>
      <c r="AM119" s="0">
        <v>199.391</v>
      </c>
      <c r="AN119" s="0">
        <v>190.585</v>
      </c>
      <c r="AO119" s="12">
        <f t="shared" si="0"/>
        <v>-0.0441644808441705</v>
      </c>
      <c r="AP119" s="12">
        <f t="shared" si="1"/>
        <v>-0.0884284436536521</v>
      </c>
    </row>
    <row customHeight="1" ht="15">
      <c r="A120" s="9" t="s">
        <v>152</v>
      </c>
      <c r="B120" s="0">
        <v>65.585</v>
      </c>
      <c r="C120" s="0">
        <v>142.85</v>
      </c>
      <c r="D120" s="0">
        <v>116.824</v>
      </c>
      <c r="E120" s="0">
        <v>247.093</v>
      </c>
      <c r="F120" s="0">
        <v>259.04</v>
      </c>
      <c r="G120" s="0">
        <v>327.359</v>
      </c>
      <c r="H120" s="0">
        <v>335.482</v>
      </c>
      <c r="I120" s="0">
        <v>317.267</v>
      </c>
      <c r="J120" s="10">
        <f t="shared" si="28"/>
        <v>335.079</v>
      </c>
      <c r="N120" s="0">
        <v>142.85</v>
      </c>
      <c r="O120" s="0">
        <v>183.817</v>
      </c>
      <c r="P120" s="0">
        <v>150.231</v>
      </c>
      <c r="Q120" s="0">
        <v>152.414</v>
      </c>
      <c r="R120" s="0">
        <v>116.824</v>
      </c>
      <c r="S120" s="0">
        <v>140.147</v>
      </c>
      <c r="T120" s="0">
        <v>159.232</v>
      </c>
      <c r="U120" s="0">
        <v>203.359</v>
      </c>
      <c r="V120" s="0">
        <v>247.093</v>
      </c>
      <c r="W120" s="0">
        <v>242.44</v>
      </c>
      <c r="X120" s="0">
        <v>269.332</v>
      </c>
      <c r="Y120" s="0">
        <v>289.9</v>
      </c>
      <c r="Z120" s="0">
        <v>259.04</v>
      </c>
      <c r="AA120" s="0">
        <v>305.529</v>
      </c>
      <c r="AB120" s="0">
        <v>338.024</v>
      </c>
      <c r="AC120" s="0">
        <v>340.762</v>
      </c>
      <c r="AD120" s="0">
        <v>327.359</v>
      </c>
      <c r="AE120" s="0">
        <v>371.961</v>
      </c>
      <c r="AF120" s="0">
        <v>398.356</v>
      </c>
      <c r="AG120" s="0">
        <v>383.022</v>
      </c>
      <c r="AH120" s="0">
        <v>335.482</v>
      </c>
      <c r="AI120" s="0">
        <v>354.854</v>
      </c>
      <c r="AJ120" s="0">
        <v>349.648</v>
      </c>
      <c r="AK120" s="0">
        <v>338.015</v>
      </c>
      <c r="AL120" s="0">
        <v>317.267</v>
      </c>
      <c r="AM120" s="0">
        <v>369.281</v>
      </c>
      <c r="AN120" s="0">
        <v>335.079</v>
      </c>
      <c r="AO120" s="12">
        <f t="shared" si="0"/>
        <v>-0.0926178167845083</v>
      </c>
      <c r="AP120" s="12">
        <f t="shared" si="1"/>
        <v>-0.0416676200064064</v>
      </c>
    </row>
    <row customHeight="1" ht="15">
      <c r="A121" s="9" t="s">
        <v>150</v>
      </c>
      <c r="B121" s="0">
        <v>0</v>
      </c>
      <c r="C121" s="0">
        <v>0.377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10">
        <f t="shared" si="28"/>
        <v>0</v>
      </c>
      <c r="N121" s="0">
        <v>0.377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12">
        <f t="shared" si="0"/>
        <v>0</v>
      </c>
      <c r="AP121" s="12">
        <f t="shared" si="1"/>
        <v>0</v>
      </c>
    </row>
    <row customHeight="1" ht="15">
      <c r="A122" s="9" t="s">
        <v>149</v>
      </c>
      <c r="B122" s="0">
        <v>0</v>
      </c>
      <c r="C122" s="0">
        <v>0</v>
      </c>
      <c r="D122" s="0">
        <v>0</v>
      </c>
      <c r="E122" s="0">
        <v>0.313</v>
      </c>
      <c r="F122" s="0">
        <v>0.6</v>
      </c>
      <c r="G122" s="0">
        <v>0.371</v>
      </c>
      <c r="H122" s="0">
        <v>0.016</v>
      </c>
      <c r="I122" s="0">
        <v>0.071</v>
      </c>
      <c r="J122" s="10">
        <f t="shared" si="28"/>
        <v>0.07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0.313</v>
      </c>
      <c r="W122" s="0">
        <v>0.308</v>
      </c>
      <c r="X122" s="0">
        <v>0</v>
      </c>
      <c r="Y122" s="0">
        <v>0</v>
      </c>
      <c r="Z122" s="0">
        <v>0.6</v>
      </c>
      <c r="AA122" s="0">
        <v>0.588</v>
      </c>
      <c r="AB122" s="0">
        <v>0.118</v>
      </c>
      <c r="AC122" s="0">
        <v>0.272</v>
      </c>
      <c r="AD122" s="0">
        <v>0.371</v>
      </c>
      <c r="AE122" s="0">
        <v>0.324</v>
      </c>
      <c r="AF122" s="0">
        <v>0.33</v>
      </c>
      <c r="AG122" s="0">
        <v>0.316</v>
      </c>
      <c r="AH122" s="0">
        <v>0.016</v>
      </c>
      <c r="AI122" s="0">
        <v>0.016</v>
      </c>
      <c r="AJ122" s="0">
        <v>0.079</v>
      </c>
      <c r="AK122" s="0">
        <v>0.064</v>
      </c>
      <c r="AL122" s="0">
        <v>0.071</v>
      </c>
      <c r="AM122" s="0">
        <v>0.063</v>
      </c>
      <c r="AN122" s="0">
        <v>0.07</v>
      </c>
      <c r="AO122" s="12">
        <f t="shared" si="0"/>
        <v>0.111111111111111</v>
      </c>
      <c r="AP122" s="12">
        <f t="shared" si="1"/>
        <v>-0.113924050632911</v>
      </c>
    </row>
    <row customHeight="1" ht="15">
      <c r="A123" s="9" t="s">
        <v>154</v>
      </c>
      <c r="B123" s="0">
        <v>3.047</v>
      </c>
      <c r="C123" s="0">
        <v>7.376</v>
      </c>
      <c r="D123" s="0">
        <v>10.128</v>
      </c>
      <c r="E123" s="0">
        <v>20.676</v>
      </c>
      <c r="F123" s="0">
        <v>24.701</v>
      </c>
      <c r="G123" s="0">
        <v>35.986</v>
      </c>
      <c r="H123" s="0">
        <v>41.957</v>
      </c>
      <c r="I123" s="0">
        <v>15.053</v>
      </c>
      <c r="J123" s="10">
        <f t="shared" si="28"/>
        <v>24.2</v>
      </c>
      <c r="N123" s="0">
        <v>7.376</v>
      </c>
      <c r="O123" s="0">
        <v>10.924</v>
      </c>
      <c r="P123" s="0">
        <v>11.541</v>
      </c>
      <c r="Q123" s="0">
        <v>10.546</v>
      </c>
      <c r="R123" s="0">
        <v>10.128</v>
      </c>
      <c r="S123" s="0">
        <v>18.258</v>
      </c>
      <c r="T123" s="0">
        <v>20.594</v>
      </c>
      <c r="U123" s="0">
        <v>18.908</v>
      </c>
      <c r="V123" s="0">
        <v>20.676</v>
      </c>
      <c r="W123" s="0">
        <v>23.954</v>
      </c>
      <c r="X123" s="0">
        <v>21.026</v>
      </c>
      <c r="Y123" s="0">
        <v>26.936</v>
      </c>
      <c r="Z123" s="0">
        <v>24.701</v>
      </c>
      <c r="AA123" s="0">
        <v>23.512</v>
      </c>
      <c r="AB123" s="0">
        <v>29.142</v>
      </c>
      <c r="AC123" s="0">
        <v>28.263</v>
      </c>
      <c r="AD123" s="0">
        <v>35.986</v>
      </c>
      <c r="AE123" s="0">
        <v>36.744</v>
      </c>
      <c r="AF123" s="0">
        <v>34.093</v>
      </c>
      <c r="AG123" s="0">
        <v>29.294</v>
      </c>
      <c r="AH123" s="0">
        <v>41.957</v>
      </c>
      <c r="AI123" s="0">
        <v>24.748</v>
      </c>
      <c r="AJ123" s="0">
        <v>20.555</v>
      </c>
      <c r="AK123" s="0">
        <v>18.267</v>
      </c>
      <c r="AL123" s="0">
        <v>15.053</v>
      </c>
      <c r="AM123" s="0">
        <v>31.702</v>
      </c>
      <c r="AN123" s="0">
        <v>24.2</v>
      </c>
      <c r="AO123" s="12">
        <f t="shared" si="0"/>
        <v>-0.236641221374046</v>
      </c>
      <c r="AP123" s="12">
        <f t="shared" si="1"/>
        <v>0.177329117003162</v>
      </c>
    </row>
    <row customHeight="1" ht="15">
      <c r="A124" s="9" t="s">
        <v>155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10">
        <f t="shared" si="28"/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0.701</v>
      </c>
      <c r="U124" s="0">
        <v>0.642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12">
        <f t="shared" si="0"/>
        <v>0</v>
      </c>
      <c r="AP124" s="12">
        <f t="shared" si="1"/>
        <v>0</v>
      </c>
    </row>
    <row customHeight="1" ht="15">
      <c r="A125" s="9" t="s">
        <v>156</v>
      </c>
      <c r="B125" s="0">
        <v>1.022</v>
      </c>
      <c r="C125" s="0">
        <v>1.156</v>
      </c>
      <c r="D125" s="0">
        <v>1.699</v>
      </c>
      <c r="E125" s="0">
        <v>1.739</v>
      </c>
      <c r="F125" s="0">
        <v>4.41</v>
      </c>
      <c r="G125" s="0">
        <v>3.729</v>
      </c>
      <c r="H125" s="0">
        <v>0</v>
      </c>
      <c r="I125" s="0">
        <v>0</v>
      </c>
      <c r="J125" s="10">
        <f t="shared" si="28"/>
        <v>0</v>
      </c>
      <c r="N125" s="0">
        <v>1.156</v>
      </c>
      <c r="O125" s="0">
        <v>2.494</v>
      </c>
      <c r="P125" s="0">
        <v>1.656</v>
      </c>
      <c r="Q125" s="0">
        <v>1.768</v>
      </c>
      <c r="R125" s="0">
        <v>1.699</v>
      </c>
      <c r="S125" s="0">
        <v>1.696</v>
      </c>
      <c r="T125" s="0">
        <v>2.066</v>
      </c>
      <c r="U125" s="0">
        <v>2.038</v>
      </c>
      <c r="V125" s="0">
        <v>1.739</v>
      </c>
      <c r="W125" s="0">
        <v>0.945</v>
      </c>
      <c r="X125" s="0">
        <v>1.163</v>
      </c>
      <c r="Y125" s="0">
        <v>1.594</v>
      </c>
      <c r="Z125" s="0">
        <v>4.41</v>
      </c>
      <c r="AA125" s="0">
        <v>2.086</v>
      </c>
      <c r="AB125" s="0">
        <v>2.091</v>
      </c>
      <c r="AC125" s="0">
        <v>4.242</v>
      </c>
      <c r="AD125" s="0">
        <v>3.729</v>
      </c>
      <c r="AE125" s="0">
        <v>5.769</v>
      </c>
      <c r="AF125" s="0">
        <v>7.348</v>
      </c>
      <c r="AG125" s="0">
        <v>5.781</v>
      </c>
      <c r="AH125" s="0">
        <v>0</v>
      </c>
      <c r="AI125" s="0">
        <v>3.563</v>
      </c>
      <c r="AJ125" s="0">
        <v>5.5</v>
      </c>
      <c r="AK125" s="0">
        <v>6.525</v>
      </c>
      <c r="AL125" s="0">
        <v>0</v>
      </c>
      <c r="AM125" s="0">
        <v>0</v>
      </c>
      <c r="AN125" s="0">
        <v>0</v>
      </c>
      <c r="AO125" s="12">
        <f t="shared" si="0"/>
        <v>0</v>
      </c>
      <c r="AP125" s="12">
        <f t="shared" si="1"/>
        <v>-1</v>
      </c>
    </row>
    <row customHeight="1" ht="15">
      <c r="A126" s="9" t="s">
        <v>157</v>
      </c>
      <c r="B126" s="0">
        <v>0</v>
      </c>
      <c r="C126" s="0">
        <v>84.011</v>
      </c>
      <c r="D126" s="0">
        <v>25.519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10">
        <f t="shared" si="28"/>
        <v>0</v>
      </c>
      <c r="N126" s="0">
        <v>84.011</v>
      </c>
      <c r="O126" s="0">
        <v>172.597</v>
      </c>
      <c r="P126" s="0">
        <v>72.161</v>
      </c>
      <c r="Q126" s="0">
        <v>26.862</v>
      </c>
      <c r="R126" s="0">
        <v>25.519</v>
      </c>
      <c r="S126" s="0">
        <v>25.881</v>
      </c>
      <c r="T126" s="0">
        <v>0</v>
      </c>
      <c r="U126" s="0">
        <v>0.009</v>
      </c>
      <c r="V126" s="0">
        <v>0</v>
      </c>
      <c r="W126" s="0">
        <v>135.032</v>
      </c>
      <c r="X126" s="0">
        <v>88.51</v>
      </c>
      <c r="Y126" s="0">
        <v>154.814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12">
        <f t="shared" si="0"/>
        <v>0</v>
      </c>
      <c r="AP126" s="12">
        <f t="shared" si="1"/>
        <v>0</v>
      </c>
    </row>
    <row customHeight="1" ht="15">
      <c r="A127" s="9" t="s">
        <v>158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3.123</v>
      </c>
      <c r="I127" s="0">
        <v>2.553</v>
      </c>
      <c r="J127" s="10">
        <f t="shared" si="28"/>
        <v>4.307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3.123</v>
      </c>
      <c r="AI127" s="0">
        <v>0</v>
      </c>
      <c r="AJ127" s="0">
        <v>0</v>
      </c>
      <c r="AK127" s="0">
        <v>0</v>
      </c>
      <c r="AL127" s="0">
        <v>2.553</v>
      </c>
      <c r="AM127" s="0">
        <v>3.996</v>
      </c>
      <c r="AN127" s="0">
        <v>4.307</v>
      </c>
      <c r="AO127" s="12">
        <f t="shared" si="0"/>
        <v>0.0778278278278279</v>
      </c>
      <c r="AP127" s="12" t="str">
        <f t="shared" si="1"/>
        <v>NM</v>
      </c>
    </row>
    <row customHeight="1" ht="15">
      <c r="A128" s="9" t="s">
        <v>159</v>
      </c>
      <c r="B128" s="0">
        <v>0</v>
      </c>
      <c r="C128" s="0">
        <v>0</v>
      </c>
      <c r="D128" s="0">
        <v>0</v>
      </c>
      <c r="E128" s="0">
        <v>225.083</v>
      </c>
      <c r="F128" s="0">
        <v>1.504</v>
      </c>
      <c r="G128" s="0">
        <v>2.944</v>
      </c>
      <c r="H128" s="0">
        <v>3.616</v>
      </c>
      <c r="I128" s="0">
        <v>0.401</v>
      </c>
      <c r="J128" s="10">
        <f t="shared" si="28"/>
        <v>5.716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225.083</v>
      </c>
      <c r="W128" s="0">
        <v>0</v>
      </c>
      <c r="X128" s="0">
        <v>0</v>
      </c>
      <c r="Y128" s="0">
        <v>0</v>
      </c>
      <c r="Z128" s="0">
        <v>1.504</v>
      </c>
      <c r="AA128" s="0">
        <v>0.099</v>
      </c>
      <c r="AB128" s="0">
        <v>0.099</v>
      </c>
      <c r="AC128" s="0">
        <v>0.17</v>
      </c>
      <c r="AD128" s="0">
        <v>2.944</v>
      </c>
      <c r="AE128" s="0">
        <v>0.762</v>
      </c>
      <c r="AF128" s="0">
        <v>12.188</v>
      </c>
      <c r="AG128" s="0">
        <v>21.145</v>
      </c>
      <c r="AH128" s="0">
        <v>3.616</v>
      </c>
      <c r="AI128" s="0">
        <v>0.924</v>
      </c>
      <c r="AJ128" s="0">
        <v>1.1</v>
      </c>
      <c r="AK128" s="0">
        <v>0.897</v>
      </c>
      <c r="AL128" s="0">
        <v>0.401</v>
      </c>
      <c r="AM128" s="0">
        <v>1.989</v>
      </c>
      <c r="AN128" s="0">
        <v>5.716</v>
      </c>
      <c r="AO128" s="12">
        <f t="shared" si="0"/>
        <v>1.87380593262946</v>
      </c>
      <c r="AP128" s="12">
        <f t="shared" si="1"/>
        <v>4.19636363636364</v>
      </c>
    </row>
    <row customHeight="1" ht="15">
      <c r="A129" s="9" t="s">
        <v>160</v>
      </c>
      <c r="B129" s="0">
        <v>7.717</v>
      </c>
      <c r="C129" s="0">
        <v>217.252</v>
      </c>
      <c r="D129" s="0">
        <v>178.352</v>
      </c>
      <c r="E129" s="0">
        <v>216.664</v>
      </c>
      <c r="F129" s="0">
        <v>324.718</v>
      </c>
      <c r="G129" s="0">
        <v>200.553</v>
      </c>
      <c r="H129" s="0">
        <v>184.701</v>
      </c>
      <c r="I129" s="0">
        <v>124.02</v>
      </c>
      <c r="J129" s="10">
        <f t="shared" si="28"/>
        <v>120.47</v>
      </c>
      <c r="N129" s="0">
        <v>217.252</v>
      </c>
      <c r="O129" s="0">
        <v>136.283</v>
      </c>
      <c r="P129" s="0">
        <v>220.991</v>
      </c>
      <c r="Q129" s="0">
        <v>215.279</v>
      </c>
      <c r="R129" s="0">
        <v>178.352</v>
      </c>
      <c r="S129" s="0">
        <v>150.808</v>
      </c>
      <c r="T129" s="0">
        <v>170.606</v>
      </c>
      <c r="U129" s="0">
        <v>165.53</v>
      </c>
      <c r="V129" s="0">
        <v>216.664</v>
      </c>
      <c r="W129" s="0">
        <v>319.405</v>
      </c>
      <c r="X129" s="0">
        <v>331.377</v>
      </c>
      <c r="Y129" s="0">
        <v>293.28</v>
      </c>
      <c r="Z129" s="0">
        <v>324.718</v>
      </c>
      <c r="AA129" s="0">
        <v>285.348</v>
      </c>
      <c r="AB129" s="0">
        <v>259.666</v>
      </c>
      <c r="AC129" s="0">
        <v>283.627</v>
      </c>
      <c r="AD129" s="0">
        <v>200.553</v>
      </c>
      <c r="AE129" s="0">
        <v>186.973</v>
      </c>
      <c r="AF129" s="0">
        <v>298.691</v>
      </c>
      <c r="AG129" s="0">
        <v>280.34</v>
      </c>
      <c r="AH129" s="0">
        <v>184.701</v>
      </c>
      <c r="AI129" s="0">
        <v>135.303</v>
      </c>
      <c r="AJ129" s="0">
        <v>198.281</v>
      </c>
      <c r="AK129" s="0">
        <v>245.324</v>
      </c>
      <c r="AL129" s="0">
        <v>124.02</v>
      </c>
      <c r="AM129" s="0">
        <v>104.673</v>
      </c>
      <c r="AN129" s="0">
        <v>120.47</v>
      </c>
      <c r="AO129" s="12">
        <f t="shared" si="0"/>
        <v>0.150917619634481</v>
      </c>
      <c r="AP129" s="12">
        <f t="shared" si="1"/>
        <v>-0.392427917954822</v>
      </c>
    </row>
    <row customHeight="1" ht="15">
      <c r="A130" s="4" t="s">
        <v>161</v>
      </c>
      <c r="B130" s="7">
        <f t="shared" si="33" ref="B130:Q130">SUM(B119:B121)+B123+SUM(B125:B126)+B129</f>
        <v>104.08</v>
      </c>
      <c r="C130" s="7">
        <f t="shared" si="33"/>
        <v>548.869</v>
      </c>
      <c r="D130" s="7">
        <f t="shared" si="36" ref="D130:Y130">SUM(D119:D120)+SUM(D122:D123)+SUM(D125:D126)+D129</f>
        <v>371.498</v>
      </c>
      <c r="E130" s="7">
        <f t="shared" si="34" ref="E130:AK130">SUM(E119:E120)+SUM(E122:E123)+E125+SUM(E128:E129)</f>
        <v>785.119</v>
      </c>
      <c r="F130" s="7">
        <f t="shared" si="34"/>
        <v>704.828</v>
      </c>
      <c r="G130" s="7">
        <f t="shared" si="34"/>
        <v>696.687</v>
      </c>
      <c r="H130" s="7">
        <f t="shared" si="35" ref="H130:AN130">SUM(H119:H120)+SUM(H122:H123)+SUM(H127:H129)</f>
        <v>817.73</v>
      </c>
      <c r="I130" s="7">
        <f t="shared" si="35"/>
        <v>680.412</v>
      </c>
      <c r="J130" s="6">
        <f t="shared" si="28"/>
        <v>680.427</v>
      </c>
      <c r="N130" s="7">
        <f t="shared" si="33"/>
        <v>548.869</v>
      </c>
      <c r="O130" s="7">
        <f t="shared" si="33"/>
        <v>545.226</v>
      </c>
      <c r="P130" s="7">
        <f t="shared" si="33"/>
        <v>496.023</v>
      </c>
      <c r="Q130" s="7">
        <f t="shared" si="33"/>
        <v>448.075</v>
      </c>
      <c r="R130" s="7">
        <f t="shared" si="36"/>
        <v>371.498</v>
      </c>
      <c r="S130" s="7">
        <f>SUM(S119:S120)+S123+SUM(S125:S126)+S129</f>
        <v>381.078</v>
      </c>
      <c r="T130" s="7">
        <f t="shared" si="37" ref="T130:U130">SUM(T119:T120)+SUM(T123:T126)+T129</f>
        <v>416.084</v>
      </c>
      <c r="U130" s="7">
        <f t="shared" si="37"/>
        <v>467.692</v>
      </c>
      <c r="V130" s="7">
        <f t="shared" si="34"/>
        <v>785.119</v>
      </c>
      <c r="W130" s="7">
        <f t="shared" si="36"/>
        <v>798.604</v>
      </c>
      <c r="X130" s="7">
        <f t="shared" si="36"/>
        <v>821.698</v>
      </c>
      <c r="Y130" s="7">
        <f t="shared" si="36"/>
        <v>892.853</v>
      </c>
      <c r="Z130" s="7">
        <f t="shared" si="34"/>
        <v>704.828</v>
      </c>
      <c r="AA130" s="7">
        <f t="shared" si="34"/>
        <v>711.688</v>
      </c>
      <c r="AB130" s="7">
        <f t="shared" si="34"/>
        <v>738.603</v>
      </c>
      <c r="AC130" s="7">
        <f t="shared" si="34"/>
        <v>791.244</v>
      </c>
      <c r="AD130" s="7">
        <f t="shared" si="34"/>
        <v>696.687</v>
      </c>
      <c r="AE130" s="7">
        <f t="shared" si="34"/>
        <v>754.292</v>
      </c>
      <c r="AF130" s="7">
        <f t="shared" si="34"/>
        <v>910.699</v>
      </c>
      <c r="AG130" s="7">
        <f t="shared" si="34"/>
        <v>919.904</v>
      </c>
      <c r="AH130" s="7">
        <f t="shared" si="35"/>
        <v>817.73</v>
      </c>
      <c r="AI130" s="7">
        <f t="shared" si="34"/>
        <v>743.267</v>
      </c>
      <c r="AJ130" s="7">
        <f t="shared" si="34"/>
        <v>784.236</v>
      </c>
      <c r="AK130" s="7">
        <f t="shared" si="34"/>
        <v>810.975</v>
      </c>
      <c r="AL130" s="7">
        <f t="shared" si="35"/>
        <v>680.412</v>
      </c>
      <c r="AM130" s="7">
        <f t="shared" si="35"/>
        <v>711.095</v>
      </c>
      <c r="AN130" s="7">
        <f t="shared" si="35"/>
        <v>680.427</v>
      </c>
      <c r="AO130" s="8">
        <f t="shared" si="0"/>
        <v>-0.0431278521153995</v>
      </c>
      <c r="AP130" s="8">
        <f t="shared" si="1"/>
        <v>-0.132369592826649</v>
      </c>
    </row>
    <row customHeight="1" ht="15">
      <c r="A131" s="9" t="s">
        <v>162</v>
      </c>
      <c r="B131" s="0">
        <v>0</v>
      </c>
      <c r="C131" s="0">
        <v>0</v>
      </c>
      <c r="D131" s="0">
        <v>0</v>
      </c>
      <c r="E131" s="0">
        <v>0</v>
      </c>
      <c r="F131" s="0">
        <v>14.162</v>
      </c>
      <c r="G131" s="0">
        <v>0</v>
      </c>
      <c r="H131" s="0">
        <v>15.399</v>
      </c>
      <c r="I131" s="0">
        <v>8.547</v>
      </c>
      <c r="J131" s="10">
        <f t="shared" si="28"/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14.162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15.399</v>
      </c>
      <c r="AI131" s="0">
        <v>1.83</v>
      </c>
      <c r="AJ131" s="0">
        <v>0</v>
      </c>
      <c r="AK131" s="0">
        <v>8.485</v>
      </c>
      <c r="AL131" s="0">
        <v>8.547</v>
      </c>
      <c r="AM131" s="0">
        <v>0</v>
      </c>
      <c r="AN131" s="0">
        <v>0</v>
      </c>
      <c r="AO131" s="12">
        <f t="shared" si="0"/>
        <v>0</v>
      </c>
      <c r="AP131" s="12">
        <f t="shared" si="1"/>
        <v>0</v>
      </c>
    </row>
    <row customHeight="1" ht="15">
      <c r="A132" s="4" t="s">
        <v>163</v>
      </c>
      <c r="B132" s="7">
        <f t="shared" si="38" ref="B132:AG132">B118+B130</f>
        <v>184.561</v>
      </c>
      <c r="C132" s="7">
        <f t="shared" si="38"/>
        <v>1100.032</v>
      </c>
      <c r="D132" s="7">
        <f t="shared" si="38"/>
        <v>946.29</v>
      </c>
      <c r="E132" s="7">
        <f t="shared" si="39" ref="E132:AN132">E118+SUM(E130:E131)</f>
        <v>1472.119</v>
      </c>
      <c r="F132" s="7">
        <f t="shared" si="39"/>
        <v>1754.302</v>
      </c>
      <c r="G132" s="7">
        <f t="shared" si="39"/>
        <v>2444.475</v>
      </c>
      <c r="H132" s="7">
        <f t="shared" si="39"/>
        <v>2981.655</v>
      </c>
      <c r="I132" s="7">
        <f t="shared" si="39"/>
        <v>2108.602</v>
      </c>
      <c r="J132" s="6">
        <f t="shared" si="28"/>
        <v>1969.398</v>
      </c>
      <c r="N132" s="7">
        <f t="shared" si="38"/>
        <v>1100.032</v>
      </c>
      <c r="O132" s="7">
        <f t="shared" si="38"/>
        <v>1178.53</v>
      </c>
      <c r="P132" s="7">
        <f t="shared" si="38"/>
        <v>1113.24</v>
      </c>
      <c r="Q132" s="7">
        <f t="shared" si="38"/>
        <v>1058.94</v>
      </c>
      <c r="R132" s="7">
        <f t="shared" si="38"/>
        <v>946.29</v>
      </c>
      <c r="S132" s="7">
        <f t="shared" si="38"/>
        <v>984.225</v>
      </c>
      <c r="T132" s="7">
        <f t="shared" si="38"/>
        <v>1033.927</v>
      </c>
      <c r="U132" s="7">
        <f t="shared" si="38"/>
        <v>1117.426</v>
      </c>
      <c r="V132" s="7">
        <f t="shared" si="39"/>
        <v>1472.119</v>
      </c>
      <c r="W132" s="7">
        <f t="shared" si="38"/>
        <v>1542.027</v>
      </c>
      <c r="X132" s="7">
        <f t="shared" si="38"/>
        <v>1685.827</v>
      </c>
      <c r="Y132" s="7">
        <f t="shared" si="38"/>
        <v>1978.13</v>
      </c>
      <c r="Z132" s="7">
        <f t="shared" si="39"/>
        <v>1754.302</v>
      </c>
      <c r="AA132" s="7">
        <f t="shared" si="39"/>
        <v>1944.66</v>
      </c>
      <c r="AB132" s="7">
        <f t="shared" si="39"/>
        <v>2194.084</v>
      </c>
      <c r="AC132" s="7">
        <f t="shared" si="39"/>
        <v>2419.563</v>
      </c>
      <c r="AD132" s="7">
        <f t="shared" si="39"/>
        <v>2444.475</v>
      </c>
      <c r="AE132" s="7">
        <f t="shared" si="38"/>
        <v>2733.378</v>
      </c>
      <c r="AF132" s="7">
        <f t="shared" si="38"/>
        <v>2982.816</v>
      </c>
      <c r="AG132" s="7">
        <f t="shared" si="38"/>
        <v>2993.811</v>
      </c>
      <c r="AH132" s="7">
        <f t="shared" si="39"/>
        <v>2981.655</v>
      </c>
      <c r="AI132" s="7">
        <f t="shared" si="39"/>
        <v>2757.151</v>
      </c>
      <c r="AJ132" s="7">
        <f t="shared" si="39"/>
        <v>2562.525</v>
      </c>
      <c r="AK132" s="7">
        <f t="shared" si="39"/>
        <v>2519.113</v>
      </c>
      <c r="AL132" s="7">
        <f t="shared" si="39"/>
        <v>2108.602</v>
      </c>
      <c r="AM132" s="7">
        <f t="shared" si="39"/>
        <v>2171.168</v>
      </c>
      <c r="AN132" s="7">
        <f t="shared" si="39"/>
        <v>1969.398</v>
      </c>
      <c r="AO132" s="8">
        <f t="shared" si="0"/>
        <v>-0.0929315465224249</v>
      </c>
      <c r="AP132" s="8">
        <f t="shared" si="1"/>
        <v>-0.231461936956713</v>
      </c>
    </row>
    <row customHeight="1" ht="15">
      <c r="A133" s="9" t="s">
        <v>164</v>
      </c>
      <c r="B133" s="0">
        <v>2.256</v>
      </c>
      <c r="C133" s="0">
        <v>22.556</v>
      </c>
      <c r="D133" s="0">
        <v>22.556</v>
      </c>
      <c r="E133" s="0">
        <v>22.556</v>
      </c>
      <c r="F133" s="0">
        <v>22.556</v>
      </c>
      <c r="G133" s="0">
        <v>22.556</v>
      </c>
      <c r="H133" s="0">
        <v>28.194</v>
      </c>
      <c r="I133" s="0">
        <v>28.194</v>
      </c>
      <c r="J133" s="10">
        <f t="shared" si="28"/>
        <v>28.194</v>
      </c>
      <c r="N133" s="0">
        <v>22.556</v>
      </c>
      <c r="O133" s="0">
        <v>22.556</v>
      </c>
      <c r="P133" s="0">
        <v>22.556</v>
      </c>
      <c r="Q133" s="0">
        <v>22.556</v>
      </c>
      <c r="R133" s="0">
        <v>22.556</v>
      </c>
      <c r="S133" s="0">
        <v>22.556</v>
      </c>
      <c r="T133" s="0">
        <v>22.556</v>
      </c>
      <c r="U133" s="0">
        <v>22.556</v>
      </c>
      <c r="V133" s="0">
        <v>22.556</v>
      </c>
      <c r="W133" s="0">
        <v>22.556</v>
      </c>
      <c r="X133" s="0">
        <v>22.556</v>
      </c>
      <c r="Y133" s="0">
        <v>22.556</v>
      </c>
      <c r="Z133" s="0">
        <v>22.556</v>
      </c>
      <c r="AA133" s="0">
        <v>22.556</v>
      </c>
      <c r="AB133" s="0">
        <v>22.556</v>
      </c>
      <c r="AC133" s="0">
        <v>22.556</v>
      </c>
      <c r="AD133" s="0">
        <v>22.556</v>
      </c>
      <c r="AE133" s="0">
        <v>22.556</v>
      </c>
      <c r="AF133" s="0">
        <v>28.194</v>
      </c>
      <c r="AG133" s="0">
        <v>28.194</v>
      </c>
      <c r="AH133" s="0">
        <v>28.194</v>
      </c>
      <c r="AI133" s="0">
        <v>28.194</v>
      </c>
      <c r="AJ133" s="0">
        <v>28.194</v>
      </c>
      <c r="AK133" s="0">
        <v>28.194</v>
      </c>
      <c r="AL133" s="0">
        <v>28.194</v>
      </c>
      <c r="AM133" s="0">
        <v>28.194</v>
      </c>
      <c r="AN133" s="0">
        <v>28.194</v>
      </c>
      <c r="AO133" s="12">
        <f t="shared" si="0"/>
        <v>0</v>
      </c>
      <c r="AP133" s="12">
        <f t="shared" si="1"/>
        <v>0</v>
      </c>
    </row>
    <row customHeight="1" ht="15">
      <c r="A134" s="9" t="s">
        <v>165</v>
      </c>
      <c r="B134" s="0">
        <v>33.133</v>
      </c>
      <c r="C134" s="0">
        <v>282.158</v>
      </c>
      <c r="D134" s="0">
        <v>282.158</v>
      </c>
      <c r="E134" s="0">
        <v>282.158</v>
      </c>
      <c r="F134" s="0">
        <v>282.158</v>
      </c>
      <c r="G134" s="0">
        <v>10</v>
      </c>
      <c r="H134" s="0">
        <v>10</v>
      </c>
      <c r="I134" s="0">
        <v>10</v>
      </c>
      <c r="J134" s="10">
        <f t="shared" si="28"/>
        <v>10</v>
      </c>
      <c r="N134" s="0">
        <v>282.158</v>
      </c>
      <c r="O134" s="0">
        <v>282.158</v>
      </c>
      <c r="P134" s="0">
        <v>282.158</v>
      </c>
      <c r="Q134" s="0">
        <v>282.158</v>
      </c>
      <c r="R134" s="0">
        <v>282.158</v>
      </c>
      <c r="S134" s="0">
        <v>282.158</v>
      </c>
      <c r="T134" s="0">
        <v>282.158</v>
      </c>
      <c r="U134" s="0">
        <v>282.158</v>
      </c>
      <c r="V134" s="0">
        <v>282.158</v>
      </c>
      <c r="W134" s="0">
        <v>282.158</v>
      </c>
      <c r="X134" s="0">
        <v>282.158</v>
      </c>
      <c r="Y134" s="0">
        <v>282.158</v>
      </c>
      <c r="Z134" s="0">
        <v>282.158</v>
      </c>
      <c r="AA134" s="0">
        <v>0</v>
      </c>
      <c r="AB134" s="0">
        <v>0</v>
      </c>
      <c r="AC134" s="0">
        <v>0</v>
      </c>
      <c r="AD134" s="0">
        <v>10</v>
      </c>
      <c r="AE134" s="0">
        <v>10</v>
      </c>
      <c r="AF134" s="0">
        <v>10</v>
      </c>
      <c r="AG134" s="0">
        <v>10</v>
      </c>
      <c r="AH134" s="0">
        <v>10</v>
      </c>
      <c r="AI134" s="0">
        <v>10</v>
      </c>
      <c r="AJ134" s="0">
        <v>10</v>
      </c>
      <c r="AK134" s="0">
        <v>10</v>
      </c>
      <c r="AL134" s="0">
        <v>10</v>
      </c>
      <c r="AM134" s="0">
        <v>10</v>
      </c>
      <c r="AN134" s="0">
        <v>10</v>
      </c>
      <c r="AO134" s="12">
        <f t="shared" si="0"/>
        <v>0</v>
      </c>
      <c r="AP134" s="12">
        <f t="shared" si="1"/>
        <v>0</v>
      </c>
    </row>
    <row customHeight="1" ht="15">
      <c r="A135" s="9" t="s">
        <v>166</v>
      </c>
      <c r="B135" s="0">
        <v>0.237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10">
        <f t="shared" si="28"/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12">
        <f t="shared" si="0"/>
        <v>0</v>
      </c>
      <c r="AP135" s="12">
        <f t="shared" si="1"/>
        <v>0</v>
      </c>
    </row>
    <row customHeight="1" ht="15">
      <c r="A136" s="9" t="s">
        <v>167</v>
      </c>
      <c r="B136" s="0">
        <v>0</v>
      </c>
      <c r="C136" s="0">
        <v>0.06</v>
      </c>
      <c r="D136" s="0">
        <v>0.331</v>
      </c>
      <c r="E136" s="0">
        <v>0.596</v>
      </c>
      <c r="F136" s="0">
        <v>0.86</v>
      </c>
      <c r="G136" s="0">
        <v>1.994</v>
      </c>
      <c r="H136" s="0">
        <v>1.994</v>
      </c>
      <c r="I136" s="0">
        <v>1.994</v>
      </c>
      <c r="J136" s="10">
        <f t="shared" si="28"/>
        <v>1.994</v>
      </c>
      <c r="N136" s="0">
        <v>0.06</v>
      </c>
      <c r="O136" s="0">
        <v>0.132</v>
      </c>
      <c r="P136" s="0">
        <v>0.198</v>
      </c>
      <c r="Q136" s="0">
        <v>0.264</v>
      </c>
      <c r="R136" s="0">
        <v>0.331</v>
      </c>
      <c r="S136" s="0">
        <v>0.397</v>
      </c>
      <c r="T136" s="0">
        <v>0.463</v>
      </c>
      <c r="U136" s="0">
        <v>0.529</v>
      </c>
      <c r="V136" s="0">
        <v>0.596</v>
      </c>
      <c r="W136" s="0">
        <v>0.662</v>
      </c>
      <c r="X136" s="0">
        <v>0.728</v>
      </c>
      <c r="Y136" s="0">
        <v>0.794</v>
      </c>
      <c r="Z136" s="0">
        <v>0.86</v>
      </c>
      <c r="AA136" s="0">
        <v>0</v>
      </c>
      <c r="AB136" s="0">
        <v>0</v>
      </c>
      <c r="AC136" s="0">
        <v>0</v>
      </c>
      <c r="AD136" s="0">
        <v>1.994</v>
      </c>
      <c r="AE136" s="0">
        <v>2.198</v>
      </c>
      <c r="AF136" s="0">
        <v>2.401</v>
      </c>
      <c r="AG136" s="0">
        <v>2.605</v>
      </c>
      <c r="AH136" s="0">
        <v>1.994</v>
      </c>
      <c r="AI136" s="0">
        <v>1.994</v>
      </c>
      <c r="AJ136" s="0">
        <v>1.994</v>
      </c>
      <c r="AK136" s="0">
        <v>1.994</v>
      </c>
      <c r="AL136" s="0">
        <v>1.994</v>
      </c>
      <c r="AM136" s="0">
        <v>1.994</v>
      </c>
      <c r="AN136" s="0">
        <v>1.994</v>
      </c>
      <c r="AO136" s="12">
        <f t="shared" si="0"/>
        <v>0</v>
      </c>
      <c r="AP136" s="12">
        <f t="shared" si="1"/>
        <v>0</v>
      </c>
    </row>
    <row customHeight="1" ht="15">
      <c r="A137" s="9" t="s">
        <v>168</v>
      </c>
      <c r="B137" s="0">
        <v>0</v>
      </c>
      <c r="C137" s="0">
        <v>-1.01</v>
      </c>
      <c r="D137" s="0">
        <v>-1.165</v>
      </c>
      <c r="E137" s="0">
        <v>-0.012</v>
      </c>
      <c r="F137" s="0">
        <v>-1.644</v>
      </c>
      <c r="G137" s="0">
        <v>0</v>
      </c>
      <c r="H137" s="0">
        <v>0</v>
      </c>
      <c r="I137" s="0">
        <v>0</v>
      </c>
      <c r="J137" s="10">
        <f t="shared" si="28"/>
        <v>0</v>
      </c>
      <c r="N137" s="0">
        <v>-1.01</v>
      </c>
      <c r="O137" s="0">
        <v>-1.01</v>
      </c>
      <c r="P137" s="0">
        <v>-1.165</v>
      </c>
      <c r="Q137" s="0">
        <v>-1.165</v>
      </c>
      <c r="R137" s="0">
        <v>-1.165</v>
      </c>
      <c r="S137" s="0">
        <v>-0.791</v>
      </c>
      <c r="T137" s="0">
        <v>-0.324</v>
      </c>
      <c r="U137" s="0">
        <v>-0.212</v>
      </c>
      <c r="V137" s="0">
        <v>-0.012</v>
      </c>
      <c r="W137" s="0">
        <v>-0.012</v>
      </c>
      <c r="X137" s="0">
        <v>-0.012</v>
      </c>
      <c r="Y137" s="0">
        <v>-1.627</v>
      </c>
      <c r="Z137" s="0">
        <v>-1.644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12">
        <f t="shared" si="0"/>
        <v>0</v>
      </c>
      <c r="AP137" s="12">
        <f t="shared" si="1"/>
        <v>0</v>
      </c>
    </row>
    <row customHeight="1" ht="15">
      <c r="A138" s="9" t="s">
        <v>169</v>
      </c>
      <c r="B138" s="0">
        <v>-0.457</v>
      </c>
      <c r="C138" s="0">
        <v>-0.456</v>
      </c>
      <c r="D138" s="0">
        <v>-0.456</v>
      </c>
      <c r="E138" s="0">
        <v>-0.456</v>
      </c>
      <c r="F138" s="0">
        <v>-0.456</v>
      </c>
      <c r="G138" s="0">
        <v>-0.456</v>
      </c>
      <c r="H138" s="0">
        <v>-0.456</v>
      </c>
      <c r="I138" s="0">
        <v>-0.456</v>
      </c>
      <c r="J138" s="10">
        <f t="shared" si="28"/>
        <v>-0.456</v>
      </c>
      <c r="N138" s="0">
        <v>-0.456</v>
      </c>
      <c r="O138" s="0">
        <v>-0.456</v>
      </c>
      <c r="P138" s="0">
        <v>-0.456</v>
      </c>
      <c r="Q138" s="0">
        <v>-0.456</v>
      </c>
      <c r="R138" s="0">
        <v>-0.456</v>
      </c>
      <c r="S138" s="0">
        <v>-0.456</v>
      </c>
      <c r="T138" s="0">
        <v>-0.456</v>
      </c>
      <c r="U138" s="0">
        <v>-0.456</v>
      </c>
      <c r="V138" s="0">
        <v>-0.456</v>
      </c>
      <c r="W138" s="0">
        <v>-0.456</v>
      </c>
      <c r="X138" s="0">
        <v>-0.456</v>
      </c>
      <c r="Y138" s="0">
        <v>-0.456</v>
      </c>
      <c r="Z138" s="0">
        <v>-0.456</v>
      </c>
      <c r="AA138" s="0">
        <v>0</v>
      </c>
      <c r="AB138" s="0">
        <v>0</v>
      </c>
      <c r="AC138" s="0">
        <v>0</v>
      </c>
      <c r="AD138" s="0">
        <v>-0.456</v>
      </c>
      <c r="AE138" s="0">
        <v>-0.456</v>
      </c>
      <c r="AF138" s="0">
        <v>-0.456</v>
      </c>
      <c r="AG138" s="0">
        <v>-0.456</v>
      </c>
      <c r="AH138" s="0">
        <v>-0.456</v>
      </c>
      <c r="AI138" s="0">
        <v>-0.456</v>
      </c>
      <c r="AJ138" s="0">
        <v>-0.456</v>
      </c>
      <c r="AK138" s="0">
        <v>-0.456</v>
      </c>
      <c r="AL138" s="0">
        <v>-0.456</v>
      </c>
      <c r="AM138" s="0">
        <v>-0.456</v>
      </c>
      <c r="AN138" s="0">
        <v>-0.456</v>
      </c>
      <c r="AO138" s="12">
        <f t="shared" si="0"/>
        <v>0</v>
      </c>
      <c r="AP138" s="12">
        <f t="shared" si="1"/>
        <v>0</v>
      </c>
    </row>
    <row customHeight="1" ht="15">
      <c r="A139" s="9" t="s">
        <v>170</v>
      </c>
      <c r="B139" s="0">
        <v>0.002</v>
      </c>
      <c r="C139" s="0">
        <v>-0.432</v>
      </c>
      <c r="D139" s="0">
        <v>1.496</v>
      </c>
      <c r="E139" s="0">
        <v>2.042</v>
      </c>
      <c r="F139" s="0">
        <v>3.886</v>
      </c>
      <c r="G139" s="0">
        <v>3.496</v>
      </c>
      <c r="H139" s="0">
        <v>-0.051</v>
      </c>
      <c r="I139" s="0">
        <v>0.112</v>
      </c>
      <c r="J139" s="10">
        <f t="shared" si="28"/>
        <v>-0.06</v>
      </c>
      <c r="N139" s="0">
        <v>-0.432</v>
      </c>
      <c r="O139" s="0">
        <v>2.785</v>
      </c>
      <c r="P139" s="0">
        <v>4.638</v>
      </c>
      <c r="Q139" s="0">
        <v>4.279</v>
      </c>
      <c r="R139" s="0">
        <v>1.496</v>
      </c>
      <c r="S139" s="0">
        <v>1.686</v>
      </c>
      <c r="T139" s="0">
        <v>1.474</v>
      </c>
      <c r="U139" s="0">
        <v>2.037</v>
      </c>
      <c r="V139" s="0">
        <v>2.042</v>
      </c>
      <c r="W139" s="0">
        <v>1.368</v>
      </c>
      <c r="X139" s="0">
        <v>2.327</v>
      </c>
      <c r="Y139" s="0">
        <v>2.964</v>
      </c>
      <c r="Z139" s="0">
        <v>3.886</v>
      </c>
      <c r="AA139" s="0">
        <v>4.058</v>
      </c>
      <c r="AB139" s="0">
        <v>3.904</v>
      </c>
      <c r="AC139" s="0">
        <v>4.64</v>
      </c>
      <c r="AD139" s="0">
        <v>3.496</v>
      </c>
      <c r="AE139" s="0">
        <v>3.782</v>
      </c>
      <c r="AF139" s="0">
        <v>0.773</v>
      </c>
      <c r="AG139" s="0">
        <v>1.852</v>
      </c>
      <c r="AH139" s="0">
        <v>-0.051</v>
      </c>
      <c r="AI139" s="0">
        <v>0.101</v>
      </c>
      <c r="AJ139" s="0">
        <v>-1.147</v>
      </c>
      <c r="AK139" s="0">
        <v>-0.13</v>
      </c>
      <c r="AL139" s="0">
        <v>0.112</v>
      </c>
      <c r="AM139" s="0">
        <v>0.474</v>
      </c>
      <c r="AN139" s="0">
        <v>-0.06</v>
      </c>
      <c r="AO139" s="12">
        <f t="shared" si="0"/>
        <v>-1.12658227848101</v>
      </c>
      <c r="AP139" s="12">
        <f t="shared" si="1"/>
        <v>0.94768962510898</v>
      </c>
    </row>
    <row customHeight="1" ht="15">
      <c r="A140" s="9" t="s">
        <v>171</v>
      </c>
      <c r="B140" s="0">
        <v>-0.21</v>
      </c>
      <c r="C140" s="0">
        <v>-2.956</v>
      </c>
      <c r="D140" s="0">
        <v>-22.005</v>
      </c>
      <c r="E140" s="0">
        <v>-3.221</v>
      </c>
      <c r="F140" s="0">
        <v>2.353</v>
      </c>
      <c r="G140" s="0">
        <v>-9.069</v>
      </c>
      <c r="H140" s="0">
        <v>12.408</v>
      </c>
      <c r="I140" s="0">
        <v>3.725</v>
      </c>
      <c r="J140" s="10">
        <f t="shared" si="28"/>
        <v>8.084</v>
      </c>
      <c r="N140" s="0">
        <v>-2.956</v>
      </c>
      <c r="O140" s="0">
        <v>-2.971</v>
      </c>
      <c r="P140" s="0">
        <v>-7.432</v>
      </c>
      <c r="Q140" s="0">
        <v>-14.505</v>
      </c>
      <c r="R140" s="0">
        <v>-22.005</v>
      </c>
      <c r="S140" s="0">
        <v>-11.181</v>
      </c>
      <c r="T140" s="0">
        <v>-14.181</v>
      </c>
      <c r="U140" s="0">
        <v>-8.179</v>
      </c>
      <c r="V140" s="0">
        <v>-3.221</v>
      </c>
      <c r="W140" s="0">
        <v>-0.972</v>
      </c>
      <c r="X140" s="0">
        <v>11.047</v>
      </c>
      <c r="Y140" s="0">
        <v>36.337</v>
      </c>
      <c r="Z140" s="0">
        <v>2.353</v>
      </c>
      <c r="AA140" s="0">
        <v>-4.513</v>
      </c>
      <c r="AB140" s="0">
        <v>-1.467</v>
      </c>
      <c r="AC140" s="0">
        <v>5.27</v>
      </c>
      <c r="AD140" s="0">
        <v>-9.069</v>
      </c>
      <c r="AE140" s="0">
        <v>-0.824</v>
      </c>
      <c r="AF140" s="0">
        <v>1.843</v>
      </c>
      <c r="AG140" s="0">
        <v>-14.061</v>
      </c>
      <c r="AH140" s="0">
        <v>12.408</v>
      </c>
      <c r="AI140" s="0">
        <v>13.637</v>
      </c>
      <c r="AJ140" s="0">
        <v>8.421</v>
      </c>
      <c r="AK140" s="0">
        <v>3.916</v>
      </c>
      <c r="AL140" s="0">
        <v>3.725</v>
      </c>
      <c r="AM140" s="0">
        <v>8.223</v>
      </c>
      <c r="AN140" s="0">
        <v>8.084</v>
      </c>
      <c r="AO140" s="12">
        <f t="shared" si="0"/>
        <v>-0.0169038063966923</v>
      </c>
      <c r="AP140" s="12">
        <f t="shared" si="1"/>
        <v>-0.0400190001187507</v>
      </c>
    </row>
    <row customHeight="1" ht="15">
      <c r="A141" s="9" t="s">
        <v>172</v>
      </c>
      <c r="B141" s="0">
        <v>30.456</v>
      </c>
      <c r="C141" s="0">
        <v>41.122</v>
      </c>
      <c r="D141" s="0">
        <v>-11.97</v>
      </c>
      <c r="E141" s="0">
        <v>21.449</v>
      </c>
      <c r="F141" s="0">
        <v>1.816</v>
      </c>
      <c r="G141" s="0">
        <v>313.36</v>
      </c>
      <c r="H141" s="0">
        <v>541.978</v>
      </c>
      <c r="I141" s="0">
        <v>474.649</v>
      </c>
      <c r="J141" s="10">
        <f t="shared" si="28"/>
        <v>391.958</v>
      </c>
      <c r="N141" s="0">
        <v>41.122</v>
      </c>
      <c r="O141" s="0">
        <v>33.116</v>
      </c>
      <c r="P141" s="0">
        <v>28.954</v>
      </c>
      <c r="Q141" s="0">
        <v>9.55</v>
      </c>
      <c r="R141" s="0">
        <v>-11.97</v>
      </c>
      <c r="S141" s="0">
        <v>-10.335</v>
      </c>
      <c r="T141" s="0">
        <v>2.281</v>
      </c>
      <c r="U141" s="0">
        <v>24.123</v>
      </c>
      <c r="V141" s="0">
        <v>21.449</v>
      </c>
      <c r="W141" s="0">
        <v>7.628</v>
      </c>
      <c r="X141" s="0">
        <v>-5.021</v>
      </c>
      <c r="Y141" s="0">
        <v>45.2</v>
      </c>
      <c r="Z141" s="0">
        <v>1.816</v>
      </c>
      <c r="AA141" s="0">
        <v>250.369</v>
      </c>
      <c r="AB141" s="0">
        <v>280.233</v>
      </c>
      <c r="AC141" s="0">
        <v>353.96</v>
      </c>
      <c r="AD141" s="0">
        <v>313.36</v>
      </c>
      <c r="AE141" s="0">
        <v>214.724</v>
      </c>
      <c r="AF141" s="0">
        <v>604.76</v>
      </c>
      <c r="AG141" s="0">
        <v>688.651</v>
      </c>
      <c r="AH141" s="0">
        <v>541.978</v>
      </c>
      <c r="AI141" s="0">
        <v>418.805</v>
      </c>
      <c r="AJ141" s="0">
        <v>429.145</v>
      </c>
      <c r="AK141" s="0">
        <v>499.651</v>
      </c>
      <c r="AL141" s="0">
        <v>474.649</v>
      </c>
      <c r="AM141" s="0">
        <v>415.035</v>
      </c>
      <c r="AN141" s="0">
        <v>391.958</v>
      </c>
      <c r="AO141" s="12">
        <f t="shared" si="0"/>
        <v>-0.0556025395448576</v>
      </c>
      <c r="AP141" s="12">
        <f t="shared" si="1"/>
        <v>-0.0866536951380069</v>
      </c>
    </row>
    <row customHeight="1" ht="15">
      <c r="A142" s="9" t="s">
        <v>173</v>
      </c>
      <c r="B142" s="11">
        <f t="shared" si="4"/>
        <v>65.417</v>
      </c>
      <c r="C142" s="11">
        <f t="shared" si="40" ref="C142:AG142">SUM(C133:C134)+SUM(C136:C141)</f>
        <v>341.042</v>
      </c>
      <c r="D142" s="11">
        <f t="shared" si="40"/>
        <v>270.945</v>
      </c>
      <c r="E142" s="11">
        <f t="shared" si="40"/>
        <v>325.112</v>
      </c>
      <c r="F142" s="11">
        <f t="shared" si="40"/>
        <v>311.529</v>
      </c>
      <c r="G142" s="11">
        <f t="shared" si="41" ref="G142:AN142">SUM(G133:G134)+G136+SUM(G138:G141)</f>
        <v>341.881</v>
      </c>
      <c r="H142" s="11">
        <f t="shared" si="41"/>
        <v>594.067</v>
      </c>
      <c r="I142" s="11">
        <f t="shared" si="41"/>
        <v>518.218</v>
      </c>
      <c r="J142" s="10">
        <f t="shared" si="28"/>
        <v>439.714</v>
      </c>
      <c r="N142" s="11">
        <f t="shared" si="40"/>
        <v>341.042</v>
      </c>
      <c r="O142" s="11">
        <f t="shared" si="40"/>
        <v>336.31</v>
      </c>
      <c r="P142" s="11">
        <f t="shared" si="40"/>
        <v>329.451</v>
      </c>
      <c r="Q142" s="11">
        <f t="shared" si="40"/>
        <v>302.681</v>
      </c>
      <c r="R142" s="11">
        <f t="shared" si="40"/>
        <v>270.945</v>
      </c>
      <c r="S142" s="11">
        <f t="shared" si="40"/>
        <v>284.034</v>
      </c>
      <c r="T142" s="11">
        <f t="shared" si="40"/>
        <v>293.971</v>
      </c>
      <c r="U142" s="11">
        <f t="shared" si="40"/>
        <v>322.556</v>
      </c>
      <c r="V142" s="11">
        <f t="shared" si="40"/>
        <v>325.112</v>
      </c>
      <c r="W142" s="11">
        <f t="shared" si="40"/>
        <v>312.932</v>
      </c>
      <c r="X142" s="11">
        <f t="shared" si="40"/>
        <v>313.327</v>
      </c>
      <c r="Y142" s="11">
        <f t="shared" si="40"/>
        <v>387.926</v>
      </c>
      <c r="Z142" s="11">
        <f t="shared" si="40"/>
        <v>311.529</v>
      </c>
      <c r="AA142" s="11">
        <f t="shared" si="42" ref="AA142:AC142">AA133+AA137+SUM(AA139:AA141)</f>
        <v>272.47</v>
      </c>
      <c r="AB142" s="11">
        <f t="shared" si="42"/>
        <v>305.226</v>
      </c>
      <c r="AC142" s="11">
        <f t="shared" si="42"/>
        <v>386.426</v>
      </c>
      <c r="AD142" s="11">
        <f t="shared" si="41"/>
        <v>341.881</v>
      </c>
      <c r="AE142" s="11">
        <f t="shared" si="40"/>
        <v>251.98</v>
      </c>
      <c r="AF142" s="11">
        <f t="shared" si="40"/>
        <v>647.515</v>
      </c>
      <c r="AG142" s="11">
        <f t="shared" si="40"/>
        <v>716.785</v>
      </c>
      <c r="AH142" s="11">
        <f t="shared" si="41"/>
        <v>594.067</v>
      </c>
      <c r="AI142" s="11">
        <f t="shared" si="41"/>
        <v>472.275</v>
      </c>
      <c r="AJ142" s="11">
        <f t="shared" si="41"/>
        <v>476.151</v>
      </c>
      <c r="AK142" s="11">
        <f t="shared" si="41"/>
        <v>543.169</v>
      </c>
      <c r="AL142" s="11">
        <f t="shared" si="41"/>
        <v>518.218</v>
      </c>
      <c r="AM142" s="11">
        <f t="shared" si="41"/>
        <v>463.464</v>
      </c>
      <c r="AN142" s="11">
        <f t="shared" si="41"/>
        <v>439.714</v>
      </c>
      <c r="AO142" s="12">
        <f t="shared" si="0"/>
        <v>-0.0512445411078315</v>
      </c>
      <c r="AP142" s="12">
        <f t="shared" si="1"/>
        <v>-0.0765240438432346</v>
      </c>
    </row>
    <row customHeight="1" ht="15">
      <c r="A143" s="9" t="s">
        <v>174</v>
      </c>
      <c r="B143" s="0">
        <v>-0.662</v>
      </c>
      <c r="C143" s="0">
        <v>4.98</v>
      </c>
      <c r="D143" s="0">
        <v>2.425</v>
      </c>
      <c r="E143" s="0">
        <v>3.267</v>
      </c>
      <c r="F143" s="0">
        <v>4.088</v>
      </c>
      <c r="G143" s="0">
        <v>6</v>
      </c>
      <c r="H143" s="0">
        <v>11.401</v>
      </c>
      <c r="I143" s="0">
        <v>11.045</v>
      </c>
      <c r="J143" s="10">
        <f t="shared" si="28"/>
        <v>12.591</v>
      </c>
      <c r="N143" s="0">
        <v>4.98</v>
      </c>
      <c r="O143" s="0">
        <v>5.726</v>
      </c>
      <c r="P143" s="0">
        <v>10.047</v>
      </c>
      <c r="Q143" s="0">
        <v>10.925</v>
      </c>
      <c r="R143" s="0">
        <v>2.425</v>
      </c>
      <c r="S143" s="0">
        <v>2.368</v>
      </c>
      <c r="T143" s="0">
        <v>2.565</v>
      </c>
      <c r="U143" s="0">
        <v>2.814</v>
      </c>
      <c r="V143" s="0">
        <v>3.267</v>
      </c>
      <c r="W143" s="0">
        <v>4.152</v>
      </c>
      <c r="X143" s="0">
        <v>4.707</v>
      </c>
      <c r="Y143" s="0">
        <v>14.78</v>
      </c>
      <c r="Z143" s="0">
        <v>4.088</v>
      </c>
      <c r="AA143" s="0">
        <v>4.892</v>
      </c>
      <c r="AB143" s="0">
        <v>4.203</v>
      </c>
      <c r="AC143" s="0">
        <v>3.588</v>
      </c>
      <c r="AD143" s="0">
        <v>6</v>
      </c>
      <c r="AE143" s="0">
        <v>7.15</v>
      </c>
      <c r="AF143" s="0">
        <v>7.369</v>
      </c>
      <c r="AG143" s="0">
        <v>7.65</v>
      </c>
      <c r="AH143" s="0">
        <v>11.401</v>
      </c>
      <c r="AI143" s="0">
        <v>12.234</v>
      </c>
      <c r="AJ143" s="0">
        <v>11.974</v>
      </c>
      <c r="AK143" s="0">
        <v>9.575</v>
      </c>
      <c r="AL143" s="0">
        <v>11.045</v>
      </c>
      <c r="AM143" s="0">
        <v>11.065</v>
      </c>
      <c r="AN143" s="0">
        <v>12.591</v>
      </c>
      <c r="AO143" s="12">
        <f t="shared" si="0"/>
        <v>0.13791233619521</v>
      </c>
      <c r="AP143" s="12">
        <f t="shared" si="1"/>
        <v>0.0515283113412393</v>
      </c>
    </row>
    <row customHeight="1" ht="15">
      <c r="A144" s="4" t="s">
        <v>175</v>
      </c>
      <c r="B144" s="7">
        <f t="shared" si="5"/>
        <v>64.755</v>
      </c>
      <c r="C144" s="7">
        <f t="shared" si="5"/>
        <v>346.022</v>
      </c>
      <c r="D144" s="7">
        <f t="shared" si="5"/>
        <v>273.37</v>
      </c>
      <c r="E144" s="7">
        <f t="shared" si="5"/>
        <v>328.379</v>
      </c>
      <c r="F144" s="7">
        <f t="shared" si="5"/>
        <v>315.617</v>
      </c>
      <c r="G144" s="7">
        <f t="shared" si="5"/>
        <v>347.881</v>
      </c>
      <c r="H144" s="7">
        <f t="shared" si="5"/>
        <v>605.468</v>
      </c>
      <c r="I144" s="7">
        <f t="shared" si="5"/>
        <v>529.263</v>
      </c>
      <c r="J144" s="6">
        <f t="shared" si="28"/>
        <v>452.305</v>
      </c>
      <c r="N144" s="7">
        <f t="shared" si="5"/>
        <v>346.022</v>
      </c>
      <c r="O144" s="7">
        <f t="shared" si="5"/>
        <v>342.036</v>
      </c>
      <c r="P144" s="7">
        <f t="shared" si="5"/>
        <v>339.498</v>
      </c>
      <c r="Q144" s="7">
        <f t="shared" si="5"/>
        <v>313.606</v>
      </c>
      <c r="R144" s="7">
        <f t="shared" si="5"/>
        <v>273.37</v>
      </c>
      <c r="S144" s="7">
        <f t="shared" si="5"/>
        <v>286.402</v>
      </c>
      <c r="T144" s="7">
        <f t="shared" si="5"/>
        <v>296.536</v>
      </c>
      <c r="U144" s="7">
        <f t="shared" si="5"/>
        <v>325.37</v>
      </c>
      <c r="V144" s="7">
        <f t="shared" si="5"/>
        <v>328.379</v>
      </c>
      <c r="W144" s="7">
        <f t="shared" si="5"/>
        <v>317.084</v>
      </c>
      <c r="X144" s="7">
        <f t="shared" si="5"/>
        <v>318.034</v>
      </c>
      <c r="Y144" s="7">
        <f t="shared" si="5"/>
        <v>402.706</v>
      </c>
      <c r="Z144" s="7">
        <f t="shared" si="5"/>
        <v>315.617</v>
      </c>
      <c r="AA144" s="7">
        <f t="shared" si="5"/>
        <v>277.362</v>
      </c>
      <c r="AB144" s="7">
        <f t="shared" si="5"/>
        <v>309.429</v>
      </c>
      <c r="AC144" s="7">
        <f t="shared" si="5"/>
        <v>390.014</v>
      </c>
      <c r="AD144" s="7">
        <f t="shared" si="5"/>
        <v>347.881</v>
      </c>
      <c r="AE144" s="7">
        <f t="shared" si="5"/>
        <v>259.13</v>
      </c>
      <c r="AF144" s="7">
        <f t="shared" si="5"/>
        <v>654.884</v>
      </c>
      <c r="AG144" s="7">
        <f t="shared" si="5"/>
        <v>724.435</v>
      </c>
      <c r="AH144" s="7">
        <f t="shared" si="5"/>
        <v>605.468</v>
      </c>
      <c r="AI144" s="7">
        <f t="shared" si="5"/>
        <v>484.509</v>
      </c>
      <c r="AJ144" s="7">
        <f t="shared" si="5"/>
        <v>488.125</v>
      </c>
      <c r="AK144" s="7">
        <f t="shared" si="5"/>
        <v>552.744</v>
      </c>
      <c r="AL144" s="7">
        <f t="shared" si="5"/>
        <v>529.263</v>
      </c>
      <c r="AM144" s="7">
        <f t="shared" si="5"/>
        <v>474.529</v>
      </c>
      <c r="AN144" s="7">
        <f t="shared" si="5"/>
        <v>452.305</v>
      </c>
      <c r="AO144" s="8">
        <f t="shared" si="0"/>
        <v>-0.0468338078389308</v>
      </c>
      <c r="AP144" s="8">
        <f t="shared" si="1"/>
        <v>-0.073382842509603</v>
      </c>
    </row>
    <row customHeight="1" ht="15">
      <c r="A145" s="9" t="s">
        <v>176</v>
      </c>
      <c r="B145" s="0">
        <v>0</v>
      </c>
      <c r="C145" s="0">
        <v>0</v>
      </c>
      <c r="D145" s="0">
        <v>0</v>
      </c>
      <c r="E145" s="0">
        <v>300.92</v>
      </c>
      <c r="F145" s="0">
        <v>325.726</v>
      </c>
      <c r="G145" s="0">
        <v>352.576</v>
      </c>
      <c r="H145" s="0">
        <v>0</v>
      </c>
      <c r="I145" s="0">
        <v>0</v>
      </c>
      <c r="J145" s="10">
        <f t="shared" si="28"/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300.92</v>
      </c>
      <c r="W145" s="0">
        <v>306.856</v>
      </c>
      <c r="X145" s="0">
        <v>312.977</v>
      </c>
      <c r="Y145" s="0">
        <v>319.288</v>
      </c>
      <c r="Z145" s="0">
        <v>325.726</v>
      </c>
      <c r="AA145" s="0">
        <v>332.151</v>
      </c>
      <c r="AB145" s="0">
        <v>338.776</v>
      </c>
      <c r="AC145" s="0">
        <v>345.607</v>
      </c>
      <c r="AD145" s="0">
        <v>352.576</v>
      </c>
      <c r="AE145" s="0">
        <v>359.608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12">
        <f t="shared" si="0"/>
        <v>0</v>
      </c>
      <c r="AP145" s="12">
        <f t="shared" si="1"/>
        <v>0</v>
      </c>
    </row>
    <row customHeight="1" ht="15">
      <c r="A146" s="9" t="s">
        <v>177</v>
      </c>
      <c r="B146" s="0">
        <v>0</v>
      </c>
      <c r="C146" s="0">
        <v>161.201</v>
      </c>
      <c r="D146" s="0">
        <v>115.846</v>
      </c>
      <c r="E146" s="0">
        <v>126.529</v>
      </c>
      <c r="F146" s="0">
        <v>363.171</v>
      </c>
      <c r="G146" s="0">
        <v>786.959</v>
      </c>
      <c r="H146" s="0">
        <v>1032.356</v>
      </c>
      <c r="I146" s="0">
        <v>445.296</v>
      </c>
      <c r="J146" s="10">
        <f t="shared" si="28"/>
        <v>282.202</v>
      </c>
      <c r="N146" s="0">
        <v>161.201</v>
      </c>
      <c r="O146" s="0">
        <v>176.956</v>
      </c>
      <c r="P146" s="0">
        <v>156.342</v>
      </c>
      <c r="Q146" s="0">
        <v>143.171</v>
      </c>
      <c r="R146" s="0">
        <v>115.846</v>
      </c>
      <c r="S146" s="0">
        <v>115.424</v>
      </c>
      <c r="T146" s="0">
        <v>126.875</v>
      </c>
      <c r="U146" s="0">
        <v>137.183</v>
      </c>
      <c r="V146" s="0">
        <v>126.529</v>
      </c>
      <c r="W146" s="0">
        <v>163.68</v>
      </c>
      <c r="X146" s="0">
        <v>240.265</v>
      </c>
      <c r="Y146" s="0">
        <v>401.568</v>
      </c>
      <c r="Z146" s="0">
        <v>363.171</v>
      </c>
      <c r="AA146" s="0">
        <v>495.549</v>
      </c>
      <c r="AB146" s="0">
        <v>619.594</v>
      </c>
      <c r="AC146" s="0">
        <v>726.86</v>
      </c>
      <c r="AD146" s="0">
        <v>786.959</v>
      </c>
      <c r="AE146" s="0">
        <v>985.896</v>
      </c>
      <c r="AF146" s="0">
        <v>1036.177</v>
      </c>
      <c r="AG146" s="0">
        <v>983.634</v>
      </c>
      <c r="AH146" s="0">
        <v>1032.356</v>
      </c>
      <c r="AI146" s="0">
        <v>910.105</v>
      </c>
      <c r="AJ146" s="0">
        <v>739.863</v>
      </c>
      <c r="AK146" s="0">
        <v>689.379</v>
      </c>
      <c r="AL146" s="0">
        <v>445.296</v>
      </c>
      <c r="AM146" s="0">
        <v>436.199</v>
      </c>
      <c r="AN146" s="0">
        <v>282.202</v>
      </c>
      <c r="AO146" s="12">
        <f t="shared" si="0"/>
        <v>-0.353042991845465</v>
      </c>
      <c r="AP146" s="12">
        <f t="shared" si="1"/>
        <v>-0.618575330838277</v>
      </c>
    </row>
    <row customHeight="1" ht="15">
      <c r="A147" s="9" t="s">
        <v>178</v>
      </c>
      <c r="B147" s="0">
        <v>15.888</v>
      </c>
      <c r="C147" s="0">
        <v>270.317</v>
      </c>
      <c r="D147" s="0">
        <v>235.195</v>
      </c>
      <c r="E147" s="0">
        <v>281.613</v>
      </c>
      <c r="F147" s="0">
        <v>234.09</v>
      </c>
      <c r="G147" s="0">
        <v>29.985</v>
      </c>
      <c r="H147" s="0">
        <v>320.833</v>
      </c>
      <c r="I147" s="0">
        <v>338.77</v>
      </c>
      <c r="J147" s="10">
        <f t="shared" si="28"/>
        <v>378.408</v>
      </c>
      <c r="N147" s="0">
        <v>270.317</v>
      </c>
      <c r="O147" s="0">
        <v>274.735</v>
      </c>
      <c r="P147" s="0">
        <v>260.38</v>
      </c>
      <c r="Q147" s="0">
        <v>248.659</v>
      </c>
      <c r="R147" s="0">
        <v>235.195</v>
      </c>
      <c r="S147" s="0">
        <v>245.667</v>
      </c>
      <c r="T147" s="0">
        <v>257.194</v>
      </c>
      <c r="U147" s="0">
        <v>269.863</v>
      </c>
      <c r="V147" s="0">
        <v>281.613</v>
      </c>
      <c r="W147" s="0">
        <v>290.701</v>
      </c>
      <c r="X147" s="0">
        <v>302.952</v>
      </c>
      <c r="Y147" s="0">
        <v>259.431</v>
      </c>
      <c r="Z147" s="0">
        <v>234.09</v>
      </c>
      <c r="AA147" s="0">
        <v>228.704</v>
      </c>
      <c r="AB147" s="0">
        <v>202.715</v>
      </c>
      <c r="AC147" s="0">
        <v>199.731</v>
      </c>
      <c r="AD147" s="0">
        <v>29.985</v>
      </c>
      <c r="AE147" s="0">
        <v>30.187</v>
      </c>
      <c r="AF147" s="0">
        <v>316.706</v>
      </c>
      <c r="AG147" s="0">
        <v>302.877</v>
      </c>
      <c r="AH147" s="0">
        <v>320.833</v>
      </c>
      <c r="AI147" s="0">
        <v>312.062</v>
      </c>
      <c r="AJ147" s="0">
        <v>311.062</v>
      </c>
      <c r="AK147" s="0">
        <v>308.647</v>
      </c>
      <c r="AL147" s="0">
        <v>338.77</v>
      </c>
      <c r="AM147" s="0">
        <v>356.723</v>
      </c>
      <c r="AN147" s="0">
        <v>378.408</v>
      </c>
      <c r="AO147" s="12">
        <f t="shared" si="0"/>
        <v>0.060789464093989</v>
      </c>
      <c r="AP147" s="12">
        <f t="shared" si="1"/>
        <v>0.216503462332268</v>
      </c>
    </row>
    <row customHeight="1" ht="15">
      <c r="A148" s="9" t="s">
        <v>179</v>
      </c>
      <c r="B148" s="0">
        <v>1.016</v>
      </c>
      <c r="C148" s="0">
        <v>0.773</v>
      </c>
      <c r="D148" s="0">
        <v>0.535</v>
      </c>
      <c r="E148" s="0">
        <v>0.298</v>
      </c>
      <c r="F148" s="0">
        <v>0</v>
      </c>
      <c r="G148" s="0">
        <v>0</v>
      </c>
      <c r="H148" s="0">
        <v>0</v>
      </c>
      <c r="I148" s="0">
        <v>0</v>
      </c>
      <c r="J148" s="10">
        <f t="shared" si="28"/>
        <v>0</v>
      </c>
      <c r="N148" s="0">
        <v>0.773</v>
      </c>
      <c r="O148" s="0">
        <v>0.713</v>
      </c>
      <c r="P148" s="0">
        <v>0.654</v>
      </c>
      <c r="Q148" s="0">
        <v>0.594</v>
      </c>
      <c r="R148" s="0">
        <v>0.535</v>
      </c>
      <c r="S148" s="0">
        <v>0.475</v>
      </c>
      <c r="T148" s="0">
        <v>0.416</v>
      </c>
      <c r="U148" s="0">
        <v>0.357</v>
      </c>
      <c r="V148" s="0">
        <v>0.298</v>
      </c>
      <c r="W148" s="0">
        <v>0.244</v>
      </c>
      <c r="X148" s="0">
        <v>0.197</v>
      </c>
      <c r="Y148" s="0">
        <v>0.151</v>
      </c>
      <c r="Z148" s="0">
        <v>0</v>
      </c>
      <c r="AA148" s="0">
        <v>0.062</v>
      </c>
      <c r="AB148" s="0">
        <v>0.349</v>
      </c>
      <c r="AC148" s="0">
        <v>0.326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12">
        <f t="shared" si="0"/>
        <v>0</v>
      </c>
      <c r="AP148" s="12">
        <f t="shared" si="1"/>
        <v>0</v>
      </c>
    </row>
    <row customHeight="1" ht="15">
      <c r="A149" s="9" t="s">
        <v>91</v>
      </c>
      <c r="B149" s="0">
        <v>0.363</v>
      </c>
      <c r="C149" s="0">
        <v>1.097</v>
      </c>
      <c r="D149" s="0">
        <v>0.505</v>
      </c>
      <c r="E149" s="0">
        <v>0.385</v>
      </c>
      <c r="F149" s="0">
        <v>1.068</v>
      </c>
      <c r="G149" s="0">
        <v>0.845</v>
      </c>
      <c r="H149" s="0">
        <v>1.971</v>
      </c>
      <c r="I149" s="0">
        <v>0.429</v>
      </c>
      <c r="J149" s="10">
        <f t="shared" si="28"/>
        <v>0.452</v>
      </c>
      <c r="N149" s="0">
        <v>1.097</v>
      </c>
      <c r="O149" s="0">
        <v>0.692</v>
      </c>
      <c r="P149" s="0">
        <v>0.743</v>
      </c>
      <c r="Q149" s="0">
        <v>0.687</v>
      </c>
      <c r="R149" s="0">
        <v>0.505</v>
      </c>
      <c r="S149" s="0">
        <v>0.535</v>
      </c>
      <c r="T149" s="0">
        <v>1.125</v>
      </c>
      <c r="U149" s="0">
        <v>1.154</v>
      </c>
      <c r="V149" s="0">
        <v>0.385</v>
      </c>
      <c r="W149" s="0">
        <v>0.295</v>
      </c>
      <c r="X149" s="0">
        <v>0.274</v>
      </c>
      <c r="Y149" s="0">
        <v>1.068</v>
      </c>
      <c r="Z149" s="0">
        <v>1.068</v>
      </c>
      <c r="AA149" s="0">
        <v>2.054</v>
      </c>
      <c r="AB149" s="0">
        <v>2.326</v>
      </c>
      <c r="AC149" s="0">
        <v>2.051</v>
      </c>
      <c r="AD149" s="0">
        <v>0.845</v>
      </c>
      <c r="AE149" s="0">
        <v>0.9</v>
      </c>
      <c r="AF149" s="0">
        <v>1.915</v>
      </c>
      <c r="AG149" s="0">
        <v>2.274</v>
      </c>
      <c r="AH149" s="0">
        <v>1.971</v>
      </c>
      <c r="AI149" s="0">
        <v>0.648</v>
      </c>
      <c r="AJ149" s="0">
        <v>0.647</v>
      </c>
      <c r="AK149" s="0">
        <v>0.653</v>
      </c>
      <c r="AL149" s="0">
        <v>0.429</v>
      </c>
      <c r="AM149" s="0">
        <v>0.465</v>
      </c>
      <c r="AN149" s="0">
        <v>0.452</v>
      </c>
      <c r="AO149" s="12">
        <f t="shared" si="0"/>
        <v>-0.0279569892473118</v>
      </c>
      <c r="AP149" s="12">
        <f t="shared" si="1"/>
        <v>-0.301391035548686</v>
      </c>
    </row>
    <row customHeight="1" ht="15">
      <c r="A150" s="9" t="s">
        <v>180</v>
      </c>
      <c r="B150" s="0">
        <v>0.432</v>
      </c>
      <c r="C150" s="0">
        <v>4.6</v>
      </c>
      <c r="D150" s="0">
        <v>2.45</v>
      </c>
      <c r="E150" s="0">
        <v>18.537</v>
      </c>
      <c r="F150" s="0">
        <v>12.387</v>
      </c>
      <c r="G150" s="0">
        <v>7.705</v>
      </c>
      <c r="H150" s="0">
        <v>3.883</v>
      </c>
      <c r="I150" s="0">
        <v>3.748</v>
      </c>
      <c r="J150" s="10">
        <f t="shared" si="28"/>
        <v>3.591</v>
      </c>
      <c r="N150" s="0">
        <v>4.6</v>
      </c>
      <c r="O150" s="0">
        <v>4.142</v>
      </c>
      <c r="P150" s="0">
        <v>3.468</v>
      </c>
      <c r="Q150" s="0">
        <v>3.41</v>
      </c>
      <c r="R150" s="0">
        <v>2.45</v>
      </c>
      <c r="S150" s="0">
        <v>2.739</v>
      </c>
      <c r="T150" s="0">
        <v>5.838</v>
      </c>
      <c r="U150" s="0">
        <v>11.883</v>
      </c>
      <c r="V150" s="0">
        <v>18.537</v>
      </c>
      <c r="W150" s="0">
        <v>18.196</v>
      </c>
      <c r="X150" s="0">
        <v>20.674</v>
      </c>
      <c r="Y150" s="0">
        <v>23.688</v>
      </c>
      <c r="Z150" s="0">
        <v>12.387</v>
      </c>
      <c r="AA150" s="0">
        <v>21.263</v>
      </c>
      <c r="AB150" s="0">
        <v>22.902</v>
      </c>
      <c r="AC150" s="0">
        <v>26.658</v>
      </c>
      <c r="AD150" s="0">
        <v>7.705</v>
      </c>
      <c r="AE150" s="0">
        <v>7.648</v>
      </c>
      <c r="AF150" s="0">
        <v>7.138</v>
      </c>
      <c r="AG150" s="0">
        <v>5.95</v>
      </c>
      <c r="AH150" s="0">
        <v>3.883</v>
      </c>
      <c r="AI150" s="0">
        <v>3.643</v>
      </c>
      <c r="AJ150" s="0">
        <v>2.942</v>
      </c>
      <c r="AK150" s="0">
        <v>3.666</v>
      </c>
      <c r="AL150" s="0">
        <v>3.748</v>
      </c>
      <c r="AM150" s="0">
        <v>3.497</v>
      </c>
      <c r="AN150" s="0">
        <v>3.591</v>
      </c>
      <c r="AO150" s="12">
        <f t="shared" si="0"/>
        <v>0.0268801830140122</v>
      </c>
      <c r="AP150" s="12">
        <f t="shared" si="1"/>
        <v>0.220598232494901</v>
      </c>
    </row>
    <row customHeight="1" ht="15">
      <c r="A151" s="9" t="s">
        <v>181</v>
      </c>
      <c r="B151" s="0">
        <v>0</v>
      </c>
      <c r="C151" s="0">
        <v>0</v>
      </c>
      <c r="D151" s="0">
        <v>0</v>
      </c>
      <c r="E151" s="0">
        <v>0</v>
      </c>
      <c r="F151" s="0">
        <v>8.767</v>
      </c>
      <c r="G151" s="0">
        <v>15.813</v>
      </c>
      <c r="H151" s="0">
        <v>19.89</v>
      </c>
      <c r="I151" s="0">
        <v>22.792</v>
      </c>
      <c r="J151" s="10">
        <f t="shared" si="28"/>
        <v>16.575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8.767</v>
      </c>
      <c r="AA151" s="0">
        <v>0</v>
      </c>
      <c r="AB151" s="0">
        <v>0</v>
      </c>
      <c r="AC151" s="0">
        <v>0</v>
      </c>
      <c r="AD151" s="0">
        <v>15.813</v>
      </c>
      <c r="AE151" s="0">
        <v>16.832</v>
      </c>
      <c r="AF151" s="0">
        <v>15.567</v>
      </c>
      <c r="AG151" s="0">
        <v>13.523</v>
      </c>
      <c r="AH151" s="0">
        <v>19.89</v>
      </c>
      <c r="AI151" s="0">
        <v>13.498</v>
      </c>
      <c r="AJ151" s="0">
        <v>19.913</v>
      </c>
      <c r="AK151" s="0">
        <v>22.214</v>
      </c>
      <c r="AL151" s="0">
        <v>22.792</v>
      </c>
      <c r="AM151" s="0">
        <v>16.695</v>
      </c>
      <c r="AN151" s="0">
        <v>16.575</v>
      </c>
      <c r="AO151" s="12">
        <f t="shared" si="0"/>
        <v>-0.00718778077268645</v>
      </c>
      <c r="AP151" s="12">
        <f t="shared" si="1"/>
        <v>-0.16762918696329</v>
      </c>
    </row>
    <row customHeight="1" ht="15">
      <c r="A152" s="9" t="s">
        <v>182</v>
      </c>
      <c r="B152" s="0">
        <v>1.606</v>
      </c>
      <c r="C152" s="0">
        <v>14.434</v>
      </c>
      <c r="D152" s="0">
        <v>18.275</v>
      </c>
      <c r="E152" s="0">
        <v>11.626</v>
      </c>
      <c r="F152" s="0">
        <v>11.151</v>
      </c>
      <c r="G152" s="0">
        <v>17.161</v>
      </c>
      <c r="H152" s="0">
        <v>23.879</v>
      </c>
      <c r="I152" s="0">
        <v>20.088</v>
      </c>
      <c r="J152" s="10">
        <f t="shared" si="28"/>
        <v>22.529</v>
      </c>
      <c r="N152" s="0">
        <v>14.434</v>
      </c>
      <c r="O152" s="0">
        <v>21.279</v>
      </c>
      <c r="P152" s="0">
        <v>19.693</v>
      </c>
      <c r="Q152" s="0">
        <v>20.372</v>
      </c>
      <c r="R152" s="0">
        <v>18.275</v>
      </c>
      <c r="S152" s="0">
        <v>18.249</v>
      </c>
      <c r="T152" s="0">
        <v>9.143</v>
      </c>
      <c r="U152" s="0">
        <v>9.402</v>
      </c>
      <c r="V152" s="0">
        <v>11.626</v>
      </c>
      <c r="W152" s="0">
        <v>8.797</v>
      </c>
      <c r="X152" s="0">
        <v>10.105</v>
      </c>
      <c r="Y152" s="0">
        <v>11.423</v>
      </c>
      <c r="Z152" s="0">
        <v>11.151</v>
      </c>
      <c r="AA152" s="0">
        <v>13.922</v>
      </c>
      <c r="AB152" s="0">
        <v>13.366</v>
      </c>
      <c r="AC152" s="0">
        <v>13.474</v>
      </c>
      <c r="AD152" s="0">
        <v>17.161</v>
      </c>
      <c r="AE152" s="0">
        <v>20.193</v>
      </c>
      <c r="AF152" s="0">
        <v>17.216</v>
      </c>
      <c r="AG152" s="0">
        <v>18.026</v>
      </c>
      <c r="AH152" s="0">
        <v>23.879</v>
      </c>
      <c r="AI152" s="0">
        <v>18.78</v>
      </c>
      <c r="AJ152" s="0">
        <v>19.705</v>
      </c>
      <c r="AK152" s="0">
        <v>19.065</v>
      </c>
      <c r="AL152" s="0">
        <v>20.088</v>
      </c>
      <c r="AM152" s="0">
        <v>21.475</v>
      </c>
      <c r="AN152" s="0">
        <v>22.529</v>
      </c>
      <c r="AO152" s="12">
        <f t="shared" si="0"/>
        <v>0.0490803259604191</v>
      </c>
      <c r="AP152" s="12">
        <f t="shared" si="1"/>
        <v>0.143313879725958</v>
      </c>
    </row>
    <row customHeight="1" ht="15">
      <c r="A153" s="9" t="s">
        <v>150</v>
      </c>
      <c r="B153" s="0">
        <v>0</v>
      </c>
      <c r="C153" s="0">
        <v>4.686</v>
      </c>
      <c r="D153" s="0">
        <v>12.453</v>
      </c>
      <c r="E153" s="0">
        <v>5.865</v>
      </c>
      <c r="F153" s="0">
        <v>0.195</v>
      </c>
      <c r="G153" s="0">
        <v>1.464</v>
      </c>
      <c r="H153" s="0">
        <v>0</v>
      </c>
      <c r="I153" s="0">
        <v>7.515</v>
      </c>
      <c r="J153" s="10">
        <f t="shared" si="28"/>
        <v>5.127</v>
      </c>
      <c r="N153" s="0">
        <v>4.686</v>
      </c>
      <c r="O153" s="0">
        <v>3.747</v>
      </c>
      <c r="P153" s="0">
        <v>4.893</v>
      </c>
      <c r="Q153" s="0">
        <v>8.25</v>
      </c>
      <c r="R153" s="0">
        <v>12.453</v>
      </c>
      <c r="S153" s="0">
        <v>9.132</v>
      </c>
      <c r="T153" s="0">
        <v>9.855</v>
      </c>
      <c r="U153" s="0">
        <v>7.13</v>
      </c>
      <c r="V153" s="0">
        <v>5.865</v>
      </c>
      <c r="W153" s="0">
        <v>5.003</v>
      </c>
      <c r="X153" s="0">
        <v>0</v>
      </c>
      <c r="Y153" s="0">
        <v>0</v>
      </c>
      <c r="Z153" s="0">
        <v>0.195</v>
      </c>
      <c r="AA153" s="0">
        <v>0.691</v>
      </c>
      <c r="AB153" s="0">
        <v>0.701</v>
      </c>
      <c r="AC153" s="0">
        <v>0</v>
      </c>
      <c r="AD153" s="0">
        <v>1.464</v>
      </c>
      <c r="AE153" s="0">
        <v>0.054</v>
      </c>
      <c r="AF153" s="0">
        <v>0</v>
      </c>
      <c r="AG153" s="0">
        <v>4.336</v>
      </c>
      <c r="AH153" s="0">
        <v>0</v>
      </c>
      <c r="AI153" s="0">
        <v>0.334</v>
      </c>
      <c r="AJ153" s="0">
        <v>9.032</v>
      </c>
      <c r="AK153" s="0">
        <v>7.825</v>
      </c>
      <c r="AL153" s="0">
        <v>7.515</v>
      </c>
      <c r="AM153" s="0">
        <v>5.191</v>
      </c>
      <c r="AN153" s="0">
        <v>5.127</v>
      </c>
      <c r="AO153" s="12">
        <f t="shared" si="0"/>
        <v>-0.0123290310152186</v>
      </c>
      <c r="AP153" s="12">
        <f t="shared" si="1"/>
        <v>-0.432351638618246</v>
      </c>
    </row>
    <row customHeight="1" ht="15">
      <c r="A154" s="4" t="s">
        <v>183</v>
      </c>
      <c r="B154" s="7">
        <f t="shared" si="43" ref="B154:U154">SUM(B146:B150)+SUM(B152:B153)</f>
        <v>19.305</v>
      </c>
      <c r="C154" s="7">
        <f t="shared" si="43"/>
        <v>457.108</v>
      </c>
      <c r="D154" s="7">
        <f t="shared" si="44" ref="D154:AN164">SUM(D145:D150)+SUM(D152:D153)</f>
        <v>385.259</v>
      </c>
      <c r="E154" s="7">
        <f t="shared" si="44"/>
        <v>745.773</v>
      </c>
      <c r="F154" s="7">
        <f t="shared" si="45" ref="F154:AG154">SUM(F145:F147)+SUM(F149:F153)</f>
        <v>956.555</v>
      </c>
      <c r="G154" s="7">
        <f t="shared" si="45"/>
        <v>1212.508</v>
      </c>
      <c r="H154" s="7">
        <f t="shared" si="46" ref="H154:AN154">SUM(H146:H147)+SUM(H149:H153)</f>
        <v>1402.812</v>
      </c>
      <c r="I154" s="7">
        <f t="shared" si="46"/>
        <v>838.638</v>
      </c>
      <c r="J154" s="6">
        <f t="shared" si="28"/>
        <v>708.884</v>
      </c>
      <c r="N154" s="7">
        <f t="shared" si="43"/>
        <v>457.108</v>
      </c>
      <c r="O154" s="7">
        <f t="shared" si="43"/>
        <v>482.264</v>
      </c>
      <c r="P154" s="7">
        <f t="shared" si="43"/>
        <v>446.173</v>
      </c>
      <c r="Q154" s="7">
        <f t="shared" si="43"/>
        <v>425.143</v>
      </c>
      <c r="R154" s="7">
        <f t="shared" si="44"/>
        <v>385.259</v>
      </c>
      <c r="S154" s="7">
        <f t="shared" si="43"/>
        <v>392.221</v>
      </c>
      <c r="T154" s="7">
        <f t="shared" si="43"/>
        <v>410.446</v>
      </c>
      <c r="U154" s="7">
        <f t="shared" si="43"/>
        <v>436.972</v>
      </c>
      <c r="V154" s="7">
        <f t="shared" si="44"/>
        <v>745.773</v>
      </c>
      <c r="W154" s="7">
        <f t="shared" si="44"/>
        <v>793.772</v>
      </c>
      <c r="X154" s="7">
        <f t="shared" si="44"/>
        <v>887.444</v>
      </c>
      <c r="Y154" s="7">
        <f t="shared" si="44"/>
        <v>1016.617</v>
      </c>
      <c r="Z154" s="7">
        <f t="shared" si="45"/>
        <v>956.555</v>
      </c>
      <c r="AA154" s="7">
        <f t="shared" si="44"/>
        <v>1094.396</v>
      </c>
      <c r="AB154" s="7">
        <f t="shared" si="44"/>
        <v>1200.729</v>
      </c>
      <c r="AC154" s="7">
        <f t="shared" si="44"/>
        <v>1314.707</v>
      </c>
      <c r="AD154" s="7">
        <f t="shared" si="45"/>
        <v>1212.508</v>
      </c>
      <c r="AE154" s="7">
        <f t="shared" si="45"/>
        <v>1421.318</v>
      </c>
      <c r="AF154" s="7">
        <f t="shared" si="45"/>
        <v>1394.719</v>
      </c>
      <c r="AG154" s="7">
        <f t="shared" si="45"/>
        <v>1330.62</v>
      </c>
      <c r="AH154" s="7">
        <f t="shared" si="46"/>
        <v>1402.812</v>
      </c>
      <c r="AI154" s="7">
        <f t="shared" si="46"/>
        <v>1259.07</v>
      </c>
      <c r="AJ154" s="7">
        <f t="shared" si="46"/>
        <v>1103.164</v>
      </c>
      <c r="AK154" s="7">
        <f t="shared" si="46"/>
        <v>1051.449</v>
      </c>
      <c r="AL154" s="7">
        <f t="shared" si="46"/>
        <v>838.638</v>
      </c>
      <c r="AM154" s="7">
        <f t="shared" si="46"/>
        <v>840.245</v>
      </c>
      <c r="AN154" s="7">
        <f t="shared" si="46"/>
        <v>708.884</v>
      </c>
      <c r="AO154" s="8">
        <f t="shared" si="0"/>
        <v>-0.156336544698273</v>
      </c>
      <c r="AP154" s="8">
        <f t="shared" si="1"/>
        <v>-0.357408327320326</v>
      </c>
    </row>
    <row customHeight="1" ht="15">
      <c r="A155" s="9" t="s">
        <v>180</v>
      </c>
      <c r="B155" s="0">
        <v>41.04</v>
      </c>
      <c r="C155" s="0">
        <v>121.769</v>
      </c>
      <c r="D155" s="0">
        <v>164.928</v>
      </c>
      <c r="E155" s="0">
        <v>217.366</v>
      </c>
      <c r="F155" s="0">
        <v>238.744</v>
      </c>
      <c r="G155" s="0">
        <v>306.4</v>
      </c>
      <c r="H155" s="0">
        <v>409.09</v>
      </c>
      <c r="I155" s="0">
        <v>307.056</v>
      </c>
      <c r="J155" s="10">
        <f t="shared" si="28"/>
        <v>351.293</v>
      </c>
      <c r="N155" s="0">
        <v>121.769</v>
      </c>
      <c r="O155" s="0">
        <v>179.378</v>
      </c>
      <c r="P155" s="0">
        <v>175.883</v>
      </c>
      <c r="Q155" s="0">
        <v>180.75</v>
      </c>
      <c r="R155" s="0">
        <v>164.928</v>
      </c>
      <c r="S155" s="0">
        <v>180.752</v>
      </c>
      <c r="T155" s="0">
        <v>194.725</v>
      </c>
      <c r="U155" s="0">
        <v>209.582</v>
      </c>
      <c r="V155" s="0">
        <v>217.366</v>
      </c>
      <c r="W155" s="0">
        <v>252.499</v>
      </c>
      <c r="X155" s="0">
        <v>267.528</v>
      </c>
      <c r="Y155" s="0">
        <v>274.368</v>
      </c>
      <c r="Z155" s="0">
        <v>238.744</v>
      </c>
      <c r="AA155" s="0">
        <v>286.91</v>
      </c>
      <c r="AB155" s="0">
        <v>306.421</v>
      </c>
      <c r="AC155" s="0">
        <v>331.729</v>
      </c>
      <c r="AD155" s="0">
        <v>306.4</v>
      </c>
      <c r="AE155" s="0">
        <v>364.416</v>
      </c>
      <c r="AF155" s="0">
        <v>372.439</v>
      </c>
      <c r="AG155" s="0">
        <v>403.781</v>
      </c>
      <c r="AH155" s="0">
        <v>409.09</v>
      </c>
      <c r="AI155" s="0">
        <v>420.052</v>
      </c>
      <c r="AJ155" s="0">
        <v>408.194</v>
      </c>
      <c r="AK155" s="0">
        <v>373.426</v>
      </c>
      <c r="AL155" s="0">
        <v>307.056</v>
      </c>
      <c r="AM155" s="0">
        <v>358.296</v>
      </c>
      <c r="AN155" s="0">
        <v>351.293</v>
      </c>
      <c r="AO155" s="12">
        <f t="shared" si="0"/>
        <v>-0.0195452921606716</v>
      </c>
      <c r="AP155" s="12">
        <f t="shared" si="1"/>
        <v>-0.139396953409408</v>
      </c>
    </row>
    <row customHeight="1" ht="15">
      <c r="A156" s="9" t="s">
        <v>181</v>
      </c>
      <c r="B156" s="0">
        <v>0</v>
      </c>
      <c r="C156" s="0">
        <v>0</v>
      </c>
      <c r="D156" s="0">
        <v>0</v>
      </c>
      <c r="E156" s="0">
        <v>0</v>
      </c>
      <c r="F156" s="0">
        <v>19.309</v>
      </c>
      <c r="G156" s="0">
        <v>38.944</v>
      </c>
      <c r="H156" s="0">
        <v>50.496</v>
      </c>
      <c r="I156" s="0">
        <v>20.889</v>
      </c>
      <c r="J156" s="10">
        <f t="shared" si="28"/>
        <v>21.3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19.309</v>
      </c>
      <c r="AA156" s="0">
        <v>0</v>
      </c>
      <c r="AB156" s="0">
        <v>0</v>
      </c>
      <c r="AC156" s="0">
        <v>0</v>
      </c>
      <c r="AD156" s="0">
        <v>38.944</v>
      </c>
      <c r="AE156" s="0">
        <v>32.663</v>
      </c>
      <c r="AF156" s="0">
        <v>27.324</v>
      </c>
      <c r="AG156" s="0">
        <v>26.309</v>
      </c>
      <c r="AH156" s="0">
        <v>50.496</v>
      </c>
      <c r="AI156" s="0">
        <v>47.306</v>
      </c>
      <c r="AJ156" s="0">
        <v>32.963</v>
      </c>
      <c r="AK156" s="0">
        <v>33.543</v>
      </c>
      <c r="AL156" s="0">
        <v>20.889</v>
      </c>
      <c r="AM156" s="0">
        <v>23.873</v>
      </c>
      <c r="AN156" s="0">
        <v>21.3</v>
      </c>
      <c r="AO156" s="12">
        <f t="shared" si="0"/>
        <v>-0.107778662086876</v>
      </c>
      <c r="AP156" s="12">
        <f t="shared" si="1"/>
        <v>-0.353820950762977</v>
      </c>
    </row>
    <row customHeight="1" ht="15">
      <c r="A157" s="9" t="s">
        <v>177</v>
      </c>
      <c r="B157" s="0">
        <v>0</v>
      </c>
      <c r="C157" s="0">
        <v>75.992</v>
      </c>
      <c r="D157" s="0">
        <v>49.978</v>
      </c>
      <c r="E157" s="0">
        <v>54.226</v>
      </c>
      <c r="F157" s="0">
        <v>106.285</v>
      </c>
      <c r="G157" s="0">
        <v>219.148</v>
      </c>
      <c r="H157" s="0">
        <v>310.354</v>
      </c>
      <c r="I157" s="0">
        <v>192.583</v>
      </c>
      <c r="J157" s="10">
        <f t="shared" si="28"/>
        <v>138.128</v>
      </c>
      <c r="N157" s="0">
        <v>75.992</v>
      </c>
      <c r="O157" s="0">
        <v>89.06</v>
      </c>
      <c r="P157" s="0">
        <v>70.236</v>
      </c>
      <c r="Q157" s="0">
        <v>63.361</v>
      </c>
      <c r="R157" s="0">
        <v>49.978</v>
      </c>
      <c r="S157" s="0">
        <v>39.767</v>
      </c>
      <c r="T157" s="0">
        <v>40.965</v>
      </c>
      <c r="U157" s="0">
        <v>44.755</v>
      </c>
      <c r="V157" s="0">
        <v>54.226</v>
      </c>
      <c r="W157" s="0">
        <v>60.611</v>
      </c>
      <c r="X157" s="0">
        <v>80.701</v>
      </c>
      <c r="Y157" s="0">
        <v>114.411</v>
      </c>
      <c r="Z157" s="0">
        <v>106.285</v>
      </c>
      <c r="AA157" s="0">
        <v>134.131</v>
      </c>
      <c r="AB157" s="0">
        <v>153.455</v>
      </c>
      <c r="AC157" s="0">
        <v>192.188</v>
      </c>
      <c r="AD157" s="0">
        <v>219.148</v>
      </c>
      <c r="AE157" s="0">
        <v>243.337</v>
      </c>
      <c r="AF157" s="0">
        <v>260.72</v>
      </c>
      <c r="AG157" s="0">
        <v>258.393</v>
      </c>
      <c r="AH157" s="0">
        <v>310.354</v>
      </c>
      <c r="AI157" s="0">
        <v>282.136</v>
      </c>
      <c r="AJ157" s="0">
        <v>240.277</v>
      </c>
      <c r="AK157" s="0">
        <v>230.835</v>
      </c>
      <c r="AL157" s="0">
        <v>192.583</v>
      </c>
      <c r="AM157" s="0">
        <v>191.612</v>
      </c>
      <c r="AN157" s="0">
        <v>138.128</v>
      </c>
      <c r="AO157" s="12">
        <f t="shared" si="0"/>
        <v>-0.279126568273386</v>
      </c>
      <c r="AP157" s="12">
        <f t="shared" si="1"/>
        <v>-0.425130162271045</v>
      </c>
    </row>
    <row customHeight="1" ht="15">
      <c r="A158" s="9" t="s">
        <v>178</v>
      </c>
      <c r="B158" s="0">
        <v>35.21</v>
      </c>
      <c r="C158" s="0">
        <v>6.817</v>
      </c>
      <c r="D158" s="0">
        <v>5.565</v>
      </c>
      <c r="E158" s="0">
        <v>17.301</v>
      </c>
      <c r="F158" s="0">
        <v>14.307</v>
      </c>
      <c r="G158" s="0">
        <v>184.749</v>
      </c>
      <c r="H158" s="0">
        <v>35.866</v>
      </c>
      <c r="I158" s="0">
        <v>62.25</v>
      </c>
      <c r="J158" s="10">
        <f t="shared" si="28"/>
        <v>134.658</v>
      </c>
      <c r="N158" s="0">
        <v>6.817</v>
      </c>
      <c r="O158" s="0">
        <v>6.749</v>
      </c>
      <c r="P158" s="0">
        <v>2.181</v>
      </c>
      <c r="Q158" s="0">
        <v>1.997</v>
      </c>
      <c r="R158" s="0">
        <v>5.565</v>
      </c>
      <c r="S158" s="0">
        <v>5.906</v>
      </c>
      <c r="T158" s="0">
        <v>6.393</v>
      </c>
      <c r="U158" s="0">
        <v>9.357</v>
      </c>
      <c r="V158" s="0">
        <v>17.301</v>
      </c>
      <c r="W158" s="0">
        <v>14.619</v>
      </c>
      <c r="X158" s="0">
        <v>15.224</v>
      </c>
      <c r="Y158" s="0">
        <v>23.706</v>
      </c>
      <c r="Z158" s="0">
        <v>14.307</v>
      </c>
      <c r="AA158" s="0">
        <v>10.513</v>
      </c>
      <c r="AB158" s="0">
        <v>9.139</v>
      </c>
      <c r="AC158" s="0">
        <v>26.412</v>
      </c>
      <c r="AD158" s="0">
        <v>184.749</v>
      </c>
      <c r="AE158" s="0">
        <v>190.487</v>
      </c>
      <c r="AF158" s="0">
        <v>24.305</v>
      </c>
      <c r="AG158" s="0">
        <v>32.635</v>
      </c>
      <c r="AH158" s="0">
        <v>35.866</v>
      </c>
      <c r="AI158" s="0">
        <v>69.749</v>
      </c>
      <c r="AJ158" s="0">
        <v>64.278</v>
      </c>
      <c r="AK158" s="0">
        <v>70.853</v>
      </c>
      <c r="AL158" s="0">
        <v>62.25</v>
      </c>
      <c r="AM158" s="0">
        <v>88.593</v>
      </c>
      <c r="AN158" s="0">
        <v>134.658</v>
      </c>
      <c r="AO158" s="12">
        <f t="shared" si="0"/>
        <v>0.519962073753005</v>
      </c>
      <c r="AP158" s="12">
        <f t="shared" si="1"/>
        <v>1.09493139176701</v>
      </c>
    </row>
    <row customHeight="1" ht="15">
      <c r="A159" s="9" t="s">
        <v>184</v>
      </c>
      <c r="B159" s="0">
        <v>20.2</v>
      </c>
      <c r="C159" s="0">
        <v>66.098</v>
      </c>
      <c r="D159" s="0">
        <v>33.36</v>
      </c>
      <c r="E159" s="0">
        <v>77.635</v>
      </c>
      <c r="F159" s="0">
        <v>57.327</v>
      </c>
      <c r="G159" s="0">
        <v>98.155</v>
      </c>
      <c r="H159" s="0">
        <v>117.02</v>
      </c>
      <c r="I159" s="0">
        <v>121.769</v>
      </c>
      <c r="J159" s="10">
        <f t="shared" si="28"/>
        <v>122.905</v>
      </c>
      <c r="N159" s="0">
        <v>66.098</v>
      </c>
      <c r="O159" s="0">
        <v>45.621</v>
      </c>
      <c r="P159" s="0">
        <v>44.099</v>
      </c>
      <c r="Q159" s="0">
        <v>37.077</v>
      </c>
      <c r="R159" s="0">
        <v>33.36</v>
      </c>
      <c r="S159" s="0">
        <v>45.299</v>
      </c>
      <c r="T159" s="0">
        <v>47.846</v>
      </c>
      <c r="U159" s="0">
        <v>61.557</v>
      </c>
      <c r="V159" s="0">
        <v>77.635</v>
      </c>
      <c r="W159" s="0">
        <v>67.262</v>
      </c>
      <c r="X159" s="0">
        <v>77.068</v>
      </c>
      <c r="Y159" s="0">
        <v>95.052</v>
      </c>
      <c r="Z159" s="0">
        <v>57.327</v>
      </c>
      <c r="AA159" s="0">
        <v>98.228</v>
      </c>
      <c r="AB159" s="0">
        <v>164.798</v>
      </c>
      <c r="AC159" s="0">
        <v>116.265</v>
      </c>
      <c r="AD159" s="0">
        <v>98.155</v>
      </c>
      <c r="AE159" s="0">
        <v>164.075</v>
      </c>
      <c r="AF159" s="0">
        <v>207.462</v>
      </c>
      <c r="AG159" s="0">
        <v>164.236</v>
      </c>
      <c r="AH159" s="0">
        <v>117.02</v>
      </c>
      <c r="AI159" s="0">
        <v>141.184</v>
      </c>
      <c r="AJ159" s="0">
        <v>178.652</v>
      </c>
      <c r="AK159" s="0">
        <v>154.295</v>
      </c>
      <c r="AL159" s="0">
        <v>121.769</v>
      </c>
      <c r="AM159" s="0">
        <v>147.679</v>
      </c>
      <c r="AN159" s="0">
        <v>122.905</v>
      </c>
      <c r="AO159" s="12">
        <f t="shared" si="0"/>
        <v>-0.167755740491201</v>
      </c>
      <c r="AP159" s="12">
        <f t="shared" si="1"/>
        <v>-0.312042406466202</v>
      </c>
    </row>
    <row customHeight="1" ht="15">
      <c r="A160" s="9" t="s">
        <v>91</v>
      </c>
      <c r="B160" s="0">
        <v>0.35</v>
      </c>
      <c r="C160" s="0">
        <v>7.123</v>
      </c>
      <c r="D160" s="0">
        <v>3.914</v>
      </c>
      <c r="E160" s="0">
        <v>6.309</v>
      </c>
      <c r="F160" s="0">
        <v>11.282</v>
      </c>
      <c r="G160" s="0">
        <v>17.632</v>
      </c>
      <c r="H160" s="0">
        <v>19.718</v>
      </c>
      <c r="I160" s="0">
        <v>19.512</v>
      </c>
      <c r="J160" s="10">
        <f t="shared" si="28"/>
        <v>19.353</v>
      </c>
      <c r="N160" s="0">
        <v>7.123</v>
      </c>
      <c r="O160" s="0">
        <v>8.891</v>
      </c>
      <c r="P160" s="0">
        <v>5.507</v>
      </c>
      <c r="Q160" s="0">
        <v>5.484</v>
      </c>
      <c r="R160" s="0">
        <v>3.914</v>
      </c>
      <c r="S160" s="0">
        <v>3.615</v>
      </c>
      <c r="T160" s="0">
        <v>5.039</v>
      </c>
      <c r="U160" s="0">
        <v>4.114</v>
      </c>
      <c r="V160" s="0">
        <v>6.309</v>
      </c>
      <c r="W160" s="0">
        <v>9.85</v>
      </c>
      <c r="X160" s="0">
        <v>12.998</v>
      </c>
      <c r="Y160" s="0">
        <v>15.344</v>
      </c>
      <c r="Z160" s="0">
        <v>11.282</v>
      </c>
      <c r="AA160" s="0">
        <v>17.282</v>
      </c>
      <c r="AB160" s="0">
        <v>23.015</v>
      </c>
      <c r="AC160" s="0">
        <v>18.977</v>
      </c>
      <c r="AD160" s="0">
        <v>17.632</v>
      </c>
      <c r="AE160" s="0">
        <v>36.542</v>
      </c>
      <c r="AF160" s="0">
        <v>20.678</v>
      </c>
      <c r="AG160" s="0">
        <v>20.606</v>
      </c>
      <c r="AH160" s="0">
        <v>19.718</v>
      </c>
      <c r="AI160" s="0">
        <v>21.062</v>
      </c>
      <c r="AJ160" s="0">
        <v>21.091</v>
      </c>
      <c r="AK160" s="0">
        <v>22.232</v>
      </c>
      <c r="AL160" s="0">
        <v>19.512</v>
      </c>
      <c r="AM160" s="0">
        <v>25.286</v>
      </c>
      <c r="AN160" s="0">
        <v>19.353</v>
      </c>
      <c r="AO160" s="12">
        <f t="shared" si="0"/>
        <v>-0.234635766827493</v>
      </c>
      <c r="AP160" s="12">
        <f t="shared" si="1"/>
        <v>-0.0824048172206154</v>
      </c>
    </row>
    <row customHeight="1" ht="15">
      <c r="A161" s="9" t="s">
        <v>150</v>
      </c>
      <c r="B161" s="0">
        <v>0</v>
      </c>
      <c r="C161" s="0">
        <v>0</v>
      </c>
      <c r="D161" s="0">
        <v>0.137</v>
      </c>
      <c r="E161" s="0">
        <v>0</v>
      </c>
      <c r="F161" s="0">
        <v>0</v>
      </c>
      <c r="G161" s="0">
        <v>0.141</v>
      </c>
      <c r="H161" s="0">
        <v>0</v>
      </c>
      <c r="I161" s="0">
        <v>0</v>
      </c>
      <c r="J161" s="10">
        <f t="shared" si="28"/>
        <v>0</v>
      </c>
      <c r="N161" s="0">
        <v>0</v>
      </c>
      <c r="O161" s="0">
        <v>0</v>
      </c>
      <c r="P161" s="0">
        <v>0.084</v>
      </c>
      <c r="Q161" s="0">
        <v>0.037</v>
      </c>
      <c r="R161" s="0">
        <v>0.137</v>
      </c>
      <c r="S161" s="0">
        <v>0.235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0.501</v>
      </c>
      <c r="AC161" s="0">
        <v>0</v>
      </c>
      <c r="AD161" s="0">
        <v>0.141</v>
      </c>
      <c r="AE161" s="0">
        <v>0.198</v>
      </c>
      <c r="AF161" s="0">
        <v>0</v>
      </c>
      <c r="AG161" s="0">
        <v>0</v>
      </c>
      <c r="AH161" s="0">
        <v>0</v>
      </c>
      <c r="AI161" s="0">
        <v>0</v>
      </c>
      <c r="AJ161" s="0">
        <v>0.786</v>
      </c>
      <c r="AK161" s="0">
        <v>0.353</v>
      </c>
      <c r="AL161" s="0">
        <v>0</v>
      </c>
      <c r="AM161" s="0">
        <v>0</v>
      </c>
      <c r="AN161" s="0">
        <v>0</v>
      </c>
      <c r="AO161" s="12">
        <f t="shared" si="0"/>
        <v>0</v>
      </c>
      <c r="AP161" s="12">
        <f t="shared" si="1"/>
        <v>-1</v>
      </c>
    </row>
    <row customHeight="1" ht="15">
      <c r="A162" s="9" t="s">
        <v>179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0.067</v>
      </c>
      <c r="J162" s="10">
        <f t="shared" si="28"/>
        <v>0.115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0.651</v>
      </c>
      <c r="AK162" s="0">
        <v>0.406</v>
      </c>
      <c r="AL162" s="0">
        <v>0.067</v>
      </c>
      <c r="AM162" s="0">
        <v>0.065</v>
      </c>
      <c r="AN162" s="0">
        <v>0.115</v>
      </c>
      <c r="AO162" s="12">
        <f t="shared" si="0"/>
        <v>0.769230769230769</v>
      </c>
      <c r="AP162" s="12">
        <f t="shared" si="1"/>
        <v>-0.823348694316436</v>
      </c>
    </row>
    <row customHeight="1" ht="15">
      <c r="A163" s="9" t="s">
        <v>185</v>
      </c>
      <c r="B163" s="0">
        <v>3.701</v>
      </c>
      <c r="C163" s="0">
        <v>19.103</v>
      </c>
      <c r="D163" s="0">
        <v>29.779</v>
      </c>
      <c r="E163" s="0">
        <v>25.13</v>
      </c>
      <c r="F163" s="0">
        <v>26.118</v>
      </c>
      <c r="G163" s="0">
        <v>18.917</v>
      </c>
      <c r="H163" s="0">
        <v>30.831</v>
      </c>
      <c r="I163" s="0">
        <v>16.575</v>
      </c>
      <c r="J163" s="10">
        <f t="shared" si="28"/>
        <v>20.457</v>
      </c>
      <c r="N163" s="0">
        <v>19.103</v>
      </c>
      <c r="O163" s="0">
        <v>24.531</v>
      </c>
      <c r="P163" s="0">
        <v>29.579</v>
      </c>
      <c r="Q163" s="0">
        <v>31.485</v>
      </c>
      <c r="R163" s="0">
        <v>29.779</v>
      </c>
      <c r="S163" s="0">
        <v>30.028</v>
      </c>
      <c r="T163" s="0">
        <v>31.977</v>
      </c>
      <c r="U163" s="0">
        <v>25.719</v>
      </c>
      <c r="V163" s="0">
        <v>25.13</v>
      </c>
      <c r="W163" s="0">
        <v>26.33</v>
      </c>
      <c r="X163" s="0">
        <v>26.83</v>
      </c>
      <c r="Y163" s="0">
        <v>35.926</v>
      </c>
      <c r="Z163" s="0">
        <v>26.118</v>
      </c>
      <c r="AA163" s="0">
        <v>25.838</v>
      </c>
      <c r="AB163" s="0">
        <v>26.597</v>
      </c>
      <c r="AC163" s="0">
        <v>29.271</v>
      </c>
      <c r="AD163" s="0">
        <v>18.917</v>
      </c>
      <c r="AE163" s="0">
        <v>21.212</v>
      </c>
      <c r="AF163" s="0">
        <v>20.285</v>
      </c>
      <c r="AG163" s="0">
        <v>32.796</v>
      </c>
      <c r="AH163" s="0">
        <v>30.831</v>
      </c>
      <c r="AI163" s="0">
        <v>32.083</v>
      </c>
      <c r="AJ163" s="0">
        <v>24.344</v>
      </c>
      <c r="AK163" s="0">
        <v>28.977</v>
      </c>
      <c r="AL163" s="0">
        <v>16.575</v>
      </c>
      <c r="AM163" s="0">
        <v>20.99</v>
      </c>
      <c r="AN163" s="0">
        <v>20.457</v>
      </c>
      <c r="AO163" s="12">
        <f t="shared" si="0"/>
        <v>-0.0253930443068127</v>
      </c>
      <c r="AP163" s="12">
        <f t="shared" si="1"/>
        <v>-0.159669733815314</v>
      </c>
    </row>
    <row customHeight="1" ht="15">
      <c r="A164" s="4" t="s">
        <v>186</v>
      </c>
      <c r="B164" s="7">
        <f t="shared" si="48" ref="B164:AC164">B155+SUM(B157:B160)+B163</f>
        <v>100.501</v>
      </c>
      <c r="C164" s="7">
        <f t="shared" si="47" ref="C164:AB164">C155+SUM(C157:C161)+C163</f>
        <v>296.902</v>
      </c>
      <c r="D164" s="7">
        <f t="shared" si="47"/>
        <v>287.661</v>
      </c>
      <c r="E164" s="7">
        <f t="shared" si="48"/>
        <v>397.967</v>
      </c>
      <c r="F164" s="7">
        <f t="shared" si="49" ref="F164:Z164">SUM(F155:F160)+F163</f>
        <v>473.372</v>
      </c>
      <c r="G164" s="7">
        <f t="shared" si="50" ref="G164:AI164">SUM(G155:G161)+G163</f>
        <v>884.086</v>
      </c>
      <c r="H164" s="7">
        <f t="shared" si="44"/>
        <v>973.375</v>
      </c>
      <c r="I164" s="7">
        <f t="shared" si="44"/>
        <v>740.701</v>
      </c>
      <c r="J164" s="6">
        <f t="shared" si="28"/>
        <v>808.209</v>
      </c>
      <c r="N164" s="7">
        <f t="shared" si="47"/>
        <v>296.902</v>
      </c>
      <c r="O164" s="7">
        <f t="shared" si="48"/>
        <v>354.23</v>
      </c>
      <c r="P164" s="7">
        <f t="shared" si="47"/>
        <v>327.569</v>
      </c>
      <c r="Q164" s="7">
        <f t="shared" si="47"/>
        <v>320.191</v>
      </c>
      <c r="R164" s="7">
        <f t="shared" si="47"/>
        <v>287.661</v>
      </c>
      <c r="S164" s="7">
        <f t="shared" si="47"/>
        <v>305.602</v>
      </c>
      <c r="T164" s="7">
        <f t="shared" si="47"/>
        <v>326.945</v>
      </c>
      <c r="U164" s="7">
        <f t="shared" si="47"/>
        <v>355.084</v>
      </c>
      <c r="V164" s="7">
        <f t="shared" si="48"/>
        <v>397.967</v>
      </c>
      <c r="W164" s="7">
        <f t="shared" si="47"/>
        <v>431.171</v>
      </c>
      <c r="X164" s="7">
        <f t="shared" si="47"/>
        <v>480.349</v>
      </c>
      <c r="Y164" s="7">
        <f t="shared" si="47"/>
        <v>558.807</v>
      </c>
      <c r="Z164" s="7">
        <f t="shared" si="49"/>
        <v>473.372</v>
      </c>
      <c r="AA164" s="7">
        <f t="shared" si="48"/>
        <v>572.902</v>
      </c>
      <c r="AB164" s="7">
        <f t="shared" si="47"/>
        <v>683.926</v>
      </c>
      <c r="AC164" s="7">
        <f t="shared" si="48"/>
        <v>714.842</v>
      </c>
      <c r="AD164" s="7">
        <f t="shared" si="50"/>
        <v>884.086</v>
      </c>
      <c r="AE164" s="7">
        <f t="shared" si="50"/>
        <v>1052.93</v>
      </c>
      <c r="AF164" s="7">
        <f t="shared" si="50"/>
        <v>933.213</v>
      </c>
      <c r="AG164" s="7">
        <f t="shared" si="50"/>
        <v>938.756</v>
      </c>
      <c r="AH164" s="7">
        <f t="shared" si="44"/>
        <v>973.375</v>
      </c>
      <c r="AI164" s="7">
        <f t="shared" si="50"/>
        <v>1013.572</v>
      </c>
      <c r="AJ164" s="7">
        <f t="shared" si="4"/>
        <v>971.236</v>
      </c>
      <c r="AK164" s="7">
        <f t="shared" si="4"/>
        <v>914.92</v>
      </c>
      <c r="AL164" s="7">
        <f t="shared" si="44"/>
        <v>740.701</v>
      </c>
      <c r="AM164" s="7">
        <f t="shared" si="44"/>
        <v>856.394</v>
      </c>
      <c r="AN164" s="7">
        <f t="shared" si="44"/>
        <v>808.209</v>
      </c>
      <c r="AO164" s="8">
        <f t="shared" si="0"/>
        <v>-0.0562649901797537</v>
      </c>
      <c r="AP164" s="8">
        <f t="shared" si="1"/>
        <v>-0.167855186586988</v>
      </c>
    </row>
    <row customHeight="1" ht="15">
      <c r="A165" s="4" t="s">
        <v>187</v>
      </c>
      <c r="B165" s="7">
        <f t="shared" si="51" ref="B165:AN165">B154+B164</f>
        <v>119.806</v>
      </c>
      <c r="C165" s="7">
        <f t="shared" si="51"/>
        <v>754.01</v>
      </c>
      <c r="D165" s="7">
        <f t="shared" si="51"/>
        <v>672.92</v>
      </c>
      <c r="E165" s="7">
        <f t="shared" si="51"/>
        <v>1143.74</v>
      </c>
      <c r="F165" s="7">
        <f t="shared" si="51"/>
        <v>1429.927</v>
      </c>
      <c r="G165" s="7">
        <f t="shared" si="51"/>
        <v>2096.594</v>
      </c>
      <c r="H165" s="7">
        <f t="shared" si="51"/>
        <v>2376.187</v>
      </c>
      <c r="I165" s="7">
        <f t="shared" si="51"/>
        <v>1579.339</v>
      </c>
      <c r="J165" s="6">
        <f t="shared" si="28"/>
        <v>1517.093</v>
      </c>
      <c r="N165" s="7">
        <f t="shared" si="51"/>
        <v>754.01</v>
      </c>
      <c r="O165" s="7">
        <f t="shared" si="51"/>
        <v>836.494</v>
      </c>
      <c r="P165" s="7">
        <f t="shared" si="51"/>
        <v>773.742</v>
      </c>
      <c r="Q165" s="7">
        <f t="shared" si="51"/>
        <v>745.334</v>
      </c>
      <c r="R165" s="7">
        <f t="shared" si="51"/>
        <v>672.92</v>
      </c>
      <c r="S165" s="7">
        <f t="shared" si="51"/>
        <v>697.823</v>
      </c>
      <c r="T165" s="7">
        <f t="shared" si="51"/>
        <v>737.391</v>
      </c>
      <c r="U165" s="7">
        <f t="shared" si="51"/>
        <v>792.056</v>
      </c>
      <c r="V165" s="7">
        <f t="shared" si="51"/>
        <v>1143.74</v>
      </c>
      <c r="W165" s="7">
        <f t="shared" si="51"/>
        <v>1224.943</v>
      </c>
      <c r="X165" s="7">
        <f t="shared" si="51"/>
        <v>1367.793</v>
      </c>
      <c r="Y165" s="7">
        <f t="shared" si="51"/>
        <v>1575.424</v>
      </c>
      <c r="Z165" s="7">
        <f t="shared" si="51"/>
        <v>1429.927</v>
      </c>
      <c r="AA165" s="7">
        <f t="shared" si="51"/>
        <v>1667.298</v>
      </c>
      <c r="AB165" s="7">
        <f t="shared" si="51"/>
        <v>1884.655</v>
      </c>
      <c r="AC165" s="7">
        <f t="shared" si="51"/>
        <v>2029.549</v>
      </c>
      <c r="AD165" s="7">
        <f t="shared" si="51"/>
        <v>2096.594</v>
      </c>
      <c r="AE165" s="7">
        <f t="shared" si="51"/>
        <v>2474.248</v>
      </c>
      <c r="AF165" s="7">
        <f t="shared" si="51"/>
        <v>2327.932</v>
      </c>
      <c r="AG165" s="7">
        <f t="shared" si="51"/>
        <v>2269.376</v>
      </c>
      <c r="AH165" s="7">
        <f t="shared" si="51"/>
        <v>2376.187</v>
      </c>
      <c r="AI165" s="7">
        <f t="shared" si="51"/>
        <v>2272.642</v>
      </c>
      <c r="AJ165" s="7">
        <f t="shared" si="51"/>
        <v>2074.4</v>
      </c>
      <c r="AK165" s="7">
        <f t="shared" si="51"/>
        <v>1966.369</v>
      </c>
      <c r="AL165" s="7">
        <f t="shared" si="51"/>
        <v>1579.339</v>
      </c>
      <c r="AM165" s="7">
        <f t="shared" si="51"/>
        <v>1696.639</v>
      </c>
      <c r="AN165" s="7">
        <f t="shared" si="51"/>
        <v>1517.093</v>
      </c>
      <c r="AO165" s="8">
        <f t="shared" si="0"/>
        <v>-0.105824515409583</v>
      </c>
      <c r="AP165" s="8">
        <f t="shared" si="1"/>
        <v>-0.268659371384497</v>
      </c>
    </row>
    <row customHeight="1" ht="15">
      <c r="A166" s="9" t="s">
        <v>188</v>
      </c>
      <c r="B166" s="0">
        <v>0</v>
      </c>
      <c r="C166" s="0">
        <v>0</v>
      </c>
      <c r="D166" s="0">
        <v>0</v>
      </c>
      <c r="E166" s="0">
        <v>0</v>
      </c>
      <c r="F166" s="0">
        <v>8.758</v>
      </c>
      <c r="G166" s="0">
        <v>0</v>
      </c>
      <c r="H166" s="0">
        <v>0</v>
      </c>
      <c r="I166" s="0">
        <v>0</v>
      </c>
      <c r="J166" s="10">
        <f t="shared" si="28"/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8.758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12">
        <f t="shared" si="0"/>
        <v>0</v>
      </c>
      <c r="AP166" s="12">
        <f t="shared" si="1"/>
        <v>0</v>
      </c>
    </row>
    <row customHeight="1" ht="15">
      <c r="A167" s="4" t="s">
        <v>189</v>
      </c>
      <c r="B167" s="7">
        <f t="shared" si="52" ref="B167:AN167">B144+B165</f>
        <v>184.561</v>
      </c>
      <c r="C167" s="7">
        <f t="shared" si="52"/>
        <v>1100.032</v>
      </c>
      <c r="D167" s="7">
        <f t="shared" si="52"/>
        <v>946.29</v>
      </c>
      <c r="E167" s="7">
        <f t="shared" si="53" ref="E167:AC167">E144+SUM(E165:E166)</f>
        <v>1472.119</v>
      </c>
      <c r="F167" s="7">
        <f t="shared" si="53"/>
        <v>1754.302</v>
      </c>
      <c r="G167" s="7">
        <f t="shared" si="52"/>
        <v>2444.475</v>
      </c>
      <c r="H167" s="7">
        <f t="shared" si="52"/>
        <v>2981.655</v>
      </c>
      <c r="I167" s="7">
        <f t="shared" si="52"/>
        <v>2108.602</v>
      </c>
      <c r="J167" s="6">
        <f t="shared" si="28"/>
        <v>1969.398</v>
      </c>
      <c r="N167" s="7">
        <f t="shared" si="52"/>
        <v>1100.032</v>
      </c>
      <c r="O167" s="7">
        <f t="shared" si="52"/>
        <v>1178.53</v>
      </c>
      <c r="P167" s="7">
        <f t="shared" si="52"/>
        <v>1113.24</v>
      </c>
      <c r="Q167" s="7">
        <f t="shared" si="52"/>
        <v>1058.94</v>
      </c>
      <c r="R167" s="7">
        <f t="shared" si="52"/>
        <v>946.29</v>
      </c>
      <c r="S167" s="7">
        <f t="shared" si="52"/>
        <v>984.225</v>
      </c>
      <c r="T167" s="7">
        <f t="shared" si="52"/>
        <v>1033.927</v>
      </c>
      <c r="U167" s="7">
        <f t="shared" si="52"/>
        <v>1117.426</v>
      </c>
      <c r="V167" s="7">
        <f t="shared" si="53"/>
        <v>1472.119</v>
      </c>
      <c r="W167" s="7">
        <f t="shared" si="52"/>
        <v>1542.027</v>
      </c>
      <c r="X167" s="7">
        <f t="shared" si="52"/>
        <v>1685.827</v>
      </c>
      <c r="Y167" s="7">
        <f t="shared" si="52"/>
        <v>1978.13</v>
      </c>
      <c r="Z167" s="7">
        <f t="shared" si="53"/>
        <v>1754.302</v>
      </c>
      <c r="AA167" s="7">
        <f t="shared" si="53"/>
        <v>1944.66</v>
      </c>
      <c r="AB167" s="7">
        <f t="shared" si="53"/>
        <v>2194.084</v>
      </c>
      <c r="AC167" s="7">
        <f t="shared" si="53"/>
        <v>2419.563</v>
      </c>
      <c r="AD167" s="7">
        <f t="shared" si="52"/>
        <v>2444.475</v>
      </c>
      <c r="AE167" s="7">
        <f t="shared" si="52"/>
        <v>2733.378</v>
      </c>
      <c r="AF167" s="7">
        <f t="shared" si="52"/>
        <v>2982.816</v>
      </c>
      <c r="AG167" s="7">
        <f t="shared" si="52"/>
        <v>2993.811</v>
      </c>
      <c r="AH167" s="7">
        <f t="shared" si="52"/>
        <v>2981.655</v>
      </c>
      <c r="AI167" s="7">
        <f t="shared" si="52"/>
        <v>2757.151</v>
      </c>
      <c r="AJ167" s="7">
        <f t="shared" si="52"/>
        <v>2562.525</v>
      </c>
      <c r="AK167" s="7">
        <f t="shared" si="52"/>
        <v>2519.113</v>
      </c>
      <c r="AL167" s="7">
        <f t="shared" si="52"/>
        <v>2108.602</v>
      </c>
      <c r="AM167" s="7">
        <f t="shared" si="52"/>
        <v>2171.168</v>
      </c>
      <c r="AN167" s="7">
        <f t="shared" si="52"/>
        <v>1969.398</v>
      </c>
      <c r="AO167" s="8">
        <f t="shared" si="0"/>
        <v>-0.0929315465224249</v>
      </c>
      <c r="AP167" s="8">
        <f t="shared" si="1"/>
        <v>-0.231461936956713</v>
      </c>
    </row>
    <row customHeight="1" ht="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customHeight="1" ht="15">
      <c r="A169" s="2" t="s">
        <v>190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customHeight="1" ht="15">
      <c r="A170" s="9" t="s">
        <v>191</v>
      </c>
      <c r="B170" s="0">
        <v>10.551</v>
      </c>
      <c r="C170" s="0">
        <v>10.417</v>
      </c>
      <c r="D170" s="0">
        <v>18.964</v>
      </c>
      <c r="E170" s="0">
        <v>35.787</v>
      </c>
      <c r="F170" s="0">
        <v>33.915</v>
      </c>
      <c r="G170" s="0">
        <v>32.902</v>
      </c>
      <c r="H170" s="0">
        <v>52.284</v>
      </c>
      <c r="I170" s="0">
        <v>126.892</v>
      </c>
      <c r="J170" s="14"/>
      <c r="N170" s="0">
        <v>10.417</v>
      </c>
      <c r="R170" s="0">
        <v>18.964</v>
      </c>
      <c r="V170" s="0">
        <v>35.787</v>
      </c>
      <c r="Z170" s="0">
        <v>33.915</v>
      </c>
      <c r="AD170" s="0">
        <v>32.902</v>
      </c>
      <c r="AH170" s="0">
        <v>52.284</v>
      </c>
      <c r="AL170" s="0">
        <v>126.892</v>
      </c>
      <c r="AO170" s="14"/>
      <c r="AP170" s="14"/>
    </row>
    <row customHeight="1" ht="15">
      <c r="A171" s="9" t="s">
        <v>177</v>
      </c>
      <c r="B171" s="0">
        <v>13.821</v>
      </c>
      <c r="C171" s="0">
        <v>237.193</v>
      </c>
      <c r="D171" s="0">
        <v>165.824</v>
      </c>
      <c r="E171" s="0">
        <v>180.755</v>
      </c>
      <c r="F171" s="0">
        <v>469.456</v>
      </c>
      <c r="G171" s="0">
        <v>1006.107</v>
      </c>
      <c r="H171" s="0">
        <v>1342.71</v>
      </c>
      <c r="I171" s="0">
        <v>637.879</v>
      </c>
      <c r="J171" s="14"/>
      <c r="N171" s="0">
        <v>237.193</v>
      </c>
      <c r="R171" s="0">
        <v>165.824</v>
      </c>
      <c r="V171" s="0">
        <v>180.755</v>
      </c>
      <c r="Z171" s="0">
        <v>469.456</v>
      </c>
      <c r="AD171" s="0">
        <v>1006.107</v>
      </c>
      <c r="AH171" s="0">
        <v>1342.71</v>
      </c>
      <c r="AL171" s="0">
        <v>637.879</v>
      </c>
      <c r="AO171" s="14"/>
      <c r="AP171" s="14"/>
    </row>
    <row customHeight="1" ht="15">
      <c r="A172" s="9" t="s">
        <v>192</v>
      </c>
      <c r="B172" s="0">
        <v>0</v>
      </c>
      <c r="C172" s="0">
        <v>261.411</v>
      </c>
      <c r="D172" s="0">
        <v>219.273</v>
      </c>
      <c r="E172" s="0">
        <v>238.204</v>
      </c>
      <c r="F172" s="0">
        <v>186.547</v>
      </c>
      <c r="G172" s="0">
        <v>162.767</v>
      </c>
      <c r="H172" s="0">
        <v>285.525</v>
      </c>
      <c r="I172" s="0">
        <v>253.591</v>
      </c>
      <c r="J172" s="14"/>
      <c r="N172" s="0">
        <v>261.411</v>
      </c>
      <c r="R172" s="0">
        <v>219.273</v>
      </c>
      <c r="V172" s="0">
        <v>238.204</v>
      </c>
      <c r="Z172" s="0">
        <v>186.547</v>
      </c>
      <c r="AD172" s="0">
        <v>162.767</v>
      </c>
      <c r="AH172" s="0">
        <v>285.525</v>
      </c>
      <c r="AL172" s="0">
        <v>253.591</v>
      </c>
      <c r="AO172" s="14"/>
      <c r="AP172" s="14"/>
    </row>
    <row customHeight="1" ht="15">
      <c r="A173" s="9" t="s">
        <v>193</v>
      </c>
      <c r="B173" s="0">
        <v>2.349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14"/>
      <c r="N173" s="0">
        <v>0</v>
      </c>
      <c r="R173" s="0">
        <v>0</v>
      </c>
      <c r="V173" s="0">
        <v>0</v>
      </c>
      <c r="Z173" s="0">
        <v>0</v>
      </c>
      <c r="AD173" s="0">
        <v>0</v>
      </c>
      <c r="AH173" s="0">
        <v>0</v>
      </c>
      <c r="AL173" s="0">
        <v>0</v>
      </c>
      <c r="AO173" s="14"/>
      <c r="AP173" s="14"/>
    </row>
    <row customHeight="1" ht="15">
      <c r="A174" s="9" t="s">
        <v>194</v>
      </c>
      <c r="B174" s="0">
        <v>0.026</v>
      </c>
      <c r="C174" s="0">
        <v>0.143</v>
      </c>
      <c r="D174" s="0">
        <v>1.991</v>
      </c>
      <c r="E174" s="0">
        <v>12.378</v>
      </c>
      <c r="F174" s="0">
        <v>10.643</v>
      </c>
      <c r="G174" s="0">
        <v>0</v>
      </c>
      <c r="H174" s="0">
        <v>0</v>
      </c>
      <c r="I174" s="0">
        <v>0</v>
      </c>
      <c r="J174" s="14"/>
      <c r="N174" s="0">
        <v>0.143</v>
      </c>
      <c r="R174" s="0">
        <v>1.991</v>
      </c>
      <c r="V174" s="0">
        <v>12.378</v>
      </c>
      <c r="Z174" s="0">
        <v>10.643</v>
      </c>
      <c r="AD174" s="0">
        <v>0</v>
      </c>
      <c r="AH174" s="0">
        <v>0</v>
      </c>
      <c r="AL174" s="0">
        <v>0</v>
      </c>
      <c r="AO174" s="14"/>
      <c r="AP174" s="14"/>
    </row>
    <row customHeight="1" ht="15">
      <c r="A175" s="9" t="s">
        <v>195</v>
      </c>
      <c r="B175" s="0">
        <v>0</v>
      </c>
      <c r="C175" s="0">
        <v>0</v>
      </c>
      <c r="D175" s="0">
        <v>0.032</v>
      </c>
      <c r="E175" s="0">
        <v>11.746</v>
      </c>
      <c r="F175" s="0">
        <v>16.994</v>
      </c>
      <c r="G175" s="0">
        <v>19.065</v>
      </c>
      <c r="H175" s="0">
        <v>18.89</v>
      </c>
      <c r="I175" s="0">
        <v>19.172</v>
      </c>
      <c r="J175" s="14"/>
      <c r="N175" s="0">
        <v>0</v>
      </c>
      <c r="R175" s="0">
        <v>0.032</v>
      </c>
      <c r="V175" s="0">
        <v>11.746</v>
      </c>
      <c r="Z175" s="0">
        <v>16.994</v>
      </c>
      <c r="AD175" s="0">
        <v>19.065</v>
      </c>
      <c r="AH175" s="0">
        <v>18.89</v>
      </c>
      <c r="AL175" s="0">
        <v>19.172</v>
      </c>
      <c r="AO175" s="14"/>
      <c r="AP175" s="14"/>
    </row>
    <row customHeight="1" ht="15">
      <c r="A176" s="9" t="s">
        <v>196</v>
      </c>
      <c r="B176" s="0">
        <v>24.351</v>
      </c>
      <c r="C176" s="0">
        <v>5.163</v>
      </c>
      <c r="D176" s="0">
        <v>0.5</v>
      </c>
      <c r="E176" s="0">
        <v>0.799</v>
      </c>
      <c r="F176" s="0">
        <v>0.298</v>
      </c>
      <c r="G176" s="0">
        <v>0</v>
      </c>
      <c r="H176" s="0">
        <v>0</v>
      </c>
      <c r="I176" s="0">
        <v>1.365</v>
      </c>
      <c r="J176" s="14"/>
      <c r="N176" s="0">
        <v>5.163</v>
      </c>
      <c r="R176" s="0">
        <v>0.5</v>
      </c>
      <c r="V176" s="0">
        <v>0.799</v>
      </c>
      <c r="Z176" s="0">
        <v>0.298</v>
      </c>
      <c r="AD176" s="0">
        <v>0</v>
      </c>
      <c r="AH176" s="0">
        <v>0</v>
      </c>
      <c r="AL176" s="0">
        <v>1.365</v>
      </c>
      <c r="AO176" s="14"/>
      <c r="AP176" s="14"/>
    </row>
    <row customHeight="1" ht="15">
      <c r="A177" s="9" t="s">
        <v>197</v>
      </c>
      <c r="B177" s="11">
        <f>SUM(B170:B174)+B176</f>
        <v>51.098</v>
      </c>
      <c r="C177" s="11">
        <f t="shared" si="54" ref="C177:R177">SUM(C170:C176)</f>
        <v>514.327</v>
      </c>
      <c r="D177" s="11">
        <f t="shared" si="54"/>
        <v>406.584</v>
      </c>
      <c r="E177" s="11">
        <f t="shared" si="55" ref="E177:Z177">SUM(E170:E172)+SUM(E174:E176)</f>
        <v>479.669</v>
      </c>
      <c r="F177" s="11">
        <f t="shared" si="55"/>
        <v>717.853</v>
      </c>
      <c r="G177" s="11">
        <f t="shared" si="58" ref="G177:AD177">SUM(G170:G172)+G175</f>
        <v>1220.841</v>
      </c>
      <c r="H177" s="11">
        <f t="shared" si="56" ref="H177:AL177">SUM(H170:H172)+SUM(H175:H176)</f>
        <v>1699.409</v>
      </c>
      <c r="I177" s="11">
        <f t="shared" si="56"/>
        <v>1038.899</v>
      </c>
      <c r="J177" s="10">
        <f t="shared" si="57" ref="J177:AN177">J146+J147+J157+J158</f>
        <v>933.396</v>
      </c>
      <c r="N177" s="11">
        <f t="shared" si="54"/>
        <v>514.327</v>
      </c>
      <c r="O177" s="11">
        <f t="shared" si="57"/>
        <v>547.5</v>
      </c>
      <c r="P177" s="11">
        <f t="shared" si="57"/>
        <v>489.139</v>
      </c>
      <c r="Q177" s="11">
        <f t="shared" si="57"/>
        <v>457.188</v>
      </c>
      <c r="R177" s="11">
        <f t="shared" si="54"/>
        <v>406.584</v>
      </c>
      <c r="S177" s="11">
        <f t="shared" si="57"/>
        <v>406.764</v>
      </c>
      <c r="T177" s="11">
        <f t="shared" si="57"/>
        <v>431.427</v>
      </c>
      <c r="U177" s="11">
        <f t="shared" si="57"/>
        <v>461.158</v>
      </c>
      <c r="V177" s="11">
        <f t="shared" si="55"/>
        <v>479.669</v>
      </c>
      <c r="W177" s="11">
        <f t="shared" si="57"/>
        <v>529.611</v>
      </c>
      <c r="X177" s="11">
        <f t="shared" si="57"/>
        <v>639.142</v>
      </c>
      <c r="Y177" s="11">
        <f t="shared" si="57"/>
        <v>799.116</v>
      </c>
      <c r="Z177" s="11">
        <f t="shared" si="55"/>
        <v>717.853</v>
      </c>
      <c r="AA177" s="11">
        <f t="shared" si="57"/>
        <v>868.897</v>
      </c>
      <c r="AB177" s="11">
        <f t="shared" si="57"/>
        <v>984.903</v>
      </c>
      <c r="AC177" s="11">
        <f t="shared" si="57"/>
        <v>1145.191</v>
      </c>
      <c r="AD177" s="11">
        <f t="shared" si="58"/>
        <v>1220.841</v>
      </c>
      <c r="AE177" s="11">
        <f t="shared" si="57"/>
        <v>1449.907</v>
      </c>
      <c r="AF177" s="11">
        <f t="shared" si="57"/>
        <v>1637.908</v>
      </c>
      <c r="AG177" s="11">
        <f t="shared" si="57"/>
        <v>1577.539</v>
      </c>
      <c r="AH177" s="11">
        <f t="shared" si="56"/>
        <v>1699.409</v>
      </c>
      <c r="AI177" s="11">
        <f t="shared" si="57"/>
        <v>1574.052</v>
      </c>
      <c r="AJ177" s="11">
        <f t="shared" si="57"/>
        <v>1355.48</v>
      </c>
      <c r="AK177" s="11">
        <f t="shared" si="57"/>
        <v>1299.714</v>
      </c>
      <c r="AL177" s="11">
        <f t="shared" si="56"/>
        <v>1038.899</v>
      </c>
      <c r="AM177" s="11">
        <f t="shared" si="57"/>
        <v>1073.127</v>
      </c>
      <c r="AN177" s="11">
        <f t="shared" si="57"/>
        <v>933.396</v>
      </c>
      <c r="AO177" s="12">
        <f t="shared" si="0"/>
        <v>-0.130209192388226</v>
      </c>
      <c r="AP177" s="12">
        <f t="shared" si="1"/>
        <v>-0.31139079883141</v>
      </c>
    </row>
    <row customHeight="1" ht="15">
      <c r="A178" s="9" t="s">
        <v>198</v>
      </c>
      <c r="B178" s="15">
        <f t="shared" si="60" ref="B178:J178">IF(B185&lt;=0,"NM",B177/B185)</f>
        <v>2.01856680097969</v>
      </c>
      <c r="C178" s="15">
        <f t="shared" si="59" ref="C178:I178">IF(C186&lt;=0,"NM",C177/C186)</f>
        <v>2.39779487179487</v>
      </c>
      <c r="D178" s="15">
        <f t="shared" si="59"/>
        <v>3.7232967032967</v>
      </c>
      <c r="E178" s="15">
        <f t="shared" si="59"/>
        <v>3.09573719706993</v>
      </c>
      <c r="F178" s="15">
        <f t="shared" si="59"/>
        <v>2.66467579325602</v>
      </c>
      <c r="G178" s="15">
        <f t="shared" si="59"/>
        <v>2.93556779736414</v>
      </c>
      <c r="H178" s="15">
        <f t="shared" si="59"/>
        <v>5.31601898165961</v>
      </c>
      <c r="I178" s="15">
        <f t="shared" si="59"/>
        <v>3.1852922690132</v>
      </c>
      <c r="J178" s="16">
        <f t="shared" si="60"/>
        <v>2.55624782619412</v>
      </c>
      <c r="N178" s="15">
        <f t="shared" si="70" ref="N178:N300">C178</f>
        <v>2.39779487179487</v>
      </c>
      <c r="O178" s="15">
        <f>'Rolling LTM'!G178</f>
        <v>5.99251346263298</v>
      </c>
      <c r="P178" s="15">
        <f>'Rolling LTM'!H178</f>
        <v>2.42508180466039</v>
      </c>
      <c r="Q178" s="15">
        <f>'Rolling LTM'!I178</f>
        <v>3.65458033573141</v>
      </c>
      <c r="R178" s="15">
        <f t="shared" si="71" ref="R178:R300">D178</f>
        <v>3.7232967032967</v>
      </c>
      <c r="S178" s="15">
        <f>'Rolling LTM'!K178</f>
        <v>4.19344329896907</v>
      </c>
      <c r="T178" s="15">
        <f>'Rolling LTM'!L178</f>
        <v>5.18542067307692</v>
      </c>
      <c r="U178" s="15">
        <f>'Rolling LTM'!M178</f>
        <v>3.87527731092437</v>
      </c>
      <c r="V178" s="15">
        <f t="shared" si="62" ref="V178:V301">E178</f>
        <v>3.09573719706993</v>
      </c>
      <c r="W178" s="15">
        <f>'Rolling LTM'!O178</f>
        <v>2.83285638636449</v>
      </c>
      <c r="X178" s="15">
        <f>'Rolling LTM'!P178</f>
        <v>2.85725397982038</v>
      </c>
      <c r="Y178" s="15">
        <f>'Rolling LTM'!Q178</f>
        <v>2.68798353134292</v>
      </c>
      <c r="Z178" s="15">
        <f t="shared" si="63" ref="Z178:Z301">F178</f>
        <v>2.66467579325602</v>
      </c>
      <c r="AA178" s="15">
        <f>'Rolling LTM'!S178</f>
        <v>3.09678879463968</v>
      </c>
      <c r="AB178" s="15">
        <f>'Rolling LTM'!T178</f>
        <v>3.08317889833586</v>
      </c>
      <c r="AC178" s="15">
        <f>'Rolling LTM'!U178</f>
        <v>3.06370370766708</v>
      </c>
      <c r="AD178" s="15">
        <f t="shared" si="64" ref="AD178:AD301">G178</f>
        <v>2.93556779736414</v>
      </c>
      <c r="AE178" s="15">
        <f>'Rolling LTM'!W178</f>
        <v>3.6999599357952</v>
      </c>
      <c r="AF178" s="15">
        <f>'Rolling LTM'!X178</f>
        <v>3.64385237786958</v>
      </c>
      <c r="AG178" s="15">
        <f>'Rolling LTM'!Y178</f>
        <v>3.19142191274231</v>
      </c>
      <c r="AH178" s="15">
        <f t="shared" si="65" ref="AH178:AH301">H178</f>
        <v>5.31601898165961</v>
      </c>
      <c r="AI178" s="15">
        <f>'Rolling LTM'!AA178</f>
        <v>2.88274184745781</v>
      </c>
      <c r="AJ178" s="15">
        <f>'Rolling LTM'!AB178</f>
        <v>2.53282632459148</v>
      </c>
      <c r="AK178" s="15">
        <f>'Rolling LTM'!AC178</f>
        <v>2.95379475699692</v>
      </c>
      <c r="AL178" s="15">
        <f t="shared" si="66" ref="AL178:AL301">I178</f>
        <v>3.1852922690132</v>
      </c>
      <c r="AM178" s="15">
        <f>'Rolling LTM'!AE178</f>
        <v>2.42687336748194</v>
      </c>
      <c r="AN178" s="15">
        <f>'Rolling LTM'!AF178</f>
        <v>2.55624782619412</v>
      </c>
      <c r="AO178" s="16">
        <f t="shared" si="72" ref="AO178:AO300">IF(OR(AM178=0,AM178="NM",AN178="NM"),"NM",AN178-AM178)</f>
        <v>0.12937445871218</v>
      </c>
      <c r="AP178" s="16">
        <f t="shared" si="73" ref="AP178:AP300">IF(OR(AJ178=0,AJ178="NM",AN178="NM"),"NM",AN178-AJ178)</f>
        <v>0.0234215016026402</v>
      </c>
    </row>
    <row customHeight="1" ht="15">
      <c r="A179" s="9" t="s">
        <v>199</v>
      </c>
      <c r="E179" s="15">
        <f t="shared" si="61" ref="E179:I179">IF(E187&lt;=0,"NM",E177/E187)</f>
        <v>3.09296252353563</v>
      </c>
      <c r="F179" s="15">
        <f t="shared" si="61"/>
        <v>2.49103149128134</v>
      </c>
      <c r="G179" s="15">
        <f t="shared" si="61"/>
        <v>3.11350867483952</v>
      </c>
      <c r="H179" s="15">
        <f t="shared" si="61"/>
        <v>5.26334877785899</v>
      </c>
      <c r="I179" s="15">
        <f t="shared" si="61"/>
        <v>2.87977502862037</v>
      </c>
      <c r="J179" s="14"/>
      <c r="V179" s="15">
        <f t="shared" si="62"/>
        <v>3.09296252353563</v>
      </c>
      <c r="Z179" s="15">
        <f t="shared" si="63"/>
        <v>2.49103149128134</v>
      </c>
      <c r="AD179" s="15">
        <f t="shared" si="64"/>
        <v>3.11350867483952</v>
      </c>
      <c r="AH179" s="15">
        <f t="shared" si="65"/>
        <v>5.26334877785899</v>
      </c>
      <c r="AL179" s="15">
        <f t="shared" si="66"/>
        <v>2.87977502862037</v>
      </c>
      <c r="AO179" s="14"/>
      <c r="AP179" s="14"/>
    </row>
    <row customHeight="1" ht="15">
      <c r="A180" s="9" t="s">
        <v>200</v>
      </c>
      <c r="B180" s="11">
        <f t="shared" si="67" ref="B180:AN180">B177-B129</f>
        <v>43.381</v>
      </c>
      <c r="C180" s="11">
        <f t="shared" si="67"/>
        <v>297.075</v>
      </c>
      <c r="D180" s="11">
        <f t="shared" si="67"/>
        <v>228.232</v>
      </c>
      <c r="E180" s="11">
        <f t="shared" si="67"/>
        <v>263.005</v>
      </c>
      <c r="F180" s="11">
        <f t="shared" si="67"/>
        <v>393.135</v>
      </c>
      <c r="G180" s="11">
        <f t="shared" si="67"/>
        <v>1020.288</v>
      </c>
      <c r="H180" s="11">
        <f t="shared" si="67"/>
        <v>1514.708</v>
      </c>
      <c r="I180" s="11">
        <f t="shared" si="67"/>
        <v>914.879</v>
      </c>
      <c r="J180" s="10">
        <f t="shared" si="67"/>
        <v>812.926</v>
      </c>
      <c r="N180" s="11">
        <f t="shared" si="67"/>
        <v>297.075</v>
      </c>
      <c r="O180" s="11">
        <f t="shared" si="67"/>
        <v>411.217</v>
      </c>
      <c r="P180" s="11">
        <f t="shared" si="67"/>
        <v>268.148</v>
      </c>
      <c r="Q180" s="11">
        <f t="shared" si="67"/>
        <v>241.909</v>
      </c>
      <c r="R180" s="11">
        <f t="shared" si="67"/>
        <v>228.232</v>
      </c>
      <c r="S180" s="11">
        <f t="shared" si="67"/>
        <v>255.956</v>
      </c>
      <c r="T180" s="11">
        <f t="shared" si="67"/>
        <v>260.821</v>
      </c>
      <c r="U180" s="11">
        <f t="shared" si="67"/>
        <v>295.628</v>
      </c>
      <c r="V180" s="11">
        <f t="shared" si="67"/>
        <v>263.005</v>
      </c>
      <c r="W180" s="11">
        <f t="shared" si="67"/>
        <v>210.206</v>
      </c>
      <c r="X180" s="11">
        <f t="shared" si="67"/>
        <v>307.765</v>
      </c>
      <c r="Y180" s="11">
        <f t="shared" si="67"/>
        <v>505.836</v>
      </c>
      <c r="Z180" s="11">
        <f t="shared" si="67"/>
        <v>393.135</v>
      </c>
      <c r="AA180" s="11">
        <f t="shared" si="67"/>
        <v>583.549</v>
      </c>
      <c r="AB180" s="11">
        <f t="shared" si="67"/>
        <v>725.237</v>
      </c>
      <c r="AC180" s="11">
        <f t="shared" si="67"/>
        <v>861.564</v>
      </c>
      <c r="AD180" s="11">
        <f t="shared" si="67"/>
        <v>1020.288</v>
      </c>
      <c r="AE180" s="11">
        <f t="shared" si="67"/>
        <v>1262.934</v>
      </c>
      <c r="AF180" s="11">
        <f t="shared" si="67"/>
        <v>1339.217</v>
      </c>
      <c r="AG180" s="11">
        <f t="shared" si="67"/>
        <v>1297.199</v>
      </c>
      <c r="AH180" s="11">
        <f t="shared" si="67"/>
        <v>1514.708</v>
      </c>
      <c r="AI180" s="11">
        <f t="shared" si="67"/>
        <v>1438.749</v>
      </c>
      <c r="AJ180" s="11">
        <f t="shared" si="67"/>
        <v>1157.199</v>
      </c>
      <c r="AK180" s="11">
        <f t="shared" si="67"/>
        <v>1054.39</v>
      </c>
      <c r="AL180" s="11">
        <f t="shared" si="67"/>
        <v>914.879</v>
      </c>
      <c r="AM180" s="11">
        <f t="shared" si="67"/>
        <v>968.454</v>
      </c>
      <c r="AN180" s="11">
        <f t="shared" si="67"/>
        <v>812.926</v>
      </c>
      <c r="AO180" s="12">
        <f t="shared" si="0"/>
        <v>-0.160594101526763</v>
      </c>
      <c r="AP180" s="12">
        <f t="shared" si="1"/>
        <v>-0.297505442019912</v>
      </c>
    </row>
    <row customHeight="1" ht="15">
      <c r="A181" s="4" t="s">
        <v>201</v>
      </c>
      <c r="B181" s="17">
        <f t="shared" si="69" ref="B181:J181">IF(B185&lt;=0,"NM",B180/B185)</f>
        <v>1.71371573042585</v>
      </c>
      <c r="C181" s="17">
        <f t="shared" si="68" ref="C181:I181">IF(C186&lt;=0,"NM",C180/C186)</f>
        <v>1.38496503496503</v>
      </c>
      <c r="D181" s="17">
        <f t="shared" si="68"/>
        <v>2.09003663003663</v>
      </c>
      <c r="E181" s="17">
        <f t="shared" si="68"/>
        <v>1.69740875794637</v>
      </c>
      <c r="F181" s="17">
        <f t="shared" si="68"/>
        <v>1.45932010868758</v>
      </c>
      <c r="G181" s="17">
        <f t="shared" si="68"/>
        <v>2.45332897309073</v>
      </c>
      <c r="H181" s="17">
        <f t="shared" si="68"/>
        <v>4.73824516621465</v>
      </c>
      <c r="I181" s="17">
        <f t="shared" si="68"/>
        <v>2.8050436142325</v>
      </c>
      <c r="J181" s="18">
        <f t="shared" si="69"/>
        <v>2.22632229017125</v>
      </c>
      <c r="N181" s="17">
        <f t="shared" si="70"/>
        <v>1.38496503496503</v>
      </c>
      <c r="O181" s="17">
        <f>'Rolling LTM'!G181</f>
        <v>4.50086467317542</v>
      </c>
      <c r="P181" s="17">
        <f>'Rolling LTM'!H181</f>
        <v>1.32943976202281</v>
      </c>
      <c r="Q181" s="17">
        <f>'Rolling LTM'!I181</f>
        <v>1.93372501998401</v>
      </c>
      <c r="R181" s="17">
        <f t="shared" si="71"/>
        <v>2.09003663003663</v>
      </c>
      <c r="S181" s="17">
        <f>'Rolling LTM'!K181</f>
        <v>2.63872164948454</v>
      </c>
      <c r="T181" s="17">
        <f>'Rolling LTM'!L181</f>
        <v>3.13486778846154</v>
      </c>
      <c r="U181" s="17">
        <f>'Rolling LTM'!M181</f>
        <v>2.48426890756302</v>
      </c>
      <c r="V181" s="17">
        <f t="shared" si="62"/>
        <v>1.69740875794637</v>
      </c>
      <c r="W181" s="17">
        <f>'Rolling LTM'!O181</f>
        <v>1.12437885457842</v>
      </c>
      <c r="X181" s="17">
        <f>'Rolling LTM'!P181</f>
        <v>1.37584882717678</v>
      </c>
      <c r="Y181" s="17">
        <f>'Rolling LTM'!Q181</f>
        <v>1.70147868089286</v>
      </c>
      <c r="Z181" s="17">
        <f t="shared" si="63"/>
        <v>1.45932010868758</v>
      </c>
      <c r="AA181" s="17">
        <f>'Rolling LTM'!S181</f>
        <v>2.07979542376506</v>
      </c>
      <c r="AB181" s="17">
        <f>'Rolling LTM'!T181</f>
        <v>2.27031028912736</v>
      </c>
      <c r="AC181" s="17">
        <f>'Rolling LTM'!U181</f>
        <v>2.30492277811516</v>
      </c>
      <c r="AD181" s="17">
        <f t="shared" si="64"/>
        <v>2.45332897309073</v>
      </c>
      <c r="AE181" s="17">
        <f>'Rolling LTM'!W181</f>
        <v>3.2228309826448</v>
      </c>
      <c r="AF181" s="17">
        <f>'Rolling LTM'!X181</f>
        <v>2.97935479278041</v>
      </c>
      <c r="AG181" s="17">
        <f>'Rolling LTM'!Y181</f>
        <v>2.62428333866067</v>
      </c>
      <c r="AH181" s="17">
        <f t="shared" si="65"/>
        <v>4.73824516621465</v>
      </c>
      <c r="AI181" s="17">
        <f>'Rolling LTM'!AA181</f>
        <v>2.63494595495453</v>
      </c>
      <c r="AJ181" s="17">
        <f>'Rolling LTM'!AB181</f>
        <v>2.16232190072221</v>
      </c>
      <c r="AK181" s="17">
        <f>'Rolling LTM'!AC181</f>
        <v>2.39625921843574</v>
      </c>
      <c r="AL181" s="17">
        <f t="shared" si="66"/>
        <v>2.8050436142325</v>
      </c>
      <c r="AM181" s="17">
        <f>'Rolling LTM'!AE181</f>
        <v>2.19015570406052</v>
      </c>
      <c r="AN181" s="17">
        <f>'Rolling LTM'!AF181</f>
        <v>2.22632229017125</v>
      </c>
      <c r="AO181" s="18">
        <f t="shared" si="72"/>
        <v>0.0361665861107299</v>
      </c>
      <c r="AP181" s="18">
        <f t="shared" si="73"/>
        <v>0.0640003894490397</v>
      </c>
    </row>
    <row customHeight="1" ht="15">
      <c r="A182" s="9" t="s">
        <v>202</v>
      </c>
      <c r="E182" s="15">
        <f t="shared" si="74" ref="E182:I182">IF(E187&lt;=0,"NM",E180/E187)</f>
        <v>1.69588739005958</v>
      </c>
      <c r="F182" s="15">
        <f t="shared" si="74"/>
        <v>1.36422312830745</v>
      </c>
      <c r="G182" s="15">
        <f t="shared" si="74"/>
        <v>2.60203870842695</v>
      </c>
      <c r="H182" s="15">
        <f t="shared" si="74"/>
        <v>4.69129944622703</v>
      </c>
      <c r="I182" s="15">
        <f t="shared" si="74"/>
        <v>2.53599791549436</v>
      </c>
      <c r="J182" s="14"/>
      <c r="V182" s="15">
        <f t="shared" si="62"/>
        <v>1.69588739005958</v>
      </c>
      <c r="Z182" s="15">
        <f t="shared" si="63"/>
        <v>1.36422312830745</v>
      </c>
      <c r="AD182" s="15">
        <f t="shared" si="64"/>
        <v>2.60203870842695</v>
      </c>
      <c r="AH182" s="15">
        <f t="shared" si="65"/>
        <v>4.69129944622703</v>
      </c>
      <c r="AL182" s="15">
        <f t="shared" si="66"/>
        <v>2.53599791549436</v>
      </c>
      <c r="AO182" s="14"/>
      <c r="AP182" s="14"/>
    </row>
    <row customHeight="1" ht="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customHeight="1" ht="15">
      <c r="A184" s="2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customHeight="1" ht="15">
      <c r="A185" s="9" t="s">
        <v>204</v>
      </c>
      <c r="B185" s="11">
        <f t="shared" si="75" ref="B185:AN185">B12+B273+B274</f>
        <v>25.314</v>
      </c>
      <c r="C185" s="11">
        <f t="shared" si="75"/>
        <v>65.424</v>
      </c>
      <c r="D185" s="11">
        <f t="shared" si="75"/>
        <v>110.214</v>
      </c>
      <c r="E185" s="11">
        <f t="shared" si="75"/>
        <v>172.46</v>
      </c>
      <c r="F185" s="11">
        <f t="shared" si="75"/>
        <v>302.644</v>
      </c>
      <c r="G185" s="11">
        <f t="shared" si="75"/>
        <v>403.159</v>
      </c>
      <c r="H185" s="11">
        <f t="shared" si="75"/>
        <v>521.938</v>
      </c>
      <c r="I185" s="11">
        <f t="shared" si="75"/>
        <v>449.057</v>
      </c>
      <c r="J185" s="10">
        <f t="shared" si="75"/>
        <v>365.143</v>
      </c>
      <c r="K185" s="11">
        <f t="shared" si="75"/>
        <v>5.76299999999999</v>
      </c>
      <c r="L185" s="11">
        <f t="shared" si="75"/>
        <v>8.275</v>
      </c>
      <c r="M185" s="11">
        <f t="shared" si="75"/>
        <v>7.87</v>
      </c>
      <c r="N185" s="11">
        <f t="shared" si="75"/>
        <v>43.516</v>
      </c>
      <c r="O185" s="11">
        <f t="shared" si="75"/>
        <v>31.703</v>
      </c>
      <c r="P185" s="11">
        <f t="shared" si="75"/>
        <v>44.684</v>
      </c>
      <c r="Q185" s="11">
        <f t="shared" si="75"/>
        <v>16.917</v>
      </c>
      <c r="R185" s="11">
        <f t="shared" si="75"/>
        <v>16.91</v>
      </c>
      <c r="S185" s="11">
        <f t="shared" si="75"/>
        <v>30.933</v>
      </c>
      <c r="T185" s="11">
        <f t="shared" si="75"/>
        <v>35.347</v>
      </c>
      <c r="U185" s="11">
        <f t="shared" si="75"/>
        <v>56.907</v>
      </c>
      <c r="V185" s="11">
        <f t="shared" si="75"/>
        <v>49.273</v>
      </c>
      <c r="W185" s="11">
        <f t="shared" si="75"/>
        <v>45.426</v>
      </c>
      <c r="X185" s="11">
        <f t="shared" si="75"/>
        <v>72.085</v>
      </c>
      <c r="Y185" s="11">
        <f t="shared" si="75"/>
        <v>130.508</v>
      </c>
      <c r="Z185" s="11">
        <f t="shared" si="75"/>
        <v>54.625</v>
      </c>
      <c r="AA185" s="11">
        <f t="shared" si="75"/>
        <v>23.362</v>
      </c>
      <c r="AB185" s="11">
        <f t="shared" si="75"/>
        <v>110.949</v>
      </c>
      <c r="AC185" s="11">
        <f t="shared" si="75"/>
        <v>184.857</v>
      </c>
      <c r="AD185" s="11">
        <f t="shared" si="75"/>
        <v>83.9909999999999</v>
      </c>
      <c r="AE185" s="11">
        <f t="shared" si="75"/>
        <v>12.074</v>
      </c>
      <c r="AF185" s="11">
        <f t="shared" si="75"/>
        <v>168.577</v>
      </c>
      <c r="AG185" s="11">
        <f t="shared" si="75"/>
        <v>229.664</v>
      </c>
      <c r="AH185" s="11">
        <f t="shared" si="75"/>
        <v>111.623</v>
      </c>
      <c r="AI185" s="11">
        <f t="shared" si="75"/>
        <v>36.162</v>
      </c>
      <c r="AJ185" s="11">
        <f t="shared" si="75"/>
        <v>157.716</v>
      </c>
      <c r="AK185" s="11">
        <f t="shared" si="75"/>
        <v>217.255</v>
      </c>
      <c r="AL185" s="11">
        <f t="shared" si="75"/>
        <v>120.665</v>
      </c>
      <c r="AM185" s="11">
        <f t="shared" si="75"/>
        <v>29.29</v>
      </c>
      <c r="AN185" s="11">
        <f t="shared" si="75"/>
        <v>80.674</v>
      </c>
      <c r="AO185" s="12">
        <f t="shared" si="0"/>
        <v>1.75431888016388</v>
      </c>
      <c r="AP185" s="12">
        <f t="shared" si="1"/>
        <v>-0.488485632402546</v>
      </c>
    </row>
    <row customHeight="1" ht="15">
      <c r="A186" s="4" t="s">
        <v>205</v>
      </c>
      <c r="C186" s="7">
        <f t="shared" si="76" ref="C186:V186">C239</f>
        <v>214.5</v>
      </c>
      <c r="D186" s="7">
        <f t="shared" si="76"/>
        <v>109.2</v>
      </c>
      <c r="E186" s="7">
        <f t="shared" si="76"/>
        <v>154.945</v>
      </c>
      <c r="F186" s="7">
        <f t="shared" si="76"/>
        <v>269.396</v>
      </c>
      <c r="G186" s="7">
        <f t="shared" si="76"/>
        <v>415.879</v>
      </c>
      <c r="H186" s="7">
        <f t="shared" si="76"/>
        <v>319.677</v>
      </c>
      <c r="I186" s="7">
        <f t="shared" si="76"/>
        <v>326.155</v>
      </c>
      <c r="J186" s="14"/>
      <c r="M186" s="7">
        <f t="shared" si="76"/>
        <v>92.4</v>
      </c>
      <c r="N186" s="7">
        <f t="shared" si="76"/>
        <v>40.4</v>
      </c>
      <c r="O186" s="7">
        <f t="shared" si="76"/>
        <v>31.6</v>
      </c>
      <c r="P186" s="7">
        <f t="shared" si="76"/>
        <v>37.3</v>
      </c>
      <c r="Q186" s="7">
        <f t="shared" si="76"/>
        <v>15.8</v>
      </c>
      <c r="R186" s="7">
        <f t="shared" si="76"/>
        <v>24.5</v>
      </c>
      <c r="S186" s="7">
        <f t="shared" si="76"/>
        <v>19.4</v>
      </c>
      <c r="T186" s="7">
        <f t="shared" si="76"/>
        <v>23.5</v>
      </c>
      <c r="U186" s="7">
        <f t="shared" si="76"/>
        <v>51.6</v>
      </c>
      <c r="V186" s="7">
        <f t="shared" si="76"/>
        <v>60.445</v>
      </c>
      <c r="AO186" s="14"/>
      <c r="AP186" s="14"/>
    </row>
    <row customHeight="1" ht="15">
      <c r="A187" s="4" t="s">
        <v>206</v>
      </c>
      <c r="E187" s="5">
        <v>155.084</v>
      </c>
      <c r="F187" s="5">
        <v>288.175</v>
      </c>
      <c r="G187" s="5">
        <v>392.111</v>
      </c>
      <c r="H187" s="5">
        <v>322.876</v>
      </c>
      <c r="I187" s="5">
        <v>360.757</v>
      </c>
      <c r="J187" s="14"/>
      <c r="AO187" s="14"/>
      <c r="AP187" s="14"/>
    </row>
    <row customHeight="1" ht="15">
      <c r="A188" s="9" t="s">
        <v>207</v>
      </c>
      <c r="E188" s="11">
        <f t="shared" si="77" ref="E188:I188">E187-E185</f>
        <v>-17.376</v>
      </c>
      <c r="F188" s="11">
        <f t="shared" si="77"/>
        <v>-14.469</v>
      </c>
      <c r="G188" s="11">
        <f t="shared" si="77"/>
        <v>-11.048</v>
      </c>
      <c r="H188" s="11">
        <f t="shared" si="77"/>
        <v>-199.062</v>
      </c>
      <c r="I188" s="11">
        <f t="shared" si="77"/>
        <v>-88.3</v>
      </c>
      <c r="J188" s="14"/>
      <c r="AO188" s="14"/>
      <c r="AP188" s="14"/>
    </row>
    <row customHeight="1" ht="15">
      <c r="A189" s="9" t="s">
        <v>208</v>
      </c>
      <c r="E189" s="19">
        <f t="shared" si="78" ref="E189:I189">IF(E188=0,0,IF(E185&lt;=0,"NM",E188/E185))</f>
        <v>-0.100753797982141</v>
      </c>
      <c r="F189" s="19">
        <f t="shared" si="78"/>
        <v>-0.0478086464625104</v>
      </c>
      <c r="G189" s="19">
        <f t="shared" si="78"/>
        <v>-0.0274035802251717</v>
      </c>
      <c r="H189" s="19">
        <f t="shared" si="78"/>
        <v>-0.381390126796669</v>
      </c>
      <c r="I189" s="19">
        <f t="shared" si="78"/>
        <v>-0.196634280280677</v>
      </c>
      <c r="J189" s="14"/>
      <c r="AO189" s="14"/>
      <c r="AP189" s="14"/>
    </row>
    <row customHeight="1" ht="15">
      <c r="A190" s="9" t="s">
        <v>209</v>
      </c>
      <c r="C190" s="19">
        <f t="shared" si="79" ref="C190:V190">IF(OR(C186=0,C186="NM",C185="NM"),"NM",C185/C186)</f>
        <v>0.305006993006993</v>
      </c>
      <c r="D190" s="19">
        <f t="shared" si="79"/>
        <v>1.00928571428571</v>
      </c>
      <c r="E190" s="19">
        <f t="shared" si="79"/>
        <v>1.11304011100713</v>
      </c>
      <c r="F190" s="19">
        <f t="shared" si="79"/>
        <v>1.12341682875767</v>
      </c>
      <c r="G190" s="19">
        <f t="shared" si="79"/>
        <v>0.969414180566944</v>
      </c>
      <c r="H190" s="19">
        <f t="shared" si="79"/>
        <v>1.63270426086331</v>
      </c>
      <c r="I190" s="19">
        <f t="shared" si="79"/>
        <v>1.37682083671874</v>
      </c>
      <c r="J190" s="14"/>
      <c r="M190" s="19">
        <f t="shared" si="79"/>
        <v>0.0851731601731602</v>
      </c>
      <c r="N190" s="19">
        <f t="shared" si="79"/>
        <v>1.07712871287129</v>
      </c>
      <c r="O190" s="19">
        <f t="shared" si="79"/>
        <v>1.00325949367089</v>
      </c>
      <c r="P190" s="19">
        <f t="shared" si="79"/>
        <v>1.19796246648794</v>
      </c>
      <c r="Q190" s="19">
        <f t="shared" si="79"/>
        <v>1.07069620253165</v>
      </c>
      <c r="R190" s="19">
        <f t="shared" si="79"/>
        <v>0.690204081632653</v>
      </c>
      <c r="S190" s="19">
        <f t="shared" si="79"/>
        <v>1.59448453608247</v>
      </c>
      <c r="T190" s="19">
        <f t="shared" si="79"/>
        <v>1.50412765957447</v>
      </c>
      <c r="U190" s="19">
        <f t="shared" si="79"/>
        <v>1.1028488372093</v>
      </c>
      <c r="V190" s="19">
        <f t="shared" si="79"/>
        <v>0.815170816444702</v>
      </c>
      <c r="AO190" s="14"/>
      <c r="AP190" s="14"/>
    </row>
    <row customHeight="1" ht="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customHeight="1" ht="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customHeight="1" ht="15">
      <c r="A193" s="9" t="s">
        <v>211</v>
      </c>
      <c r="B193" s="11">
        <f t="shared" si="81" ref="B193:B196">B198+B203+B222</f>
        <v>36.361</v>
      </c>
      <c r="C193" s="11">
        <f t="shared" si="80" ref="C193:I193">C198+C203+C208+C213+C218+C222</f>
        <v>143.311</v>
      </c>
      <c r="D193" s="11">
        <f t="shared" si="80"/>
        <v>367.178</v>
      </c>
      <c r="E193" s="11">
        <f t="shared" si="80"/>
        <v>653.797</v>
      </c>
      <c r="F193" s="11">
        <f t="shared" si="80"/>
        <v>1255.68</v>
      </c>
      <c r="G193" s="11">
        <f t="shared" si="80"/>
        <v>1562.148</v>
      </c>
      <c r="H193" s="11">
        <f t="shared" si="80"/>
        <v>1298.154</v>
      </c>
      <c r="I193" s="11">
        <f t="shared" si="80"/>
        <v>1312.196</v>
      </c>
      <c r="J193" s="10">
        <f>I193+'Quarterly YTD'!AF193-'Quarterly YTD'!AB193</f>
        <v>1279.288</v>
      </c>
      <c r="K193" s="0">
        <v>5.48</v>
      </c>
      <c r="L193" s="11">
        <f>'Quarterly YTD'!D193-K193</f>
        <v>9.888</v>
      </c>
      <c r="M193" s="11">
        <f>'Quarterly YTD'!E193-'Quarterly YTD'!D193</f>
        <v>11.172</v>
      </c>
      <c r="N193" s="11">
        <f>C193-'Quarterly YTD'!E193</f>
        <v>116.771</v>
      </c>
      <c r="O193" s="0">
        <v>84.355</v>
      </c>
      <c r="P193" s="11">
        <f>'Quarterly YTD'!H193-O193</f>
        <v>96.457</v>
      </c>
      <c r="Q193" s="11">
        <f>'Quarterly YTD'!I193-'Quarterly YTD'!H193</f>
        <v>82.044</v>
      </c>
      <c r="R193" s="11">
        <f>D193-'Quarterly YTD'!I193</f>
        <v>104.322</v>
      </c>
      <c r="S193" s="0">
        <v>103.612</v>
      </c>
      <c r="T193" s="11">
        <f>'Quarterly YTD'!L193-S193</f>
        <v>128.532</v>
      </c>
      <c r="U193" s="11">
        <f>'Quarterly YTD'!M193-'Quarterly YTD'!L193</f>
        <v>208.521</v>
      </c>
      <c r="V193" s="11">
        <f>E193-'Quarterly YTD'!M193</f>
        <v>213.132</v>
      </c>
      <c r="W193" s="0">
        <v>196.976</v>
      </c>
      <c r="X193" s="11">
        <f>'Quarterly YTD'!P193-W193</f>
        <v>323.234</v>
      </c>
      <c r="Y193" s="11">
        <f>'Quarterly YTD'!Q193-'Quarterly YTD'!P193</f>
        <v>408.178</v>
      </c>
      <c r="Z193" s="11">
        <f>F193-'Quarterly YTD'!Q193</f>
        <v>327.292</v>
      </c>
      <c r="AA193" s="0">
        <v>246.169</v>
      </c>
      <c r="AB193" s="11">
        <f>'Quarterly YTD'!T193-AA193</f>
        <v>387.467</v>
      </c>
      <c r="AC193" s="11">
        <f>'Quarterly YTD'!U193-'Quarterly YTD'!T193</f>
        <v>517.128</v>
      </c>
      <c r="AD193" s="11">
        <f>G193-'Quarterly YTD'!U193</f>
        <v>411.384</v>
      </c>
      <c r="AE193" s="0">
        <v>325.838</v>
      </c>
      <c r="AF193" s="11">
        <f>'Quarterly YTD'!X193-AE193</f>
        <v>509.844</v>
      </c>
      <c r="AG193" s="11">
        <f>'Quarterly YTD'!Y193-'Quarterly YTD'!X193</f>
        <v>630.638</v>
      </c>
      <c r="AH193" s="11">
        <f>H193-'Quarterly YTD'!Y193</f>
        <v>-168.166</v>
      </c>
      <c r="AI193" s="0">
        <v>245.513</v>
      </c>
      <c r="AJ193" s="11">
        <f>'Quarterly YTD'!AB193-AI193</f>
        <v>347.814</v>
      </c>
      <c r="AK193" s="11">
        <f>'Quarterly YTD'!AC193-'Quarterly YTD'!AB193+-164.006</f>
        <v>520.554</v>
      </c>
      <c r="AL193" s="11">
        <f>I193-'Quarterly YTD'!AC193</f>
        <v>34.309</v>
      </c>
      <c r="AM193" s="0">
        <v>278.355</v>
      </c>
      <c r="AN193" s="11">
        <f>'Quarterly YTD'!AF193-AM193</f>
        <v>282.064</v>
      </c>
      <c r="AO193" s="12">
        <f t="shared" si="0"/>
        <v>0.0133247112500225</v>
      </c>
      <c r="AP193" s="12">
        <f t="shared" si="1"/>
        <v>-0.189037819064212</v>
      </c>
    </row>
    <row customHeight="1" ht="15">
      <c r="A194" s="9" t="s">
        <v>212</v>
      </c>
      <c r="B194" s="11">
        <f t="shared" si="81"/>
        <v>0</v>
      </c>
      <c r="C194" s="11">
        <f t="shared" si="82" ref="C194:I194">C199+C204+C209+C214+C223</f>
        <v>69.784</v>
      </c>
      <c r="D194" s="11">
        <f t="shared" si="82"/>
        <v>88.308</v>
      </c>
      <c r="E194" s="11">
        <f t="shared" si="82"/>
        <v>0.576</v>
      </c>
      <c r="F194" s="11">
        <f t="shared" si="82"/>
        <v>0</v>
      </c>
      <c r="G194" s="11">
        <f t="shared" si="82"/>
        <v>0</v>
      </c>
      <c r="H194" s="11">
        <f t="shared" si="82"/>
        <v>0</v>
      </c>
      <c r="I194" s="11">
        <f t="shared" si="82"/>
        <v>0</v>
      </c>
      <c r="J194" s="10">
        <f>I194+'Quarterly YTD'!AF194-'Quarterly YTD'!AB194</f>
        <v>0</v>
      </c>
      <c r="K194" s="0">
        <v>0</v>
      </c>
      <c r="L194" s="11">
        <f>'Quarterly YTD'!D194-K194</f>
        <v>0</v>
      </c>
      <c r="M194" s="11">
        <f>'Quarterly YTD'!E194-'Quarterly YTD'!D194</f>
        <v>0</v>
      </c>
      <c r="N194" s="11">
        <f>C194-'Quarterly YTD'!E194</f>
        <v>69.784</v>
      </c>
      <c r="O194" s="0">
        <v>87.721</v>
      </c>
      <c r="P194" s="11">
        <f>'Quarterly YTD'!H194-O194</f>
        <v>1.72799999999999</v>
      </c>
      <c r="Q194" s="11">
        <f>'Quarterly YTD'!I194-'Quarterly YTD'!H194</f>
        <v>2.155</v>
      </c>
      <c r="R194" s="11">
        <f>D194-'Quarterly YTD'!I194</f>
        <v>-3.29599999999999</v>
      </c>
      <c r="S194" s="0">
        <v>3.082</v>
      </c>
      <c r="T194" s="11">
        <f>'Quarterly YTD'!L194-S194</f>
        <v>2.418</v>
      </c>
      <c r="U194" s="11">
        <f>'Quarterly YTD'!M194-'Quarterly YTD'!L194</f>
        <v>3.471</v>
      </c>
      <c r="V194" s="11">
        <f>E194-'Quarterly YTD'!M194</f>
        <v>-8.395</v>
      </c>
      <c r="W194" s="0">
        <v>0</v>
      </c>
      <c r="X194" s="11">
        <f>'Quarterly YTD'!P194-W194</f>
        <v>0</v>
      </c>
      <c r="Y194" s="11">
        <f>'Quarterly YTD'!Q194-'Quarterly YTD'!P194</f>
        <v>0</v>
      </c>
      <c r="Z194" s="11">
        <f>F194-'Quarterly YTD'!Q194</f>
        <v>0</v>
      </c>
      <c r="AA194" s="0">
        <v>0</v>
      </c>
      <c r="AB194" s="11">
        <f>'Quarterly YTD'!T194-AA194</f>
        <v>0</v>
      </c>
      <c r="AC194" s="11">
        <f>'Quarterly YTD'!U194-'Quarterly YTD'!T194</f>
        <v>0</v>
      </c>
      <c r="AD194" s="11">
        <f>G194-'Quarterly YTD'!U194</f>
        <v>0</v>
      </c>
      <c r="AE194" s="0">
        <v>0</v>
      </c>
      <c r="AF194" s="11">
        <f>'Quarterly YTD'!X194-AE194</f>
        <v>0</v>
      </c>
      <c r="AG194" s="11">
        <f>'Quarterly YTD'!Y194-'Quarterly YTD'!X194</f>
        <v>0</v>
      </c>
      <c r="AH194" s="11">
        <f>H194-'Quarterly YTD'!Y194</f>
        <v>0</v>
      </c>
      <c r="AI194" s="0">
        <v>0</v>
      </c>
      <c r="AJ194" s="11">
        <f>'Quarterly YTD'!AB194-AI194</f>
        <v>0</v>
      </c>
      <c r="AK194" s="11">
        <f>'Quarterly YTD'!AC194-'Quarterly YTD'!AB194</f>
        <v>0</v>
      </c>
      <c r="AL194" s="11">
        <f>I194-'Quarterly YTD'!AC194</f>
        <v>0</v>
      </c>
      <c r="AM194" s="0">
        <v>0</v>
      </c>
      <c r="AN194" s="11">
        <f>'Quarterly YTD'!AF194-AM194</f>
        <v>0</v>
      </c>
      <c r="AO194" s="12">
        <f t="shared" si="0"/>
        <v>0</v>
      </c>
      <c r="AP194" s="12">
        <f t="shared" si="1"/>
        <v>0</v>
      </c>
    </row>
    <row customHeight="1" ht="15">
      <c r="A195" s="9" t="s">
        <v>213</v>
      </c>
      <c r="B195" s="11">
        <f t="shared" si="81"/>
        <v>394.523</v>
      </c>
      <c r="C195" s="11">
        <f t="shared" si="83" ref="C195:I196">C200+C205+C210+C215+C219+C224</f>
        <v>393.253</v>
      </c>
      <c r="D195" s="11">
        <f t="shared" si="83"/>
        <v>228.601</v>
      </c>
      <c r="E195" s="11">
        <f t="shared" si="83"/>
        <v>327.27</v>
      </c>
      <c r="F195" s="11">
        <f t="shared" si="83"/>
        <v>562.023</v>
      </c>
      <c r="G195" s="11">
        <f t="shared" si="83"/>
        <v>660.367</v>
      </c>
      <c r="H195" s="11">
        <f t="shared" si="83"/>
        <v>740.442</v>
      </c>
      <c r="I195" s="11">
        <f t="shared" si="83"/>
        <v>829.329</v>
      </c>
      <c r="J195" s="10">
        <f>I195+'Quarterly YTD'!AF195-'Quarterly YTD'!AB195</f>
        <v>946.162</v>
      </c>
      <c r="K195" s="0">
        <v>92.801</v>
      </c>
      <c r="L195" s="11">
        <f>'Quarterly YTD'!D195-K195</f>
        <v>106.337</v>
      </c>
      <c r="M195" s="11">
        <f>'Quarterly YTD'!E195-'Quarterly YTD'!D195</f>
        <v>115.487</v>
      </c>
      <c r="N195" s="11">
        <f>C195-'Quarterly YTD'!E195</f>
        <v>78.628</v>
      </c>
      <c r="O195" s="0">
        <v>97.696</v>
      </c>
      <c r="P195" s="11">
        <f>'Quarterly YTD'!H195-O195</f>
        <v>37.446</v>
      </c>
      <c r="Q195" s="11">
        <f>'Quarterly YTD'!I195-'Quarterly YTD'!H195</f>
        <v>53.15</v>
      </c>
      <c r="R195" s="11">
        <f>D195-'Quarterly YTD'!I195</f>
        <v>40.309</v>
      </c>
      <c r="S195" s="0">
        <v>58.107</v>
      </c>
      <c r="T195" s="11">
        <f>'Quarterly YTD'!L195-S195</f>
        <v>76.407</v>
      </c>
      <c r="U195" s="11">
        <f>'Quarterly YTD'!M195-'Quarterly YTD'!L195</f>
        <v>96.532</v>
      </c>
      <c r="V195" s="11">
        <f>E195-'Quarterly YTD'!M195</f>
        <v>96.224</v>
      </c>
      <c r="W195" s="0">
        <v>117.239</v>
      </c>
      <c r="X195" s="11">
        <f>'Quarterly YTD'!P195-W195</f>
        <v>152.369</v>
      </c>
      <c r="Y195" s="11">
        <f>'Quarterly YTD'!Q195-'Quarterly YTD'!P195</f>
        <v>159.364</v>
      </c>
      <c r="Z195" s="11">
        <f>F195-'Quarterly YTD'!Q195</f>
        <v>133.051</v>
      </c>
      <c r="AA195" s="0">
        <v>155.527</v>
      </c>
      <c r="AB195" s="11">
        <f>'Quarterly YTD'!T195-AA195</f>
        <v>164.261</v>
      </c>
      <c r="AC195" s="11">
        <f>'Quarterly YTD'!U195-'Quarterly YTD'!T195</f>
        <v>178.059</v>
      </c>
      <c r="AD195" s="11">
        <f>G195-'Quarterly YTD'!U195</f>
        <v>162.52</v>
      </c>
      <c r="AE195" s="0">
        <v>177.894</v>
      </c>
      <c r="AF195" s="11">
        <f>'Quarterly YTD'!X195-AE195</f>
        <v>206.612</v>
      </c>
      <c r="AG195" s="11">
        <f>'Quarterly YTD'!Y195-'Quarterly YTD'!X195</f>
        <v>209.006</v>
      </c>
      <c r="AH195" s="11">
        <f>H195-'Quarterly YTD'!Y195</f>
        <v>146.93</v>
      </c>
      <c r="AI195" s="0">
        <v>208.18</v>
      </c>
      <c r="AJ195" s="11">
        <f>'Quarterly YTD'!AB195-AI195</f>
        <v>219.404</v>
      </c>
      <c r="AK195" s="11">
        <f>'Quarterly YTD'!AC195-'Quarterly YTD'!AB195</f>
        <v>218.392</v>
      </c>
      <c r="AL195" s="11">
        <f>I195-'Quarterly YTD'!AC195</f>
        <v>183.353</v>
      </c>
      <c r="AM195" s="0">
        <v>239.653</v>
      </c>
      <c r="AN195" s="11">
        <f>'Quarterly YTD'!AF195-AM195</f>
        <v>304.764</v>
      </c>
      <c r="AO195" s="12">
        <f t="shared" si="0"/>
        <v>0.27168864983956</v>
      </c>
      <c r="AP195" s="12">
        <f t="shared" si="1"/>
        <v>0.389053982607428</v>
      </c>
    </row>
    <row customHeight="1" ht="15">
      <c r="A196" s="9" t="s">
        <v>214</v>
      </c>
      <c r="B196" s="11">
        <f t="shared" si="81"/>
        <v>1.59</v>
      </c>
      <c r="C196" s="11">
        <f t="shared" si="83"/>
        <v>0.948</v>
      </c>
      <c r="D196" s="11">
        <f t="shared" si="83"/>
        <v>11.585</v>
      </c>
      <c r="E196" s="11">
        <f t="shared" si="83"/>
        <v>33.248</v>
      </c>
      <c r="F196" s="11">
        <f t="shared" si="83"/>
        <v>34.983</v>
      </c>
      <c r="G196" s="11">
        <f t="shared" si="83"/>
        <v>40.258</v>
      </c>
      <c r="H196" s="11">
        <f t="shared" si="83"/>
        <v>64.676</v>
      </c>
      <c r="I196" s="11">
        <f t="shared" si="83"/>
        <v>47.787</v>
      </c>
      <c r="J196" s="10">
        <f>I196+'Quarterly YTD'!AF196-'Quarterly YTD'!AB196</f>
        <v>47.062</v>
      </c>
      <c r="K196" s="0">
        <v>1.09</v>
      </c>
      <c r="L196" s="11">
        <f>'Quarterly YTD'!D196-K196</f>
        <v>1.202</v>
      </c>
      <c r="M196" s="11">
        <f>'Quarterly YTD'!E196-'Quarterly YTD'!D196</f>
        <v>1.17</v>
      </c>
      <c r="N196" s="11">
        <f>C196-'Quarterly YTD'!E196</f>
        <v>-2.514</v>
      </c>
      <c r="O196" s="0">
        <v>3.748</v>
      </c>
      <c r="P196" s="11">
        <f>'Quarterly YTD'!H196-O196</f>
        <v>2.26</v>
      </c>
      <c r="Q196" s="11">
        <f>'Quarterly YTD'!I196-'Quarterly YTD'!H196</f>
        <v>3.764</v>
      </c>
      <c r="R196" s="11">
        <f>D196-'Quarterly YTD'!I196</f>
        <v>1.813</v>
      </c>
      <c r="S196" s="0">
        <v>5.857</v>
      </c>
      <c r="T196" s="11">
        <f>'Quarterly YTD'!L196-S196</f>
        <v>8.456</v>
      </c>
      <c r="U196" s="11">
        <f>'Quarterly YTD'!M196-'Quarterly YTD'!L196</f>
        <v>8.681</v>
      </c>
      <c r="V196" s="11">
        <f>E196-'Quarterly YTD'!M196</f>
        <v>10.254</v>
      </c>
      <c r="W196" s="0">
        <v>14.337</v>
      </c>
      <c r="X196" s="11">
        <f>'Quarterly YTD'!P196-W196</f>
        <v>6.698</v>
      </c>
      <c r="Y196" s="11">
        <f>'Quarterly YTD'!Q196-'Quarterly YTD'!P196</f>
        <v>11.036</v>
      </c>
      <c r="Z196" s="11">
        <f>F196-'Quarterly YTD'!Q196</f>
        <v>2.912</v>
      </c>
      <c r="AA196" s="0">
        <v>15.635</v>
      </c>
      <c r="AB196" s="11">
        <f>'Quarterly YTD'!T196-AA196</f>
        <v>13.555</v>
      </c>
      <c r="AC196" s="11">
        <f>'Quarterly YTD'!U196-'Quarterly YTD'!T196</f>
        <v>9.431</v>
      </c>
      <c r="AD196" s="11">
        <f>G196-'Quarterly YTD'!U196</f>
        <v>1.637</v>
      </c>
      <c r="AE196" s="0">
        <v>23.898</v>
      </c>
      <c r="AF196" s="11">
        <f>'Quarterly YTD'!X196-AE196</f>
        <v>24.854</v>
      </c>
      <c r="AG196" s="11">
        <f>'Quarterly YTD'!Y196-'Quarterly YTD'!X196</f>
        <v>22.664</v>
      </c>
      <c r="AH196" s="11">
        <f>H196-'Quarterly YTD'!Y196</f>
        <v>-6.74</v>
      </c>
      <c r="AI196" s="0">
        <v>26.06</v>
      </c>
      <c r="AJ196" s="11">
        <f>'Quarterly YTD'!AB196-AI196</f>
        <v>19.095</v>
      </c>
      <c r="AK196" s="11">
        <f>'Quarterly YTD'!AC196-'Quarterly YTD'!AB196+0.001</f>
        <v>17.825</v>
      </c>
      <c r="AL196" s="11">
        <f>I196-'Quarterly YTD'!AC196</f>
        <v>-15.192</v>
      </c>
      <c r="AM196" s="0">
        <v>22.9</v>
      </c>
      <c r="AN196" s="11">
        <f>'Quarterly YTD'!AF196-AM196</f>
        <v>21.53</v>
      </c>
      <c r="AO196" s="12">
        <f t="shared" si="0"/>
        <v>-0.059825327510917</v>
      </c>
      <c r="AP196" s="12">
        <f t="shared" si="1"/>
        <v>0.12752029327049</v>
      </c>
    </row>
    <row customHeight="1" ht="15">
      <c r="A197" s="4" t="s">
        <v>215</v>
      </c>
      <c r="B197" s="7">
        <f t="shared" si="84" ref="B197:I226">B193+SUM(B195:B196)</f>
        <v>432.474</v>
      </c>
      <c r="C197" s="7">
        <f t="shared" si="85" ref="C197:AN197">SUM(C193:C196)+C228</f>
        <v>607.296</v>
      </c>
      <c r="D197" s="7">
        <f t="shared" si="12"/>
        <v>695.672</v>
      </c>
      <c r="E197" s="7">
        <f t="shared" si="12"/>
        <v>1014.891</v>
      </c>
      <c r="F197" s="7">
        <f t="shared" si="84"/>
        <v>1852.686</v>
      </c>
      <c r="G197" s="7">
        <f t="shared" si="84"/>
        <v>2262.773</v>
      </c>
      <c r="H197" s="7">
        <f t="shared" si="84"/>
        <v>2103.272</v>
      </c>
      <c r="I197" s="7">
        <f t="shared" si="84"/>
        <v>2189.312</v>
      </c>
      <c r="J197" s="6">
        <f t="shared" si="85"/>
        <v>2285.39</v>
      </c>
      <c r="K197" s="7">
        <f t="shared" si="86" ref="K197:AM197">K193+SUM(K195:K196)+K228</f>
        <v>93.496</v>
      </c>
      <c r="L197" s="7">
        <f t="shared" si="85"/>
        <v>111.524</v>
      </c>
      <c r="M197" s="7">
        <f t="shared" si="85"/>
        <v>115.428</v>
      </c>
      <c r="N197" s="7">
        <f t="shared" si="85"/>
        <v>286.848</v>
      </c>
      <c r="O197" s="7">
        <f t="shared" si="85"/>
        <v>267.869</v>
      </c>
      <c r="P197" s="7">
        <f t="shared" si="85"/>
        <v>132.978</v>
      </c>
      <c r="Q197" s="7">
        <f t="shared" si="85"/>
        <v>133.792</v>
      </c>
      <c r="R197" s="7">
        <f t="shared" si="85"/>
        <v>161.033</v>
      </c>
      <c r="S197" s="7">
        <f t="shared" si="85"/>
        <v>162.144</v>
      </c>
      <c r="T197" s="7">
        <f t="shared" si="85"/>
        <v>206.427</v>
      </c>
      <c r="U197" s="7">
        <f t="shared" si="85"/>
        <v>299.715</v>
      </c>
      <c r="V197" s="7">
        <f t="shared" si="85"/>
        <v>346.605</v>
      </c>
      <c r="W197" s="7">
        <f t="shared" si="86"/>
        <v>317.129</v>
      </c>
      <c r="X197" s="7">
        <f t="shared" si="85"/>
        <v>463.506</v>
      </c>
      <c r="Y197" s="7">
        <f t="shared" si="85"/>
        <v>563.904</v>
      </c>
      <c r="Z197" s="7">
        <f t="shared" si="85"/>
        <v>508.147</v>
      </c>
      <c r="AA197" s="7">
        <f t="shared" si="86"/>
        <v>404.776</v>
      </c>
      <c r="AB197" s="7">
        <f t="shared" si="85"/>
        <v>549.902</v>
      </c>
      <c r="AC197" s="7">
        <f t="shared" si="85"/>
        <v>687.535</v>
      </c>
      <c r="AD197" s="7">
        <f t="shared" si="85"/>
        <v>620.56</v>
      </c>
      <c r="AE197" s="7">
        <f t="shared" si="86"/>
        <v>508.778</v>
      </c>
      <c r="AF197" s="7">
        <f t="shared" si="85"/>
        <v>720.116</v>
      </c>
      <c r="AG197" s="7">
        <f t="shared" si="85"/>
        <v>828.505</v>
      </c>
      <c r="AH197" s="7">
        <f t="shared" si="85"/>
        <v>45.873</v>
      </c>
      <c r="AI197" s="7">
        <f t="shared" si="86"/>
        <v>457.491</v>
      </c>
      <c r="AJ197" s="7">
        <f t="shared" si="85"/>
        <v>560.951</v>
      </c>
      <c r="AK197" s="7">
        <f t="shared" si="85"/>
        <v>730.681</v>
      </c>
      <c r="AL197" s="7">
        <f t="shared" si="85"/>
        <v>276.184</v>
      </c>
      <c r="AM197" s="7">
        <f t="shared" si="86"/>
        <v>522.848</v>
      </c>
      <c r="AN197" s="7">
        <f t="shared" si="85"/>
        <v>591.672</v>
      </c>
      <c r="AO197" s="8">
        <f t="shared" si="0"/>
        <v>0.131632902870433</v>
      </c>
      <c r="AP197" s="8">
        <f t="shared" si="1"/>
        <v>0.054765924296418</v>
      </c>
    </row>
    <row customHeight="1" ht="15">
      <c r="A198" s="9" t="s">
        <v>216</v>
      </c>
      <c r="B198" s="0">
        <v>36.36</v>
      </c>
      <c r="C198" s="0">
        <v>108.266</v>
      </c>
      <c r="D198" s="0">
        <v>278.514</v>
      </c>
      <c r="E198" s="0">
        <v>547.494</v>
      </c>
      <c r="F198" s="0">
        <v>1022.234</v>
      </c>
      <c r="G198" s="0">
        <v>993.109</v>
      </c>
      <c r="H198" s="0">
        <v>650.066</v>
      </c>
      <c r="I198" s="0">
        <v>562.365</v>
      </c>
      <c r="J198" s="14"/>
      <c r="AO198" s="14"/>
      <c r="AP198" s="14"/>
    </row>
    <row customHeight="1" ht="15">
      <c r="A199" s="9" t="s">
        <v>217</v>
      </c>
      <c r="B199" s="0">
        <v>0</v>
      </c>
      <c r="C199" s="0">
        <v>67.102</v>
      </c>
      <c r="D199" s="0">
        <v>86.004</v>
      </c>
      <c r="E199" s="0">
        <v>0.43</v>
      </c>
      <c r="F199" s="0">
        <v>0</v>
      </c>
      <c r="G199" s="0">
        <v>0</v>
      </c>
      <c r="H199" s="0">
        <v>0</v>
      </c>
      <c r="I199" s="0">
        <v>0</v>
      </c>
      <c r="J199" s="14"/>
      <c r="AO199" s="14"/>
      <c r="AP199" s="14"/>
    </row>
    <row customHeight="1" ht="15">
      <c r="A200" s="9" t="s">
        <v>218</v>
      </c>
      <c r="B200" s="0">
        <v>381.931</v>
      </c>
      <c r="C200" s="0">
        <v>263.858</v>
      </c>
      <c r="D200" s="0">
        <v>150.951</v>
      </c>
      <c r="E200" s="0">
        <v>225.551</v>
      </c>
      <c r="F200" s="0">
        <v>438.339</v>
      </c>
      <c r="G200" s="0">
        <v>495.443</v>
      </c>
      <c r="H200" s="0">
        <v>582.346</v>
      </c>
      <c r="I200" s="0">
        <v>629.038</v>
      </c>
      <c r="J200" s="14"/>
      <c r="AO200" s="14"/>
      <c r="AP200" s="14"/>
    </row>
    <row customHeight="1" ht="15">
      <c r="A201" s="9" t="s">
        <v>219</v>
      </c>
      <c r="B201" s="0">
        <v>1.59</v>
      </c>
      <c r="C201" s="0">
        <v>0.905</v>
      </c>
      <c r="D201" s="0">
        <v>11.517</v>
      </c>
      <c r="E201" s="0">
        <v>33.179</v>
      </c>
      <c r="F201" s="0">
        <v>34.117</v>
      </c>
      <c r="G201" s="0">
        <v>37.469</v>
      </c>
      <c r="H201" s="0">
        <v>49.909</v>
      </c>
      <c r="I201" s="0">
        <v>40.017</v>
      </c>
      <c r="J201" s="14"/>
      <c r="AO201" s="14"/>
      <c r="AP201" s="14"/>
    </row>
    <row customHeight="1" ht="15">
      <c r="A202" s="9" t="s">
        <v>220</v>
      </c>
      <c r="B202" s="11">
        <f t="shared" si="84"/>
        <v>419.881</v>
      </c>
      <c r="C202" s="11">
        <f t="shared" si="12"/>
        <v>440.131</v>
      </c>
      <c r="D202" s="11">
        <f t="shared" si="12"/>
        <v>526.986</v>
      </c>
      <c r="E202" s="11">
        <f t="shared" si="12"/>
        <v>806.654</v>
      </c>
      <c r="F202" s="11">
        <f t="shared" si="84"/>
        <v>1494.69</v>
      </c>
      <c r="G202" s="11">
        <f t="shared" si="84"/>
        <v>1526.021</v>
      </c>
      <c r="H202" s="11">
        <f t="shared" si="84"/>
        <v>1282.321</v>
      </c>
      <c r="I202" s="11">
        <f t="shared" si="84"/>
        <v>1231.42</v>
      </c>
      <c r="J202" s="14"/>
      <c r="AO202" s="14"/>
      <c r="AP202" s="14"/>
    </row>
    <row customHeight="1" ht="15">
      <c r="A203" s="9" t="s">
        <v>221</v>
      </c>
      <c r="B203" s="0">
        <v>0</v>
      </c>
      <c r="C203" s="0">
        <v>24.303</v>
      </c>
      <c r="D203" s="0">
        <v>41.587</v>
      </c>
      <c r="E203" s="0">
        <v>36.185</v>
      </c>
      <c r="F203" s="0">
        <v>105.755</v>
      </c>
      <c r="G203" s="0">
        <v>350.006</v>
      </c>
      <c r="H203" s="0">
        <v>290.903</v>
      </c>
      <c r="I203" s="0">
        <v>435.915</v>
      </c>
      <c r="J203" s="14"/>
      <c r="AO203" s="14"/>
      <c r="AP203" s="14"/>
    </row>
    <row customHeight="1" ht="15">
      <c r="A204" s="9" t="s">
        <v>222</v>
      </c>
      <c r="B204" s="0">
        <v>0</v>
      </c>
      <c r="C204" s="0">
        <v>0</v>
      </c>
      <c r="D204" s="0">
        <v>0.021</v>
      </c>
      <c r="E204" s="0">
        <v>0.031</v>
      </c>
      <c r="F204" s="0">
        <v>0</v>
      </c>
      <c r="G204" s="0">
        <v>0</v>
      </c>
      <c r="H204" s="0">
        <v>0</v>
      </c>
      <c r="I204" s="0">
        <v>0</v>
      </c>
      <c r="J204" s="14"/>
      <c r="AO204" s="14"/>
      <c r="AP204" s="14"/>
    </row>
    <row customHeight="1" ht="15">
      <c r="A205" s="9" t="s">
        <v>223</v>
      </c>
      <c r="B205" s="0">
        <v>3.77</v>
      </c>
      <c r="C205" s="0">
        <v>46.652</v>
      </c>
      <c r="D205" s="0">
        <v>30.389</v>
      </c>
      <c r="E205" s="0">
        <v>43.609</v>
      </c>
      <c r="F205" s="0">
        <v>76.425</v>
      </c>
      <c r="G205" s="0">
        <v>95.769</v>
      </c>
      <c r="H205" s="0">
        <v>98.18</v>
      </c>
      <c r="I205" s="0">
        <v>133.068</v>
      </c>
      <c r="J205" s="14"/>
      <c r="AO205" s="14"/>
      <c r="AP205" s="14"/>
    </row>
    <row customHeight="1" ht="15">
      <c r="A206" s="9" t="s">
        <v>224</v>
      </c>
      <c r="B206" s="0">
        <v>0</v>
      </c>
      <c r="C206" s="0">
        <v>0.009</v>
      </c>
      <c r="D206" s="0">
        <v>0.012</v>
      </c>
      <c r="E206" s="0">
        <v>0.011</v>
      </c>
      <c r="F206" s="0">
        <v>0.399</v>
      </c>
      <c r="G206" s="0">
        <v>1.362</v>
      </c>
      <c r="H206" s="0">
        <v>9.584</v>
      </c>
      <c r="I206" s="0">
        <v>3.687</v>
      </c>
      <c r="J206" s="14"/>
      <c r="AO206" s="14"/>
      <c r="AP206" s="14"/>
    </row>
    <row customHeight="1" ht="15">
      <c r="A207" s="9" t="s">
        <v>225</v>
      </c>
      <c r="B207" s="11">
        <f t="shared" si="84"/>
        <v>3.77</v>
      </c>
      <c r="C207" s="11">
        <f t="shared" si="12"/>
        <v>70.964</v>
      </c>
      <c r="D207" s="11">
        <f t="shared" si="12"/>
        <v>72.009</v>
      </c>
      <c r="E207" s="11">
        <f t="shared" si="12"/>
        <v>79.836</v>
      </c>
      <c r="F207" s="11">
        <f t="shared" si="84"/>
        <v>182.579</v>
      </c>
      <c r="G207" s="11">
        <f t="shared" si="84"/>
        <v>447.137</v>
      </c>
      <c r="H207" s="11">
        <f t="shared" si="84"/>
        <v>398.667</v>
      </c>
      <c r="I207" s="11">
        <f t="shared" si="84"/>
        <v>572.67</v>
      </c>
      <c r="J207" s="14"/>
      <c r="AO207" s="14"/>
      <c r="AP207" s="14"/>
    </row>
    <row customHeight="1" ht="15">
      <c r="A208" s="9" t="s">
        <v>226</v>
      </c>
      <c r="B208" s="0">
        <v>0</v>
      </c>
      <c r="C208" s="0">
        <v>4.057</v>
      </c>
      <c r="D208" s="0">
        <v>22.214</v>
      </c>
      <c r="E208" s="0">
        <v>35.634</v>
      </c>
      <c r="F208" s="0">
        <v>68.323</v>
      </c>
      <c r="G208" s="0">
        <v>97.761</v>
      </c>
      <c r="H208" s="0">
        <v>266.351</v>
      </c>
      <c r="I208" s="0">
        <v>189.297</v>
      </c>
      <c r="J208" s="14"/>
      <c r="AO208" s="14"/>
      <c r="AP208" s="14"/>
    </row>
    <row customHeight="1" ht="15">
      <c r="A209" s="9" t="s">
        <v>227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14"/>
      <c r="AO209" s="14"/>
      <c r="AP209" s="14"/>
    </row>
    <row customHeight="1" ht="15">
      <c r="A210" s="9" t="s">
        <v>228</v>
      </c>
      <c r="B210" s="0">
        <v>0</v>
      </c>
      <c r="C210" s="0">
        <v>6.912</v>
      </c>
      <c r="D210" s="0">
        <v>5.186</v>
      </c>
      <c r="E210" s="0">
        <v>9.588</v>
      </c>
      <c r="F210" s="0">
        <v>24.031</v>
      </c>
      <c r="G210" s="0">
        <v>30.278</v>
      </c>
      <c r="H210" s="0">
        <v>36.287</v>
      </c>
      <c r="I210" s="0">
        <v>28.15</v>
      </c>
      <c r="J210" s="14"/>
      <c r="AO210" s="14"/>
      <c r="AP210" s="14"/>
    </row>
    <row customHeight="1" ht="15">
      <c r="A211" s="9" t="s">
        <v>229</v>
      </c>
      <c r="C211" s="0">
        <v>0</v>
      </c>
      <c r="D211" s="0">
        <v>0</v>
      </c>
      <c r="E211" s="0">
        <v>0</v>
      </c>
      <c r="F211" s="0">
        <v>0.135</v>
      </c>
      <c r="G211" s="0">
        <v>0.549</v>
      </c>
      <c r="H211" s="0">
        <v>2.635</v>
      </c>
      <c r="I211" s="0">
        <v>1.819</v>
      </c>
      <c r="J211" s="14"/>
      <c r="AO211" s="14"/>
      <c r="AP211" s="14"/>
    </row>
    <row customHeight="1" ht="15">
      <c r="A212" s="9" t="s">
        <v>230</v>
      </c>
      <c r="B212" s="11">
        <f t="shared" si="87" ref="B212:B217">B208+B210</f>
        <v>0</v>
      </c>
      <c r="C212" s="11">
        <f t="shared" si="12"/>
        <v>10.969</v>
      </c>
      <c r="D212" s="11">
        <f t="shared" si="12"/>
        <v>27.4</v>
      </c>
      <c r="E212" s="11">
        <f t="shared" si="12"/>
        <v>45.222</v>
      </c>
      <c r="F212" s="11">
        <f t="shared" si="84"/>
        <v>92.489</v>
      </c>
      <c r="G212" s="11">
        <f t="shared" si="84"/>
        <v>128.588</v>
      </c>
      <c r="H212" s="11">
        <f t="shared" si="84"/>
        <v>305.273</v>
      </c>
      <c r="I212" s="11">
        <f t="shared" si="84"/>
        <v>219.266</v>
      </c>
      <c r="J212" s="14"/>
      <c r="AO212" s="14"/>
      <c r="AP212" s="14"/>
    </row>
    <row customHeight="1" ht="15">
      <c r="A213" s="9" t="s">
        <v>231</v>
      </c>
      <c r="B213" s="0">
        <v>0</v>
      </c>
      <c r="C213" s="0">
        <v>5.321</v>
      </c>
      <c r="D213" s="0">
        <v>23.765</v>
      </c>
      <c r="E213" s="0">
        <v>33.236</v>
      </c>
      <c r="F213" s="0">
        <v>59.079</v>
      </c>
      <c r="G213" s="0">
        <v>65.574</v>
      </c>
      <c r="H213" s="0">
        <v>54.864</v>
      </c>
      <c r="I213" s="0">
        <v>70.458</v>
      </c>
      <c r="J213" s="14"/>
      <c r="AO213" s="14"/>
      <c r="AP213" s="14"/>
    </row>
    <row customHeight="1" ht="15">
      <c r="A214" s="9" t="s">
        <v>232</v>
      </c>
      <c r="C214" s="0">
        <v>0.361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14"/>
      <c r="AO214" s="14"/>
      <c r="AP214" s="14"/>
    </row>
    <row customHeight="1" ht="15">
      <c r="A215" s="9" t="s">
        <v>233</v>
      </c>
      <c r="B215" s="0">
        <v>0</v>
      </c>
      <c r="C215" s="0">
        <v>16.157</v>
      </c>
      <c r="D215" s="0">
        <v>7.343</v>
      </c>
      <c r="E215" s="0">
        <v>9.294</v>
      </c>
      <c r="F215" s="0">
        <v>7.456</v>
      </c>
      <c r="G215" s="0">
        <v>18.937</v>
      </c>
      <c r="H215" s="0">
        <v>15.046</v>
      </c>
      <c r="I215" s="0">
        <v>25.793</v>
      </c>
      <c r="J215" s="14"/>
      <c r="AO215" s="14"/>
      <c r="AP215" s="14"/>
    </row>
    <row customHeight="1" ht="15">
      <c r="A216" s="9" t="s">
        <v>234</v>
      </c>
      <c r="C216" s="0">
        <v>0</v>
      </c>
      <c r="D216" s="0">
        <v>0</v>
      </c>
      <c r="E216" s="0">
        <v>0</v>
      </c>
      <c r="F216" s="0">
        <v>0.033</v>
      </c>
      <c r="G216" s="0">
        <v>0.085</v>
      </c>
      <c r="H216" s="0">
        <v>0.764</v>
      </c>
      <c r="I216" s="0">
        <v>0.68</v>
      </c>
      <c r="J216" s="14"/>
      <c r="AO216" s="14"/>
      <c r="AP216" s="14"/>
    </row>
    <row customHeight="1" ht="15">
      <c r="A217" s="9" t="s">
        <v>235</v>
      </c>
      <c r="B217" s="11">
        <f t="shared" si="87"/>
        <v>0</v>
      </c>
      <c r="C217" s="11">
        <f t="shared" si="12"/>
        <v>21.839</v>
      </c>
      <c r="D217" s="11">
        <f t="shared" si="12"/>
        <v>31.108</v>
      </c>
      <c r="E217" s="11">
        <f t="shared" si="12"/>
        <v>42.53</v>
      </c>
      <c r="F217" s="11">
        <f t="shared" si="84"/>
        <v>66.568</v>
      </c>
      <c r="G217" s="11">
        <f t="shared" si="84"/>
        <v>84.596</v>
      </c>
      <c r="H217" s="11">
        <f t="shared" si="84"/>
        <v>70.674</v>
      </c>
      <c r="I217" s="11">
        <f t="shared" si="84"/>
        <v>96.931</v>
      </c>
      <c r="J217" s="14"/>
      <c r="AO217" s="14"/>
      <c r="AP217" s="14"/>
    </row>
    <row customHeight="1" ht="15">
      <c r="A218" s="9" t="s">
        <v>236</v>
      </c>
      <c r="B218" s="0">
        <v>0</v>
      </c>
      <c r="C218" s="0">
        <v>0.728</v>
      </c>
      <c r="D218" s="0">
        <v>0.677</v>
      </c>
      <c r="E218" s="0">
        <v>0.782</v>
      </c>
      <c r="F218" s="0">
        <v>0.128</v>
      </c>
      <c r="G218" s="0">
        <v>42.064</v>
      </c>
      <c r="H218" s="0">
        <v>35.56</v>
      </c>
      <c r="I218" s="0">
        <v>46.812</v>
      </c>
      <c r="J218" s="14"/>
      <c r="AO218" s="14"/>
      <c r="AP218" s="14"/>
    </row>
    <row customHeight="1" ht="15">
      <c r="A219" s="9" t="s">
        <v>237</v>
      </c>
      <c r="B219" s="0">
        <v>0</v>
      </c>
      <c r="C219" s="0">
        <v>0.127</v>
      </c>
      <c r="D219" s="0">
        <v>0.07</v>
      </c>
      <c r="E219" s="0">
        <v>0.466</v>
      </c>
      <c r="F219" s="0">
        <v>3.294</v>
      </c>
      <c r="G219" s="0">
        <v>5.265</v>
      </c>
      <c r="H219" s="0">
        <v>0.458</v>
      </c>
      <c r="I219" s="0">
        <v>0.915</v>
      </c>
      <c r="J219" s="14"/>
      <c r="AO219" s="14"/>
      <c r="AP219" s="14"/>
    </row>
    <row customHeight="1" ht="15">
      <c r="A220" s="9" t="s">
        <v>238</v>
      </c>
      <c r="C220" s="0">
        <v>0</v>
      </c>
      <c r="D220" s="0">
        <v>0</v>
      </c>
      <c r="E220" s="0">
        <v>0</v>
      </c>
      <c r="F220" s="0">
        <v>0.003</v>
      </c>
      <c r="G220" s="0">
        <v>0.008</v>
      </c>
      <c r="H220" s="0">
        <v>0.333</v>
      </c>
      <c r="I220" s="0">
        <v>0.125</v>
      </c>
      <c r="J220" s="14"/>
      <c r="AO220" s="14"/>
      <c r="AP220" s="14"/>
    </row>
    <row customHeight="1" ht="15">
      <c r="A221" s="9" t="s">
        <v>239</v>
      </c>
      <c r="B221" s="11">
        <f>SUM(B218:B219)</f>
        <v>0</v>
      </c>
      <c r="C221" s="11">
        <f t="shared" si="88" ref="C221:I221">SUM(C218:C220)</f>
        <v>0.855</v>
      </c>
      <c r="D221" s="11">
        <f t="shared" si="88"/>
        <v>0.747</v>
      </c>
      <c r="E221" s="11">
        <f t="shared" si="88"/>
        <v>1.248</v>
      </c>
      <c r="F221" s="11">
        <f t="shared" si="88"/>
        <v>3.425</v>
      </c>
      <c r="G221" s="11">
        <f t="shared" si="88"/>
        <v>47.337</v>
      </c>
      <c r="H221" s="11">
        <f t="shared" si="88"/>
        <v>36.351</v>
      </c>
      <c r="I221" s="11">
        <f t="shared" si="88"/>
        <v>47.852</v>
      </c>
      <c r="J221" s="14"/>
      <c r="AO221" s="14"/>
      <c r="AP221" s="14"/>
    </row>
    <row customHeight="1" ht="15">
      <c r="A222" s="9" t="s">
        <v>240</v>
      </c>
      <c r="B222" s="0">
        <v>0.001</v>
      </c>
      <c r="C222" s="0">
        <v>0.636</v>
      </c>
      <c r="D222" s="0">
        <v>0.421</v>
      </c>
      <c r="E222" s="0">
        <v>0.466</v>
      </c>
      <c r="F222" s="0">
        <v>0.161</v>
      </c>
      <c r="G222" s="0">
        <v>13.634</v>
      </c>
      <c r="H222" s="0">
        <v>0.41</v>
      </c>
      <c r="I222" s="0">
        <v>7.349</v>
      </c>
      <c r="J222" s="14"/>
      <c r="AO222" s="14"/>
      <c r="AP222" s="14"/>
    </row>
    <row customHeight="1" ht="15">
      <c r="A223" s="9" t="s">
        <v>241</v>
      </c>
      <c r="B223" s="0">
        <v>0</v>
      </c>
      <c r="C223" s="0">
        <v>2.321</v>
      </c>
      <c r="D223" s="0">
        <v>2.283</v>
      </c>
      <c r="E223" s="0">
        <v>0.115</v>
      </c>
      <c r="F223" s="0">
        <v>0</v>
      </c>
      <c r="G223" s="0">
        <v>0</v>
      </c>
      <c r="H223" s="0">
        <v>0</v>
      </c>
      <c r="I223" s="0">
        <v>0</v>
      </c>
      <c r="J223" s="14"/>
      <c r="AO223" s="14"/>
      <c r="AP223" s="14"/>
    </row>
    <row customHeight="1" ht="15">
      <c r="A224" s="9" t="s">
        <v>242</v>
      </c>
      <c r="B224" s="0">
        <v>8.822</v>
      </c>
      <c r="C224" s="0">
        <v>59.547</v>
      </c>
      <c r="D224" s="0">
        <v>34.662</v>
      </c>
      <c r="E224" s="0">
        <v>38.762</v>
      </c>
      <c r="F224" s="0">
        <v>12.478</v>
      </c>
      <c r="G224" s="0">
        <v>14.675</v>
      </c>
      <c r="H224" s="0">
        <v>8.125</v>
      </c>
      <c r="I224" s="0">
        <v>12.365</v>
      </c>
      <c r="J224" s="14"/>
      <c r="AO224" s="14"/>
      <c r="AP224" s="14"/>
    </row>
    <row customHeight="1" ht="15">
      <c r="A225" s="9" t="s">
        <v>243</v>
      </c>
      <c r="B225" s="0">
        <v>0</v>
      </c>
      <c r="C225" s="0">
        <v>0.034</v>
      </c>
      <c r="D225" s="0">
        <v>0.056</v>
      </c>
      <c r="E225" s="0">
        <v>0.058</v>
      </c>
      <c r="F225" s="0">
        <v>0.296</v>
      </c>
      <c r="G225" s="0">
        <v>0.785</v>
      </c>
      <c r="H225" s="0">
        <v>1.451</v>
      </c>
      <c r="I225" s="0">
        <v>1.459</v>
      </c>
      <c r="J225" s="14"/>
      <c r="AO225" s="14"/>
      <c r="AP225" s="14"/>
    </row>
    <row customHeight="1" ht="15">
      <c r="A226" s="9" t="s">
        <v>244</v>
      </c>
      <c r="B226" s="11">
        <f t="shared" si="84"/>
        <v>8.823</v>
      </c>
      <c r="C226" s="11">
        <f t="shared" si="12"/>
        <v>62.538</v>
      </c>
      <c r="D226" s="11">
        <f t="shared" si="12"/>
        <v>37.422</v>
      </c>
      <c r="E226" s="11">
        <f t="shared" si="12"/>
        <v>39.401</v>
      </c>
      <c r="F226" s="11">
        <f t="shared" si="84"/>
        <v>12.935</v>
      </c>
      <c r="G226" s="11">
        <f t="shared" si="84"/>
        <v>29.094</v>
      </c>
      <c r="H226" s="11">
        <f t="shared" si="84"/>
        <v>9.986</v>
      </c>
      <c r="I226" s="11">
        <f t="shared" si="84"/>
        <v>21.173</v>
      </c>
      <c r="J226" s="14"/>
      <c r="AO226" s="14"/>
      <c r="AP226" s="14"/>
    </row>
    <row customHeight="1" ht="15">
      <c r="A227" s="4" t="s">
        <v>245</v>
      </c>
      <c r="B227" s="7">
        <f>B202+B207+B226</f>
        <v>432.474</v>
      </c>
      <c r="C227" s="7">
        <f t="shared" si="89" ref="C227:I227">C202+C207+C212+C217+C221+C226</f>
        <v>607.296</v>
      </c>
      <c r="D227" s="7">
        <f t="shared" si="89"/>
        <v>695.672</v>
      </c>
      <c r="E227" s="7">
        <f t="shared" si="89"/>
        <v>1014.891</v>
      </c>
      <c r="F227" s="7">
        <f t="shared" si="89"/>
        <v>1852.686</v>
      </c>
      <c r="G227" s="7">
        <f t="shared" si="89"/>
        <v>2262.773</v>
      </c>
      <c r="H227" s="7">
        <f t="shared" si="89"/>
        <v>2103.272</v>
      </c>
      <c r="I227" s="7">
        <f t="shared" si="89"/>
        <v>2189.312</v>
      </c>
      <c r="J227" s="14"/>
      <c r="AO227" s="14"/>
      <c r="AP227" s="14"/>
    </row>
    <row customHeight="1" ht="15">
      <c r="A228" s="9" t="s">
        <v>246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10">
        <f>I228+'Quarterly YTD'!AF228-'Quarterly YTD'!AB228</f>
        <v>12.878</v>
      </c>
      <c r="K228" s="0">
        <v>-5.875</v>
      </c>
      <c r="L228" s="11">
        <f>'Quarterly YTD'!D228-K228</f>
        <v>-5.903</v>
      </c>
      <c r="M228" s="11">
        <f>'Quarterly YTD'!E228-'Quarterly YTD'!D228</f>
        <v>-12.401</v>
      </c>
      <c r="N228" s="11">
        <f>C228-'Quarterly YTD'!E228</f>
        <v>24.179</v>
      </c>
      <c r="O228" s="0">
        <v>-5.651</v>
      </c>
      <c r="P228" s="11">
        <f>'Quarterly YTD'!H228-O228</f>
        <v>-4.913</v>
      </c>
      <c r="Q228" s="11">
        <f>'Quarterly YTD'!I228-'Quarterly YTD'!H228</f>
        <v>-7.321</v>
      </c>
      <c r="R228" s="11">
        <f>D228-'Quarterly YTD'!I228</f>
        <v>17.885</v>
      </c>
      <c r="S228" s="0">
        <v>-8.514</v>
      </c>
      <c r="T228" s="11">
        <f>'Quarterly YTD'!L228-S228</f>
        <v>-9.386</v>
      </c>
      <c r="U228" s="11">
        <f>'Quarterly YTD'!M228-'Quarterly YTD'!L228</f>
        <v>-17.49</v>
      </c>
      <c r="V228" s="11">
        <f>E228-'Quarterly YTD'!M228</f>
        <v>35.39</v>
      </c>
      <c r="W228" s="0">
        <v>-11.423</v>
      </c>
      <c r="X228" s="11">
        <f>'Quarterly YTD'!P228-W228</f>
        <v>-18.795</v>
      </c>
      <c r="Y228" s="11">
        <f>'Quarterly YTD'!Q228-'Quarterly YTD'!P228</f>
        <v>-14.674</v>
      </c>
      <c r="Z228" s="11">
        <f>F228-'Quarterly YTD'!Q228</f>
        <v>44.892</v>
      </c>
      <c r="AA228" s="0">
        <v>-12.555</v>
      </c>
      <c r="AB228" s="11">
        <f>'Quarterly YTD'!T228-AA228</f>
        <v>-15.381</v>
      </c>
      <c r="AC228" s="11">
        <f>'Quarterly YTD'!U228-'Quarterly YTD'!T228</f>
        <v>-17.083</v>
      </c>
      <c r="AD228" s="11">
        <f>G228-'Quarterly YTD'!U228</f>
        <v>45.019</v>
      </c>
      <c r="AE228" s="0">
        <v>-18.852</v>
      </c>
      <c r="AF228" s="11">
        <f>'Quarterly YTD'!X228-AE228</f>
        <v>-21.194</v>
      </c>
      <c r="AG228" s="11">
        <f>'Quarterly YTD'!Y228-'Quarterly YTD'!X228</f>
        <v>-33.803</v>
      </c>
      <c r="AH228" s="11">
        <f>H228-'Quarterly YTD'!Y228</f>
        <v>73.849</v>
      </c>
      <c r="AI228" s="0">
        <v>-22.262</v>
      </c>
      <c r="AJ228" s="11">
        <f>'Quarterly YTD'!AB228-AI228</f>
        <v>-25.362</v>
      </c>
      <c r="AK228" s="11">
        <f>'Quarterly YTD'!AC228-'Quarterly YTD'!AB228</f>
        <v>-26.09</v>
      </c>
      <c r="AL228" s="11">
        <f>I228-'Quarterly YTD'!AC228</f>
        <v>73.714</v>
      </c>
      <c r="AM228" s="0">
        <v>-18.06</v>
      </c>
      <c r="AN228" s="11">
        <f>'Quarterly YTD'!AF228-AM228</f>
        <v>-16.686</v>
      </c>
      <c r="AO228" s="12">
        <f t="shared" si="0"/>
        <v>0.0760797342192691</v>
      </c>
      <c r="AP228" s="12">
        <f t="shared" si="1"/>
        <v>0.34208658623137</v>
      </c>
    </row>
    <row customHeight="1" ht="15">
      <c r="A229" s="9" t="s">
        <v>247</v>
      </c>
      <c r="C229" s="0">
        <v>31.7</v>
      </c>
      <c r="D229" s="0">
        <v>11.9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14"/>
      <c r="M229" s="11">
        <f>'Quarterly YTD'!E229-'Quarterly YTD'!D229</f>
        <v>8.4</v>
      </c>
      <c r="N229" s="11">
        <f>C229-'Quarterly YTD'!E229</f>
        <v>6.7</v>
      </c>
      <c r="O229" s="0">
        <v>8.9</v>
      </c>
      <c r="P229" s="11">
        <f>'Quarterly YTD'!H229-O229</f>
        <v>-7.2</v>
      </c>
      <c r="Q229" s="11">
        <f>'Quarterly YTD'!I229-'Quarterly YTD'!H229</f>
        <v>-1.7</v>
      </c>
      <c r="R229" s="11">
        <f>D229-'Quarterly YTD'!I229</f>
        <v>11.9</v>
      </c>
      <c r="S229" s="0">
        <v>-0.6</v>
      </c>
      <c r="T229" s="11">
        <f>'Quarterly YTD'!L229-S229</f>
        <v>3.8</v>
      </c>
      <c r="U229" s="11">
        <f>'Quarterly YTD'!M229-'Quarterly YTD'!L229</f>
        <v>6.3</v>
      </c>
      <c r="V229" s="11">
        <f>E229-'Quarterly YTD'!M229</f>
        <v>-9.5</v>
      </c>
      <c r="AO229" s="14"/>
      <c r="AP229" s="14"/>
    </row>
    <row customHeight="1" ht="15">
      <c r="A230" s="9" t="s">
        <v>248</v>
      </c>
      <c r="C230" s="0">
        <v>149.2</v>
      </c>
      <c r="D230" s="0">
        <v>81.3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14"/>
      <c r="M230" s="11">
        <f>'Quarterly YTD'!E230-'Quarterly YTD'!D230</f>
        <v>83.6</v>
      </c>
      <c r="N230" s="11">
        <f>C230-'Quarterly YTD'!E230</f>
        <v>14.6</v>
      </c>
      <c r="O230" s="0">
        <v>2.3</v>
      </c>
      <c r="P230" s="11">
        <f>'Quarterly YTD'!H230-O230</f>
        <v>47.2</v>
      </c>
      <c r="Q230" s="11">
        <f>'Quarterly YTD'!I230-'Quarterly YTD'!H230</f>
        <v>14.6</v>
      </c>
      <c r="R230" s="11">
        <f>D230-'Quarterly YTD'!I230</f>
        <v>17.2</v>
      </c>
      <c r="S230" s="0">
        <v>17.8</v>
      </c>
      <c r="T230" s="11">
        <f>'Quarterly YTD'!L230-S230</f>
        <v>18.7</v>
      </c>
      <c r="U230" s="11">
        <f>'Quarterly YTD'!M230-'Quarterly YTD'!L230</f>
        <v>39.7</v>
      </c>
      <c r="V230" s="11">
        <f>E230-'Quarterly YTD'!M230</f>
        <v>-76.2</v>
      </c>
      <c r="AO230" s="14"/>
      <c r="AP230" s="14"/>
    </row>
    <row customHeight="1" ht="15">
      <c r="A231" s="9" t="s">
        <v>249</v>
      </c>
      <c r="C231" s="0">
        <v>33</v>
      </c>
      <c r="D231" s="0">
        <v>22.4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14"/>
      <c r="M231" s="11">
        <f>'Quarterly YTD'!E231-'Quarterly YTD'!D231</f>
        <v>2.4</v>
      </c>
      <c r="N231" s="11">
        <f>C231-'Quarterly YTD'!E231</f>
        <v>14.2</v>
      </c>
      <c r="O231" s="0">
        <v>23.5</v>
      </c>
      <c r="P231" s="11">
        <f>'Quarterly YTD'!H231-O231</f>
        <v>-1.5</v>
      </c>
      <c r="Q231" s="11">
        <f>'Quarterly YTD'!I231-'Quarterly YTD'!H231</f>
        <v>1</v>
      </c>
      <c r="R231" s="11">
        <f>D231-'Quarterly YTD'!I231</f>
        <v>-0.6</v>
      </c>
      <c r="S231" s="0">
        <v>3.2</v>
      </c>
      <c r="T231" s="11">
        <f>'Quarterly YTD'!L231-S231</f>
        <v>1.4</v>
      </c>
      <c r="U231" s="11">
        <f>'Quarterly YTD'!M231-'Quarterly YTD'!L231</f>
        <v>2.2</v>
      </c>
      <c r="V231" s="11">
        <f>E231-'Quarterly YTD'!M231</f>
        <v>-6.8</v>
      </c>
      <c r="AO231" s="14"/>
      <c r="AP231" s="14"/>
    </row>
    <row customHeight="1" ht="15">
      <c r="A232" s="9" t="s">
        <v>214</v>
      </c>
      <c r="C232" s="0">
        <v>-1.6</v>
      </c>
      <c r="D232" s="0">
        <v>14.7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14"/>
      <c r="M232" s="11">
        <f>'Quarterly YTD'!E232-'Quarterly YTD'!D232</f>
        <v>-1</v>
      </c>
      <c r="N232" s="11">
        <f>C232-'Quarterly YTD'!E232</f>
        <v>-0.5</v>
      </c>
      <c r="O232" s="0">
        <v>-1.1</v>
      </c>
      <c r="P232" s="11">
        <f>'Quarterly YTD'!H232-O232</f>
        <v>-1.3</v>
      </c>
      <c r="Q232" s="11">
        <f>'Quarterly YTD'!I232-'Quarterly YTD'!H232</f>
        <v>0.9</v>
      </c>
      <c r="R232" s="11">
        <f>D232-'Quarterly YTD'!I232</f>
        <v>16.2</v>
      </c>
      <c r="S232" s="0">
        <v>1.8</v>
      </c>
      <c r="T232" s="11">
        <f>'Quarterly YTD'!L232-S232</f>
        <v>0.5</v>
      </c>
      <c r="U232" s="11">
        <f>'Quarterly YTD'!M232-'Quarterly YTD'!L232</f>
        <v>4.6</v>
      </c>
      <c r="V232" s="11">
        <f>E232-'Quarterly YTD'!M232</f>
        <v>-6.9</v>
      </c>
      <c r="AO232" s="14"/>
      <c r="AP232" s="14"/>
    </row>
    <row customHeight="1" ht="15">
      <c r="A233" s="9" t="s">
        <v>250</v>
      </c>
      <c r="C233" s="0">
        <v>2.2</v>
      </c>
      <c r="D233" s="0">
        <v>-21.1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14"/>
      <c r="M233" s="11">
        <f>'Quarterly YTD'!E233-'Quarterly YTD'!D233</f>
        <v>-1</v>
      </c>
      <c r="N233" s="11">
        <f>C233-'Quarterly YTD'!E233</f>
        <v>5.4</v>
      </c>
      <c r="O233" s="0">
        <v>-2</v>
      </c>
      <c r="P233" s="11">
        <f>'Quarterly YTD'!H233-O233</f>
        <v>0.1</v>
      </c>
      <c r="Q233" s="11">
        <f>'Quarterly YTD'!I233-'Quarterly YTD'!H233</f>
        <v>1</v>
      </c>
      <c r="R233" s="11">
        <f>D233-'Quarterly YTD'!I233</f>
        <v>-20.2</v>
      </c>
      <c r="S233" s="0">
        <v>-2.8</v>
      </c>
      <c r="T233" s="11">
        <f>'Quarterly YTD'!L233-S233</f>
        <v>-0.9</v>
      </c>
      <c r="U233" s="11">
        <f>'Quarterly YTD'!M233-'Quarterly YTD'!L233</f>
        <v>-1.2</v>
      </c>
      <c r="V233" s="11">
        <f>E233-'Quarterly YTD'!M233</f>
        <v>4.9</v>
      </c>
      <c r="AO233" s="14"/>
      <c r="AP233" s="14"/>
    </row>
    <row customHeight="1" ht="15">
      <c r="A234" s="9" t="s">
        <v>251</v>
      </c>
      <c r="C234" s="0">
        <v>0</v>
      </c>
      <c r="D234" s="0">
        <v>0</v>
      </c>
      <c r="E234" s="0">
        <v>133.785</v>
      </c>
      <c r="F234" s="0">
        <v>233.488</v>
      </c>
      <c r="G234" s="0">
        <v>336.296</v>
      </c>
      <c r="H234" s="0">
        <v>219.564</v>
      </c>
      <c r="I234" s="0">
        <v>237.609</v>
      </c>
      <c r="J234" s="14"/>
      <c r="M234" s="11">
        <f>'Quarterly YTD'!E234-'Quarterly YTD'!D234</f>
        <v>0</v>
      </c>
      <c r="N234" s="11">
        <f>C234-'Quarterly YTD'!E234</f>
        <v>0</v>
      </c>
      <c r="O234" s="0">
        <v>0</v>
      </c>
      <c r="P234" s="11">
        <f>'Quarterly YTD'!H234-O234</f>
        <v>0</v>
      </c>
      <c r="Q234" s="11">
        <f>'Quarterly YTD'!I234-'Quarterly YTD'!H234</f>
        <v>0</v>
      </c>
      <c r="R234" s="11">
        <f>D234-'Quarterly YTD'!I234</f>
        <v>0</v>
      </c>
      <c r="S234" s="0">
        <v>0</v>
      </c>
      <c r="T234" s="11">
        <f>'Quarterly YTD'!L234-S234</f>
        <v>0</v>
      </c>
      <c r="U234" s="11">
        <f>'Quarterly YTD'!M234-'Quarterly YTD'!L234</f>
        <v>0</v>
      </c>
      <c r="V234" s="11">
        <f>E234-'Quarterly YTD'!M234</f>
        <v>133.785</v>
      </c>
      <c r="AO234" s="14"/>
      <c r="AP234" s="14"/>
    </row>
    <row customHeight="1" ht="15">
      <c r="A235" s="9" t="s">
        <v>252</v>
      </c>
      <c r="C235" s="0">
        <v>0</v>
      </c>
      <c r="D235" s="0">
        <v>0</v>
      </c>
      <c r="E235" s="0">
        <v>21.16</v>
      </c>
      <c r="F235" s="0">
        <v>35.908</v>
      </c>
      <c r="G235" s="0">
        <v>79.583</v>
      </c>
      <c r="H235" s="0">
        <v>100.113</v>
      </c>
      <c r="I235" s="0">
        <v>88.546</v>
      </c>
      <c r="J235" s="14"/>
      <c r="M235" s="11">
        <f>'Quarterly YTD'!E235-'Quarterly YTD'!D235</f>
        <v>0</v>
      </c>
      <c r="N235" s="11">
        <f>C235-'Quarterly YTD'!E235</f>
        <v>0</v>
      </c>
      <c r="O235" s="0">
        <v>0</v>
      </c>
      <c r="P235" s="11">
        <f>'Quarterly YTD'!H235-O235</f>
        <v>0</v>
      </c>
      <c r="Q235" s="11">
        <f>'Quarterly YTD'!I235-'Quarterly YTD'!H235</f>
        <v>0</v>
      </c>
      <c r="R235" s="11">
        <f>D235-'Quarterly YTD'!I235</f>
        <v>0</v>
      </c>
      <c r="S235" s="0">
        <v>0</v>
      </c>
      <c r="T235" s="11">
        <f>'Quarterly YTD'!L235-S235</f>
        <v>0</v>
      </c>
      <c r="U235" s="11">
        <f>'Quarterly YTD'!M235-'Quarterly YTD'!L235</f>
        <v>0</v>
      </c>
      <c r="V235" s="11">
        <f>E235-'Quarterly YTD'!M235</f>
        <v>21.16</v>
      </c>
      <c r="AO235" s="14"/>
      <c r="AP235" s="14"/>
    </row>
    <row customHeight="1" ht="15">
      <c r="A236" s="9" t="s">
        <v>253</v>
      </c>
      <c r="E236" s="0">
        <v>127.998</v>
      </c>
      <c r="F236" s="0">
        <v>232.063</v>
      </c>
      <c r="G236" s="0">
        <v>330.076</v>
      </c>
      <c r="H236" s="0">
        <v>228.78</v>
      </c>
      <c r="I236" s="0">
        <v>266.88</v>
      </c>
      <c r="J236" s="14"/>
      <c r="AO236" s="14"/>
      <c r="AP236" s="14"/>
    </row>
    <row customHeight="1" ht="15">
      <c r="A237" s="9" t="s">
        <v>254</v>
      </c>
      <c r="E237" s="0">
        <v>18.858</v>
      </c>
      <c r="F237" s="0">
        <v>42.531</v>
      </c>
      <c r="G237" s="0">
        <v>77.596</v>
      </c>
      <c r="H237" s="0">
        <v>99.306</v>
      </c>
      <c r="I237" s="0">
        <v>95.697</v>
      </c>
      <c r="J237" s="14"/>
      <c r="AO237" s="14"/>
      <c r="AP237" s="14"/>
    </row>
    <row customHeight="1" ht="15">
      <c r="A238" s="4" t="s">
        <v>255</v>
      </c>
      <c r="E238" s="7">
        <f t="shared" si="5"/>
        <v>146.856</v>
      </c>
      <c r="F238" s="7">
        <f t="shared" si="5"/>
        <v>274.594</v>
      </c>
      <c r="G238" s="7">
        <f t="shared" si="5"/>
        <v>407.672</v>
      </c>
      <c r="H238" s="7">
        <f t="shared" si="5"/>
        <v>328.086</v>
      </c>
      <c r="I238" s="7">
        <f t="shared" si="5"/>
        <v>362.577</v>
      </c>
      <c r="J238" s="14"/>
      <c r="AO238" s="14"/>
      <c r="AP238" s="14"/>
    </row>
    <row customHeight="1" ht="15">
      <c r="A239" s="4" t="s">
        <v>256</v>
      </c>
      <c r="C239" s="7">
        <f t="shared" si="92" ref="C239:O239">SUM(C229:C233)</f>
        <v>214.5</v>
      </c>
      <c r="D239" s="7">
        <f t="shared" si="91" ref="D239:V239">SUM(D229:D235)</f>
        <v>109.2</v>
      </c>
      <c r="E239" s="7">
        <f t="shared" si="90" ref="E239:I239">SUM(E234:E235)</f>
        <v>154.945</v>
      </c>
      <c r="F239" s="7">
        <f t="shared" si="90"/>
        <v>269.396</v>
      </c>
      <c r="G239" s="7">
        <f t="shared" si="90"/>
        <v>415.879</v>
      </c>
      <c r="H239" s="7">
        <f t="shared" si="90"/>
        <v>319.677</v>
      </c>
      <c r="I239" s="7">
        <f t="shared" si="90"/>
        <v>326.155</v>
      </c>
      <c r="J239" s="14"/>
      <c r="M239" s="7">
        <f t="shared" si="91"/>
        <v>92.4</v>
      </c>
      <c r="N239" s="7">
        <f t="shared" si="91"/>
        <v>40.4</v>
      </c>
      <c r="O239" s="7">
        <f t="shared" si="92"/>
        <v>31.6</v>
      </c>
      <c r="P239" s="7">
        <f t="shared" si="91"/>
        <v>37.3</v>
      </c>
      <c r="Q239" s="7">
        <f t="shared" si="91"/>
        <v>15.8</v>
      </c>
      <c r="R239" s="7">
        <f t="shared" si="91"/>
        <v>24.5</v>
      </c>
      <c r="S239" s="7">
        <f t="shared" si="91"/>
        <v>19.4</v>
      </c>
      <c r="T239" s="7">
        <f t="shared" si="91"/>
        <v>23.5</v>
      </c>
      <c r="U239" s="7">
        <f t="shared" si="91"/>
        <v>51.6</v>
      </c>
      <c r="V239" s="7">
        <f t="shared" si="91"/>
        <v>60.445</v>
      </c>
      <c r="AO239" s="14"/>
      <c r="AP239" s="14"/>
    </row>
    <row customHeight="1" ht="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customHeight="1" ht="15">
      <c r="A241" s="2" t="s">
        <v>257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customHeight="1" ht="15">
      <c r="A242" s="9" t="s">
        <v>258</v>
      </c>
      <c r="D242" s="20">
        <v>10682</v>
      </c>
      <c r="E242" s="20">
        <v>35796</v>
      </c>
      <c r="F242" s="20">
        <v>143810</v>
      </c>
      <c r="G242" s="20">
        <v>260966</v>
      </c>
      <c r="H242" s="20">
        <v>235827</v>
      </c>
      <c r="I242" s="20">
        <v>264542</v>
      </c>
      <c r="J242" s="14"/>
      <c r="AO242" s="14"/>
      <c r="AP242" s="14"/>
    </row>
    <row customHeight="1" ht="15">
      <c r="A243" s="9" t="s">
        <v>259</v>
      </c>
      <c r="D243" s="20">
        <v>30813</v>
      </c>
      <c r="E243" s="20">
        <v>35596</v>
      </c>
      <c r="F243" s="20">
        <v>39937</v>
      </c>
      <c r="G243" s="20">
        <v>35337</v>
      </c>
      <c r="H243" s="20">
        <v>28827</v>
      </c>
      <c r="I243" s="20">
        <v>23932</v>
      </c>
      <c r="J243" s="14"/>
      <c r="AO243" s="14"/>
      <c r="AP243" s="14"/>
    </row>
    <row customHeight="1" ht="15">
      <c r="A244" s="9" t="s">
        <v>260</v>
      </c>
      <c r="H244" s="20">
        <v>161134</v>
      </c>
      <c r="I244" s="20">
        <v>69208</v>
      </c>
      <c r="J244" s="14"/>
      <c r="AO244" s="14"/>
      <c r="AP244" s="14"/>
    </row>
    <row customHeight="1" ht="15">
      <c r="A245" s="9" t="s">
        <v>261</v>
      </c>
      <c r="B245" s="0">
        <v>7</v>
      </c>
      <c r="C245" s="0">
        <v>54</v>
      </c>
      <c r="D245" s="0">
        <v>54</v>
      </c>
      <c r="E245" s="0">
        <v>93</v>
      </c>
      <c r="F245" s="0">
        <v>173</v>
      </c>
      <c r="G245" s="0">
        <v>200</v>
      </c>
      <c r="H245" s="0">
        <v>220</v>
      </c>
      <c r="I245" s="0">
        <v>142</v>
      </c>
      <c r="J245" s="14"/>
      <c r="N245" s="11">
        <f t="shared" si="70"/>
        <v>54</v>
      </c>
      <c r="R245" s="11">
        <f t="shared" si="71"/>
        <v>54</v>
      </c>
      <c r="V245" s="11">
        <f t="shared" si="62"/>
        <v>93</v>
      </c>
      <c r="Z245" s="11">
        <f t="shared" si="63"/>
        <v>173</v>
      </c>
      <c r="AD245" s="11">
        <f t="shared" si="64"/>
        <v>200</v>
      </c>
      <c r="AH245" s="11">
        <f t="shared" si="65"/>
        <v>220</v>
      </c>
      <c r="AL245" s="11">
        <f t="shared" si="66"/>
        <v>142</v>
      </c>
      <c r="AO245" s="14"/>
      <c r="AP245" s="14"/>
    </row>
    <row customHeight="1" ht="15">
      <c r="A246" s="9" t="s">
        <v>262</v>
      </c>
      <c r="B246" s="20">
        <v>2006</v>
      </c>
      <c r="C246" s="20">
        <v>22158</v>
      </c>
      <c r="D246" s="20">
        <v>41495</v>
      </c>
      <c r="J246" s="14"/>
      <c r="AO246" s="14"/>
      <c r="AP246" s="14"/>
    </row>
    <row customHeight="1" ht="15">
      <c r="A247" s="9" t="s">
        <v>263</v>
      </c>
      <c r="B247" s="0">
        <v>497.855</v>
      </c>
      <c r="C247" s="0">
        <v>692.785</v>
      </c>
      <c r="D247" s="0">
        <v>547.629</v>
      </c>
      <c r="J247" s="14"/>
      <c r="AO247" s="14"/>
      <c r="AP247" s="14"/>
    </row>
    <row customHeight="1" ht="15">
      <c r="A248" s="9" t="s">
        <v>264</v>
      </c>
      <c r="B248" s="0">
        <v>80.201</v>
      </c>
      <c r="C248" s="0">
        <v>77.862</v>
      </c>
      <c r="D248" s="0">
        <v>62.203</v>
      </c>
      <c r="J248" s="14"/>
      <c r="AO248" s="14"/>
      <c r="AP248" s="14"/>
    </row>
    <row customHeight="1" ht="15">
      <c r="A249" s="9" t="s">
        <v>265</v>
      </c>
      <c r="B249" s="0">
        <v>14.268</v>
      </c>
      <c r="C249" s="0">
        <v>17.228</v>
      </c>
      <c r="D249" s="0">
        <v>13.932</v>
      </c>
      <c r="J249" s="14"/>
      <c r="AO249" s="14"/>
      <c r="AP249" s="14"/>
    </row>
    <row customHeight="1" ht="15">
      <c r="A250" s="9" t="s">
        <v>266</v>
      </c>
      <c r="B250" s="20">
        <v>31</v>
      </c>
      <c r="C250" s="20">
        <v>33</v>
      </c>
      <c r="D250" s="20">
        <v>64</v>
      </c>
      <c r="J250" s="14"/>
      <c r="N250" s="21">
        <f t="shared" si="70"/>
        <v>33</v>
      </c>
      <c r="R250" s="21">
        <f t="shared" si="71"/>
        <v>64</v>
      </c>
      <c r="AO250" s="14"/>
      <c r="AP250" s="14"/>
    </row>
    <row customHeight="1" ht="15">
      <c r="A251" s="9" t="s">
        <v>267</v>
      </c>
      <c r="B251" s="0">
        <v>18.645</v>
      </c>
      <c r="C251" s="0">
        <v>18.103</v>
      </c>
      <c r="D251" s="0">
        <v>39.3</v>
      </c>
      <c r="E251" s="0">
        <v>85</v>
      </c>
      <c r="F251" s="0">
        <v>161</v>
      </c>
      <c r="G251" s="0">
        <v>174</v>
      </c>
      <c r="H251" s="0">
        <v>194</v>
      </c>
      <c r="I251" s="0">
        <v>197</v>
      </c>
      <c r="J251" s="14"/>
      <c r="AO251" s="14"/>
      <c r="AP251" s="14"/>
    </row>
    <row customHeight="1" ht="15">
      <c r="A252" s="9" t="s">
        <v>268</v>
      </c>
      <c r="B252" s="0">
        <v>2160.809</v>
      </c>
      <c r="C252" s="0">
        <v>1893.76</v>
      </c>
      <c r="D252" s="0">
        <v>4300</v>
      </c>
      <c r="E252" s="0">
        <v>6300</v>
      </c>
      <c r="J252" s="14"/>
      <c r="AO252" s="14"/>
      <c r="AP252" s="14"/>
    </row>
    <row customHeight="1" ht="15">
      <c r="A253" s="9" t="s">
        <v>269</v>
      </c>
      <c r="B253" s="0">
        <v>253394</v>
      </c>
      <c r="C253" s="0">
        <v>225603</v>
      </c>
      <c r="D253" s="0">
        <v>69175</v>
      </c>
      <c r="J253" s="14"/>
      <c r="AO253" s="14"/>
      <c r="AP253" s="14"/>
    </row>
    <row customHeight="1" ht="15">
      <c r="A254" s="9" t="s">
        <v>270</v>
      </c>
      <c r="B254" s="0">
        <v>9238.521</v>
      </c>
      <c r="C254" s="0">
        <v>9887.853</v>
      </c>
      <c r="D254" s="0">
        <v>8589.15</v>
      </c>
      <c r="J254" s="14"/>
      <c r="AO254" s="14"/>
      <c r="AP254" s="14"/>
    </row>
    <row customHeight="1" ht="15">
      <c r="A255" s="9" t="s">
        <v>271</v>
      </c>
      <c r="B255" s="0">
        <v>66881</v>
      </c>
      <c r="C255" s="0">
        <v>221500</v>
      </c>
      <c r="D255" s="0">
        <v>623329</v>
      </c>
      <c r="J255" s="14"/>
      <c r="N255" s="11">
        <f t="shared" si="70"/>
        <v>221500</v>
      </c>
      <c r="R255" s="11">
        <f t="shared" si="71"/>
        <v>623329</v>
      </c>
      <c r="AO255" s="14"/>
      <c r="AP255" s="14"/>
    </row>
    <row customHeight="1" ht="15">
      <c r="A256" s="9" t="s">
        <v>272</v>
      </c>
      <c r="D256" s="22">
        <v>623</v>
      </c>
      <c r="E256" s="22">
        <v>799</v>
      </c>
      <c r="J256" s="14"/>
      <c r="AO256" s="14"/>
      <c r="AP256" s="14"/>
    </row>
    <row customHeight="1" ht="15">
      <c r="A257" s="9" t="s">
        <v>273</v>
      </c>
      <c r="B257" s="0">
        <v>394</v>
      </c>
      <c r="C257" s="0">
        <v>1199</v>
      </c>
      <c r="D257" s="0">
        <v>2295</v>
      </c>
      <c r="E257" s="0">
        <v>2390</v>
      </c>
      <c r="J257" s="14"/>
      <c r="N257" s="11">
        <f t="shared" si="70"/>
        <v>1199</v>
      </c>
      <c r="R257" s="11">
        <f t="shared" si="71"/>
        <v>2295</v>
      </c>
      <c r="V257" s="11">
        <f t="shared" si="62"/>
        <v>2390</v>
      </c>
      <c r="AO257" s="14"/>
      <c r="AP257" s="14"/>
    </row>
    <row customHeight="1" ht="15">
      <c r="A258" s="9" t="s">
        <v>274</v>
      </c>
      <c r="B258" s="0">
        <v>15.152</v>
      </c>
      <c r="C258" s="0">
        <v>14.368</v>
      </c>
      <c r="D258" s="0">
        <v>6.242</v>
      </c>
      <c r="J258" s="14"/>
      <c r="AO258" s="14"/>
      <c r="AP258" s="14"/>
    </row>
    <row customHeight="1" ht="15">
      <c r="A259" s="9" t="s">
        <v>275</v>
      </c>
      <c r="B259" s="0">
        <v>17.911</v>
      </c>
      <c r="C259" s="0">
        <v>31.046</v>
      </c>
      <c r="D259" s="0">
        <v>13.741</v>
      </c>
      <c r="J259" s="14"/>
      <c r="AO259" s="14"/>
      <c r="AP259" s="14"/>
    </row>
    <row customHeight="1" ht="15">
      <c r="A260" s="9" t="s">
        <v>276</v>
      </c>
      <c r="B260" s="0">
        <v>11.504</v>
      </c>
      <c r="C260" s="0">
        <v>14.866</v>
      </c>
      <c r="D260" s="0">
        <v>12.313</v>
      </c>
      <c r="J260" s="14"/>
      <c r="AO260" s="14"/>
      <c r="AP260" s="14"/>
    </row>
    <row customHeight="1" ht="15">
      <c r="A261" s="9" t="s">
        <v>277</v>
      </c>
      <c r="B261" s="0">
        <v>3.024</v>
      </c>
      <c r="C261" s="0">
        <v>3.064</v>
      </c>
      <c r="D261" s="0">
        <v>3.661</v>
      </c>
      <c r="J261" s="14"/>
      <c r="AO261" s="14"/>
      <c r="AP261" s="14"/>
    </row>
    <row customHeight="1" ht="15">
      <c r="A262" s="9" t="s">
        <v>278</v>
      </c>
      <c r="D262" s="0">
        <v>35.9</v>
      </c>
      <c r="E262" s="0">
        <v>39</v>
      </c>
      <c r="F262" s="0">
        <v>73</v>
      </c>
      <c r="G262" s="0">
        <v>60</v>
      </c>
      <c r="H262" s="0">
        <v>63</v>
      </c>
      <c r="I262" s="0">
        <v>42</v>
      </c>
      <c r="J262" s="14"/>
      <c r="AO262" s="14"/>
      <c r="AP262" s="14"/>
    </row>
    <row customHeight="1" ht="15">
      <c r="A263" s="9" t="s">
        <v>279</v>
      </c>
      <c r="B263" s="0">
        <v>4</v>
      </c>
      <c r="C263" s="0">
        <v>5</v>
      </c>
      <c r="D263" s="0">
        <v>6</v>
      </c>
      <c r="E263" s="0">
        <v>8</v>
      </c>
      <c r="F263" s="0">
        <v>10</v>
      </c>
      <c r="G263" s="0">
        <v>13</v>
      </c>
      <c r="H263" s="0">
        <v>17</v>
      </c>
      <c r="I263" s="0">
        <v>17</v>
      </c>
      <c r="J263" s="14"/>
      <c r="N263" s="11">
        <f t="shared" si="70"/>
        <v>5</v>
      </c>
      <c r="R263" s="11">
        <f t="shared" si="71"/>
        <v>6</v>
      </c>
      <c r="V263" s="11">
        <f t="shared" si="62"/>
        <v>8</v>
      </c>
      <c r="Z263" s="11">
        <f t="shared" si="63"/>
        <v>10</v>
      </c>
      <c r="AD263" s="11">
        <f t="shared" si="64"/>
        <v>13</v>
      </c>
      <c r="AH263" s="11">
        <f t="shared" si="65"/>
        <v>17</v>
      </c>
      <c r="AL263" s="11">
        <f t="shared" si="66"/>
        <v>17</v>
      </c>
      <c r="AO263" s="14"/>
      <c r="AP263" s="14"/>
    </row>
    <row customHeight="1" ht="15">
      <c r="A264" s="9" t="s">
        <v>280</v>
      </c>
      <c r="D264" s="0">
        <v>624</v>
      </c>
      <c r="E264" s="0">
        <v>744</v>
      </c>
      <c r="F264" s="0">
        <v>810</v>
      </c>
      <c r="G264" s="0">
        <v>1334</v>
      </c>
      <c r="H264" s="0">
        <v>1381</v>
      </c>
      <c r="I264" s="0">
        <v>1590</v>
      </c>
      <c r="J264" s="14"/>
      <c r="AO264" s="14"/>
      <c r="AP264" s="14"/>
    </row>
    <row customHeight="1" ht="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</row>
    <row customHeight="1" ht="15">
      <c r="A266" s="2" t="s">
        <v>281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customHeight="1" ht="15">
      <c r="A267" s="9" t="s">
        <v>282</v>
      </c>
      <c r="B267" s="19">
        <f t="shared" si="93" ref="B267:AN267">IF(B3&lt;0.05,"NM",(B3+B5)/B3)</f>
        <v>0.277230538714466</v>
      </c>
      <c r="C267" s="19">
        <f t="shared" si="93"/>
        <v>0.320596081014326</v>
      </c>
      <c r="D267" s="19">
        <f t="shared" si="93"/>
        <v>0.398614576984556</v>
      </c>
      <c r="E267" s="19">
        <f t="shared" si="93"/>
        <v>0.393742776317851</v>
      </c>
      <c r="F267" s="19">
        <f t="shared" si="93"/>
        <v>0.355850370758995</v>
      </c>
      <c r="G267" s="19">
        <f t="shared" si="93"/>
        <v>0.378391027292618</v>
      </c>
      <c r="H267" s="19">
        <f t="shared" si="93"/>
        <v>0.435428228018059</v>
      </c>
      <c r="I267" s="19">
        <f t="shared" si="93"/>
        <v>0.450607770843078</v>
      </c>
      <c r="J267" s="12">
        <f>IF(J3&lt;0.05,"NM",((I3+I5)+('Quarterly YTD'!AF3+'Quarterly YTD'!AF5)-('Quarterly YTD'!AB3+'Quarterly YTD'!AB5))/J3)</f>
        <v>0.421833910186008</v>
      </c>
      <c r="K267" s="19">
        <f t="shared" si="93"/>
        <v>0.332292290579276</v>
      </c>
      <c r="L267" s="19">
        <f t="shared" si="93"/>
        <v>0.321491338187296</v>
      </c>
      <c r="M267" s="19">
        <f t="shared" si="93"/>
        <v>0.29934677894445</v>
      </c>
      <c r="N267" s="19">
        <f t="shared" si="93"/>
        <v>0.32498640413872</v>
      </c>
      <c r="O267" s="19">
        <f t="shared" si="93"/>
        <v>0.308348483773785</v>
      </c>
      <c r="P267" s="19">
        <f t="shared" si="93"/>
        <v>0.520980914136173</v>
      </c>
      <c r="Q267" s="19">
        <f t="shared" si="93"/>
        <v>0.440370126763932</v>
      </c>
      <c r="R267" s="19">
        <f t="shared" si="93"/>
        <v>0.413027143504747</v>
      </c>
      <c r="S267" s="19">
        <f t="shared" si="93"/>
        <v>0.413743339253996</v>
      </c>
      <c r="T267" s="19">
        <f t="shared" si="93"/>
        <v>0.380294244454456</v>
      </c>
      <c r="U267" s="19">
        <f t="shared" si="93"/>
        <v>0.385396126320004</v>
      </c>
      <c r="V267" s="19">
        <f t="shared" si="93"/>
        <v>0.399613392766983</v>
      </c>
      <c r="W267" s="19">
        <f t="shared" si="93"/>
        <v>0.341665379072869</v>
      </c>
      <c r="X267" s="19">
        <f t="shared" si="93"/>
        <v>0.337154211595966</v>
      </c>
      <c r="Y267" s="19">
        <f t="shared" si="93"/>
        <v>0.383905771195097</v>
      </c>
      <c r="Z267" s="19">
        <f t="shared" si="93"/>
        <v>0.350622949658268</v>
      </c>
      <c r="AA267" s="19">
        <f t="shared" si="93"/>
        <v>0.313064509753543</v>
      </c>
      <c r="AB267" s="19">
        <f t="shared" si="93"/>
        <v>0.404772123032831</v>
      </c>
      <c r="AC267" s="19">
        <f t="shared" si="93"/>
        <v>0.435542917815093</v>
      </c>
      <c r="AD267" s="19">
        <f t="shared" si="93"/>
        <v>0.334304499162047</v>
      </c>
      <c r="AE267" s="19">
        <f t="shared" si="93"/>
        <v>0.291435557355074</v>
      </c>
      <c r="AF267" s="19">
        <f t="shared" si="93"/>
        <v>0.440938682101217</v>
      </c>
      <c r="AG267" s="19">
        <f t="shared" si="93"/>
        <v>0.464033409575078</v>
      </c>
      <c r="AH267" s="19">
        <f t="shared" si="93"/>
        <v>1.42931571948641</v>
      </c>
      <c r="AI267" s="19">
        <f t="shared" si="93"/>
        <v>0.363930656559364</v>
      </c>
      <c r="AJ267" s="19">
        <f t="shared" si="93"/>
        <v>0.482639303611189</v>
      </c>
      <c r="AK267" s="19">
        <f t="shared" si="93"/>
        <v>0.506876461821233</v>
      </c>
      <c r="AL267" s="19">
        <f t="shared" si="93"/>
        <v>0.607330620166266</v>
      </c>
      <c r="AM267" s="19">
        <f t="shared" si="93"/>
        <v>0.372773731562519</v>
      </c>
      <c r="AN267" s="19">
        <f t="shared" si="93"/>
        <v>0.371594396895577</v>
      </c>
      <c r="AO267" s="23">
        <f t="shared" si="96" ref="AO267:AO295">IF(OR(AM267=0,AM267="NM",AN267="NM"),"NM",10000*(AN267-AM267))</f>
        <v>-11.7933466694198</v>
      </c>
      <c r="AP267" s="23">
        <f t="shared" si="97" ref="AP267:AP295">IF(OR(AJ267=0,AJ267="NM",AN267="NM"),"NM",10000*(AN267-AJ267))</f>
        <v>-1110.44906715612</v>
      </c>
    </row>
    <row customHeight="1" ht="15">
      <c r="A268" s="9" t="s">
        <v>283</v>
      </c>
      <c r="B268" s="19">
        <f t="shared" si="95" ref="B268:AN268">IF(B3&lt;0.05,"NM",B185/B3)</f>
        <v>0.0585329985155177</v>
      </c>
      <c r="C268" s="19">
        <f t="shared" si="94" ref="C268:V268">IF(C3&lt;0.05,"NM",C186/C3)</f>
        <v>0.353202700477524</v>
      </c>
      <c r="D268" s="19">
        <f t="shared" si="94"/>
        <v>0.156970526339999</v>
      </c>
      <c r="E268" s="19">
        <f t="shared" si="94"/>
        <v>0.152671567685594</v>
      </c>
      <c r="F268" s="19">
        <f t="shared" si="94"/>
        <v>0.14540834226631</v>
      </c>
      <c r="G268" s="19">
        <f t="shared" si="94"/>
        <v>0.183791745791558</v>
      </c>
      <c r="H268" s="19">
        <f t="shared" si="94"/>
        <v>0.151990327451704</v>
      </c>
      <c r="I268" s="19">
        <f t="shared" si="94"/>
        <v>0.148976025344949</v>
      </c>
      <c r="J268" s="12">
        <f t="shared" si="95"/>
        <v>0.159772730256105</v>
      </c>
      <c r="K268" s="19">
        <f t="shared" si="95"/>
        <v>0.061639000598956</v>
      </c>
      <c r="L268" s="19">
        <f t="shared" si="95"/>
        <v>0.0741992754922707</v>
      </c>
      <c r="M268" s="19">
        <f t="shared" si="94"/>
        <v>0.800499012371348</v>
      </c>
      <c r="N268" s="19">
        <f t="shared" si="94"/>
        <v>0.140839178391644</v>
      </c>
      <c r="O268" s="19">
        <f t="shared" si="94"/>
        <v>0.117968111278274</v>
      </c>
      <c r="P268" s="19">
        <f t="shared" si="94"/>
        <v>0.280497525906541</v>
      </c>
      <c r="Q268" s="19">
        <f t="shared" si="94"/>
        <v>0.118093757474288</v>
      </c>
      <c r="R268" s="19">
        <f t="shared" si="94"/>
        <v>0.152142728509063</v>
      </c>
      <c r="S268" s="19">
        <f t="shared" si="94"/>
        <v>0.119646733767515</v>
      </c>
      <c r="T268" s="19">
        <f t="shared" si="94"/>
        <v>0.113841697064822</v>
      </c>
      <c r="U268" s="19">
        <f t="shared" si="94"/>
        <v>0.172163555377609</v>
      </c>
      <c r="V268" s="19">
        <f t="shared" si="94"/>
        <v>0.174391598505503</v>
      </c>
      <c r="W268" s="19">
        <f t="shared" si="95"/>
        <v>0.143241393880724</v>
      </c>
      <c r="X268" s="19">
        <f t="shared" si="95"/>
        <v>0.155521179876852</v>
      </c>
      <c r="Y268" s="19">
        <f t="shared" si="95"/>
        <v>0.231436556577006</v>
      </c>
      <c r="Z268" s="19">
        <f t="shared" si="95"/>
        <v>0.107498420732583</v>
      </c>
      <c r="AA268" s="19">
        <f t="shared" si="95"/>
        <v>0.0577158724825583</v>
      </c>
      <c r="AB268" s="19">
        <f t="shared" si="95"/>
        <v>0.201761404759393</v>
      </c>
      <c r="AC268" s="19">
        <f t="shared" si="95"/>
        <v>0.268869221203284</v>
      </c>
      <c r="AD268" s="19">
        <f t="shared" si="95"/>
        <v>0.135347105839886</v>
      </c>
      <c r="AE268" s="19">
        <f t="shared" si="95"/>
        <v>0.0237313720325957</v>
      </c>
      <c r="AF268" s="19">
        <f t="shared" si="95"/>
        <v>0.234097006593382</v>
      </c>
      <c r="AG268" s="19">
        <f t="shared" si="95"/>
        <v>0.277202913681873</v>
      </c>
      <c r="AH268" s="19">
        <f t="shared" si="95"/>
        <v>2.43330499422318</v>
      </c>
      <c r="AI268" s="19">
        <f t="shared" si="95"/>
        <v>0.0790441779182541</v>
      </c>
      <c r="AJ268" s="19">
        <f t="shared" si="95"/>
        <v>0.281158247333546</v>
      </c>
      <c r="AK268" s="19">
        <f t="shared" si="95"/>
        <v>0.297332214742138</v>
      </c>
      <c r="AL268" s="19">
        <f t="shared" si="95"/>
        <v>0.436900761810967</v>
      </c>
      <c r="AM268" s="19">
        <f t="shared" si="95"/>
        <v>0.0560201052696003</v>
      </c>
      <c r="AN268" s="19">
        <f t="shared" si="95"/>
        <v>0.136349193472059</v>
      </c>
      <c r="AO268" s="23">
        <f t="shared" si="96"/>
        <v>803.290882024587</v>
      </c>
      <c r="AP268" s="23">
        <f t="shared" si="97"/>
        <v>-1448.09053861487</v>
      </c>
    </row>
    <row customHeight="1" ht="15">
      <c r="A269" s="9" t="s">
        <v>284</v>
      </c>
      <c r="E269" s="19">
        <f t="shared" si="98" ref="E269:I269">IF(E3&lt;0.05,"NM",E187/E3)</f>
        <v>0.152808528206477</v>
      </c>
      <c r="F269" s="19">
        <f t="shared" si="98"/>
        <v>0.155544436563994</v>
      </c>
      <c r="G269" s="19">
        <f t="shared" si="98"/>
        <v>0.173287819856433</v>
      </c>
      <c r="H269" s="19">
        <f t="shared" si="98"/>
        <v>0.153511290979008</v>
      </c>
      <c r="I269" s="19">
        <f t="shared" si="98"/>
        <v>0.164780990557764</v>
      </c>
      <c r="J269" s="14"/>
      <c r="AO269" s="14"/>
      <c r="AP269" s="14"/>
    </row>
    <row customHeight="1" ht="15">
      <c r="A270" s="9" t="s">
        <v>285</v>
      </c>
      <c r="B270" s="19">
        <f t="shared" si="99" ref="B270:AN270">IF(B3&lt;0.05,"NM",B12/B3)</f>
        <v>0.0336158936722208</v>
      </c>
      <c r="C270" s="19">
        <f t="shared" si="99"/>
        <v>0.0424287831384818</v>
      </c>
      <c r="D270" s="19">
        <f t="shared" si="99"/>
        <v>-0.0262120654561345</v>
      </c>
      <c r="E270" s="19">
        <f t="shared" si="99"/>
        <v>0.0787966392450027</v>
      </c>
      <c r="F270" s="19">
        <f t="shared" si="99"/>
        <v>0.0874281988421136</v>
      </c>
      <c r="G270" s="19">
        <f t="shared" si="99"/>
        <v>0.0705581160814629</v>
      </c>
      <c r="H270" s="19">
        <f t="shared" si="99"/>
        <v>0.0442667424850423</v>
      </c>
      <c r="I270" s="19">
        <f t="shared" si="99"/>
        <v>-0.0303730121608981</v>
      </c>
      <c r="J270" s="12">
        <f t="shared" si="99"/>
        <v>-0.0670016933652462</v>
      </c>
      <c r="K270" s="19">
        <f t="shared" si="99"/>
        <v>0.0235411140583553</v>
      </c>
      <c r="L270" s="19">
        <f t="shared" si="99"/>
        <v>0.04233169541982</v>
      </c>
      <c r="M270" s="19">
        <f t="shared" si="99"/>
        <v>0.0307897563849325</v>
      </c>
      <c r="N270" s="19">
        <f t="shared" si="99"/>
        <v>0.0533062345739266</v>
      </c>
      <c r="O270" s="19">
        <f t="shared" si="99"/>
        <v>0.0128346318536301</v>
      </c>
      <c r="P270" s="19">
        <f t="shared" si="99"/>
        <v>0.0722751131766159</v>
      </c>
      <c r="Q270" s="19">
        <f t="shared" si="99"/>
        <v>-0.0723286893087779</v>
      </c>
      <c r="R270" s="19">
        <f t="shared" si="99"/>
        <v>-0.134177466730422</v>
      </c>
      <c r="S270" s="19">
        <f t="shared" si="99"/>
        <v>0.0741624728636274</v>
      </c>
      <c r="T270" s="19">
        <f t="shared" si="99"/>
        <v>0.0779936733082397</v>
      </c>
      <c r="U270" s="19">
        <f t="shared" si="99"/>
        <v>0.123000183507666</v>
      </c>
      <c r="V270" s="19">
        <f t="shared" si="99"/>
        <v>0.0432192264970211</v>
      </c>
      <c r="W270" s="19">
        <f t="shared" si="99"/>
        <v>0.0262637601733049</v>
      </c>
      <c r="X270" s="19">
        <f t="shared" si="99"/>
        <v>0.101675059222534</v>
      </c>
      <c r="Y270" s="19">
        <f t="shared" si="99"/>
        <v>0.167716490750199</v>
      </c>
      <c r="Z270" s="19">
        <f t="shared" si="99"/>
        <v>0.0235069773116834</v>
      </c>
      <c r="AA270" s="19">
        <f t="shared" si="99"/>
        <v>-0.0462675652706682</v>
      </c>
      <c r="AB270" s="19">
        <f t="shared" si="99"/>
        <v>0.111787191172245</v>
      </c>
      <c r="AC270" s="19">
        <f t="shared" si="99"/>
        <v>0.171674169315017</v>
      </c>
      <c r="AD270" s="19">
        <f t="shared" si="99"/>
        <v>-0.0018032100038676</v>
      </c>
      <c r="AE270" s="19">
        <f t="shared" si="99"/>
        <v>-0.136303063418623</v>
      </c>
      <c r="AF270" s="19">
        <f t="shared" si="99"/>
        <v>0.107035533164101</v>
      </c>
      <c r="AG270" s="19">
        <f t="shared" si="99"/>
        <v>0.16169365302563</v>
      </c>
      <c r="AH270" s="19">
        <f t="shared" si="99"/>
        <v>-1.05920694090206</v>
      </c>
      <c r="AI270" s="19">
        <f t="shared" si="99"/>
        <v>-0.136188471467198</v>
      </c>
      <c r="AJ270" s="19">
        <f t="shared" si="99"/>
        <v>0.138220628896285</v>
      </c>
      <c r="AK270" s="19">
        <f t="shared" si="99"/>
        <v>0.163165594835503</v>
      </c>
      <c r="AL270" s="19">
        <f t="shared" si="99"/>
        <v>-0.42800089795209</v>
      </c>
      <c r="AM270" s="19">
        <f t="shared" si="99"/>
        <v>-0.0865490544096946</v>
      </c>
      <c r="AN270" s="19">
        <f t="shared" si="99"/>
        <v>-0.0441917143282089</v>
      </c>
      <c r="AO270" s="23">
        <f t="shared" si="96"/>
        <v>423.573400814857</v>
      </c>
      <c r="AP270" s="23">
        <f t="shared" si="97"/>
        <v>-1824.12343224494</v>
      </c>
    </row>
    <row customHeight="1" ht="15">
      <c r="A271" s="9" t="s">
        <v>286</v>
      </c>
      <c r="B271" s="19">
        <f t="shared" si="100" ref="B271:AN271">IF(B3&lt;0.05,"NM",B17/B3)</f>
        <v>0.0292341273695066</v>
      </c>
      <c r="C271" s="19">
        <f t="shared" si="100"/>
        <v>0.0293792194961304</v>
      </c>
      <c r="D271" s="19">
        <f t="shared" si="100"/>
        <v>-0.0658485608160167</v>
      </c>
      <c r="E271" s="19">
        <f t="shared" si="100"/>
        <v>0.0439731951510064</v>
      </c>
      <c r="F271" s="19">
        <f t="shared" si="100"/>
        <v>0.0148141671065685</v>
      </c>
      <c r="G271" s="19">
        <f t="shared" si="100"/>
        <v>0.0318772585672535</v>
      </c>
      <c r="H271" s="19">
        <f t="shared" si="100"/>
        <v>0.0280443993929458</v>
      </c>
      <c r="I271" s="19">
        <f t="shared" si="100"/>
        <v>-0.0661509186447615</v>
      </c>
      <c r="J271" s="12">
        <f t="shared" si="100"/>
        <v>-0.110632320960536</v>
      </c>
      <c r="K271" s="19">
        <f t="shared" si="100"/>
        <v>0.0106421665097971</v>
      </c>
      <c r="L271" s="19">
        <f t="shared" si="100"/>
        <v>0.0345127506187009</v>
      </c>
      <c r="M271" s="19">
        <f t="shared" si="100"/>
        <v>0.014545864088436</v>
      </c>
      <c r="N271" s="19">
        <f t="shared" si="100"/>
        <v>0.0394593727775996</v>
      </c>
      <c r="O271" s="19">
        <f t="shared" si="100"/>
        <v>-0.0209281402476582</v>
      </c>
      <c r="P271" s="19">
        <f t="shared" si="100"/>
        <v>0.036945960986028</v>
      </c>
      <c r="Q271" s="19">
        <f t="shared" si="100"/>
        <v>-0.139956051183927</v>
      </c>
      <c r="R271" s="19">
        <f t="shared" si="100"/>
        <v>-0.163885663187049</v>
      </c>
      <c r="S271" s="19">
        <f t="shared" si="100"/>
        <v>0.0367327807381093</v>
      </c>
      <c r="T271" s="19">
        <f t="shared" si="100"/>
        <v>0.0436667683975449</v>
      </c>
      <c r="U271" s="19">
        <f t="shared" si="100"/>
        <v>0.0860650951737484</v>
      </c>
      <c r="V271" s="19">
        <f t="shared" si="100"/>
        <v>0.011145251799599</v>
      </c>
      <c r="W271" s="19">
        <f t="shared" si="100"/>
        <v>-0.0309432439165134</v>
      </c>
      <c r="X271" s="19">
        <f t="shared" si="100"/>
        <v>0.053304595841262</v>
      </c>
      <c r="Y271" s="19">
        <f t="shared" si="100"/>
        <v>0.107872971285893</v>
      </c>
      <c r="Z271" s="19">
        <f t="shared" si="100"/>
        <v>-0.0950079406156093</v>
      </c>
      <c r="AA271" s="19">
        <f t="shared" si="100"/>
        <v>-0.0902746210249619</v>
      </c>
      <c r="AB271" s="19">
        <f t="shared" si="100"/>
        <v>0.0686176809686089</v>
      </c>
      <c r="AC271" s="19">
        <f t="shared" si="100"/>
        <v>0.118540874282764</v>
      </c>
      <c r="AD271" s="19">
        <f t="shared" si="100"/>
        <v>-0.0170201108676036</v>
      </c>
      <c r="AE271" s="19">
        <f t="shared" si="100"/>
        <v>-0.21717723643711</v>
      </c>
      <c r="AF271" s="19">
        <f t="shared" si="100"/>
        <v>0.144417010592738</v>
      </c>
      <c r="AG271" s="19">
        <f t="shared" si="100"/>
        <v>0.129367957948353</v>
      </c>
      <c r="AH271" s="19">
        <f t="shared" si="100"/>
        <v>-0.909009657096767</v>
      </c>
      <c r="AI271" s="19">
        <f t="shared" si="100"/>
        <v>-0.173083186335906</v>
      </c>
      <c r="AJ271" s="19">
        <f t="shared" si="100"/>
        <v>0.129858044642045</v>
      </c>
      <c r="AK271" s="19">
        <f t="shared" si="100"/>
        <v>0.125719705316</v>
      </c>
      <c r="AL271" s="19">
        <f t="shared" si="100"/>
        <v>-0.448193957651421</v>
      </c>
      <c r="AM271" s="19">
        <f t="shared" si="100"/>
        <v>-0.130814309321256</v>
      </c>
      <c r="AN271" s="19">
        <f t="shared" si="100"/>
        <v>-0.0776731026649901</v>
      </c>
      <c r="AO271" s="23">
        <f t="shared" si="96"/>
        <v>531.412066562659</v>
      </c>
      <c r="AP271" s="23">
        <f t="shared" si="97"/>
        <v>-2075.31147307035</v>
      </c>
    </row>
    <row customHeight="1" ht="15">
      <c r="A272" s="9" t="s">
        <v>287</v>
      </c>
      <c r="B272" s="19">
        <f t="shared" si="101" ref="B272:AN272">IF(B3&lt;0.05,"NM",B21/B3)</f>
        <v>0.0224082835037482</v>
      </c>
      <c r="C272" s="19">
        <f t="shared" si="101"/>
        <v>0.0199736538778199</v>
      </c>
      <c r="D272" s="19">
        <f t="shared" si="101"/>
        <v>-0.074180073367909</v>
      </c>
      <c r="E272" s="19">
        <f t="shared" si="101"/>
        <v>0.0338637351203233</v>
      </c>
      <c r="F272" s="19">
        <f t="shared" si="101"/>
        <v>0.00629734342462781</v>
      </c>
      <c r="G272" s="19">
        <f t="shared" si="101"/>
        <v>0.0301338225266078</v>
      </c>
      <c r="H272" s="19">
        <f t="shared" si="101"/>
        <v>-0.0297550673426928</v>
      </c>
      <c r="I272" s="19">
        <f t="shared" si="101"/>
        <v>-0.029035148941768</v>
      </c>
      <c r="J272" s="12">
        <f t="shared" si="101"/>
        <v>-0.0150411964697491</v>
      </c>
      <c r="K272" s="19">
        <f t="shared" si="101"/>
        <v>0.00627834345854357</v>
      </c>
      <c r="L272" s="19">
        <f t="shared" si="101"/>
        <v>0.027348373444281</v>
      </c>
      <c r="M272" s="19">
        <f t="shared" si="101"/>
        <v>0.00996292060851786</v>
      </c>
      <c r="N272" s="19">
        <f t="shared" si="101"/>
        <v>0.0255985665081645</v>
      </c>
      <c r="O272" s="19">
        <f t="shared" si="101"/>
        <v>-0.0276291769484336</v>
      </c>
      <c r="P272" s="19">
        <f t="shared" si="101"/>
        <v>0.00491810675450096</v>
      </c>
      <c r="Q272" s="19">
        <f t="shared" si="101"/>
        <v>-0.133214243004066</v>
      </c>
      <c r="R272" s="19">
        <f t="shared" si="101"/>
        <v>-0.167884843479287</v>
      </c>
      <c r="S272" s="19">
        <f t="shared" si="101"/>
        <v>0.0108175448983619</v>
      </c>
      <c r="T272" s="19">
        <f t="shared" si="101"/>
        <v>0.0621672552524621</v>
      </c>
      <c r="U272" s="19">
        <f t="shared" si="101"/>
        <v>0.073586573911883</v>
      </c>
      <c r="V272" s="19">
        <f t="shared" si="101"/>
        <v>-0.00656078244687757</v>
      </c>
      <c r="W272" s="19">
        <f t="shared" si="101"/>
        <v>-0.0408887235162978</v>
      </c>
      <c r="X272" s="19">
        <f t="shared" si="101"/>
        <v>0.0389466371524856</v>
      </c>
      <c r="Y272" s="19">
        <f t="shared" si="101"/>
        <v>0.088958404267393</v>
      </c>
      <c r="Z272" s="19">
        <f t="shared" si="101"/>
        <v>-0.0857665203179395</v>
      </c>
      <c r="AA272" s="19">
        <f t="shared" si="101"/>
        <v>-0.082863114413898</v>
      </c>
      <c r="AB272" s="19">
        <f t="shared" si="101"/>
        <v>0.0556644638499223</v>
      </c>
      <c r="AC272" s="19">
        <f t="shared" si="101"/>
        <v>0.107223632251449</v>
      </c>
      <c r="AD272" s="19">
        <f t="shared" si="101"/>
        <v>-0.00419459842722718</v>
      </c>
      <c r="AE272" s="19">
        <f t="shared" si="101"/>
        <v>-0.191743746781504</v>
      </c>
      <c r="AF272" s="19">
        <f t="shared" si="101"/>
        <v>0.134042293186098</v>
      </c>
      <c r="AG272" s="19">
        <f t="shared" si="101"/>
        <v>0.101815921448875</v>
      </c>
      <c r="AH272" s="19">
        <f t="shared" si="101"/>
        <v>-3.18071632550738</v>
      </c>
      <c r="AI272" s="19">
        <f t="shared" si="101"/>
        <v>-0.266886124535783</v>
      </c>
      <c r="AJ272" s="19">
        <f t="shared" si="101"/>
        <v>0.0197396920586647</v>
      </c>
      <c r="AK272" s="19">
        <f t="shared" si="101"/>
        <v>0.0971463607237632</v>
      </c>
      <c r="AL272" s="19">
        <f t="shared" si="101"/>
        <v>-0.0851787214320887</v>
      </c>
      <c r="AM272" s="19">
        <f t="shared" si="101"/>
        <v>-0.114591621274252</v>
      </c>
      <c r="AN272" s="19">
        <f t="shared" si="101"/>
        <v>-0.0370458632485566</v>
      </c>
      <c r="AO272" s="23">
        <f t="shared" si="96"/>
        <v>775.457580256954</v>
      </c>
      <c r="AP272" s="23">
        <f t="shared" si="97"/>
        <v>-567.855553072213</v>
      </c>
    </row>
    <row customHeight="1" ht="15">
      <c r="A273" s="9" t="s">
        <v>288</v>
      </c>
      <c r="B273" s="11">
        <f t="shared" si="102" ref="B273:AN274">B26</f>
        <v>6.853</v>
      </c>
      <c r="C273" s="11">
        <f t="shared" si="102"/>
        <v>34.732</v>
      </c>
      <c r="D273" s="11">
        <f t="shared" si="102"/>
        <v>99.205</v>
      </c>
      <c r="E273" s="11">
        <f t="shared" si="102"/>
        <v>74.338</v>
      </c>
      <c r="F273" s="11">
        <f t="shared" si="102"/>
        <v>114.781</v>
      </c>
      <c r="G273" s="11">
        <f t="shared" si="102"/>
        <v>239.28</v>
      </c>
      <c r="H273" s="11">
        <f t="shared" si="102"/>
        <v>364.599</v>
      </c>
      <c r="I273" s="11">
        <f t="shared" si="102"/>
        <v>353.946</v>
      </c>
      <c r="J273" s="10">
        <f t="shared" si="102"/>
        <v>292.857</v>
      </c>
      <c r="K273" s="11">
        <f t="shared" si="102"/>
        <v>2.936</v>
      </c>
      <c r="L273" s="11">
        <f t="shared" si="102"/>
        <v>3.23</v>
      </c>
      <c r="M273" s="11">
        <f t="shared" si="102"/>
        <v>3.427</v>
      </c>
      <c r="N273" s="11">
        <f t="shared" si="102"/>
        <v>25.139</v>
      </c>
      <c r="O273" s="11">
        <f t="shared" si="102"/>
        <v>26.639</v>
      </c>
      <c r="P273" s="11">
        <f t="shared" si="102"/>
        <v>26.592</v>
      </c>
      <c r="Q273" s="11">
        <f t="shared" si="102"/>
        <v>24.388</v>
      </c>
      <c r="R273" s="11">
        <f t="shared" si="102"/>
        <v>21.586</v>
      </c>
      <c r="S273" s="11">
        <f t="shared" si="102"/>
        <v>18.04</v>
      </c>
      <c r="T273" s="11">
        <f t="shared" si="102"/>
        <v>17.06</v>
      </c>
      <c r="U273" s="11">
        <f t="shared" si="102"/>
        <v>19.107</v>
      </c>
      <c r="V273" s="11">
        <f t="shared" si="102"/>
        <v>20.131</v>
      </c>
      <c r="W273" s="11">
        <f t="shared" si="102"/>
        <v>21.68</v>
      </c>
      <c r="X273" s="11">
        <f t="shared" si="102"/>
        <v>26.51</v>
      </c>
      <c r="Y273" s="11">
        <f t="shared" si="102"/>
        <v>36.201</v>
      </c>
      <c r="Z273" s="11">
        <f t="shared" si="102"/>
        <v>30.39</v>
      </c>
      <c r="AA273" s="11">
        <f t="shared" si="102"/>
        <v>41.974</v>
      </c>
      <c r="AB273" s="11">
        <f t="shared" si="102"/>
        <v>50.043</v>
      </c>
      <c r="AC273" s="11">
        <f t="shared" si="102"/>
        <v>64.571</v>
      </c>
      <c r="AD273" s="11">
        <f t="shared" si="102"/>
        <v>82.692</v>
      </c>
      <c r="AE273" s="11">
        <f t="shared" si="102"/>
        <v>81.707</v>
      </c>
      <c r="AF273" s="11">
        <f t="shared" si="102"/>
        <v>89.611</v>
      </c>
      <c r="AG273" s="11">
        <f t="shared" si="102"/>
        <v>93.959</v>
      </c>
      <c r="AH273" s="11">
        <f t="shared" si="102"/>
        <v>99.322</v>
      </c>
      <c r="AI273" s="11">
        <f t="shared" si="102"/>
        <v>102.318</v>
      </c>
      <c r="AJ273" s="11">
        <f t="shared" si="102"/>
        <v>90.515</v>
      </c>
      <c r="AK273" s="11">
        <f t="shared" si="102"/>
        <v>91.364</v>
      </c>
      <c r="AL273" s="11">
        <f t="shared" si="102"/>
        <v>69.749</v>
      </c>
      <c r="AM273" s="11">
        <f t="shared" si="102"/>
        <v>72.539</v>
      </c>
      <c r="AN273" s="11">
        <f t="shared" si="102"/>
        <v>59.205</v>
      </c>
      <c r="AO273" s="12">
        <f t="shared" si="0"/>
        <v>-0.183818359778878</v>
      </c>
      <c r="AP273" s="12">
        <f t="shared" si="1"/>
        <v>-0.345909517759487</v>
      </c>
    </row>
    <row customHeight="1" ht="15">
      <c r="A274" s="9" t="s">
        <v>289</v>
      </c>
      <c r="B274" s="11">
        <f t="shared" si="102"/>
        <v>3.923</v>
      </c>
      <c r="C274" s="11">
        <f t="shared" si="102"/>
        <v>4.925</v>
      </c>
      <c r="D274" s="11">
        <f t="shared" si="102"/>
        <v>29.244</v>
      </c>
      <c r="E274" s="11">
        <f t="shared" si="102"/>
        <v>18.152</v>
      </c>
      <c r="F274" s="11">
        <f t="shared" si="102"/>
        <v>25.886</v>
      </c>
      <c r="G274" s="11">
        <f t="shared" si="102"/>
        <v>4.222</v>
      </c>
      <c r="H274" s="11">
        <f t="shared" si="102"/>
        <v>64.234</v>
      </c>
      <c r="I274" s="11">
        <f t="shared" si="102"/>
        <v>161.607</v>
      </c>
      <c r="J274" s="10">
        <f t="shared" si="102"/>
        <v>225.411</v>
      </c>
      <c r="K274" s="11">
        <f t="shared" si="102"/>
        <v>0.626</v>
      </c>
      <c r="L274" s="11">
        <f t="shared" si="102"/>
        <v>0.324</v>
      </c>
      <c r="M274" s="11">
        <f t="shared" si="102"/>
        <v>0.889</v>
      </c>
      <c r="N274" s="11">
        <f t="shared" si="102"/>
        <v>3.086</v>
      </c>
      <c r="O274" s="11">
        <f t="shared" si="102"/>
        <v>1.626</v>
      </c>
      <c r="P274" s="11">
        <f t="shared" si="102"/>
        <v>8.481</v>
      </c>
      <c r="Q274" s="11">
        <f t="shared" si="102"/>
        <v>2.206</v>
      </c>
      <c r="R274" s="11">
        <f t="shared" si="102"/>
        <v>16.931</v>
      </c>
      <c r="S274" s="11">
        <f t="shared" si="102"/>
        <v>0.868</v>
      </c>
      <c r="T274" s="11">
        <f t="shared" si="102"/>
        <v>2.187</v>
      </c>
      <c r="U274" s="11">
        <f t="shared" si="102"/>
        <v>0.935</v>
      </c>
      <c r="V274" s="11">
        <f t="shared" si="102"/>
        <v>14.162</v>
      </c>
      <c r="W274" s="11">
        <f t="shared" si="102"/>
        <v>15.417</v>
      </c>
      <c r="X274" s="11">
        <f t="shared" si="102"/>
        <v>-1.552</v>
      </c>
      <c r="Y274" s="11">
        <f t="shared" si="102"/>
        <v>-0.269</v>
      </c>
      <c r="Z274" s="11">
        <f t="shared" si="102"/>
        <v>12.29</v>
      </c>
      <c r="AA274" s="11">
        <f t="shared" si="102"/>
        <v>0.116</v>
      </c>
      <c r="AB274" s="11">
        <f t="shared" si="102"/>
        <v>-0.566</v>
      </c>
      <c r="AC274" s="11">
        <f t="shared" si="102"/>
        <v>2.254</v>
      </c>
      <c r="AD274" s="11">
        <f t="shared" si="102"/>
        <v>2.418</v>
      </c>
      <c r="AE274" s="11">
        <f t="shared" si="102"/>
        <v>-0.285</v>
      </c>
      <c r="AF274" s="11">
        <f t="shared" si="102"/>
        <v>1.888</v>
      </c>
      <c r="AG274" s="11">
        <f t="shared" si="102"/>
        <v>1.741</v>
      </c>
      <c r="AH274" s="11">
        <f t="shared" si="102"/>
        <v>60.89</v>
      </c>
      <c r="AI274" s="11">
        <f t="shared" si="102"/>
        <v>-3.851</v>
      </c>
      <c r="AJ274" s="11">
        <f t="shared" si="102"/>
        <v>-10.334</v>
      </c>
      <c r="AK274" s="11">
        <f t="shared" si="102"/>
        <v>6.669</v>
      </c>
      <c r="AL274" s="11">
        <f t="shared" si="102"/>
        <v>169.123</v>
      </c>
      <c r="AM274" s="11">
        <f t="shared" si="102"/>
        <v>2.003</v>
      </c>
      <c r="AN274" s="11">
        <f t="shared" si="102"/>
        <v>47.616</v>
      </c>
      <c r="AO274" s="12">
        <f t="shared" si="0"/>
        <v>22.7723414877683</v>
      </c>
      <c r="AP274" s="12">
        <f t="shared" si="1"/>
        <v>5.6077027288562</v>
      </c>
    </row>
    <row customHeight="1" ht="15">
      <c r="A275" s="9" t="s">
        <v>290</v>
      </c>
      <c r="C275" s="19">
        <f t="shared" si="103" ref="C275:AN275">C273/(((B108+B110)+(C108+C110))/2)</f>
        <v>0.136980142375422</v>
      </c>
      <c r="D275" s="19">
        <f t="shared" si="103"/>
        <v>0.22208268133413</v>
      </c>
      <c r="E275" s="19">
        <f t="shared" si="103"/>
        <v>0.151134197726014</v>
      </c>
      <c r="F275" s="19">
        <f t="shared" si="103"/>
        <v>0.162284748010516</v>
      </c>
      <c r="G275" s="19">
        <f t="shared" si="103"/>
        <v>0.196389270652041</v>
      </c>
      <c r="H275" s="19">
        <f t="shared" si="103"/>
        <v>0.212856858040842</v>
      </c>
      <c r="I275" s="19">
        <f t="shared" si="103"/>
        <v>0.228848564160274</v>
      </c>
      <c r="J275" s="12">
        <f>J273/((('Quarterly YTD'!AB108+'Quarterly YTD'!AB110)+(J108+J110))/2)</f>
        <v>0.223475636510704</v>
      </c>
      <c r="O275" s="19">
        <f>O273/(((C108+C110)+(O108+O110))/2)</f>
        <v>0.0568076889449026</v>
      </c>
      <c r="P275" s="19">
        <f t="shared" si="103"/>
        <v>0.0540714751211637</v>
      </c>
      <c r="Q275" s="19">
        <f>Q273/((('Quarterly YTD'!H108+'Quarterly YTD'!H110)+(Q108+Q110))/2)</f>
        <v>0.0508943235341379</v>
      </c>
      <c r="R275" s="19">
        <f t="shared" si="103"/>
        <v>0.0463882355342996</v>
      </c>
      <c r="S275" s="19">
        <f>S273/(((D108+D110)+(S108+S110))/2)</f>
        <v>0.0388864339372514</v>
      </c>
      <c r="T275" s="19">
        <f t="shared" si="103"/>
        <v>0.0355459618037179</v>
      </c>
      <c r="U275" s="19">
        <f>U273/((('Quarterly YTD'!L108+'Quarterly YTD'!L110)+(U108+U110))/2)</f>
        <v>0.0384710636472912</v>
      </c>
      <c r="V275" s="19">
        <f t="shared" si="103"/>
        <v>0.0389538140623443</v>
      </c>
      <c r="W275" s="19">
        <f>W273/(((E108+E110)+(W108+W110))/2)</f>
        <v>0.0390993444367296</v>
      </c>
      <c r="X275" s="19">
        <f t="shared" si="103"/>
        <v>0.041680194518056</v>
      </c>
      <c r="Y275" s="19">
        <f>Y273/((('Quarterly YTD'!P108+'Quarterly YTD'!P110)+(Y108+Y110))/2)</f>
        <v>0.0464208226260637</v>
      </c>
      <c r="Z275" s="19">
        <f t="shared" si="103"/>
        <v>0.0346305053843086</v>
      </c>
      <c r="AA275" s="19">
        <f>AA273/(((F108+F110)+(AA108+AA110))/2)</f>
        <v>0.0430384925556245</v>
      </c>
      <c r="AB275" s="19">
        <f t="shared" si="103"/>
        <v>0.0427931182803055</v>
      </c>
      <c r="AC275" s="19">
        <f>AC273/((('Quarterly YTD'!T108+'Quarterly YTD'!T110)+(AC108+AC110))/2)</f>
        <v>0.0476437831986878</v>
      </c>
      <c r="AD275" s="19">
        <f t="shared" si="103"/>
        <v>0.0553865814867679</v>
      </c>
      <c r="AE275" s="19">
        <f>AE273/(((G108+G110)+(AE108+AE110))/2)</f>
        <v>0.049813975677377</v>
      </c>
      <c r="AF275" s="19">
        <f t="shared" si="103"/>
        <v>0.0505103113499535</v>
      </c>
      <c r="AG275" s="19">
        <f>AG273/((('Quarterly YTD'!X108+'Quarterly YTD'!X110)+(AG108+AG110))/2)</f>
        <v>0.0516542624016079</v>
      </c>
      <c r="AH275" s="19">
        <f t="shared" si="103"/>
        <v>0.0537528264043807</v>
      </c>
      <c r="AI275" s="19">
        <f>AI273/(((H108+H110)+(AI108+AI110))/2)</f>
        <v>0.0563751844061605</v>
      </c>
      <c r="AJ275" s="19">
        <f t="shared" si="103"/>
        <v>0.0548028891170114</v>
      </c>
      <c r="AK275" s="19">
        <f>AK273/((('Quarterly YTD'!AB108+'Quarterly YTD'!AB110)+(AK108+AK110))/2)</f>
        <v>0.0602331757797551</v>
      </c>
      <c r="AL275" s="19">
        <f t="shared" si="103"/>
        <v>0.0516174437639314</v>
      </c>
      <c r="AM275" s="19">
        <f>AM273/(((I108+I110)+(AM108+AM110))/2)</f>
        <v>0.0590232389916765</v>
      </c>
      <c r="AN275" s="19">
        <f t="shared" si="103"/>
        <v>0.0512101705881234</v>
      </c>
      <c r="AO275" s="23">
        <f t="shared" si="96"/>
        <v>-78.1306840355309</v>
      </c>
      <c r="AP275" s="23">
        <f t="shared" si="97"/>
        <v>-35.92718528888</v>
      </c>
    </row>
    <row customHeight="1" ht="15">
      <c r="A276" s="9" t="s">
        <v>291</v>
      </c>
      <c r="B276" s="11">
        <f t="shared" si="104" ref="B276:AN276">SUM(B61:B62)</f>
        <v>-25.222</v>
      </c>
      <c r="C276" s="11">
        <f t="shared" si="104"/>
        <v>-39.674</v>
      </c>
      <c r="D276" s="11">
        <f t="shared" si="104"/>
        <v>-93.132</v>
      </c>
      <c r="E276" s="11">
        <f t="shared" si="104"/>
        <v>-70.253</v>
      </c>
      <c r="F276" s="11">
        <f t="shared" si="104"/>
        <v>-159.07</v>
      </c>
      <c r="G276" s="11">
        <f t="shared" si="104"/>
        <v>-213.784</v>
      </c>
      <c r="H276" s="11">
        <f t="shared" si="104"/>
        <v>-240.345</v>
      </c>
      <c r="I276" s="11">
        <f t="shared" si="104"/>
        <v>-169.115</v>
      </c>
      <c r="J276" s="10">
        <f t="shared" si="104"/>
        <v>-162.547</v>
      </c>
      <c r="K276" s="11">
        <f t="shared" si="104"/>
        <v>-3.532</v>
      </c>
      <c r="L276" s="11">
        <f t="shared" si="104"/>
        <v>-13.197</v>
      </c>
      <c r="M276" s="11">
        <f t="shared" si="104"/>
        <v>12.707</v>
      </c>
      <c r="N276" s="11">
        <f t="shared" si="104"/>
        <v>-35.652</v>
      </c>
      <c r="O276" s="11">
        <f t="shared" si="104"/>
        <v>-18.545</v>
      </c>
      <c r="P276" s="11">
        <f t="shared" si="104"/>
        <v>-30.936</v>
      </c>
      <c r="Q276" s="11">
        <f t="shared" si="104"/>
        <v>-19.794</v>
      </c>
      <c r="R276" s="11">
        <f t="shared" si="104"/>
        <v>-23.857</v>
      </c>
      <c r="S276" s="11">
        <f t="shared" si="104"/>
        <v>-26.252</v>
      </c>
      <c r="T276" s="11">
        <f t="shared" si="104"/>
        <v>-12.095</v>
      </c>
      <c r="U276" s="11">
        <f t="shared" si="104"/>
        <v>-11.268</v>
      </c>
      <c r="V276" s="11">
        <f t="shared" si="104"/>
        <v>-20.638</v>
      </c>
      <c r="W276" s="11">
        <f t="shared" si="104"/>
        <v>-21.649</v>
      </c>
      <c r="X276" s="11">
        <f t="shared" si="104"/>
        <v>-18.101</v>
      </c>
      <c r="Y276" s="11">
        <f t="shared" si="104"/>
        <v>-20.731</v>
      </c>
      <c r="Z276" s="11">
        <f t="shared" si="104"/>
        <v>-98.589</v>
      </c>
      <c r="AA276" s="11">
        <f t="shared" si="104"/>
        <v>-36.566</v>
      </c>
      <c r="AB276" s="11">
        <f t="shared" si="104"/>
        <v>-58.22</v>
      </c>
      <c r="AC276" s="11">
        <f t="shared" si="104"/>
        <v>-34.371</v>
      </c>
      <c r="AD276" s="11">
        <f t="shared" si="104"/>
        <v>-84.627</v>
      </c>
      <c r="AE276" s="11">
        <f t="shared" si="104"/>
        <v>-44.892</v>
      </c>
      <c r="AF276" s="11">
        <f t="shared" si="104"/>
        <v>-42.415</v>
      </c>
      <c r="AG276" s="11">
        <f t="shared" si="104"/>
        <v>-75.384</v>
      </c>
      <c r="AH276" s="11">
        <f t="shared" si="104"/>
        <v>-77.654</v>
      </c>
      <c r="AI276" s="11">
        <f t="shared" si="104"/>
        <v>-48.741</v>
      </c>
      <c r="AJ276" s="11">
        <f t="shared" si="104"/>
        <v>-30.569</v>
      </c>
      <c r="AK276" s="11">
        <f t="shared" si="104"/>
        <v>-36.836</v>
      </c>
      <c r="AL276" s="11">
        <f t="shared" si="104"/>
        <v>-52.969</v>
      </c>
      <c r="AM276" s="11">
        <f t="shared" si="104"/>
        <v>-13.501</v>
      </c>
      <c r="AN276" s="11">
        <f t="shared" si="104"/>
        <v>-59.241</v>
      </c>
      <c r="AO276" s="12">
        <f t="shared" si="2"/>
        <v>3.38789719280053</v>
      </c>
      <c r="AP276" s="12">
        <f t="shared" si="3"/>
        <v>0.937943668422258</v>
      </c>
    </row>
    <row customHeight="1" ht="15">
      <c r="A277" s="9" t="s">
        <v>292</v>
      </c>
      <c r="B277" s="11">
        <f t="shared" si="105" ref="B277:AN277">SUM(B61:B63)</f>
        <v>-25.007</v>
      </c>
      <c r="C277" s="11">
        <f t="shared" si="105"/>
        <v>-36.252</v>
      </c>
      <c r="D277" s="11">
        <f t="shared" si="105"/>
        <v>-83.987</v>
      </c>
      <c r="E277" s="11">
        <f t="shared" si="105"/>
        <v>-66.124</v>
      </c>
      <c r="F277" s="11">
        <f t="shared" si="105"/>
        <v>-155.17</v>
      </c>
      <c r="G277" s="11">
        <f t="shared" si="105"/>
        <v>-192.632</v>
      </c>
      <c r="H277" s="11">
        <f t="shared" si="105"/>
        <v>-233.826</v>
      </c>
      <c r="I277" s="11">
        <f t="shared" si="105"/>
        <v>-150.212</v>
      </c>
      <c r="J277" s="10">
        <f t="shared" si="105"/>
        <v>-156.714</v>
      </c>
      <c r="K277" s="11">
        <f t="shared" si="105"/>
        <v>-3.204</v>
      </c>
      <c r="L277" s="11">
        <f t="shared" si="105"/>
        <v>-13.027</v>
      </c>
      <c r="M277" s="11">
        <f t="shared" si="105"/>
        <v>12.737</v>
      </c>
      <c r="N277" s="11">
        <f t="shared" si="105"/>
        <v>-32.758</v>
      </c>
      <c r="O277" s="11">
        <f t="shared" si="105"/>
        <v>-18.112</v>
      </c>
      <c r="P277" s="11">
        <f t="shared" si="105"/>
        <v>-30.671</v>
      </c>
      <c r="Q277" s="11">
        <f t="shared" si="105"/>
        <v>-19.827</v>
      </c>
      <c r="R277" s="11">
        <f t="shared" si="105"/>
        <v>-15.377</v>
      </c>
      <c r="S277" s="11">
        <f t="shared" si="105"/>
        <v>-26.202</v>
      </c>
      <c r="T277" s="11">
        <f t="shared" si="105"/>
        <v>-11.748</v>
      </c>
      <c r="U277" s="11">
        <f t="shared" si="105"/>
        <v>-11.078</v>
      </c>
      <c r="V277" s="11">
        <f t="shared" si="105"/>
        <v>-17.096</v>
      </c>
      <c r="W277" s="11">
        <f t="shared" si="105"/>
        <v>-19.673</v>
      </c>
      <c r="X277" s="11">
        <f t="shared" si="105"/>
        <v>-18.053</v>
      </c>
      <c r="Y277" s="11">
        <f t="shared" si="105"/>
        <v>0.530999999999999</v>
      </c>
      <c r="Z277" s="11">
        <f t="shared" si="105"/>
        <v>-117.975</v>
      </c>
      <c r="AA277" s="11">
        <f t="shared" si="105"/>
        <v>-36.513</v>
      </c>
      <c r="AB277" s="11">
        <f t="shared" si="105"/>
        <v>-58.272</v>
      </c>
      <c r="AC277" s="11">
        <f t="shared" si="105"/>
        <v>-34.268</v>
      </c>
      <c r="AD277" s="11">
        <f t="shared" si="105"/>
        <v>-63.579</v>
      </c>
      <c r="AE277" s="11">
        <f t="shared" si="105"/>
        <v>-44.851</v>
      </c>
      <c r="AF277" s="11">
        <f t="shared" si="105"/>
        <v>-41.101</v>
      </c>
      <c r="AG277" s="11">
        <f t="shared" si="105"/>
        <v>-71.405</v>
      </c>
      <c r="AH277" s="11">
        <f t="shared" si="105"/>
        <v>-76.469</v>
      </c>
      <c r="AI277" s="11">
        <f t="shared" si="105"/>
        <v>-39.476</v>
      </c>
      <c r="AJ277" s="11">
        <f t="shared" si="105"/>
        <v>-24.184</v>
      </c>
      <c r="AK277" s="11">
        <f t="shared" si="105"/>
        <v>-40.994</v>
      </c>
      <c r="AL277" s="11">
        <f t="shared" si="105"/>
        <v>-45.558</v>
      </c>
      <c r="AM277" s="11">
        <f t="shared" si="105"/>
        <v>-13.204</v>
      </c>
      <c r="AN277" s="11">
        <f t="shared" si="105"/>
        <v>-56.958</v>
      </c>
      <c r="AO277" s="12">
        <f t="shared" si="2"/>
        <v>3.31369282035747</v>
      </c>
      <c r="AP277" s="12">
        <f t="shared" si="3"/>
        <v>1.35519351637446</v>
      </c>
    </row>
    <row customHeight="1" ht="15">
      <c r="A278" s="9" t="s">
        <v>293</v>
      </c>
      <c r="B278" s="19">
        <f t="shared" si="106" ref="B278:AN278">IF(B3=0,"NM",-B276/B3)</f>
        <v>0.0583202689641458</v>
      </c>
      <c r="C278" s="19">
        <f t="shared" si="106"/>
        <v>0.0653285032109336</v>
      </c>
      <c r="D278" s="19">
        <f t="shared" si="106"/>
        <v>0.133873434607114</v>
      </c>
      <c r="E278" s="19">
        <f t="shared" si="106"/>
        <v>0.0692222120405048</v>
      </c>
      <c r="F278" s="19">
        <f t="shared" si="106"/>
        <v>0.0858591256154578</v>
      </c>
      <c r="G278" s="19">
        <f t="shared" si="106"/>
        <v>0.0944787656561219</v>
      </c>
      <c r="H278" s="19">
        <f t="shared" si="106"/>
        <v>0.114271953413539</v>
      </c>
      <c r="I278" s="19">
        <f t="shared" si="106"/>
        <v>0.0772457283384004</v>
      </c>
      <c r="J278" s="12">
        <f t="shared" si="106"/>
        <v>0.0711244032747146</v>
      </c>
      <c r="K278" s="19">
        <f t="shared" si="106"/>
        <v>0.0377770171985967</v>
      </c>
      <c r="L278" s="19">
        <f t="shared" si="106"/>
        <v>0.118333273555468</v>
      </c>
      <c r="M278" s="19">
        <f t="shared" si="106"/>
        <v>-0.11008594101951</v>
      </c>
      <c r="N278" s="19">
        <f t="shared" si="106"/>
        <v>0.124287088812349</v>
      </c>
      <c r="O278" s="19">
        <f t="shared" si="106"/>
        <v>0.0692316020144175</v>
      </c>
      <c r="P278" s="19">
        <f t="shared" si="106"/>
        <v>0.232639985561521</v>
      </c>
      <c r="Q278" s="19">
        <f t="shared" si="106"/>
        <v>0.147946065534561</v>
      </c>
      <c r="R278" s="19">
        <f t="shared" si="106"/>
        <v>0.148149758124111</v>
      </c>
      <c r="S278" s="19">
        <f t="shared" si="106"/>
        <v>0.161905466745609</v>
      </c>
      <c r="T278" s="19">
        <f t="shared" si="106"/>
        <v>0.0585921415318733</v>
      </c>
      <c r="U278" s="19">
        <f t="shared" si="106"/>
        <v>0.0375957159301336</v>
      </c>
      <c r="V278" s="19">
        <f t="shared" si="106"/>
        <v>0.0595432841418906</v>
      </c>
      <c r="W278" s="19">
        <f t="shared" si="106"/>
        <v>0.0682655953886273</v>
      </c>
      <c r="X278" s="19">
        <f t="shared" si="106"/>
        <v>0.039052353151847</v>
      </c>
      <c r="Y278" s="19">
        <f t="shared" si="106"/>
        <v>0.0367633497900352</v>
      </c>
      <c r="Z278" s="19">
        <f t="shared" si="106"/>
        <v>0.194016692020223</v>
      </c>
      <c r="AA278" s="19">
        <f t="shared" si="106"/>
        <v>0.0903363835800542</v>
      </c>
      <c r="AB278" s="19">
        <f t="shared" si="106"/>
        <v>0.105873410171267</v>
      </c>
      <c r="AC278" s="19">
        <f t="shared" si="106"/>
        <v>0.0499916367893998</v>
      </c>
      <c r="AD278" s="19">
        <f t="shared" si="106"/>
        <v>0.136371986592755</v>
      </c>
      <c r="AE278" s="19">
        <f t="shared" si="106"/>
        <v>0.0882349472658016</v>
      </c>
      <c r="AF278" s="19">
        <f t="shared" si="106"/>
        <v>0.0589002327402807</v>
      </c>
      <c r="AG278" s="19">
        <f t="shared" si="106"/>
        <v>0.0909879843815064</v>
      </c>
      <c r="AH278" s="19">
        <f t="shared" si="106"/>
        <v>1.69280404595296</v>
      </c>
      <c r="AI278" s="19">
        <f t="shared" si="106"/>
        <v>0.106539800782966</v>
      </c>
      <c r="AJ278" s="19">
        <f t="shared" si="106"/>
        <v>0.0544949558874126</v>
      </c>
      <c r="AK278" s="19">
        <f t="shared" si="106"/>
        <v>0.0504132446306938</v>
      </c>
      <c r="AL278" s="19">
        <f t="shared" si="106"/>
        <v>0.191788807461692</v>
      </c>
      <c r="AM278" s="19">
        <f t="shared" si="106"/>
        <v>0.0258220362323276</v>
      </c>
      <c r="AN278" s="19">
        <f t="shared" si="106"/>
        <v>0.100124731270028</v>
      </c>
      <c r="AO278" s="23">
        <f t="shared" si="96"/>
        <v>743.026950377004</v>
      </c>
      <c r="AP278" s="23">
        <f t="shared" si="97"/>
        <v>456.297753826154</v>
      </c>
    </row>
    <row customHeight="1" ht="15">
      <c r="A279" s="9" t="s">
        <v>294</v>
      </c>
      <c r="C279" s="19">
        <f t="shared" si="107" ref="C279:AN279">IF(B108=0,"NM",-(C61+C63)/B108)</f>
        <v>0.580505692645199</v>
      </c>
      <c r="D279" s="19">
        <f t="shared" si="107"/>
        <v>0.231186998673222</v>
      </c>
      <c r="E279" s="19">
        <f t="shared" si="107"/>
        <v>0.187356735452539</v>
      </c>
      <c r="F279" s="19">
        <f t="shared" si="107"/>
        <v>0.363914941258508</v>
      </c>
      <c r="G279" s="19">
        <f t="shared" si="107"/>
        <v>0.236590276444924</v>
      </c>
      <c r="H279" s="19">
        <f t="shared" si="107"/>
        <v>0.159016329525356</v>
      </c>
      <c r="I279" s="19">
        <f t="shared" si="107"/>
        <v>0.0833133178082478</v>
      </c>
      <c r="J279" s="12">
        <f>IF('Quarterly YTD'!AB108=0,"NM",-(J61+J63)/'Quarterly YTD'!AB108)</f>
        <v>0.106356663375126</v>
      </c>
      <c r="K279" s="19">
        <f>IF(B108=0,"NM",-(K61+K63)/B108)</f>
        <v>0.0513058655863184</v>
      </c>
      <c r="O279" s="19">
        <f>IF(C108=0,"NM",-(O61+O63)/C108)</f>
        <v>0.0498560362909663</v>
      </c>
      <c r="P279" s="19">
        <f t="shared" si="107"/>
        <v>0.0755839886442888</v>
      </c>
      <c r="Q279" s="19">
        <f>IF('Quarterly YTD'!H108=0,"NM",-(Q61+Q63)/'Quarterly YTD'!H108)</f>
        <v>0.0510878751649077</v>
      </c>
      <c r="R279" s="19">
        <f>IF('Quarterly YTD'!I108=0,"NM",-(R61+R63)/'Quarterly YTD'!I108)</f>
        <v>0.04040889799887</v>
      </c>
      <c r="S279" s="19">
        <f>IF(D108=0,"NM",-(S61+S63)/D108)</f>
        <v>0.0742411406195545</v>
      </c>
      <c r="T279" s="19">
        <f t="shared" si="107"/>
        <v>0.0322223197437135</v>
      </c>
      <c r="U279" s="19">
        <f>IF('Quarterly YTD'!L108=0,"NM",-(U61+U63)/'Quarterly YTD'!L108)</f>
        <v>0.0291136346315067</v>
      </c>
      <c r="V279" s="19">
        <f>IF('Quarterly YTD'!M108=0,"NM",-(V61+V63)/'Quarterly YTD'!M108)</f>
        <v>0.0430983628874088</v>
      </c>
      <c r="W279" s="19">
        <f>IF(E108=0,"NM",-(W61+W63)/E108)</f>
        <v>0.0474685300511771</v>
      </c>
      <c r="X279" s="19">
        <f t="shared" si="107"/>
        <v>0.0388467133180124</v>
      </c>
      <c r="Y279" s="19">
        <f>IF('Quarterly YTD'!P108=0,"NM",-(Y61+Y63)/'Quarterly YTD'!P108)</f>
        <v>-0.00092578709337722</v>
      </c>
      <c r="Z279" s="19">
        <f>IF('Quarterly YTD'!Q108=0,"NM",-(Z61+Z63)/'Quarterly YTD'!Q108)</f>
        <v>0.150955403012279</v>
      </c>
      <c r="AA279" s="19">
        <f>IF(F108=0,"NM",-(AA61+AA63)/F108)</f>
        <v>0.0442265506150162</v>
      </c>
      <c r="AB279" s="19">
        <f t="shared" si="107"/>
        <v>0.0586099563304122</v>
      </c>
      <c r="AC279" s="19">
        <f>IF('Quarterly YTD'!T108=0,"NM",-(AC61+AC63)/'Quarterly YTD'!T108)</f>
        <v>0.0283760528383482</v>
      </c>
      <c r="AD279" s="19">
        <f>IF('Quarterly YTD'!U108=0,"NM",-(AD61+AD63)/'Quarterly YTD'!U108)</f>
        <v>0.046931516295163</v>
      </c>
      <c r="AE279" s="19">
        <f>IF(G108=0,"NM",-(AE61+AE63)/G108)</f>
        <v>0.0304075824008337</v>
      </c>
      <c r="AF279" s="19">
        <f t="shared" si="107"/>
        <v>0.024437759814149</v>
      </c>
      <c r="AG279" s="19">
        <f>IF('Quarterly YTD'!X108=0,"NM",-(AG61+AG63)/'Quarterly YTD'!X108)</f>
        <v>0.0411420695039971</v>
      </c>
      <c r="AH279" s="19">
        <f>IF('Quarterly YTD'!Y108=0,"NM",-(AH61+AH63)/'Quarterly YTD'!Y108)</f>
        <v>0.0442714487505242</v>
      </c>
      <c r="AI279" s="19">
        <f>IF(H108=0,"NM",-(AI61+AI63)/H108)</f>
        <v>0.0221470334671183</v>
      </c>
      <c r="AJ279" s="19">
        <f t="shared" si="107"/>
        <v>0.0143931624997273</v>
      </c>
      <c r="AK279" s="19">
        <f>IF('Quarterly YTD'!AB108=0,"NM",-(AK61+AK63)/'Quarterly YTD'!AB108)</f>
        <v>0.0282067942530554</v>
      </c>
      <c r="AL279" s="19">
        <f>IF('Quarterly YTD'!AC108=0,"NM",-(AL61+AL63)/'Quarterly YTD'!AC108)</f>
        <v>0.0318887626628993</v>
      </c>
      <c r="AM279" s="19">
        <f>IF(I108=0,"NM",-(AM61+AM63)/I108)</f>
        <v>0.0108100980313505</v>
      </c>
      <c r="AN279" s="19">
        <f t="shared" si="107"/>
        <v>0.0499220659925646</v>
      </c>
      <c r="AO279" s="23">
        <f t="shared" si="96"/>
        <v>391.119679612141</v>
      </c>
      <c r="AP279" s="23">
        <f t="shared" si="97"/>
        <v>355.289034928373</v>
      </c>
    </row>
    <row customHeight="1" ht="15">
      <c r="A280" s="9" t="s">
        <v>295</v>
      </c>
      <c r="B280" s="19">
        <f t="shared" si="108" ref="B280:AN280">IF(B273=0,"NM",-B276/B273)</f>
        <v>3.68043192762294</v>
      </c>
      <c r="C280" s="19">
        <f t="shared" si="108"/>
        <v>1.142289531268</v>
      </c>
      <c r="D280" s="19">
        <f t="shared" si="108"/>
        <v>0.938783327453253</v>
      </c>
      <c r="E280" s="19">
        <f t="shared" si="108"/>
        <v>0.945048292932282</v>
      </c>
      <c r="F280" s="19">
        <f t="shared" si="108"/>
        <v>1.38585654420157</v>
      </c>
      <c r="G280" s="19">
        <f t="shared" si="108"/>
        <v>0.893447007689736</v>
      </c>
      <c r="H280" s="19">
        <f t="shared" si="108"/>
        <v>0.659203673076448</v>
      </c>
      <c r="I280" s="19">
        <f t="shared" si="108"/>
        <v>0.477798873274454</v>
      </c>
      <c r="J280" s="12">
        <f t="shared" si="108"/>
        <v>0.555038807336004</v>
      </c>
      <c r="K280" s="19">
        <f t="shared" si="108"/>
        <v>1.20299727520436</v>
      </c>
      <c r="L280" s="19">
        <f t="shared" si="108"/>
        <v>4.08575851393189</v>
      </c>
      <c r="M280" s="19">
        <f t="shared" si="108"/>
        <v>-3.70790779107091</v>
      </c>
      <c r="N280" s="19">
        <f t="shared" si="108"/>
        <v>1.4181948367079</v>
      </c>
      <c r="O280" s="19">
        <f t="shared" si="108"/>
        <v>0.696159765756973</v>
      </c>
      <c r="P280" s="19">
        <f t="shared" si="108"/>
        <v>1.16335740072202</v>
      </c>
      <c r="Q280" s="19">
        <f t="shared" si="108"/>
        <v>0.811628669837625</v>
      </c>
      <c r="R280" s="19">
        <f t="shared" si="108"/>
        <v>1.1052070786621</v>
      </c>
      <c r="S280" s="19">
        <f t="shared" si="108"/>
        <v>1.45521064301552</v>
      </c>
      <c r="T280" s="19">
        <f t="shared" si="108"/>
        <v>0.708968347010551</v>
      </c>
      <c r="U280" s="19">
        <f t="shared" si="108"/>
        <v>0.589731512011305</v>
      </c>
      <c r="V280" s="19">
        <f t="shared" si="108"/>
        <v>1.02518503800109</v>
      </c>
      <c r="W280" s="19">
        <f t="shared" si="108"/>
        <v>0.998570110701107</v>
      </c>
      <c r="X280" s="19">
        <f t="shared" si="108"/>
        <v>0.682798943794794</v>
      </c>
      <c r="Y280" s="19">
        <f t="shared" si="108"/>
        <v>0.572663738570758</v>
      </c>
      <c r="Z280" s="19">
        <f t="shared" si="108"/>
        <v>3.24412635735439</v>
      </c>
      <c r="AA280" s="19">
        <f t="shared" si="108"/>
        <v>0.871158336112832</v>
      </c>
      <c r="AB280" s="19">
        <f t="shared" si="108"/>
        <v>1.16339947645025</v>
      </c>
      <c r="AC280" s="19">
        <f t="shared" si="108"/>
        <v>0.532297780737483</v>
      </c>
      <c r="AD280" s="19">
        <f t="shared" si="108"/>
        <v>1.02340008707009</v>
      </c>
      <c r="AE280" s="19">
        <f t="shared" si="108"/>
        <v>0.549426609715202</v>
      </c>
      <c r="AF280" s="19">
        <f t="shared" si="108"/>
        <v>0.473323587505998</v>
      </c>
      <c r="AG280" s="19">
        <f t="shared" si="108"/>
        <v>0.802307389393246</v>
      </c>
      <c r="AH280" s="19">
        <f t="shared" si="108"/>
        <v>0.781840881174362</v>
      </c>
      <c r="AI280" s="19">
        <f t="shared" si="108"/>
        <v>0.476367794522958</v>
      </c>
      <c r="AJ280" s="19">
        <f t="shared" si="108"/>
        <v>0.337723029332155</v>
      </c>
      <c r="AK280" s="19">
        <f t="shared" si="108"/>
        <v>0.403178494811961</v>
      </c>
      <c r="AL280" s="19">
        <f t="shared" si="108"/>
        <v>0.759423074165938</v>
      </c>
      <c r="AM280" s="19">
        <f t="shared" si="108"/>
        <v>0.186120569624616</v>
      </c>
      <c r="AN280" s="19">
        <f t="shared" si="108"/>
        <v>1.00060805675196</v>
      </c>
      <c r="AO280" s="23">
        <f t="shared" si="96"/>
        <v>8144.87487127344</v>
      </c>
      <c r="AP280" s="23">
        <f t="shared" si="97"/>
        <v>6628.85027419805</v>
      </c>
    </row>
    <row customHeight="1" ht="15">
      <c r="A281" s="9" t="s">
        <v>296</v>
      </c>
      <c r="C281" s="19">
        <f t="shared" si="109" ref="C281:AN281">-C62/B110</f>
        <v>0</v>
      </c>
      <c r="D281" s="19">
        <f t="shared" si="109"/>
        <v>0</v>
      </c>
      <c r="E281" s="19">
        <f t="shared" si="109"/>
        <v>0</v>
      </c>
      <c r="F281" s="19">
        <f t="shared" si="109"/>
        <v>0.038280039442175</v>
      </c>
      <c r="G281" s="19">
        <f t="shared" si="109"/>
        <v>0.0813137957628272</v>
      </c>
      <c r="H281" s="19">
        <f t="shared" si="109"/>
        <v>0.0681267995015112</v>
      </c>
      <c r="I281" s="19">
        <f t="shared" si="109"/>
        <v>0.0435172014119382</v>
      </c>
      <c r="J281" s="12">
        <f>-J62/'Quarterly YTD'!AB110</f>
        <v>0.0511458261647512</v>
      </c>
      <c r="K281" s="19">
        <f>-K62/B110</f>
        <v>0</v>
      </c>
      <c r="O281" s="19">
        <f>-O62/C110</f>
        <v>0</v>
      </c>
      <c r="P281" s="19">
        <f t="shared" si="109"/>
        <v>0</v>
      </c>
      <c r="Q281" s="19">
        <f>-Q62/'Quarterly YTD'!H110</f>
        <v>0</v>
      </c>
      <c r="R281" s="19">
        <f t="shared" si="109"/>
        <v>0</v>
      </c>
      <c r="S281" s="19">
        <f>-S62/D110</f>
        <v>0</v>
      </c>
      <c r="T281" s="19">
        <f t="shared" si="109"/>
        <v>0</v>
      </c>
      <c r="U281" s="19">
        <f>-U62/'Quarterly YTD'!L110</f>
        <v>0</v>
      </c>
      <c r="V281" s="19">
        <f t="shared" si="109"/>
        <v>0</v>
      </c>
      <c r="W281" s="19">
        <f>-W62/E110</f>
        <v>0</v>
      </c>
      <c r="X281" s="19">
        <f t="shared" si="109"/>
        <v>0</v>
      </c>
      <c r="Y281" s="19">
        <f>-Y62/'Quarterly YTD'!P110</f>
        <v>0</v>
      </c>
      <c r="Z281" s="19">
        <f t="shared" si="109"/>
        <v>0.0375329103543528</v>
      </c>
      <c r="AA281" s="19">
        <f>-AA62/F110</f>
        <v>0.0197704486685115</v>
      </c>
      <c r="AB281" s="19">
        <f t="shared" si="109"/>
        <v>0.0215980375295321</v>
      </c>
      <c r="AC281" s="19">
        <f>-AC62/'Quarterly YTD'!T110</f>
        <v>0.0137830226222181</v>
      </c>
      <c r="AD281" s="19">
        <f t="shared" si="109"/>
        <v>0.019041611348683</v>
      </c>
      <c r="AE281" s="19">
        <f>-AE62/G110</f>
        <v>0.0140164157510994</v>
      </c>
      <c r="AF281" s="19">
        <f t="shared" si="109"/>
        <v>0.0163516074519543</v>
      </c>
      <c r="AG281" s="19">
        <f>-AG62/'Quarterly YTD'!X110</f>
        <v>0.0182141480795365</v>
      </c>
      <c r="AH281" s="19">
        <f t="shared" si="109"/>
        <v>0.0166355857463124</v>
      </c>
      <c r="AI281" s="19">
        <f>-AI62/H110</f>
        <v>0.00857436383752173</v>
      </c>
      <c r="AJ281" s="19">
        <f t="shared" si="109"/>
        <v>0.00729256770244195</v>
      </c>
      <c r="AK281" s="19">
        <f>-AK62/'Quarterly YTD'!AB110</f>
        <v>0.00965521987475053</v>
      </c>
      <c r="AL281" s="19">
        <f t="shared" si="109"/>
        <v>0.0194741223810185</v>
      </c>
      <c r="AM281" s="19">
        <f>-AM62/I110</f>
        <v>0.0111087775094136</v>
      </c>
      <c r="AN281" s="19">
        <f t="shared" si="109"/>
        <v>0.0129780096906448</v>
      </c>
      <c r="AO281" s="23">
        <f t="shared" si="96"/>
        <v>18.692321812312</v>
      </c>
      <c r="AP281" s="23">
        <f t="shared" si="97"/>
        <v>56.8544198820285</v>
      </c>
    </row>
    <row customHeight="1" ht="15">
      <c r="A282" s="9" t="s">
        <v>297</v>
      </c>
      <c r="B282" s="11">
        <f t="shared" si="110" ref="B282:AN282">B60-(SUM(B49:B54))</f>
        <v>22.069</v>
      </c>
      <c r="C282" s="11">
        <f t="shared" si="110"/>
        <v>52.562</v>
      </c>
      <c r="D282" s="11">
        <f t="shared" si="110"/>
        <v>46.713</v>
      </c>
      <c r="E282" s="11">
        <f t="shared" si="110"/>
        <v>115.108</v>
      </c>
      <c r="F282" s="11">
        <f t="shared" si="110"/>
        <v>216.244</v>
      </c>
      <c r="G282" s="11">
        <f t="shared" si="110"/>
        <v>282.883</v>
      </c>
      <c r="H282" s="11">
        <f t="shared" si="111" ref="H282:AM282">H60-(SUM(H49:H51)+H53+H54)</f>
        <v>295.274</v>
      </c>
      <c r="I282" s="11">
        <f t="shared" si="111"/>
        <v>216.205</v>
      </c>
      <c r="J282" s="10">
        <f>J60-((SUM(I49:I51)+I53+I54)+(SUM('Quarterly YTD'!AF49:AF51)+'Quarterly YTD'!AF53+'Quarterly YTD'!AF54)-(SUM('Quarterly YTD'!AB49:AB51)+'Quarterly YTD'!AB53+'Quarterly YTD'!AB54))</f>
        <v>205.869</v>
      </c>
      <c r="K282" s="11">
        <f>K60-(K49+K50+SUM(K52:K54))</f>
        <v>4.581</v>
      </c>
      <c r="L282" s="11">
        <f t="shared" si="110"/>
        <v>5.894</v>
      </c>
      <c r="M282" s="11">
        <f t="shared" si="110"/>
        <v>7.234</v>
      </c>
      <c r="N282" s="11">
        <f t="shared" si="110"/>
        <v>34.853</v>
      </c>
      <c r="O282" s="11">
        <f t="shared" si="110"/>
        <v>29.594</v>
      </c>
      <c r="P282" s="11">
        <f t="shared" si="110"/>
        <v>25.846</v>
      </c>
      <c r="Q282" s="11">
        <f t="shared" si="110"/>
        <v>3.405</v>
      </c>
      <c r="R282" s="11">
        <f t="shared" si="110"/>
        <v>-12.132</v>
      </c>
      <c r="S282" s="11">
        <f t="shared" si="110"/>
        <v>23.495</v>
      </c>
      <c r="T282" s="11">
        <f t="shared" si="110"/>
        <v>15.639</v>
      </c>
      <c r="U282" s="11">
        <f t="shared" si="110"/>
        <v>43.612</v>
      </c>
      <c r="V282" s="11">
        <f t="shared" si="110"/>
        <v>32.362</v>
      </c>
      <c r="W282" s="11">
        <f t="shared" si="110"/>
        <v>19.804</v>
      </c>
      <c r="X282" s="11">
        <f t="shared" si="110"/>
        <v>63.234</v>
      </c>
      <c r="Y282" s="11">
        <f t="shared" si="110"/>
        <v>116.261</v>
      </c>
      <c r="Z282" s="11">
        <f t="shared" si="110"/>
        <v>16.945</v>
      </c>
      <c r="AA282" s="11">
        <f t="shared" si="110"/>
        <v>-7.31</v>
      </c>
      <c r="AB282" s="11">
        <f t="shared" si="110"/>
        <v>96.216</v>
      </c>
      <c r="AC282" s="11">
        <f t="shared" si="110"/>
        <v>159.093</v>
      </c>
      <c r="AD282" s="11">
        <f t="shared" si="110"/>
        <v>34.884</v>
      </c>
      <c r="AE282" s="11">
        <f t="shared" si="111"/>
        <v>-24.047</v>
      </c>
      <c r="AF282" s="11">
        <f t="shared" si="110"/>
        <v>131.917</v>
      </c>
      <c r="AG282" s="11">
        <f t="shared" si="110"/>
        <v>188.089</v>
      </c>
      <c r="AH282" s="11">
        <f t="shared" si="110"/>
        <v>-0.684999999999997</v>
      </c>
      <c r="AI282" s="11">
        <f t="shared" si="111"/>
        <v>-28.301</v>
      </c>
      <c r="AJ282" s="11">
        <f t="shared" si="110"/>
        <v>68.119</v>
      </c>
      <c r="AK282" s="11">
        <f t="shared" si="110"/>
        <v>187.512</v>
      </c>
      <c r="AL282" s="11">
        <f t="shared" si="110"/>
        <v>-11.125</v>
      </c>
      <c r="AM282" s="11">
        <f t="shared" si="111"/>
        <v>14.733</v>
      </c>
      <c r="AN282" s="11">
        <f t="shared" si="110"/>
        <v>14.749</v>
      </c>
      <c r="AO282" s="12">
        <f t="shared" si="0"/>
        <v>0.00108599742075621</v>
      </c>
      <c r="AP282" s="12">
        <f t="shared" si="1"/>
        <v>-0.783481847942571</v>
      </c>
    </row>
    <row customHeight="1" ht="15">
      <c r="A283" s="4" t="s">
        <v>298</v>
      </c>
      <c r="B283" s="7">
        <f t="shared" si="112" ref="B283:AN283">B60+B276+B99</f>
        <v>-6.823</v>
      </c>
      <c r="C283" s="7">
        <f t="shared" si="112"/>
        <v>-31.352</v>
      </c>
      <c r="D283" s="7">
        <f t="shared" si="112"/>
        <v>-33.562</v>
      </c>
      <c r="E283" s="7">
        <f t="shared" si="112"/>
        <v>-65.511</v>
      </c>
      <c r="F283" s="7">
        <f t="shared" si="112"/>
        <v>-49.413</v>
      </c>
      <c r="G283" s="7">
        <f t="shared" si="112"/>
        <v>-97.012</v>
      </c>
      <c r="H283" s="7">
        <f t="shared" si="112"/>
        <v>-189.247</v>
      </c>
      <c r="I283" s="7">
        <f t="shared" si="112"/>
        <v>-177.455</v>
      </c>
      <c r="J283" s="6">
        <f t="shared" si="112"/>
        <v>-164.24</v>
      </c>
      <c r="K283" s="7">
        <f t="shared" si="112"/>
        <v>1.103</v>
      </c>
      <c r="L283" s="7">
        <f t="shared" si="112"/>
        <v>-10.374</v>
      </c>
      <c r="M283" s="7">
        <f t="shared" si="112"/>
        <v>8.082</v>
      </c>
      <c r="N283" s="7">
        <f t="shared" si="112"/>
        <v>-30.163</v>
      </c>
      <c r="O283" s="7">
        <f t="shared" si="112"/>
        <v>21.401</v>
      </c>
      <c r="P283" s="7">
        <f t="shared" si="112"/>
        <v>2.313</v>
      </c>
      <c r="Q283" s="7">
        <f t="shared" si="112"/>
        <v>-48.343</v>
      </c>
      <c r="R283" s="7">
        <f t="shared" si="112"/>
        <v>-8.933</v>
      </c>
      <c r="S283" s="7">
        <f t="shared" si="112"/>
        <v>-21.582</v>
      </c>
      <c r="T283" s="7">
        <f t="shared" si="112"/>
        <v>-18.321</v>
      </c>
      <c r="U283" s="7">
        <f t="shared" si="112"/>
        <v>-7.891</v>
      </c>
      <c r="V283" s="7">
        <f t="shared" si="112"/>
        <v>-17.717</v>
      </c>
      <c r="W283" s="7">
        <f t="shared" si="112"/>
        <v>9.549</v>
      </c>
      <c r="X283" s="7">
        <f t="shared" si="112"/>
        <v>1.508</v>
      </c>
      <c r="Y283" s="7">
        <f t="shared" si="112"/>
        <v>50.518</v>
      </c>
      <c r="Z283" s="7">
        <f t="shared" si="112"/>
        <v>-110.988</v>
      </c>
      <c r="AA283" s="7">
        <f t="shared" si="112"/>
        <v>-53.745</v>
      </c>
      <c r="AB283" s="7">
        <f t="shared" si="112"/>
        <v>11.347</v>
      </c>
      <c r="AC283" s="7">
        <f t="shared" si="112"/>
        <v>23.925</v>
      </c>
      <c r="AD283" s="7">
        <f t="shared" si="112"/>
        <v>-78.539</v>
      </c>
      <c r="AE283" s="7">
        <f t="shared" si="112"/>
        <v>-36.52</v>
      </c>
      <c r="AF283" s="7">
        <f t="shared" si="112"/>
        <v>-8.39599999999999</v>
      </c>
      <c r="AG283" s="7">
        <f t="shared" si="112"/>
        <v>-2.36699999999999</v>
      </c>
      <c r="AH283" s="7">
        <f t="shared" si="112"/>
        <v>-141.964</v>
      </c>
      <c r="AI283" s="7">
        <f t="shared" si="112"/>
        <v>-100.666</v>
      </c>
      <c r="AJ283" s="7">
        <f t="shared" si="112"/>
        <v>19.682</v>
      </c>
      <c r="AK283" s="7">
        <f t="shared" si="112"/>
        <v>54.579</v>
      </c>
      <c r="AL283" s="7">
        <f t="shared" si="112"/>
        <v>-151.05</v>
      </c>
      <c r="AM283" s="7">
        <f t="shared" si="112"/>
        <v>-17.294</v>
      </c>
      <c r="AN283" s="7">
        <f t="shared" si="112"/>
        <v>-50.475</v>
      </c>
      <c r="AO283" s="8">
        <f t="shared" si="0"/>
        <v>-1.91864230368914</v>
      </c>
      <c r="AP283" s="8">
        <f t="shared" si="1"/>
        <v>-3.56452596280866</v>
      </c>
    </row>
    <row customHeight="1" ht="15">
      <c r="A284" s="9" t="s">
        <v>299</v>
      </c>
      <c r="B284" s="11">
        <f t="shared" si="113" ref="B284:AN284">B283-B294-B99</f>
        <v>-3.296</v>
      </c>
      <c r="C284" s="11">
        <f t="shared" si="113"/>
        <v>7.237</v>
      </c>
      <c r="D284" s="11">
        <f t="shared" si="113"/>
        <v>32.871</v>
      </c>
      <c r="E284" s="11">
        <f t="shared" si="113"/>
        <v>-1.71599999999999</v>
      </c>
      <c r="F284" s="11">
        <f t="shared" si="113"/>
        <v>56.302</v>
      </c>
      <c r="G284" s="11">
        <f t="shared" si="113"/>
        <v>128.991</v>
      </c>
      <c r="H284" s="11">
        <f t="shared" si="113"/>
        <v>177.412</v>
      </c>
      <c r="I284" s="11">
        <f t="shared" si="113"/>
        <v>183.387</v>
      </c>
      <c r="J284" s="10">
        <f t="shared" si="113"/>
        <v>116.062</v>
      </c>
      <c r="K284" s="11">
        <f t="shared" si="113"/>
        <v>3.372</v>
      </c>
      <c r="L284" s="11">
        <f t="shared" si="113"/>
        <v>-8.51</v>
      </c>
      <c r="M284" s="11">
        <f t="shared" si="113"/>
        <v>10.497</v>
      </c>
      <c r="N284" s="11">
        <f t="shared" si="113"/>
        <v>1.878</v>
      </c>
      <c r="O284" s="11">
        <f t="shared" si="113"/>
        <v>42.808</v>
      </c>
      <c r="P284" s="11">
        <f t="shared" si="113"/>
        <v>40.547</v>
      </c>
      <c r="Q284" s="11">
        <f t="shared" si="113"/>
        <v>-60.364</v>
      </c>
      <c r="R284" s="11">
        <f t="shared" si="113"/>
        <v>9.88</v>
      </c>
      <c r="S284" s="11">
        <f t="shared" si="113"/>
        <v>-12.766</v>
      </c>
      <c r="T284" s="11">
        <f t="shared" si="113"/>
        <v>0.848999999999998</v>
      </c>
      <c r="U284" s="11">
        <f t="shared" si="113"/>
        <v>6.338</v>
      </c>
      <c r="V284" s="11">
        <f t="shared" si="113"/>
        <v>3.863</v>
      </c>
      <c r="W284" s="11">
        <f t="shared" si="113"/>
        <v>24.687</v>
      </c>
      <c r="X284" s="11">
        <f t="shared" si="113"/>
        <v>23.727</v>
      </c>
      <c r="Y284" s="11">
        <f t="shared" si="113"/>
        <v>77.19</v>
      </c>
      <c r="Z284" s="11">
        <f t="shared" si="113"/>
        <v>-69.302</v>
      </c>
      <c r="AA284" s="11">
        <f t="shared" si="113"/>
        <v>-23.056</v>
      </c>
      <c r="AB284" s="11">
        <f t="shared" si="113"/>
        <v>62.274</v>
      </c>
      <c r="AC284" s="11">
        <f t="shared" si="113"/>
        <v>83.649</v>
      </c>
      <c r="AD284" s="11">
        <f t="shared" si="113"/>
        <v>6.124</v>
      </c>
      <c r="AE284" s="11">
        <f t="shared" si="113"/>
        <v>38.079</v>
      </c>
      <c r="AF284" s="11">
        <f t="shared" si="113"/>
        <v>88.256</v>
      </c>
      <c r="AG284" s="11">
        <f t="shared" si="113"/>
        <v>96.866</v>
      </c>
      <c r="AH284" s="11">
        <f t="shared" si="113"/>
        <v>-45.789</v>
      </c>
      <c r="AI284" s="11">
        <f t="shared" si="113"/>
        <v>1.821</v>
      </c>
      <c r="AJ284" s="11">
        <f t="shared" si="113"/>
        <v>118.861</v>
      </c>
      <c r="AK284" s="11">
        <f t="shared" si="113"/>
        <v>140.711</v>
      </c>
      <c r="AL284" s="11">
        <f t="shared" si="113"/>
        <v>-78.006</v>
      </c>
      <c r="AM284" s="11">
        <f t="shared" si="113"/>
        <v>36.879</v>
      </c>
      <c r="AN284" s="11">
        <f t="shared" si="113"/>
        <v>16.478</v>
      </c>
      <c r="AO284" s="12">
        <f t="shared" si="0"/>
        <v>-0.553187450852789</v>
      </c>
      <c r="AP284" s="12">
        <f t="shared" si="1"/>
        <v>-0.861367479661117</v>
      </c>
    </row>
    <row customHeight="1" ht="15">
      <c r="A285" s="9" t="s">
        <v>300</v>
      </c>
      <c r="B285" s="19">
        <f t="shared" si="114" ref="B285:J285">IF(B180&lt;=0,"NM",B282/B180)</f>
        <v>0.508725017864964</v>
      </c>
      <c r="C285" s="19">
        <f t="shared" si="114"/>
        <v>0.176931751241269</v>
      </c>
      <c r="D285" s="19">
        <f t="shared" si="114"/>
        <v>0.204673314872586</v>
      </c>
      <c r="E285" s="19">
        <f t="shared" si="114"/>
        <v>0.437664683180928</v>
      </c>
      <c r="F285" s="19">
        <f t="shared" si="114"/>
        <v>0.550050237195874</v>
      </c>
      <c r="G285" s="19">
        <f t="shared" si="114"/>
        <v>0.277257989900891</v>
      </c>
      <c r="H285" s="19">
        <f t="shared" si="114"/>
        <v>0.194937902222739</v>
      </c>
      <c r="I285" s="19">
        <f t="shared" si="114"/>
        <v>0.23632086866132</v>
      </c>
      <c r="J285" s="12">
        <f t="shared" si="114"/>
        <v>0.253244452754617</v>
      </c>
      <c r="N285" s="19">
        <f t="shared" si="70"/>
        <v>0.176931751241269</v>
      </c>
      <c r="O285" s="19">
        <f>'Rolling LTM'!G285</f>
        <v>0.188647356505203</v>
      </c>
      <c r="P285" s="19">
        <f>'Rolling LTM'!H285</f>
        <v>0.363705863925892</v>
      </c>
      <c r="Q285" s="19">
        <f>'Rolling LTM'!I285</f>
        <v>0.38732746611329</v>
      </c>
      <c r="R285" s="19">
        <f t="shared" si="71"/>
        <v>0.204673314872586</v>
      </c>
      <c r="S285" s="19">
        <f>'Rolling LTM'!K285</f>
        <v>0.158675709887637</v>
      </c>
      <c r="T285" s="19">
        <f>'Rolling LTM'!L285</f>
        <v>0.116581870324859</v>
      </c>
      <c r="U285" s="19">
        <f>'Rolling LTM'!M285</f>
        <v>0.238861000987728</v>
      </c>
      <c r="V285" s="19">
        <f t="shared" si="62"/>
        <v>0.437664683180928</v>
      </c>
      <c r="W285" s="19">
        <f>'Rolling LTM'!O285</f>
        <v>0.530037201602238</v>
      </c>
      <c r="X285" s="19">
        <f>'Rolling LTM'!P285</f>
        <v>0.516666937436031</v>
      </c>
      <c r="Y285" s="19">
        <f>'Rolling LTM'!Q285</f>
        <v>0.457976498311706</v>
      </c>
      <c r="Z285" s="19">
        <f t="shared" si="63"/>
        <v>0.550050237195874</v>
      </c>
      <c r="AA285" s="19">
        <f>'Rolling LTM'!S285</f>
        <v>0.324103031622023</v>
      </c>
      <c r="AB285" s="19">
        <f>'Rolling LTM'!T285</f>
        <v>0.306261263559361</v>
      </c>
      <c r="AC285" s="19">
        <f>'Rolling LTM'!U285</f>
        <v>0.30751517008603</v>
      </c>
      <c r="AD285" s="19">
        <f t="shared" si="64"/>
        <v>0.277257989900891</v>
      </c>
      <c r="AE285" s="19">
        <f>'Rolling LTM'!W285</f>
        <v>0.210736269670466</v>
      </c>
      <c r="AF285" s="19">
        <f>'Rolling LTM'!X285</f>
        <v>0.225390657376661</v>
      </c>
      <c r="AG285" s="19">
        <f>'Rolling LTM'!Y285</f>
        <v>0.255044137406828</v>
      </c>
      <c r="AH285" s="19">
        <f t="shared" si="65"/>
        <v>0.194937902222739</v>
      </c>
      <c r="AI285" s="19">
        <f>'Rolling LTM'!AA285</f>
        <v>0.202272946844794</v>
      </c>
      <c r="AJ285" s="19">
        <f>'Rolling LTM'!AB285</f>
        <v>0.19635516449634</v>
      </c>
      <c r="AK285" s="19">
        <f>'Rolling LTM'!AC285</f>
        <v>0.214953669894441</v>
      </c>
      <c r="AL285" s="19">
        <f t="shared" si="66"/>
        <v>0.23632086866132</v>
      </c>
      <c r="AM285" s="19">
        <f>'Rolling LTM'!AE285</f>
        <v>0.267683338599459</v>
      </c>
      <c r="AN285" s="19">
        <f>'Rolling LTM'!AF285</f>
        <v>0.253244452754617</v>
      </c>
      <c r="AO285" s="23">
        <f t="shared" si="96"/>
        <v>-144.38885844842</v>
      </c>
      <c r="AP285" s="23">
        <f t="shared" si="97"/>
        <v>568.89288258277</v>
      </c>
    </row>
    <row customHeight="1" ht="15">
      <c r="A286" s="9" t="s">
        <v>301</v>
      </c>
      <c r="B286" s="19">
        <f t="shared" si="115" ref="B286:J286">IF(B180&lt;=0,"NM",B283/B180)</f>
        <v>-0.15728083723289</v>
      </c>
      <c r="C286" s="19">
        <f t="shared" si="115"/>
        <v>-0.105535639148363</v>
      </c>
      <c r="D286" s="19">
        <f t="shared" si="115"/>
        <v>-0.147052122401767</v>
      </c>
      <c r="E286" s="19">
        <f t="shared" si="115"/>
        <v>-0.249086519267695</v>
      </c>
      <c r="F286" s="19">
        <f t="shared" si="115"/>
        <v>-0.125689648593994</v>
      </c>
      <c r="G286" s="19">
        <f t="shared" si="115"/>
        <v>-0.0950829569690127</v>
      </c>
      <c r="H286" s="19">
        <f t="shared" si="115"/>
        <v>-0.124939592317463</v>
      </c>
      <c r="I286" s="19">
        <f t="shared" si="115"/>
        <v>-0.193965540798291</v>
      </c>
      <c r="J286" s="12">
        <f t="shared" si="115"/>
        <v>-0.202035609637286</v>
      </c>
      <c r="N286" s="19">
        <f t="shared" si="70"/>
        <v>-0.105535639148363</v>
      </c>
      <c r="O286" s="19">
        <f>'Rolling LTM'!G286</f>
        <v>-0.0268811843868323</v>
      </c>
      <c r="P286" s="19">
        <f>'Rolling LTM'!H286</f>
        <v>0.00608992049166882</v>
      </c>
      <c r="Q286" s="19">
        <f>'Rolling LTM'!I286</f>
        <v>-0.226498394024199</v>
      </c>
      <c r="R286" s="19">
        <f t="shared" si="71"/>
        <v>-0.147052122401767</v>
      </c>
      <c r="S286" s="19">
        <f>'Rolling LTM'!K286</f>
        <v>-0.299055306380784</v>
      </c>
      <c r="T286" s="19">
        <f>'Rolling LTM'!L286</f>
        <v>-0.372588863626779</v>
      </c>
      <c r="U286" s="19">
        <f>'Rolling LTM'!M286</f>
        <v>-0.191886424831207</v>
      </c>
      <c r="V286" s="19">
        <f t="shared" si="62"/>
        <v>-0.249086519267695</v>
      </c>
      <c r="W286" s="19">
        <f>'Rolling LTM'!O286</f>
        <v>-0.163553847178482</v>
      </c>
      <c r="X286" s="19">
        <f>'Rolling LTM'!P286</f>
        <v>-0.0472795801991779</v>
      </c>
      <c r="Y286" s="19">
        <f>'Rolling LTM'!Q286</f>
        <v>0.0867039910168513</v>
      </c>
      <c r="Z286" s="19">
        <f t="shared" si="63"/>
        <v>-0.125689648593994</v>
      </c>
      <c r="AA286" s="19">
        <f>'Rolling LTM'!S286</f>
        <v>-0.193140593163556</v>
      </c>
      <c r="AB286" s="19">
        <f>'Rolling LTM'!T286</f>
        <v>-0.141840529371778</v>
      </c>
      <c r="AC286" s="19">
        <f>'Rolling LTM'!U286</f>
        <v>-0.150262777924797</v>
      </c>
      <c r="AD286" s="19">
        <f t="shared" si="64"/>
        <v>-0.0950829569690127</v>
      </c>
      <c r="AE286" s="19">
        <f>'Rolling LTM'!W286</f>
        <v>-0.0631759062627184</v>
      </c>
      <c r="AF286" s="19">
        <f>'Rolling LTM'!X286</f>
        <v>-0.0743195464215284</v>
      </c>
      <c r="AG286" s="19">
        <f>'Rolling LTM'!Y286</f>
        <v>-0.0969951410693348</v>
      </c>
      <c r="AH286" s="19">
        <f t="shared" si="65"/>
        <v>-0.124939592317463</v>
      </c>
      <c r="AI286" s="19">
        <f>'Rolling LTM'!AA286</f>
        <v>-0.176120365678795</v>
      </c>
      <c r="AJ286" s="19">
        <f>'Rolling LTM'!AB286</f>
        <v>-0.194707219760819</v>
      </c>
      <c r="AK286" s="19">
        <f>'Rolling LTM'!AC286</f>
        <v>-0.159683798215082</v>
      </c>
      <c r="AL286" s="19">
        <f t="shared" si="66"/>
        <v>-0.193965540798291</v>
      </c>
      <c r="AM286" s="19">
        <f>'Rolling LTM'!AE286</f>
        <v>-0.0971476187821001</v>
      </c>
      <c r="AN286" s="19">
        <f>'Rolling LTM'!AF286</f>
        <v>-0.202035609637286</v>
      </c>
      <c r="AO286" s="23">
        <f t="shared" si="96"/>
        <v>-1048.87990855186</v>
      </c>
      <c r="AP286" s="23">
        <f t="shared" si="97"/>
        <v>-73.28389876467</v>
      </c>
    </row>
    <row customHeight="1" ht="15">
      <c r="A287" s="9" t="s">
        <v>302</v>
      </c>
      <c r="B287" s="19">
        <f t="shared" si="116" ref="B287:J287">IF(B180&lt;=0,"NM",B284/B180)</f>
        <v>-0.0759779627025656</v>
      </c>
      <c r="C287" s="19">
        <f t="shared" si="116"/>
        <v>0.0243608516367921</v>
      </c>
      <c r="D287" s="19">
        <f t="shared" si="116"/>
        <v>0.144024501384556</v>
      </c>
      <c r="E287" s="19">
        <f t="shared" si="116"/>
        <v>-0.00652459078724735</v>
      </c>
      <c r="F287" s="19">
        <f t="shared" si="116"/>
        <v>0.14321289124601</v>
      </c>
      <c r="G287" s="19">
        <f t="shared" si="116"/>
        <v>0.12642606793376</v>
      </c>
      <c r="H287" s="19">
        <f t="shared" si="116"/>
        <v>0.117126205182781</v>
      </c>
      <c r="I287" s="19">
        <f t="shared" si="116"/>
        <v>0.200449458343672</v>
      </c>
      <c r="J287" s="12">
        <f t="shared" si="116"/>
        <v>0.142770682694366</v>
      </c>
      <c r="N287" s="19">
        <f t="shared" si="70"/>
        <v>0.0243608516367921</v>
      </c>
      <c r="O287" s="19">
        <f>'Rolling LTM'!G287</f>
        <v>0.113499685081113</v>
      </c>
      <c r="P287" s="19">
        <f>'Rolling LTM'!H287</f>
        <v>0.357004340886376</v>
      </c>
      <c r="Q287" s="19">
        <f>'Rolling LTM'!I287</f>
        <v>0.102803120181556</v>
      </c>
      <c r="R287" s="19">
        <f t="shared" si="71"/>
        <v>0.144024501384556</v>
      </c>
      <c r="S287" s="19">
        <f>'Rolling LTM'!K287</f>
        <v>-0.0886988388629296</v>
      </c>
      <c r="T287" s="19">
        <f>'Rolling LTM'!L287</f>
        <v>-0.239248373405516</v>
      </c>
      <c r="U287" s="19">
        <f>'Rolling LTM'!M287</f>
        <v>0.0145486895693236</v>
      </c>
      <c r="V287" s="19">
        <f t="shared" si="62"/>
        <v>-0.00652459078724735</v>
      </c>
      <c r="W287" s="19">
        <f>'Rolling LTM'!O287</f>
        <v>0.170009419331513</v>
      </c>
      <c r="X287" s="19">
        <f>'Rolling LTM'!P287</f>
        <v>0.19045375530031</v>
      </c>
      <c r="Y287" s="19">
        <f>'Rolling LTM'!Q287</f>
        <v>0.25594659138535</v>
      </c>
      <c r="Z287" s="19">
        <f t="shared" si="63"/>
        <v>0.14321289124601</v>
      </c>
      <c r="AA287" s="19">
        <f>'Rolling LTM'!S287</f>
        <v>0.014667148774139</v>
      </c>
      <c r="AB287" s="19">
        <f>'Rolling LTM'!T287</f>
        <v>0.064952560335449</v>
      </c>
      <c r="AC287" s="19">
        <f>'Rolling LTM'!U287</f>
        <v>0.0621718177639734</v>
      </c>
      <c r="AD287" s="19">
        <f t="shared" si="64"/>
        <v>0.12642606793376</v>
      </c>
      <c r="AE287" s="19">
        <f>'Rolling LTM'!W287</f>
        <v>0.150543100431218</v>
      </c>
      <c r="AF287" s="19">
        <f>'Rolling LTM'!X287</f>
        <v>0.161368919301353</v>
      </c>
      <c r="AG287" s="19">
        <f>'Rolling LTM'!Y287</f>
        <v>0.176784749294441</v>
      </c>
      <c r="AH287" s="19">
        <f t="shared" si="65"/>
        <v>0.117126205182781</v>
      </c>
      <c r="AI287" s="19">
        <f>'Rolling LTM'!AA287</f>
        <v>0.0981088431686138</v>
      </c>
      <c r="AJ287" s="19">
        <f>'Rolling LTM'!AB287</f>
        <v>0.148426502269705</v>
      </c>
      <c r="AK287" s="19">
        <f>'Rolling LTM'!AC287</f>
        <v>0.204482212464079</v>
      </c>
      <c r="AL287" s="19">
        <f t="shared" si="66"/>
        <v>0.200449458343672</v>
      </c>
      <c r="AM287" s="19">
        <f>'Rolling LTM'!AE287</f>
        <v>0.225560532560142</v>
      </c>
      <c r="AN287" s="19">
        <f>'Rolling LTM'!AF287</f>
        <v>0.142770682694366</v>
      </c>
      <c r="AO287" s="23">
        <f t="shared" si="96"/>
        <v>-827.89849865776</v>
      </c>
      <c r="AP287" s="23">
        <f t="shared" si="97"/>
        <v>-56.5581957533901</v>
      </c>
    </row>
    <row customHeight="1" ht="15">
      <c r="A288" s="9" t="s">
        <v>303</v>
      </c>
      <c r="B288" s="22">
        <v>365</v>
      </c>
      <c r="C288" s="22">
        <v>365</v>
      </c>
      <c r="D288" s="22">
        <v>366</v>
      </c>
      <c r="E288" s="22">
        <v>365</v>
      </c>
      <c r="F288" s="22">
        <v>365</v>
      </c>
      <c r="G288" s="22">
        <v>365</v>
      </c>
      <c r="H288" s="22">
        <v>366</v>
      </c>
      <c r="I288" s="22">
        <v>365</v>
      </c>
      <c r="J288" s="24">
        <v>365</v>
      </c>
      <c r="K288" s="22">
        <v>90</v>
      </c>
      <c r="L288" s="22">
        <v>91</v>
      </c>
      <c r="M288" s="22">
        <v>92</v>
      </c>
      <c r="N288" s="22">
        <v>92</v>
      </c>
      <c r="O288" s="22">
        <v>91</v>
      </c>
      <c r="P288" s="22">
        <v>91</v>
      </c>
      <c r="Q288" s="22">
        <v>92</v>
      </c>
      <c r="R288" s="22">
        <v>92</v>
      </c>
      <c r="S288" s="22">
        <v>90</v>
      </c>
      <c r="T288" s="22">
        <v>91</v>
      </c>
      <c r="U288" s="22">
        <v>92</v>
      </c>
      <c r="V288" s="22">
        <v>92</v>
      </c>
      <c r="W288" s="22">
        <v>90</v>
      </c>
      <c r="X288" s="22">
        <v>91</v>
      </c>
      <c r="Y288" s="22">
        <v>92</v>
      </c>
      <c r="Z288" s="22">
        <v>92</v>
      </c>
      <c r="AA288" s="22">
        <v>90</v>
      </c>
      <c r="AB288" s="22">
        <v>91</v>
      </c>
      <c r="AC288" s="22">
        <v>92</v>
      </c>
      <c r="AD288" s="22">
        <v>92</v>
      </c>
      <c r="AE288" s="22">
        <v>91</v>
      </c>
      <c r="AF288" s="22">
        <v>91</v>
      </c>
      <c r="AG288" s="22">
        <v>92</v>
      </c>
      <c r="AH288" s="22">
        <v>92</v>
      </c>
      <c r="AI288" s="22">
        <v>90</v>
      </c>
      <c r="AJ288" s="22">
        <v>91</v>
      </c>
      <c r="AK288" s="22">
        <v>92</v>
      </c>
      <c r="AL288" s="22">
        <v>92</v>
      </c>
      <c r="AM288" s="22">
        <v>90</v>
      </c>
      <c r="AN288" s="22">
        <v>91</v>
      </c>
      <c r="AO288" s="25">
        <f t="shared" si="72"/>
        <v>1</v>
      </c>
      <c r="AP288" s="25">
        <f t="shared" si="73"/>
        <v>0</v>
      </c>
    </row>
    <row customHeight="1" ht="15">
      <c r="A289" s="9" t="s">
        <v>304</v>
      </c>
      <c r="C289" s="26">
        <f t="shared" si="117" ref="C289:AN289">IF(C3&lt;0.05,"NM",(B120+C120)/2/C3*C288)</f>
        <v>62.636896920797</v>
      </c>
      <c r="D289" s="26">
        <f t="shared" si="117"/>
        <v>68.3085448314723</v>
      </c>
      <c r="E289" s="26">
        <f t="shared" si="117"/>
        <v>65.4403798043337</v>
      </c>
      <c r="F289" s="26">
        <f t="shared" si="117"/>
        <v>49.8569495856287</v>
      </c>
      <c r="G289" s="26">
        <f t="shared" si="117"/>
        <v>47.2949860635601</v>
      </c>
      <c r="H289" s="26">
        <f t="shared" si="117"/>
        <v>57.6720001026971</v>
      </c>
      <c r="I289" s="26">
        <f t="shared" si="117"/>
        <v>54.4128440806975</v>
      </c>
      <c r="J289" s="25">
        <f>IF(J3&lt;0.05,"NM",(AJ120+J120)/2/J3*J288)</f>
        <v>54.6789289792989</v>
      </c>
      <c r="O289" s="26">
        <f>IF(O3&lt;0.05,"NM",(C120+O120)/2/O3*O288)</f>
        <v>55.4873781587268</v>
      </c>
      <c r="P289" s="26">
        <f t="shared" si="117"/>
        <v>114.298485463761</v>
      </c>
      <c r="Q289" s="26">
        <f t="shared" si="117"/>
        <v>104.054577254245</v>
      </c>
      <c r="R289" s="26">
        <f t="shared" si="117"/>
        <v>76.9093788229742</v>
      </c>
      <c r="S289" s="26">
        <f>IF(S3&lt;0.05,"NM",(D120+S120)/2/S3*S288)</f>
        <v>71.317440053286</v>
      </c>
      <c r="T289" s="26">
        <f t="shared" si="117"/>
        <v>65.9881919516342</v>
      </c>
      <c r="U289" s="26">
        <f t="shared" si="117"/>
        <v>55.6501543132643</v>
      </c>
      <c r="V289" s="26">
        <f t="shared" si="117"/>
        <v>59.7821497093233</v>
      </c>
      <c r="W289" s="26">
        <f>IF(W3&lt;0.05,"NM",(E120+W120)/2/W3*W288)</f>
        <v>69.4637986434542</v>
      </c>
      <c r="X289" s="26">
        <f t="shared" si="117"/>
        <v>50.2380249662356</v>
      </c>
      <c r="Y289" s="26">
        <f t="shared" si="117"/>
        <v>45.618885484054</v>
      </c>
      <c r="Z289" s="26">
        <f t="shared" si="117"/>
        <v>49.6927857490057</v>
      </c>
      <c r="AA289" s="26">
        <f>IF(AA3&lt;0.05,"NM",(F120+AA120)/2/AA3*AA288)</f>
        <v>62.764603138526</v>
      </c>
      <c r="AB289" s="26">
        <f t="shared" si="117"/>
        <v>53.2488725263774</v>
      </c>
      <c r="AC289" s="26">
        <f t="shared" si="117"/>
        <v>45.4146421636717</v>
      </c>
      <c r="AD289" s="26">
        <f t="shared" si="117"/>
        <v>49.5255350006446</v>
      </c>
      <c r="AE289" s="26">
        <f>IF(AE3&lt;0.05,"NM",(G120+AE120)/2/AE3*AE288)</f>
        <v>62.5401648656192</v>
      </c>
      <c r="AF289" s="26">
        <f t="shared" si="117"/>
        <v>48.6719132750835</v>
      </c>
      <c r="AG289" s="26">
        <f t="shared" si="117"/>
        <v>43.3834291887194</v>
      </c>
      <c r="AH289" s="26">
        <f t="shared" si="117"/>
        <v>720.493187713906</v>
      </c>
      <c r="AI289" s="26">
        <f>IF(AI3&lt;0.05,"NM",(H120+AI120)/2/AI3*AI288)</f>
        <v>67.9032374407365</v>
      </c>
      <c r="AJ289" s="26">
        <f t="shared" si="117"/>
        <v>57.1437451756036</v>
      </c>
      <c r="AK289" s="26">
        <f t="shared" si="117"/>
        <v>43.2918031261248</v>
      </c>
      <c r="AL289" s="26">
        <f t="shared" si="117"/>
        <v>109.140906062625</v>
      </c>
      <c r="AM289" s="26">
        <f>IF(AM3&lt;0.05,"NM",(I120+AM120)/2/AM3*AM288)</f>
        <v>59.0891807944183</v>
      </c>
      <c r="AN289" s="26">
        <f t="shared" si="117"/>
        <v>54.1657878013494</v>
      </c>
      <c r="AO289" s="25">
        <f t="shared" si="72"/>
        <v>-4.92339299306889</v>
      </c>
      <c r="AP289" s="25">
        <f t="shared" si="73"/>
        <v>-2.9779573742542</v>
      </c>
    </row>
    <row customHeight="1" ht="15">
      <c r="A290" s="9" t="s">
        <v>305</v>
      </c>
      <c r="C290" s="26">
        <f t="shared" si="118" ref="C290:AN290">IF(C5&gt;-0.05,"NM",(B119+C119)/2/-C5*C288)</f>
        <v>54.2083412101735</v>
      </c>
      <c r="D290" s="26">
        <f t="shared" si="118"/>
        <v>58.9736021244505</v>
      </c>
      <c r="E290" s="26">
        <f t="shared" si="118"/>
        <v>33.3766912894025</v>
      </c>
      <c r="F290" s="26">
        <f t="shared" si="118"/>
        <v>24.98862081419</v>
      </c>
      <c r="G290" s="26">
        <f t="shared" si="118"/>
        <v>27.9739221931521</v>
      </c>
      <c r="H290" s="26">
        <f t="shared" si="118"/>
        <v>57.7272773207753</v>
      </c>
      <c r="I290" s="26">
        <f t="shared" si="118"/>
        <v>71.2953996163922</v>
      </c>
      <c r="J290" s="25">
        <f>IF((I5+('Quarterly YTD'!AF5)-('Quarterly YTD'!AB5))&gt;-0.05,"NM",(AJ119+J119)/2/-(I5+('Quarterly YTD'!AF5)-('Quarterly YTD'!AB5))*J288)</f>
        <v>55.1999190212929</v>
      </c>
      <c r="O290" s="26">
        <f>IF(O5&gt;-0.05,"NM",(C119+O119)/2/-O5*O288)</f>
        <v>33.1436428602271</v>
      </c>
      <c r="P290" s="26">
        <f t="shared" si="118"/>
        <v>56.110880861552</v>
      </c>
      <c r="Q290" s="26">
        <f t="shared" si="118"/>
        <v>49.5479605737639</v>
      </c>
      <c r="R290" s="26">
        <f t="shared" si="118"/>
        <v>39.0213072089037</v>
      </c>
      <c r="S290" s="26">
        <f>IF(S5&gt;-0.05,"NM",(D119+S119)/2/-S5*S288)</f>
        <v>39.4167771255444</v>
      </c>
      <c r="T290" s="26">
        <f t="shared" si="118"/>
        <v>38.1192856696163</v>
      </c>
      <c r="U290" s="26">
        <f t="shared" si="118"/>
        <v>34.9835835966255</v>
      </c>
      <c r="V290" s="26">
        <f t="shared" si="118"/>
        <v>33.324949422625</v>
      </c>
      <c r="W290" s="26">
        <f>IF(W5&gt;-0.05,"NM",(E119+W119)/2/-W5*W288)</f>
        <v>32.3464509979548</v>
      </c>
      <c r="X290" s="26">
        <f t="shared" si="118"/>
        <v>27.6658269131246</v>
      </c>
      <c r="Y290" s="26">
        <f t="shared" si="118"/>
        <v>31.3296202269312</v>
      </c>
      <c r="Z290" s="26">
        <f t="shared" si="118"/>
        <v>30.1366571812146</v>
      </c>
      <c r="AA290" s="26">
        <f>IF(AA5&gt;-0.05,"NM",(F119+AA119)/2/-AA5*AA288)</f>
        <v>29.8399417381453</v>
      </c>
      <c r="AB290" s="26">
        <f t="shared" si="118"/>
        <v>28.3563013836739</v>
      </c>
      <c r="AC290" s="26">
        <f t="shared" si="118"/>
        <v>28.8470176559714</v>
      </c>
      <c r="AD290" s="26">
        <f t="shared" si="118"/>
        <v>28.912908129672</v>
      </c>
      <c r="AE290" s="26">
        <f>IF(AE5&gt;-0.05,"NM",(G119+AE119)/2/-AE5*AE288)</f>
        <v>35.0245823878924</v>
      </c>
      <c r="AF290" s="26">
        <f t="shared" si="118"/>
        <v>35.1998340739563</v>
      </c>
      <c r="AG290" s="26">
        <f t="shared" si="118"/>
        <v>37.2618325372536</v>
      </c>
      <c r="AH290" s="26" t="str">
        <f t="shared" si="118"/>
        <v>NM</v>
      </c>
      <c r="AI290" s="26">
        <f>IF(AI5&gt;-0.05,"NM",(H119+AI119)/2/-AI5*AI288)</f>
        <v>73.098015092991</v>
      </c>
      <c r="AJ290" s="26">
        <f t="shared" si="118"/>
        <v>67.8754505296092</v>
      </c>
      <c r="AK290" s="26">
        <f t="shared" si="118"/>
        <v>52.4649918404956</v>
      </c>
      <c r="AL290" s="26">
        <f t="shared" si="118"/>
        <v>179.391050171048</v>
      </c>
      <c r="AM290" s="26">
        <f>IF(AM5&gt;-0.05,"NM",(I119+AM119)/2/-AM5*AM288)</f>
        <v>57.6918925182348</v>
      </c>
      <c r="AN290" s="26">
        <f t="shared" si="118"/>
        <v>47.7230520965009</v>
      </c>
      <c r="AO290" s="25">
        <f t="shared" si="72"/>
        <v>-9.9688404217339</v>
      </c>
      <c r="AP290" s="25">
        <f t="shared" si="73"/>
        <v>-20.1523984331083</v>
      </c>
    </row>
    <row customHeight="1" ht="15">
      <c r="A291" s="9" t="s">
        <v>306</v>
      </c>
      <c r="C291" s="26">
        <f t="shared" si="119" ref="C291:AN291">IF((C3-C185+C11)&lt;0.05,"NM",(B155+C155)/2/(C3-C185+C11)*C288)</f>
        <v>54.7026921788183</v>
      </c>
      <c r="D291" s="26">
        <f t="shared" si="119"/>
        <v>87.8115398198096</v>
      </c>
      <c r="E291" s="26">
        <f t="shared" si="119"/>
        <v>79.2258439980469</v>
      </c>
      <c r="F291" s="26">
        <f t="shared" si="119"/>
        <v>52.7809023852203</v>
      </c>
      <c r="G291" s="26">
        <f t="shared" si="119"/>
        <v>52.4669803086883</v>
      </c>
      <c r="H291" s="26">
        <f t="shared" si="119"/>
        <v>82.6319283734908</v>
      </c>
      <c r="I291" s="26">
        <f t="shared" si="119"/>
        <v>74.3537091620116</v>
      </c>
      <c r="J291" s="25">
        <f>IF((J3-J185+J11)&lt;0.05,"NM",(AJ155+J155)/2/(J3-J185+J11)*J288)</f>
        <v>71.2156859974619</v>
      </c>
      <c r="O291" s="26">
        <f>IF((O3-O185+O11)&lt;0.05,"NM",(C155+O155)/2/(O3-O185+O11)*O288)</f>
        <v>57.9268399403068</v>
      </c>
      <c r="P291" s="26">
        <f t="shared" si="119"/>
        <v>169.942024033559</v>
      </c>
      <c r="Q291" s="26">
        <f t="shared" si="119"/>
        <v>136.352527552903</v>
      </c>
      <c r="R291" s="26">
        <f t="shared" si="119"/>
        <v>109.28276004261</v>
      </c>
      <c r="S291" s="26">
        <f>IF((S3-S185+S11)&lt;0.05,"NM",(D155+S155)/2/(S3-S185+S11)*S288)</f>
        <v>107.514307041553</v>
      </c>
      <c r="T291" s="26">
        <f t="shared" si="119"/>
        <v>93.920338535797</v>
      </c>
      <c r="U291" s="26">
        <f t="shared" si="119"/>
        <v>74.743183014705</v>
      </c>
      <c r="V291" s="26">
        <f t="shared" si="119"/>
        <v>64.3461656914074</v>
      </c>
      <c r="W291" s="26">
        <f>IF((W3-W185+W11)&lt;0.05,"NM",(E155+W155)/2/(W3-W185+W11)*W288)</f>
        <v>72.5510834319831</v>
      </c>
      <c r="X291" s="26">
        <f t="shared" si="119"/>
        <v>59.2708721083153</v>
      </c>
      <c r="Y291" s="26">
        <f t="shared" si="119"/>
        <v>55.6507963440063</v>
      </c>
      <c r="Z291" s="26">
        <f t="shared" si="119"/>
        <v>53.8239598654581</v>
      </c>
      <c r="AA291" s="26">
        <f>IF((AA3-AA185+AA11)&lt;0.05,"NM",(F155+AA155)/2/(AA3-AA185+AA11)*AA288)</f>
        <v>61.4597131031472</v>
      </c>
      <c r="AB291" s="26">
        <f t="shared" si="119"/>
        <v>60.9478840488097</v>
      </c>
      <c r="AC291" s="26">
        <f t="shared" si="119"/>
        <v>57.5534363567208</v>
      </c>
      <c r="AD291" s="26">
        <f t="shared" si="119"/>
        <v>52.5727349740037</v>
      </c>
      <c r="AE291" s="26">
        <f>IF((AE3-AE185+AE11)&lt;0.05,"NM",(G155+AE155)/2/(AE3-AE185+AE11)*AE288)</f>
        <v>60.1833927501025</v>
      </c>
      <c r="AF291" s="26">
        <f t="shared" si="119"/>
        <v>60.1446304342366</v>
      </c>
      <c r="AG291" s="26">
        <f t="shared" si="119"/>
        <v>59.4071286318238</v>
      </c>
      <c r="AH291" s="26" t="str">
        <f t="shared" si="119"/>
        <v>NM</v>
      </c>
      <c r="AI291" s="26">
        <f>IF((AI3-AI185+AI11)&lt;0.05,"NM",(H155+AI155)/2/(AI3-AI185+AI11)*AI288)</f>
        <v>88.9035321813555</v>
      </c>
      <c r="AJ291" s="26">
        <f t="shared" si="119"/>
        <v>92.5946593413614</v>
      </c>
      <c r="AK291" s="26">
        <f t="shared" si="119"/>
        <v>69.3680869741373</v>
      </c>
      <c r="AL291" s="26">
        <f t="shared" si="119"/>
        <v>191.993105901692</v>
      </c>
      <c r="AM291" s="26">
        <f>IF((AM3-AM185+AM11)&lt;0.05,"NM",(I155+AM155)/2/(AM3-AM185+AM11)*AM288)</f>
        <v>60.4482005354179</v>
      </c>
      <c r="AN291" s="26">
        <f t="shared" si="119"/>
        <v>62.1031301333764</v>
      </c>
      <c r="AO291" s="25">
        <f t="shared" si="72"/>
        <v>1.65492959795851</v>
      </c>
      <c r="AP291" s="25">
        <f t="shared" si="73"/>
        <v>-30.491529207985</v>
      </c>
    </row>
    <row customHeight="1" ht="15">
      <c r="A292" s="9" t="s">
        <v>307</v>
      </c>
      <c r="B292" s="11">
        <f t="shared" si="120" ref="B292:AN292">B119+B120-B155</f>
        <v>51.254</v>
      </c>
      <c r="C292" s="11">
        <f t="shared" si="120"/>
        <v>116.928</v>
      </c>
      <c r="D292" s="11">
        <f t="shared" si="120"/>
        <v>-9.12799999999999</v>
      </c>
      <c r="E292" s="11">
        <f t="shared" si="120"/>
        <v>103.278</v>
      </c>
      <c r="F292" s="11">
        <f t="shared" si="120"/>
        <v>110.151</v>
      </c>
      <c r="G292" s="11">
        <f t="shared" si="120"/>
        <v>146.704</v>
      </c>
      <c r="H292" s="11">
        <f t="shared" si="120"/>
        <v>175.227</v>
      </c>
      <c r="I292" s="11">
        <f t="shared" si="120"/>
        <v>231.258</v>
      </c>
      <c r="J292" s="10">
        <f t="shared" si="120"/>
        <v>174.371</v>
      </c>
      <c r="N292" s="11">
        <f t="shared" si="120"/>
        <v>116.928</v>
      </c>
      <c r="O292" s="11">
        <f t="shared" si="120"/>
        <v>43.55</v>
      </c>
      <c r="P292" s="11">
        <f t="shared" si="120"/>
        <v>13.791</v>
      </c>
      <c r="Q292" s="11">
        <f t="shared" si="120"/>
        <v>12.87</v>
      </c>
      <c r="R292" s="11">
        <f t="shared" si="120"/>
        <v>-9.12799999999999</v>
      </c>
      <c r="S292" s="11">
        <f t="shared" si="120"/>
        <v>3.68299999999999</v>
      </c>
      <c r="T292" s="11">
        <f t="shared" si="120"/>
        <v>27.392</v>
      </c>
      <c r="U292" s="11">
        <f t="shared" si="120"/>
        <v>70.983</v>
      </c>
      <c r="V292" s="11">
        <f t="shared" si="120"/>
        <v>103.278</v>
      </c>
      <c r="W292" s="11">
        <f t="shared" si="120"/>
        <v>66.461</v>
      </c>
      <c r="X292" s="11">
        <f t="shared" si="120"/>
        <v>112.094</v>
      </c>
      <c r="Y292" s="11">
        <f t="shared" si="120"/>
        <v>141.861</v>
      </c>
      <c r="Z292" s="11">
        <f t="shared" si="120"/>
        <v>110.151</v>
      </c>
      <c r="AA292" s="11">
        <f t="shared" si="120"/>
        <v>113.145</v>
      </c>
      <c r="AB292" s="11">
        <f t="shared" si="120"/>
        <v>141.066</v>
      </c>
      <c r="AC292" s="11">
        <f t="shared" si="120"/>
        <v>142.941</v>
      </c>
      <c r="AD292" s="11">
        <f t="shared" si="120"/>
        <v>146.704</v>
      </c>
      <c r="AE292" s="11">
        <f t="shared" si="120"/>
        <v>159.304</v>
      </c>
      <c r="AF292" s="11">
        <f t="shared" si="120"/>
        <v>185.61</v>
      </c>
      <c r="AG292" s="11">
        <f t="shared" si="120"/>
        <v>179.247</v>
      </c>
      <c r="AH292" s="11">
        <f t="shared" si="120"/>
        <v>175.227</v>
      </c>
      <c r="AI292" s="11">
        <f t="shared" si="120"/>
        <v>158.661</v>
      </c>
      <c r="AJ292" s="11">
        <f t="shared" si="120"/>
        <v>150.527</v>
      </c>
      <c r="AK292" s="11">
        <f t="shared" si="120"/>
        <v>166.472</v>
      </c>
      <c r="AL292" s="11">
        <f t="shared" si="120"/>
        <v>231.258</v>
      </c>
      <c r="AM292" s="11">
        <f t="shared" si="120"/>
        <v>210.376</v>
      </c>
      <c r="AN292" s="11">
        <f t="shared" si="120"/>
        <v>174.371</v>
      </c>
      <c r="AO292" s="12">
        <f t="shared" si="0"/>
        <v>-0.17114594820702</v>
      </c>
      <c r="AP292" s="12">
        <f t="shared" si="1"/>
        <v>0.158403475788397</v>
      </c>
    </row>
    <row customHeight="1" ht="15">
      <c r="A293" s="9" t="s">
        <v>308</v>
      </c>
      <c r="B293" s="11">
        <f t="shared" si="121" ref="B293:AN293">SUM(B49:B50)+B53</f>
        <v>-1.954</v>
      </c>
      <c r="C293" s="11">
        <f t="shared" si="121"/>
        <v>-14.834</v>
      </c>
      <c r="D293" s="11">
        <f t="shared" si="121"/>
        <v>48.988</v>
      </c>
      <c r="E293" s="11">
        <f t="shared" si="121"/>
        <v>-60.524</v>
      </c>
      <c r="F293" s="11">
        <f t="shared" si="121"/>
        <v>-22.413</v>
      </c>
      <c r="G293" s="11">
        <f t="shared" si="121"/>
        <v>10.797</v>
      </c>
      <c r="H293" s="11">
        <f t="shared" si="121"/>
        <v>-0.302999999999997</v>
      </c>
      <c r="I293" s="11">
        <f t="shared" si="121"/>
        <v>14.494</v>
      </c>
      <c r="J293" s="10">
        <f t="shared" si="121"/>
        <v>-27.429</v>
      </c>
      <c r="K293" s="11">
        <f t="shared" si="121"/>
        <v>1.662</v>
      </c>
      <c r="L293" s="11">
        <f t="shared" si="121"/>
        <v>-1.979</v>
      </c>
      <c r="M293" s="11">
        <f t="shared" si="121"/>
        <v>-10.799</v>
      </c>
      <c r="N293" s="11">
        <f t="shared" si="121"/>
        <v>-3.718</v>
      </c>
      <c r="O293" s="11">
        <f t="shared" si="121"/>
        <v>25.787</v>
      </c>
      <c r="P293" s="11">
        <f t="shared" si="121"/>
        <v>30.717</v>
      </c>
      <c r="Q293" s="11">
        <f t="shared" si="121"/>
        <v>-39.672</v>
      </c>
      <c r="R293" s="11">
        <f t="shared" si="121"/>
        <v>32.156</v>
      </c>
      <c r="S293" s="11">
        <f t="shared" si="121"/>
        <v>-12.444</v>
      </c>
      <c r="T293" s="11">
        <f t="shared" si="121"/>
        <v>-13.831</v>
      </c>
      <c r="U293" s="11">
        <f t="shared" si="121"/>
        <v>-23.198</v>
      </c>
      <c r="V293" s="11">
        <f t="shared" si="121"/>
        <v>-11.051</v>
      </c>
      <c r="W293" s="11">
        <f t="shared" si="121"/>
        <v>24.521</v>
      </c>
      <c r="X293" s="11">
        <f t="shared" si="121"/>
        <v>-34.765</v>
      </c>
      <c r="Y293" s="11">
        <f t="shared" si="121"/>
        <v>-21.996</v>
      </c>
      <c r="Z293" s="11">
        <f t="shared" si="121"/>
        <v>9.827</v>
      </c>
      <c r="AA293" s="11">
        <f t="shared" si="121"/>
        <v>20.382</v>
      </c>
      <c r="AB293" s="11">
        <f t="shared" si="121"/>
        <v>2.343</v>
      </c>
      <c r="AC293" s="11">
        <f t="shared" si="121"/>
        <v>-49.334</v>
      </c>
      <c r="AD293" s="11">
        <f t="shared" si="121"/>
        <v>37.406</v>
      </c>
      <c r="AE293" s="11">
        <f t="shared" si="121"/>
        <v>68.728</v>
      </c>
      <c r="AF293" s="11">
        <f t="shared" si="121"/>
        <v>-19.534</v>
      </c>
      <c r="AG293" s="11">
        <f t="shared" si="121"/>
        <v>-32.641</v>
      </c>
      <c r="AH293" s="11">
        <f t="shared" si="121"/>
        <v>-16.856</v>
      </c>
      <c r="AI293" s="11">
        <f t="shared" si="121"/>
        <v>54.663</v>
      </c>
      <c r="AJ293" s="11">
        <f t="shared" si="121"/>
        <v>36.841</v>
      </c>
      <c r="AK293" s="11">
        <f t="shared" si="121"/>
        <v>-30.446</v>
      </c>
      <c r="AL293" s="11">
        <f t="shared" si="121"/>
        <v>-46.564</v>
      </c>
      <c r="AM293" s="11">
        <f t="shared" si="121"/>
        <v>18.568</v>
      </c>
      <c r="AN293" s="11">
        <f t="shared" si="121"/>
        <v>31.013</v>
      </c>
      <c r="AO293" s="12">
        <f t="shared" si="0"/>
        <v>0.670239121068505</v>
      </c>
      <c r="AP293" s="12">
        <f t="shared" si="1"/>
        <v>-0.158193317228088</v>
      </c>
    </row>
    <row customHeight="1" ht="15">
      <c r="A294" s="9" t="s">
        <v>309</v>
      </c>
      <c r="B294" s="11">
        <f t="shared" si="122" ref="B294:AN294">B56+B57</f>
        <v>-1.455</v>
      </c>
      <c r="C294" s="11">
        <f t="shared" si="122"/>
        <v>-7.716</v>
      </c>
      <c r="D294" s="11">
        <f t="shared" si="122"/>
        <v>-28.632</v>
      </c>
      <c r="E294" s="11">
        <f t="shared" si="122"/>
        <v>-25.856</v>
      </c>
      <c r="F294" s="11">
        <f t="shared" si="122"/>
        <v>-41.851</v>
      </c>
      <c r="G294" s="11">
        <f t="shared" si="122"/>
        <v>-74.561</v>
      </c>
      <c r="H294" s="11">
        <f t="shared" si="122"/>
        <v>-124.063</v>
      </c>
      <c r="I294" s="11">
        <f t="shared" si="122"/>
        <v>-108.454</v>
      </c>
      <c r="J294" s="10">
        <f t="shared" si="122"/>
        <v>-87.859</v>
      </c>
      <c r="K294" s="11">
        <f t="shared" si="122"/>
        <v>-0.726</v>
      </c>
      <c r="L294" s="11">
        <f t="shared" si="122"/>
        <v>-0.387</v>
      </c>
      <c r="M294" s="11">
        <f t="shared" si="122"/>
        <v>-0.704</v>
      </c>
      <c r="N294" s="11">
        <f t="shared" si="122"/>
        <v>-5.899</v>
      </c>
      <c r="O294" s="11">
        <f t="shared" si="122"/>
        <v>-4.566</v>
      </c>
      <c r="P294" s="11">
        <f t="shared" si="122"/>
        <v>-14.502</v>
      </c>
      <c r="Q294" s="11">
        <f t="shared" si="122"/>
        <v>3.786</v>
      </c>
      <c r="R294" s="11">
        <f t="shared" si="122"/>
        <v>-13.35</v>
      </c>
      <c r="S294" s="11">
        <f t="shared" si="122"/>
        <v>-2.067</v>
      </c>
      <c r="T294" s="11">
        <f t="shared" si="122"/>
        <v>-10.511</v>
      </c>
      <c r="U294" s="11">
        <f t="shared" si="122"/>
        <v>-3.051</v>
      </c>
      <c r="V294" s="11">
        <f t="shared" si="122"/>
        <v>-10.227</v>
      </c>
      <c r="W294" s="11">
        <f t="shared" si="122"/>
        <v>-3.18</v>
      </c>
      <c r="X294" s="11">
        <f t="shared" si="122"/>
        <v>-14.396</v>
      </c>
      <c r="Y294" s="11">
        <f t="shared" si="122"/>
        <v>-7.296</v>
      </c>
      <c r="Z294" s="11">
        <f t="shared" si="122"/>
        <v>-16.979</v>
      </c>
      <c r="AA294" s="11">
        <f t="shared" si="122"/>
        <v>-9.592</v>
      </c>
      <c r="AB294" s="11">
        <f t="shared" si="122"/>
        <v>-22.168</v>
      </c>
      <c r="AC294" s="11">
        <f t="shared" si="122"/>
        <v>-16.197</v>
      </c>
      <c r="AD294" s="11">
        <f t="shared" si="122"/>
        <v>-26.604</v>
      </c>
      <c r="AE294" s="11">
        <f t="shared" si="122"/>
        <v>-23.686</v>
      </c>
      <c r="AF294" s="11">
        <f t="shared" si="122"/>
        <v>-31.004</v>
      </c>
      <c r="AG294" s="11">
        <f t="shared" si="122"/>
        <v>-28.064</v>
      </c>
      <c r="AH294" s="11">
        <f t="shared" si="122"/>
        <v>-41.309</v>
      </c>
      <c r="AI294" s="11">
        <f t="shared" si="122"/>
        <v>-24.404</v>
      </c>
      <c r="AJ294" s="11">
        <f t="shared" si="122"/>
        <v>-36.828</v>
      </c>
      <c r="AK294" s="11">
        <f t="shared" si="122"/>
        <v>-20.112</v>
      </c>
      <c r="AL294" s="11">
        <f t="shared" si="122"/>
        <v>-27.11</v>
      </c>
      <c r="AM294" s="11">
        <f t="shared" si="122"/>
        <v>-12.835</v>
      </c>
      <c r="AN294" s="11">
        <f t="shared" si="122"/>
        <v>-27.802</v>
      </c>
      <c r="AO294" s="12">
        <f t="shared" si="2"/>
        <v>1.16610829762369</v>
      </c>
      <c r="AP294" s="12">
        <f t="shared" si="3"/>
        <v>-0.245085261214294</v>
      </c>
    </row>
    <row customHeight="1" ht="15">
      <c r="A295" s="9" t="s">
        <v>310</v>
      </c>
      <c r="C295" s="27">
        <f t="shared" si="123" ref="C295:AN295">IF((B177+C177)=0,"NM",-C294/((B177+C177)/2))</f>
        <v>0.0272927443958085</v>
      </c>
      <c r="D295" s="27">
        <f t="shared" si="123"/>
        <v>0.0621819046574533</v>
      </c>
      <c r="E295" s="27">
        <f t="shared" si="123"/>
        <v>0.0583490267451845</v>
      </c>
      <c r="F295" s="27">
        <f t="shared" si="123"/>
        <v>0.0698960019106121</v>
      </c>
      <c r="G295" s="27">
        <f t="shared" si="123"/>
        <v>0.0769187917226752</v>
      </c>
      <c r="H295" s="27">
        <f t="shared" si="123"/>
        <v>0.0849673829295437</v>
      </c>
      <c r="I295" s="27">
        <f t="shared" si="123"/>
        <v>0.0792124187637037</v>
      </c>
      <c r="J295" s="28">
        <f>IF((AJ177+J177)=0,"NM",-J294/((AJ177+J177)/2))</f>
        <v>0.0767704322995217</v>
      </c>
      <c r="O295" s="27">
        <f>IF((C177+O177)=0,"NM",-O294/((C177+O177)/2))</f>
        <v>0.0086002710422696</v>
      </c>
      <c r="P295" s="27">
        <f t="shared" si="123"/>
        <v>0.0279788817515065</v>
      </c>
      <c r="Q295" s="27">
        <f t="shared" si="123"/>
        <v>-0.00800146249657888</v>
      </c>
      <c r="R295" s="27">
        <f t="shared" si="123"/>
        <v>0.0309109348300246</v>
      </c>
      <c r="S295" s="27">
        <f>IF((D177+S177)=0,"NM",-S294/((D177+S177)/2))</f>
        <v>0.00508269523008602</v>
      </c>
      <c r="T295" s="27">
        <f t="shared" si="123"/>
        <v>0.0250802024836821</v>
      </c>
      <c r="U295" s="27">
        <f t="shared" si="123"/>
        <v>0.00683632371146725</v>
      </c>
      <c r="V295" s="27">
        <f t="shared" si="123"/>
        <v>0.0217404474999123</v>
      </c>
      <c r="W295" s="27">
        <f>IF((E177+W177)=0,"NM",-W294/((E177+W177)/2))</f>
        <v>0.00630152187698161</v>
      </c>
      <c r="X295" s="27">
        <f t="shared" si="123"/>
        <v>0.0246348030764413</v>
      </c>
      <c r="Y295" s="27">
        <f t="shared" si="123"/>
        <v>0.0101456066992153</v>
      </c>
      <c r="Z295" s="27">
        <f t="shared" si="123"/>
        <v>0.022385427783956</v>
      </c>
      <c r="AA295" s="27">
        <f>IF((F177+AA177)=0,"NM",-AA294/((F177+AA177)/2))</f>
        <v>0.0120901213171577</v>
      </c>
      <c r="AB295" s="27">
        <f t="shared" si="123"/>
        <v>0.0239162800733628</v>
      </c>
      <c r="AC295" s="27">
        <f t="shared" si="123"/>
        <v>0.0152077795627799</v>
      </c>
      <c r="AD295" s="27">
        <f t="shared" si="123"/>
        <v>0.0224882841821243</v>
      </c>
      <c r="AE295" s="27">
        <f>IF((G177+AE177)=0,"NM",-AE294/((G177+AE177)/2))</f>
        <v>0.0177373529812622</v>
      </c>
      <c r="AF295" s="27">
        <f t="shared" si="123"/>
        <v>0.0200815139508034</v>
      </c>
      <c r="AG295" s="27">
        <f t="shared" si="123"/>
        <v>0.0174557378803009</v>
      </c>
      <c r="AH295" s="27">
        <f t="shared" si="123"/>
        <v>0.0252118739754186</v>
      </c>
      <c r="AI295" s="27">
        <f>IF((H177+AI177)=0,"NM",-AI294/((H177+AI177)/2))</f>
        <v>0.0149102127686873</v>
      </c>
      <c r="AJ295" s="27">
        <f t="shared" si="123"/>
        <v>0.0251425825012323</v>
      </c>
      <c r="AK295" s="27">
        <f t="shared" si="123"/>
        <v>0.015149175540469</v>
      </c>
      <c r="AL295" s="27">
        <f t="shared" si="123"/>
        <v>0.0231846825447391</v>
      </c>
      <c r="AM295" s="27">
        <f>IF((I177+AM177)=0,"NM",-AM294/((I177+AM177)/2))</f>
        <v>0.0121542064349587</v>
      </c>
      <c r="AN295" s="27">
        <f t="shared" si="123"/>
        <v>0.0277116185560793</v>
      </c>
      <c r="AO295" s="23">
        <f t="shared" si="96"/>
        <v>155.574121211206</v>
      </c>
      <c r="AP295" s="23">
        <f t="shared" si="97"/>
        <v>25.69036054847</v>
      </c>
    </row>
    <row customHeight="1" ht="15">
      <c r="A296" s="9" t="s">
        <v>311</v>
      </c>
      <c r="B296" s="15">
        <f t="shared" si="125" ref="B296:J296">IF(OR(B185&lt;=0,B294=0),"NM",-B185/B294)</f>
        <v>17.3979381443299</v>
      </c>
      <c r="C296" s="15">
        <f t="shared" si="124" ref="C296:I296">IF(OR(C186&lt;=0,C294=0),"NM",-C186/C294)</f>
        <v>27.7993779160187</v>
      </c>
      <c r="D296" s="15">
        <f t="shared" si="124"/>
        <v>3.81391450125733</v>
      </c>
      <c r="E296" s="15">
        <f t="shared" si="124"/>
        <v>5.99261293316832</v>
      </c>
      <c r="F296" s="15">
        <f t="shared" si="124"/>
        <v>6.43702659434661</v>
      </c>
      <c r="G296" s="15">
        <f t="shared" si="124"/>
        <v>5.57770147932565</v>
      </c>
      <c r="H296" s="15">
        <f t="shared" si="124"/>
        <v>2.57673117690206</v>
      </c>
      <c r="I296" s="15">
        <f t="shared" si="124"/>
        <v>3.00731185571763</v>
      </c>
      <c r="J296" s="16">
        <f t="shared" si="125"/>
        <v>4.15601133634574</v>
      </c>
      <c r="N296" s="15">
        <f t="shared" si="70"/>
        <v>27.7993779160187</v>
      </c>
      <c r="O296" s="15">
        <f>'Rolling LTM'!G296</f>
        <v>7.90619591554172</v>
      </c>
      <c r="P296" s="15">
        <f>'Rolling LTM'!H296</f>
        <v>7.85711503252698</v>
      </c>
      <c r="Q296" s="15">
        <f>'Rolling LTM'!I296</f>
        <v>5.9062367215901</v>
      </c>
      <c r="R296" s="15">
        <f t="shared" si="71"/>
        <v>3.81391450125733</v>
      </c>
      <c r="S296" s="15">
        <f>'Rolling LTM'!K296</f>
        <v>3.7117820380362</v>
      </c>
      <c r="T296" s="15">
        <f>'Rolling LTM'!L296</f>
        <v>3.75756480896035</v>
      </c>
      <c r="U296" s="15">
        <f>'Rolling LTM'!M296</f>
        <v>4.10642189171469</v>
      </c>
      <c r="V296" s="15">
        <f t="shared" si="62"/>
        <v>5.99261293316832</v>
      </c>
      <c r="W296" s="15">
        <f>'Rolling LTM'!O296</f>
        <v>6.93214431384182</v>
      </c>
      <c r="X296" s="15">
        <f>'Rolling LTM'!P296</f>
        <v>7.24998379464575</v>
      </c>
      <c r="Y296" s="15">
        <f>'Rolling LTM'!Q296</f>
        <v>8.47009886321548</v>
      </c>
      <c r="Z296" s="15">
        <f t="shared" si="63"/>
        <v>6.43702659434661</v>
      </c>
      <c r="AA296" s="15">
        <f>'Rolling LTM'!S296</f>
        <v>5.81356318504859</v>
      </c>
      <c r="AB296" s="15">
        <f>'Rolling LTM'!T296</f>
        <v>5.70079414651557</v>
      </c>
      <c r="AC296" s="15">
        <f>'Rolling LTM'!U296</f>
        <v>5.75632930885795</v>
      </c>
      <c r="AD296" s="15">
        <f t="shared" si="64"/>
        <v>5.57770147932565</v>
      </c>
      <c r="AE296" s="15">
        <f>'Rolling LTM'!W296</f>
        <v>4.42017934690655</v>
      </c>
      <c r="AF296" s="15">
        <f>'Rolling LTM'!X296</f>
        <v>4.61067175431578</v>
      </c>
      <c r="AG296" s="15">
        <f>'Rolling LTM'!Y296</f>
        <v>4.52007169114285</v>
      </c>
      <c r="AH296" s="15">
        <f t="shared" si="65"/>
        <v>2.57673117690206</v>
      </c>
      <c r="AI296" s="15">
        <f>'Rolling LTM'!AA296</f>
        <v>4.37587453218038</v>
      </c>
      <c r="AJ296" s="15">
        <f>'Rolling LTM'!AB296</f>
        <v>4.0975843191302</v>
      </c>
      <c r="AK296" s="15">
        <f>'Rolling LTM'!AC296</f>
        <v>3.58747849624551</v>
      </c>
      <c r="AL296" s="15">
        <f t="shared" si="66"/>
        <v>3.00731185571763</v>
      </c>
      <c r="AM296" s="15">
        <f>'Rolling LTM'!AE296</f>
        <v>4.56401919801827</v>
      </c>
      <c r="AN296" s="15">
        <f>'Rolling LTM'!AF296</f>
        <v>4.15601133634574</v>
      </c>
      <c r="AO296" s="16">
        <f t="shared" si="72"/>
        <v>-0.40800786167253</v>
      </c>
      <c r="AP296" s="16">
        <f t="shared" si="73"/>
        <v>0.0584270172155401</v>
      </c>
    </row>
    <row customHeight="1" ht="15">
      <c r="A297" s="9" t="s">
        <v>312</v>
      </c>
      <c r="E297" s="15">
        <f t="shared" si="126" ref="E297:I297">IF(OR(E187&lt;=0,E294=0),"NM",-E187/E294)</f>
        <v>5.99798886138614</v>
      </c>
      <c r="F297" s="15">
        <f t="shared" si="126"/>
        <v>6.88573749731189</v>
      </c>
      <c r="G297" s="15">
        <f t="shared" si="126"/>
        <v>5.25892893067421</v>
      </c>
      <c r="H297" s="15">
        <f t="shared" si="126"/>
        <v>2.60251646340972</v>
      </c>
      <c r="I297" s="15">
        <f t="shared" si="126"/>
        <v>3.32635956257953</v>
      </c>
      <c r="J297" s="14"/>
      <c r="V297" s="15">
        <f t="shared" si="62"/>
        <v>5.99798886138614</v>
      </c>
      <c r="Z297" s="15">
        <f t="shared" si="63"/>
        <v>6.88573749731189</v>
      </c>
      <c r="AD297" s="15">
        <f t="shared" si="64"/>
        <v>5.25892893067421</v>
      </c>
      <c r="AH297" s="15">
        <f t="shared" si="65"/>
        <v>2.60251646340972</v>
      </c>
      <c r="AL297" s="15">
        <f t="shared" si="66"/>
        <v>3.32635956257953</v>
      </c>
      <c r="AO297" s="14"/>
      <c r="AP297" s="14"/>
    </row>
    <row customHeight="1" ht="15">
      <c r="A298" s="9" t="s">
        <v>313</v>
      </c>
      <c r="B298" s="11">
        <f t="shared" si="127" ref="B298:AN298">B58</f>
        <v>-0.931</v>
      </c>
      <c r="C298" s="11">
        <f t="shared" si="127"/>
        <v>-3.536</v>
      </c>
      <c r="D298" s="11">
        <f t="shared" si="127"/>
        <v>-6.885</v>
      </c>
      <c r="E298" s="11">
        <f t="shared" si="127"/>
        <v>-16.208</v>
      </c>
      <c r="F298" s="11">
        <f t="shared" si="127"/>
        <v>-20.421</v>
      </c>
      <c r="G298" s="11">
        <f t="shared" si="127"/>
        <v>-24.529</v>
      </c>
      <c r="H298" s="11">
        <f t="shared" si="127"/>
        <v>-14.017</v>
      </c>
      <c r="I298" s="11">
        <f t="shared" si="127"/>
        <v>-17.702</v>
      </c>
      <c r="J298" s="10">
        <f t="shared" si="127"/>
        <v>-13.607</v>
      </c>
      <c r="K298" s="11">
        <f t="shared" si="127"/>
        <v>-0.067</v>
      </c>
      <c r="L298" s="11">
        <f t="shared" si="127"/>
        <v>-1.61</v>
      </c>
      <c r="M298" s="11">
        <f t="shared" si="127"/>
        <v>0.11</v>
      </c>
      <c r="N298" s="11">
        <f t="shared" si="127"/>
        <v>-1.969</v>
      </c>
      <c r="O298" s="11">
        <f t="shared" si="127"/>
        <v>-0.16</v>
      </c>
      <c r="P298" s="11">
        <f t="shared" si="127"/>
        <v>-0.814</v>
      </c>
      <c r="Q298" s="11">
        <f t="shared" si="127"/>
        <v>-0.354</v>
      </c>
      <c r="R298" s="11">
        <f t="shared" si="127"/>
        <v>-5.557</v>
      </c>
      <c r="S298" s="11">
        <f t="shared" si="127"/>
        <v>-4.986</v>
      </c>
      <c r="T298" s="11">
        <f t="shared" si="127"/>
        <v>-1.939</v>
      </c>
      <c r="U298" s="11">
        <f t="shared" si="127"/>
        <v>-10.076</v>
      </c>
      <c r="V298" s="11">
        <f t="shared" si="127"/>
        <v>0.793000000000003</v>
      </c>
      <c r="W298" s="11">
        <f t="shared" si="127"/>
        <v>-3.411</v>
      </c>
      <c r="X298" s="11">
        <f t="shared" si="127"/>
        <v>-6.827</v>
      </c>
      <c r="Y298" s="11">
        <f t="shared" si="127"/>
        <v>-4.432</v>
      </c>
      <c r="Z298" s="11">
        <f t="shared" si="127"/>
        <v>-5.751</v>
      </c>
      <c r="AA298" s="11">
        <f t="shared" si="127"/>
        <v>-11.307</v>
      </c>
      <c r="AB298" s="11">
        <f t="shared" si="127"/>
        <v>3.794</v>
      </c>
      <c r="AC298" s="11">
        <f t="shared" si="127"/>
        <v>-12.193</v>
      </c>
      <c r="AD298" s="11">
        <f t="shared" si="127"/>
        <v>-4.823</v>
      </c>
      <c r="AE298" s="11">
        <f t="shared" si="127"/>
        <v>-2.367</v>
      </c>
      <c r="AF298" s="11">
        <f t="shared" si="127"/>
        <v>-2.469</v>
      </c>
      <c r="AG298" s="11">
        <f t="shared" si="127"/>
        <v>-4.594</v>
      </c>
      <c r="AH298" s="11">
        <f t="shared" si="127"/>
        <v>-4.587</v>
      </c>
      <c r="AI298" s="11">
        <f t="shared" si="127"/>
        <v>-1.631</v>
      </c>
      <c r="AJ298" s="11">
        <f t="shared" si="127"/>
        <v>-7.657</v>
      </c>
      <c r="AK298" s="11">
        <f t="shared" si="127"/>
        <v>-4.444</v>
      </c>
      <c r="AL298" s="11">
        <f t="shared" si="127"/>
        <v>-3.97</v>
      </c>
      <c r="AM298" s="11">
        <f t="shared" si="127"/>
        <v>-1.405</v>
      </c>
      <c r="AN298" s="11">
        <f t="shared" si="127"/>
        <v>-3.788</v>
      </c>
      <c r="AO298" s="12">
        <f t="shared" si="2"/>
        <v>1.69608540925267</v>
      </c>
      <c r="AP298" s="12">
        <f t="shared" si="3"/>
        <v>-0.505289277785033</v>
      </c>
    </row>
    <row customHeight="1" ht="15">
      <c r="A299" s="9" t="s">
        <v>314</v>
      </c>
      <c r="B299" s="11">
        <f t="shared" si="128" ref="B299:J299">B294+B298+B276-(0.1*B177)</f>
        <v>-32.7178</v>
      </c>
      <c r="C299" s="11">
        <f t="shared" si="128"/>
        <v>-102.3587</v>
      </c>
      <c r="D299" s="11">
        <f t="shared" si="128"/>
        <v>-169.3074</v>
      </c>
      <c r="E299" s="11">
        <f t="shared" si="128"/>
        <v>-160.2839</v>
      </c>
      <c r="F299" s="11">
        <f t="shared" si="128"/>
        <v>-293.1273</v>
      </c>
      <c r="G299" s="11">
        <f t="shared" si="128"/>
        <v>-434.9581</v>
      </c>
      <c r="H299" s="11">
        <f t="shared" si="128"/>
        <v>-548.3659</v>
      </c>
      <c r="I299" s="11">
        <f t="shared" si="128"/>
        <v>-399.1609</v>
      </c>
      <c r="J299" s="10">
        <f t="shared" si="128"/>
        <v>-357.3526</v>
      </c>
      <c r="N299" s="11">
        <f t="shared" si="70"/>
        <v>-102.3587</v>
      </c>
      <c r="O299" s="11">
        <f>'Rolling LTM'!G299</f>
        <v>-124.622</v>
      </c>
      <c r="P299" s="11">
        <f>'Rolling LTM'!H299</f>
        <v>-149.8439</v>
      </c>
      <c r="Q299" s="11">
        <f>'Rolling LTM'!I299</f>
        <v>-175.1238</v>
      </c>
      <c r="R299" s="11">
        <f t="shared" si="71"/>
        <v>-169.3074</v>
      </c>
      <c r="S299" s="11">
        <f>'Rolling LTM'!K299</f>
        <v>-179.3594</v>
      </c>
      <c r="T299" s="11">
        <f>'Rolling LTM'!L299</f>
        <v>-160.1187</v>
      </c>
      <c r="U299" s="11">
        <f>'Rolling LTM'!M299</f>
        <v>-171.1248</v>
      </c>
      <c r="V299" s="11">
        <f t="shared" si="62"/>
        <v>-160.2839</v>
      </c>
      <c r="W299" s="11">
        <f>'Rolling LTM'!O299</f>
        <v>-160.2131</v>
      </c>
      <c r="X299" s="11">
        <f>'Rolling LTM'!P299</f>
        <v>-185.9452</v>
      </c>
      <c r="Y299" s="11">
        <f>'Rolling LTM'!Q299</f>
        <v>-210.0066</v>
      </c>
      <c r="Z299" s="11">
        <f t="shared" si="63"/>
        <v>-293.1273</v>
      </c>
      <c r="AA299" s="11">
        <f>'Rolling LTM'!S299</f>
        <v>-337.4567</v>
      </c>
      <c r="AB299" s="11">
        <f>'Rolling LTM'!T299</f>
        <v>-386.3273</v>
      </c>
      <c r="AC299" s="11">
        <f>'Rolling LTM'!U299</f>
        <v>-432.6581</v>
      </c>
      <c r="AD299" s="11">
        <f t="shared" si="64"/>
        <v>-434.9581</v>
      </c>
      <c r="AE299" s="11">
        <f>'Rolling LTM'!W299</f>
        <v>-471.3447</v>
      </c>
      <c r="AF299" s="11">
        <f>'Rolling LTM'!X299</f>
        <v>-489.4388</v>
      </c>
      <c r="AG299" s="11">
        <f>'Rolling LTM'!Y299</f>
        <v>-528.6829</v>
      </c>
      <c r="AH299" s="11">
        <f t="shared" si="65"/>
        <v>-548.3659</v>
      </c>
      <c r="AI299" s="11">
        <f>'Rolling LTM'!AA299</f>
        <v>-539.6612</v>
      </c>
      <c r="AJ299" s="11">
        <f>'Rolling LTM'!AB299</f>
        <v>-516.97</v>
      </c>
      <c r="AK299" s="11">
        <f>'Rolling LTM'!AC299</f>
        <v>-464.7434</v>
      </c>
      <c r="AL299" s="11">
        <f t="shared" si="66"/>
        <v>-399.1609</v>
      </c>
      <c r="AM299" s="11">
        <f>'Rolling LTM'!AE299</f>
        <v>-355.5487</v>
      </c>
      <c r="AN299" s="11">
        <f>'Rolling LTM'!AF299</f>
        <v>-357.3526</v>
      </c>
      <c r="AO299" s="12">
        <f t="shared" si="2"/>
        <v>0.00507356657470548</v>
      </c>
      <c r="AP299" s="12">
        <f t="shared" si="3"/>
        <v>-0.308755633789195</v>
      </c>
    </row>
    <row customHeight="1" ht="15">
      <c r="A300" s="9" t="s">
        <v>315</v>
      </c>
      <c r="B300" s="15">
        <f t="shared" si="130" ref="B300:J300">IF(OR(B185&lt;=0,B299=0),"NM",-B185/B299)</f>
        <v>0.773707278606752</v>
      </c>
      <c r="C300" s="15">
        <f t="shared" si="129" ref="C300:I300">IF(OR(C186&lt;=0,C299=0),"NM",-C186/C299)</f>
        <v>2.09557174915273</v>
      </c>
      <c r="D300" s="15">
        <f t="shared" si="129"/>
        <v>0.6449806682992</v>
      </c>
      <c r="E300" s="15">
        <f t="shared" si="129"/>
        <v>0.96669097769645</v>
      </c>
      <c r="F300" s="15">
        <f t="shared" si="129"/>
        <v>0.919040976394897</v>
      </c>
      <c r="G300" s="15">
        <f t="shared" si="129"/>
        <v>0.95613577491717</v>
      </c>
      <c r="H300" s="15">
        <f t="shared" si="129"/>
        <v>0.582962944997127</v>
      </c>
      <c r="I300" s="15">
        <f t="shared" si="129"/>
        <v>0.817101574828597</v>
      </c>
      <c r="J300" s="16">
        <f t="shared" si="130"/>
        <v>1.02180031710977</v>
      </c>
      <c r="N300" s="15">
        <f t="shared" si="70"/>
        <v>2.09557174915273</v>
      </c>
      <c r="O300" s="15">
        <f>'Rolling LTM'!G300</f>
        <v>0.733128982041695</v>
      </c>
      <c r="P300" s="15">
        <f>'Rolling LTM'!H300</f>
        <v>1.34606747421817</v>
      </c>
      <c r="Q300" s="15">
        <f>'Rolling LTM'!I300</f>
        <v>0.714351789990852</v>
      </c>
      <c r="R300" s="15">
        <f t="shared" si="71"/>
        <v>0.6449806682992</v>
      </c>
      <c r="S300" s="15">
        <f>'Rolling LTM'!K300</f>
        <v>0.540813584345175</v>
      </c>
      <c r="T300" s="15">
        <f>'Rolling LTM'!L300</f>
        <v>0.519614510984663</v>
      </c>
      <c r="U300" s="15">
        <f>'Rolling LTM'!M300</f>
        <v>0.695398913541462</v>
      </c>
      <c r="V300" s="15">
        <f t="shared" si="62"/>
        <v>0.96669097769645</v>
      </c>
      <c r="W300" s="15">
        <f>'Rolling LTM'!O300</f>
        <v>1.16690208228915</v>
      </c>
      <c r="X300" s="15">
        <f>'Rolling LTM'!P300</f>
        <v>1.20299421550005</v>
      </c>
      <c r="Y300" s="15">
        <f>'Rolling LTM'!Q300</f>
        <v>1.41563169919422</v>
      </c>
      <c r="Z300" s="15">
        <f t="shared" si="63"/>
        <v>0.919040976394897</v>
      </c>
      <c r="AA300" s="15">
        <f>'Rolling LTM'!S300</f>
        <v>0.831454820722184</v>
      </c>
      <c r="AB300" s="15">
        <f>'Rolling LTM'!T300</f>
        <v>0.826874000361869</v>
      </c>
      <c r="AC300" s="15">
        <f>'Rolling LTM'!U300</f>
        <v>0.86394545716352</v>
      </c>
      <c r="AD300" s="15">
        <f t="shared" si="64"/>
        <v>0.95613577491717</v>
      </c>
      <c r="AE300" s="15">
        <f>'Rolling LTM'!W300</f>
        <v>0.831389426888644</v>
      </c>
      <c r="AF300" s="15">
        <f>'Rolling LTM'!X300</f>
        <v>0.918396743372205</v>
      </c>
      <c r="AG300" s="15">
        <f>'Rolling LTM'!Y300</f>
        <v>0.934976334585439</v>
      </c>
      <c r="AH300" s="15">
        <f t="shared" si="65"/>
        <v>0.582962944997127</v>
      </c>
      <c r="AI300" s="15">
        <f>'Rolling LTM'!AA300</f>
        <v>1.01179406635126</v>
      </c>
      <c r="AJ300" s="15">
        <f>'Rolling LTM'!AB300</f>
        <v>1.03519546588777</v>
      </c>
      <c r="AK300" s="15">
        <f>'Rolling LTM'!AC300</f>
        <v>0.946791283103751</v>
      </c>
      <c r="AL300" s="15">
        <f t="shared" si="66"/>
        <v>0.817101574828597</v>
      </c>
      <c r="AM300" s="15">
        <f>'Rolling LTM'!AE300</f>
        <v>1.24366929199854</v>
      </c>
      <c r="AN300" s="15">
        <f>'Rolling LTM'!AF300</f>
        <v>1.02180031710977</v>
      </c>
      <c r="AO300" s="16">
        <f t="shared" si="72"/>
        <v>-0.22186897488877</v>
      </c>
      <c r="AP300" s="16">
        <f t="shared" si="73"/>
        <v>-0.013395148778</v>
      </c>
    </row>
    <row customHeight="1" ht="15">
      <c r="A301" s="9" t="s">
        <v>316</v>
      </c>
      <c r="E301" s="15">
        <f t="shared" si="131" ref="E301:I301">IF(OR(E187&lt;=0,E299=0),"NM",-E187/E299)</f>
        <v>0.967558188938502</v>
      </c>
      <c r="F301" s="15">
        <f t="shared" si="131"/>
        <v>0.983105292478729</v>
      </c>
      <c r="G301" s="15">
        <f t="shared" si="131"/>
        <v>0.9014914310137</v>
      </c>
      <c r="H301" s="15">
        <f t="shared" si="131"/>
        <v>0.588796641074874</v>
      </c>
      <c r="I301" s="15">
        <f t="shared" si="131"/>
        <v>0.903788422162591</v>
      </c>
      <c r="J301" s="14"/>
      <c r="V301" s="15">
        <f t="shared" si="62"/>
        <v>0.967558188938502</v>
      </c>
      <c r="Z301" s="15">
        <f t="shared" si="63"/>
        <v>0.983105292478729</v>
      </c>
      <c r="AD301" s="15">
        <f t="shared" si="64"/>
        <v>0.9014914310137</v>
      </c>
      <c r="AH301" s="15">
        <f t="shared" si="65"/>
        <v>0.588796641074874</v>
      </c>
      <c r="AL301" s="15">
        <f t="shared" si="66"/>
        <v>0.903788422162591</v>
      </c>
      <c r="AO301" s="14"/>
      <c r="AP301" s="14"/>
    </row>
    <row customHeight="1" ht="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</row>
    <row customHeight="1" ht="15">
      <c r="A303" s="2" t="s">
        <v>317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customHeight="1" ht="15">
      <c r="A304" s="9" t="s">
        <v>318</v>
      </c>
      <c r="C304" s="19">
        <f t="shared" si="132" ref="C304:I304">IF(AND(C3=0,B3=0),0,IF(OR(B3=0,B3="NM",C3="NM"),"NM",IF(B3&lt;0,-(C3/B3-1),C3/B3-1)))</f>
        <v>0.404246266827601</v>
      </c>
      <c r="D304" s="19">
        <f t="shared" si="132"/>
        <v>0.145516219331467</v>
      </c>
      <c r="E304" s="19">
        <f t="shared" si="132"/>
        <v>0.458864234869306</v>
      </c>
      <c r="F304" s="19">
        <f t="shared" si="132"/>
        <v>0.825502443119507</v>
      </c>
      <c r="G304" s="19">
        <f t="shared" si="132"/>
        <v>0.221347276332849</v>
      </c>
      <c r="H304" s="19">
        <f t="shared" si="132"/>
        <v>-0.0704891741239622</v>
      </c>
      <c r="I304" s="19">
        <f t="shared" si="132"/>
        <v>0.0409076904936689</v>
      </c>
      <c r="J304" s="12">
        <f>IF(AND(J3=0,'Rolling LTM'!AB3=0),0,IF(OR('Rolling LTM'!AB3=0,'Rolling LTM'!AB3="NM",J3="NM"),"NM",IF('Rolling LTM'!AB3&lt;0,-(J3/'Rolling LTM'!AB3-1),J3/'Rolling LTM'!AB3-1)))</f>
        <v>0.207399541424964</v>
      </c>
      <c r="O304" s="19">
        <f t="shared" si="133" ref="O304:AN304">IF(AND(O3=0,K3=0),0,IF(OR(K3=0,K3="NM",O3="NM"),"NM",IF(K3&lt;0,-(O3/K3-1),O3/K3-1)))</f>
        <v>1.86503165910841</v>
      </c>
      <c r="P304" s="19">
        <f t="shared" si="133"/>
        <v>0.192371148811018</v>
      </c>
      <c r="Q304" s="19">
        <f t="shared" si="133"/>
        <v>0.159094847004193</v>
      </c>
      <c r="R304" s="19">
        <f t="shared" si="133"/>
        <v>-0.438619915496493</v>
      </c>
      <c r="S304" s="19">
        <f t="shared" si="133"/>
        <v>-0.394689195091631</v>
      </c>
      <c r="T304" s="19">
        <f t="shared" si="133"/>
        <v>0.552339484726797</v>
      </c>
      <c r="U304" s="19">
        <f t="shared" si="133"/>
        <v>1.24015636211433</v>
      </c>
      <c r="V304" s="19">
        <f t="shared" si="133"/>
        <v>1.15238491489322</v>
      </c>
      <c r="W304" s="19">
        <f t="shared" si="133"/>
        <v>0.955847888296823</v>
      </c>
      <c r="X304" s="19">
        <f t="shared" si="133"/>
        <v>1.24537487828627</v>
      </c>
      <c r="Y304" s="19">
        <f t="shared" si="133"/>
        <v>0.881467394024323</v>
      </c>
      <c r="Z304" s="19">
        <f t="shared" si="133"/>
        <v>0.466069445045513</v>
      </c>
      <c r="AA304" s="19">
        <f t="shared" si="133"/>
        <v>0.276376490324127</v>
      </c>
      <c r="AB304" s="19">
        <f t="shared" si="133"/>
        <v>0.186396724098502</v>
      </c>
      <c r="AC304" s="19">
        <f t="shared" si="133"/>
        <v>0.219241218363409</v>
      </c>
      <c r="AD304" s="19">
        <f t="shared" si="133"/>
        <v>0.221221418211659</v>
      </c>
      <c r="AE304" s="19">
        <f t="shared" si="133"/>
        <v>0.256937170187956</v>
      </c>
      <c r="AF304" s="19">
        <f t="shared" si="133"/>
        <v>0.309535153536448</v>
      </c>
      <c r="AG304" s="19">
        <f t="shared" si="133"/>
        <v>0.205036834488426</v>
      </c>
      <c r="AH304" s="19">
        <f t="shared" si="133"/>
        <v>-0.926078058527781</v>
      </c>
      <c r="AI304" s="19">
        <f t="shared" si="133"/>
        <v>-0.100804280059279</v>
      </c>
      <c r="AJ304" s="19">
        <f t="shared" si="133"/>
        <v>-0.221026890112149</v>
      </c>
      <c r="AK304" s="19">
        <f t="shared" si="133"/>
        <v>-0.118072914466418</v>
      </c>
      <c r="AL304" s="19">
        <f t="shared" si="133"/>
        <v>5.02062215246441</v>
      </c>
      <c r="AM304" s="19">
        <f t="shared" si="133"/>
        <v>0.142859640954685</v>
      </c>
      <c r="AN304" s="19">
        <f t="shared" si="133"/>
        <v>0.054765924296418</v>
      </c>
      <c r="AO304" s="14"/>
      <c r="AP304" s="14"/>
    </row>
    <row customHeight="1" ht="15">
      <c r="A305" s="9" t="s">
        <v>319</v>
      </c>
      <c r="C305" s="19">
        <f t="shared" si="134" ref="C305:I305">IF(AND((C3+C5)=0,(B3+B5)=0),0,IF(OR((B3+B5)=0,(B3+B5)="NM",(C3+C5)="NM"),"NM",IF((B3+B5)&lt;0,-((C3+C5)/(B3+B5)-1),(C3+C5)/(B3+B5)-1)))</f>
        <v>0.623904249551691</v>
      </c>
      <c r="D305" s="19">
        <f t="shared" si="134"/>
        <v>0.424282735313152</v>
      </c>
      <c r="E305" s="19">
        <f t="shared" si="134"/>
        <v>0.441034240276951</v>
      </c>
      <c r="F305" s="19">
        <f t="shared" si="134"/>
        <v>0.649822575236608</v>
      </c>
      <c r="G305" s="19">
        <f t="shared" si="134"/>
        <v>0.298711167806043</v>
      </c>
      <c r="H305" s="19">
        <f t="shared" si="134"/>
        <v>0.0696216946016932</v>
      </c>
      <c r="I305" s="19">
        <f t="shared" si="134"/>
        <v>0.0771949632243751</v>
      </c>
      <c r="J305" s="12">
        <f>IF(AND(((I3+I5)+('Quarterly YTD'!AF3+'Quarterly YTD'!AF5)-('Quarterly YTD'!AB3+'Quarterly YTD'!AB5))=0,((H3+H5)+('Quarterly YTD'!AB3+'Quarterly YTD'!AB5)-('Quarterly YTD'!X3+'Quarterly YTD'!X5))=0),0,IF(OR(((H3+H5)+('Quarterly YTD'!AB3+'Quarterly YTD'!AB5)-('Quarterly YTD'!X3+'Quarterly YTD'!X5))=0,((H3+H5)+('Quarterly YTD'!AB3+'Quarterly YTD'!AB5)-('Quarterly YTD'!X3+'Quarterly YTD'!X5))="NM",((I3+I5)+('Quarterly YTD'!AF3+'Quarterly YTD'!AF5)-('Quarterly YTD'!AB3+'Quarterly YTD'!AB5))="NM"),"NM",IF(((H3+H5)+('Quarterly YTD'!AB3+'Quarterly YTD'!AB5)-('Quarterly YTD'!X3+'Quarterly YTD'!X5))&lt;0,-(((I3+I5)+('Quarterly YTD'!AF3+'Quarterly YTD'!AF5)-('Quarterly YTD'!AB3+'Quarterly YTD'!AB5))/((H3+H5)+('Quarterly YTD'!AB3+'Quarterly YTD'!AB5)-('Quarterly YTD'!X3+'Quarterly YTD'!X5))-1),((I3+I5)+('Quarterly YTD'!AF3+'Quarterly YTD'!AF5)-('Quarterly YTD'!AB3+'Quarterly YTD'!AB5))/((H3+H5)+('Quarterly YTD'!AB3+'Quarterly YTD'!AB5)-('Quarterly YTD'!X3+'Quarterly YTD'!X5))-1)))</f>
        <v>0.0865615557231139</v>
      </c>
      <c r="O305" s="19">
        <f t="shared" si="135" ref="O305:AN305">IF(AND((O3+O5)=0,(K3+K5)=0),0,IF(OR((K3+K5)=0,(K3+K5)="NM",(O3+O5)="NM"),"NM",IF((K3+K5)&lt;0,-((O3+O5)/(K3+K5)-1),(O3+O5)/(K3+K5)-1)))</f>
        <v>1.65858761426548</v>
      </c>
      <c r="P305" s="19">
        <f t="shared" si="135"/>
        <v>0.932253026161656</v>
      </c>
      <c r="Q305" s="19">
        <f t="shared" si="135"/>
        <v>0.705148612276792</v>
      </c>
      <c r="R305" s="19">
        <f t="shared" si="135"/>
        <v>-0.286538729712625</v>
      </c>
      <c r="S305" s="19">
        <f t="shared" si="135"/>
        <v>-0.187791324140102</v>
      </c>
      <c r="T305" s="19">
        <f t="shared" si="135"/>
        <v>0.133142799405303</v>
      </c>
      <c r="U305" s="19">
        <f t="shared" si="135"/>
        <v>0.960504429885603</v>
      </c>
      <c r="V305" s="19">
        <f t="shared" si="135"/>
        <v>1.08248259686368</v>
      </c>
      <c r="W305" s="19">
        <f t="shared" si="135"/>
        <v>0.615120889604389</v>
      </c>
      <c r="X305" s="19">
        <f t="shared" si="135"/>
        <v>0.990662777218705</v>
      </c>
      <c r="Y305" s="19">
        <f t="shared" si="135"/>
        <v>0.874191621432096</v>
      </c>
      <c r="Z305" s="19">
        <f t="shared" si="135"/>
        <v>0.286337251277905</v>
      </c>
      <c r="AA305" s="19">
        <f t="shared" si="135"/>
        <v>0.169530788541051</v>
      </c>
      <c r="AB305" s="19">
        <f t="shared" si="135"/>
        <v>0.424334337985449</v>
      </c>
      <c r="AC305" s="19">
        <f t="shared" si="135"/>
        <v>0.383234943599124</v>
      </c>
      <c r="AD305" s="19">
        <f t="shared" si="135"/>
        <v>0.164384176732073</v>
      </c>
      <c r="AE305" s="19">
        <f t="shared" si="135"/>
        <v>0.170098089503713</v>
      </c>
      <c r="AF305" s="19">
        <f t="shared" si="135"/>
        <v>0.426542669092706</v>
      </c>
      <c r="AG305" s="19">
        <f t="shared" si="135"/>
        <v>0.283862802261472</v>
      </c>
      <c r="AH305" s="19">
        <f t="shared" si="135"/>
        <v>-0.683947439457042</v>
      </c>
      <c r="AI305" s="19">
        <f t="shared" si="135"/>
        <v>0.122872211281664</v>
      </c>
      <c r="AJ305" s="19">
        <f t="shared" si="135"/>
        <v>-0.147357547547138</v>
      </c>
      <c r="AK305" s="19">
        <f t="shared" si="135"/>
        <v>-0.0366467769876239</v>
      </c>
      <c r="AL305" s="19">
        <f t="shared" si="135"/>
        <v>1.55822288651303</v>
      </c>
      <c r="AM305" s="19">
        <f t="shared" si="135"/>
        <v>0.1706297486411</v>
      </c>
      <c r="AN305" s="19">
        <f t="shared" si="135"/>
        <v>-0.187912993052298</v>
      </c>
      <c r="AO305" s="14"/>
      <c r="AP305" s="14"/>
    </row>
    <row customHeight="1" ht="15">
      <c r="A306" s="9" t="s">
        <v>320</v>
      </c>
      <c r="C306" s="19">
        <f>IF(AND(C186=0,B185=0),0,IF(OR(B185=0,B185="NM",C186="NM"),"NM",IF(B185&lt;0,-(C186/B185-1),C186/B185-1)))</f>
        <v>7.47357193647784</v>
      </c>
      <c r="D306" s="19">
        <f t="shared" si="136" ref="D306:I307">IF(AND(D186=0,C186=0),0,IF(OR(C186=0,C186="NM",D186="NM"),"NM",IF(C186&lt;0,-(D186/C186-1),D186/C186-1)))</f>
        <v>-0.490909090909091</v>
      </c>
      <c r="E306" s="19">
        <f t="shared" si="136"/>
        <v>0.418910256410256</v>
      </c>
      <c r="F306" s="19">
        <f t="shared" si="136"/>
        <v>0.738655652005551</v>
      </c>
      <c r="G306" s="19">
        <f t="shared" si="136"/>
        <v>0.543746009591828</v>
      </c>
      <c r="H306" s="19">
        <f t="shared" si="136"/>
        <v>-0.231322091281358</v>
      </c>
      <c r="I306" s="19">
        <f t="shared" si="136"/>
        <v>0.0202642041810952</v>
      </c>
      <c r="J306" s="12">
        <f>IF(AND(J185=0,'Rolling LTM'!AB185=0),0,IF(OR('Rolling LTM'!AB185=0,'Rolling LTM'!AB185="NM",J185="NM"),"NM",IF('Rolling LTM'!AB185&lt;0,-(J185/'Rolling LTM'!AB185-1),J185/'Rolling LTM'!AB185-1)))</f>
        <v>-0.317700148552316</v>
      </c>
      <c r="O306" s="19">
        <f t="shared" si="137" ref="O306:P306">IF(AND(O186=0,K185=0),0,IF(OR(K185=0,K185="NM",O186="NM"),"NM",IF(K185&lt;0,-(O186/K185-1),O186/K185-1)))</f>
        <v>4.48325524900227</v>
      </c>
      <c r="P306" s="19">
        <f t="shared" si="137"/>
        <v>3.50755287009063</v>
      </c>
      <c r="Q306" s="19">
        <f t="shared" si="138" ref="Q306:V306">IF(AND(Q186=0,M186=0),0,IF(OR(M186=0,M186="NM",Q186="NM"),"NM",IF(M186&lt;0,-(Q186/M186-1),Q186/M186-1)))</f>
        <v>-0.829004329004329</v>
      </c>
      <c r="R306" s="19">
        <f t="shared" si="138"/>
        <v>-0.393564356435644</v>
      </c>
      <c r="S306" s="19">
        <f t="shared" si="138"/>
        <v>-0.386075949367089</v>
      </c>
      <c r="T306" s="19">
        <f t="shared" si="138"/>
        <v>-0.369973190348525</v>
      </c>
      <c r="U306" s="19">
        <f t="shared" si="138"/>
        <v>2.26582278481013</v>
      </c>
      <c r="V306" s="19">
        <f t="shared" si="138"/>
        <v>1.46714285714286</v>
      </c>
      <c r="W306" s="19">
        <f t="shared" si="139" ref="W306:Z306">IF(AND(W185=0,S186=0),0,IF(OR(S186=0,S186="NM",W185="NM"),"NM",IF(S186&lt;0,-(W185/S186-1),W185/S186-1)))</f>
        <v>1.34154639175258</v>
      </c>
      <c r="X306" s="19">
        <f t="shared" si="139"/>
        <v>2.06744680851064</v>
      </c>
      <c r="Y306" s="19">
        <f t="shared" si="139"/>
        <v>1.52922480620155</v>
      </c>
      <c r="Z306" s="19">
        <f t="shared" si="139"/>
        <v>-0.0962858797253702</v>
      </c>
      <c r="AA306" s="19">
        <f t="shared" si="140" ref="AA306:AN306">IF(AND(AA185=0,W185=0),0,IF(OR(W185=0,W185="NM",AA185="NM"),"NM",IF(W185&lt;0,-(AA185/W185-1),AA185/W185-1)))</f>
        <v>-0.485713027781447</v>
      </c>
      <c r="AB306" s="19">
        <f t="shared" si="140"/>
        <v>0.539141291530832</v>
      </c>
      <c r="AC306" s="19">
        <f t="shared" si="140"/>
        <v>0.416441903944586</v>
      </c>
      <c r="AD306" s="19">
        <f t="shared" si="140"/>
        <v>0.537592677345536</v>
      </c>
      <c r="AE306" s="19">
        <f t="shared" si="140"/>
        <v>-0.483177810118997</v>
      </c>
      <c r="AF306" s="19">
        <f t="shared" si="140"/>
        <v>0.519409818925813</v>
      </c>
      <c r="AG306" s="19">
        <f t="shared" si="140"/>
        <v>0.242387358877402</v>
      </c>
      <c r="AH306" s="19">
        <f t="shared" si="140"/>
        <v>0.328987629626986</v>
      </c>
      <c r="AI306" s="19">
        <f t="shared" si="140"/>
        <v>1.99503064435978</v>
      </c>
      <c r="AJ306" s="19">
        <f t="shared" si="140"/>
        <v>-0.0644275316324291</v>
      </c>
      <c r="AK306" s="19">
        <f t="shared" si="140"/>
        <v>-0.0540311063118294</v>
      </c>
      <c r="AL306" s="19">
        <f t="shared" si="140"/>
        <v>0.0810048108364763</v>
      </c>
      <c r="AM306" s="19">
        <f t="shared" si="140"/>
        <v>-0.190033737072065</v>
      </c>
      <c r="AN306" s="19">
        <f t="shared" si="140"/>
        <v>-0.488485632402546</v>
      </c>
      <c r="AO306" s="14"/>
      <c r="AP306" s="14"/>
    </row>
    <row customHeight="1" ht="15">
      <c r="A307" s="9" t="s">
        <v>321</v>
      </c>
      <c r="F307" s="19">
        <f t="shared" si="136"/>
        <v>0.858186531170205</v>
      </c>
      <c r="G307" s="19">
        <f t="shared" si="136"/>
        <v>0.360669731933721</v>
      </c>
      <c r="H307" s="19">
        <f t="shared" si="136"/>
        <v>-0.176569899849787</v>
      </c>
      <c r="I307" s="19">
        <f t="shared" si="136"/>
        <v>0.11732367844002</v>
      </c>
      <c r="J307" s="14"/>
      <c r="AO307" s="14"/>
      <c r="AP307" s="14"/>
    </row>
    <row customHeight="1" ht="15">
      <c r="A308" s="9" t="s">
        <v>322</v>
      </c>
      <c r="C308" s="19">
        <f t="shared" si="141" ref="C308:I308">IF(AND(C12=0,B12=0),0,IF(OR(B12=0,B12="NM",C12="NM"),"NM",IF(B12&lt;0,-(C12/B12-1),C12/B12-1)))</f>
        <v>0.772389599669831</v>
      </c>
      <c r="D308" s="19">
        <f t="shared" si="141"/>
        <v>-1.70768812822603</v>
      </c>
      <c r="E308" s="19">
        <f t="shared" si="141"/>
        <v>5.38552234713463</v>
      </c>
      <c r="F308" s="19">
        <f t="shared" si="141"/>
        <v>1.02547205201951</v>
      </c>
      <c r="G308" s="19">
        <f t="shared" si="141"/>
        <v>-0.0143230211696722</v>
      </c>
      <c r="H308" s="19">
        <f t="shared" si="141"/>
        <v>-0.416843608485692</v>
      </c>
      <c r="I308" s="19">
        <f t="shared" si="141"/>
        <v>-1.71420439288975</v>
      </c>
      <c r="J308" s="12">
        <f>IF(AND(J12=0,'Rolling LTM'!AB12=0),0,IF(OR('Rolling LTM'!AB12=0,'Rolling LTM'!AB12="NM",J12="NM"),"NM",IF('Rolling LTM'!AB12&lt;0,-(J12/'Rolling LTM'!AB12-1),J12/'Rolling LTM'!AB12-1)))</f>
        <v>-2.52204164802942</v>
      </c>
      <c r="O308" s="19">
        <f t="shared" si="142" ref="O308:AN308">IF(AND(O12=0,K12=0),0,IF(OR(K12=0,K12="NM",O12="NM"),"NM",IF(K12&lt;0,-(O12/K12-1),O12/K12-1)))</f>
        <v>0.562017264879626</v>
      </c>
      <c r="P308" s="19">
        <f t="shared" si="142"/>
        <v>1.03579750052956</v>
      </c>
      <c r="Q308" s="19">
        <f t="shared" si="142"/>
        <v>-3.72284749577941</v>
      </c>
      <c r="R308" s="19">
        <f t="shared" si="142"/>
        <v>-2.41305343012229</v>
      </c>
      <c r="S308" s="19">
        <f t="shared" si="142"/>
        <v>2.49767306573585</v>
      </c>
      <c r="T308" s="19">
        <f t="shared" si="142"/>
        <v>0.67516387472687</v>
      </c>
      <c r="U308" s="19">
        <f t="shared" si="142"/>
        <v>4.80954841376459</v>
      </c>
      <c r="V308" s="19">
        <f t="shared" si="142"/>
        <v>1.69329383995927</v>
      </c>
      <c r="W308" s="19">
        <f t="shared" si="142"/>
        <v>-0.307359667359667</v>
      </c>
      <c r="X308" s="19">
        <f t="shared" si="142"/>
        <v>1.92714285714286</v>
      </c>
      <c r="Y308" s="19">
        <f t="shared" si="142"/>
        <v>1.56546860165469</v>
      </c>
      <c r="Z308" s="19">
        <f t="shared" si="142"/>
        <v>-0.20260347129506</v>
      </c>
      <c r="AA308" s="19">
        <f t="shared" si="142"/>
        <v>-3.2485292352023</v>
      </c>
      <c r="AB308" s="19">
        <f t="shared" si="142"/>
        <v>0.304390264604155</v>
      </c>
      <c r="AC308" s="19">
        <f t="shared" si="142"/>
        <v>0.248012180680088</v>
      </c>
      <c r="AD308" s="19">
        <f t="shared" si="142"/>
        <v>-1.09367936375053</v>
      </c>
      <c r="AE308" s="19">
        <f t="shared" si="142"/>
        <v>-2.70290474156343</v>
      </c>
      <c r="AF308" s="19">
        <f t="shared" si="142"/>
        <v>0.253871681415929</v>
      </c>
      <c r="AG308" s="19">
        <f t="shared" si="142"/>
        <v>0.134980344313407</v>
      </c>
      <c r="AH308" s="19">
        <f t="shared" si="142"/>
        <v>-42.4218051831962</v>
      </c>
      <c r="AI308" s="19">
        <f t="shared" si="142"/>
        <v>0.101560246870854</v>
      </c>
      <c r="AJ308" s="19">
        <f t="shared" si="142"/>
        <v>0.00592905887542483</v>
      </c>
      <c r="AK308" s="19">
        <f t="shared" si="142"/>
        <v>-0.110044489564361</v>
      </c>
      <c r="AL308" s="19">
        <f t="shared" si="142"/>
        <v>-1.43279343061187</v>
      </c>
      <c r="AM308" s="19">
        <f t="shared" si="142"/>
        <v>0.273701950084263</v>
      </c>
      <c r="AN308" s="19">
        <f t="shared" si="142"/>
        <v>-1.33722834848778</v>
      </c>
      <c r="AO308" s="14"/>
      <c r="AP308" s="14"/>
    </row>
    <row customHeight="1" ht="15">
      <c r="A309" s="9" t="s">
        <v>323</v>
      </c>
      <c r="C309" s="19">
        <f t="shared" si="143" ref="C309:I309">IF(AND(C17=0,B17=0),0,IF(OR(B17=0,B17="NM",C17="NM"),"NM",IF(B17&lt;0,-(C17/B17-1),C17/B17-1)))</f>
        <v>0.411215692478051</v>
      </c>
      <c r="D309" s="19">
        <f t="shared" si="143"/>
        <v>-3.56748122407802</v>
      </c>
      <c r="E309" s="19">
        <f t="shared" si="143"/>
        <v>1.97421903992665</v>
      </c>
      <c r="F309" s="19">
        <f t="shared" si="143"/>
        <v>-0.385004929640584</v>
      </c>
      <c r="G309" s="19">
        <f t="shared" si="143"/>
        <v>1.62810609924944</v>
      </c>
      <c r="H309" s="19">
        <f t="shared" si="143"/>
        <v>-0.182251736424009</v>
      </c>
      <c r="I309" s="19">
        <f t="shared" si="143"/>
        <v>-3.45528524201069</v>
      </c>
      <c r="J309" s="12">
        <f>IF(AND(J17=0,'Rolling LTM'!AB17=0),0,IF(OR('Rolling LTM'!AB17=0,'Rolling LTM'!AB17="NM",J17="NM"),"NM",IF('Rolling LTM'!AB17&lt;0,-(J17/'Rolling LTM'!AB17-1),J17/'Rolling LTM'!AB17-1)))</f>
        <v>-5.27502832118763</v>
      </c>
      <c r="O309" s="19">
        <f t="shared" si="144" ref="O309:AN309">IF(AND(O17=0,K17=0),0,IF(OR(K17=0,K17="NM",O17="NM"),"NM",IF(K17&lt;0,-(O17/K17-1),O17/K17-1)))</f>
        <v>-6.63417085427137</v>
      </c>
      <c r="P309" s="19">
        <f t="shared" si="144"/>
        <v>0.276435437776053</v>
      </c>
      <c r="Q309" s="19">
        <f t="shared" si="144"/>
        <v>-12.1524717093509</v>
      </c>
      <c r="R309" s="19">
        <f t="shared" si="144"/>
        <v>-3.33156639279088</v>
      </c>
      <c r="S309" s="19">
        <f t="shared" si="144"/>
        <v>2.06243310738495</v>
      </c>
      <c r="T309" s="19">
        <f t="shared" si="144"/>
        <v>0.834724201099114</v>
      </c>
      <c r="U309" s="19">
        <f t="shared" si="144"/>
        <v>2.37757009345794</v>
      </c>
      <c r="V309" s="19">
        <f t="shared" si="144"/>
        <v>1.14637565836838</v>
      </c>
      <c r="W309" s="19">
        <f t="shared" si="144"/>
        <v>-2.64758226997985</v>
      </c>
      <c r="X309" s="19">
        <f t="shared" si="144"/>
        <v>1.74095850898602</v>
      </c>
      <c r="Y309" s="19">
        <f t="shared" si="144"/>
        <v>1.35820895522388</v>
      </c>
      <c r="Z309" s="19">
        <f t="shared" si="144"/>
        <v>-13.4975407714212</v>
      </c>
      <c r="AA309" s="19">
        <f t="shared" si="144"/>
        <v>-2.72373382248039</v>
      </c>
      <c r="AB309" s="19">
        <f t="shared" si="144"/>
        <v>0.527219006759218</v>
      </c>
      <c r="AC309" s="19">
        <f t="shared" si="144"/>
        <v>0.33981588032221</v>
      </c>
      <c r="AD309" s="19">
        <f t="shared" si="144"/>
        <v>0.781225402875013</v>
      </c>
      <c r="AE309" s="19">
        <f t="shared" si="144"/>
        <v>-2.02386360526532</v>
      </c>
      <c r="AF309" s="19">
        <f t="shared" si="144"/>
        <v>1.75612858770837</v>
      </c>
      <c r="AG309" s="19">
        <f t="shared" si="144"/>
        <v>0.315100428215605</v>
      </c>
      <c r="AH309" s="19">
        <f t="shared" si="144"/>
        <v>-2.94802120810449</v>
      </c>
      <c r="AI309" s="19">
        <f t="shared" si="144"/>
        <v>0.283370288248337</v>
      </c>
      <c r="AJ309" s="19">
        <f t="shared" si="144"/>
        <v>-0.29955671798225</v>
      </c>
      <c r="AK309" s="19">
        <f t="shared" si="144"/>
        <v>-0.14294377787315</v>
      </c>
      <c r="AL309" s="19">
        <f t="shared" si="144"/>
        <v>-1.96851243435094</v>
      </c>
      <c r="AM309" s="19">
        <f t="shared" si="144"/>
        <v>0.1362396443726</v>
      </c>
      <c r="AN309" s="19">
        <f t="shared" si="144"/>
        <v>-1.63089616166053</v>
      </c>
      <c r="AO309" s="14"/>
      <c r="AP309" s="14"/>
    </row>
    <row customHeight="1" ht="15">
      <c r="A310" s="9" t="s">
        <v>324</v>
      </c>
      <c r="C310" s="19">
        <f t="shared" si="145" ref="C310:I310">IF(AND(C21=0,B21=0),0,IF(OR(B21=0,B21="NM",C21="NM"),"NM",IF(B21&lt;0,-(C21/B21-1),C21/B21-1)))</f>
        <v>0.251676813538334</v>
      </c>
      <c r="D310" s="19">
        <f t="shared" si="145"/>
        <v>-5.25432811211871</v>
      </c>
      <c r="E310" s="19">
        <f t="shared" si="145"/>
        <v>1.66598197849046</v>
      </c>
      <c r="F310" s="19">
        <f t="shared" si="145"/>
        <v>-0.660527234636872</v>
      </c>
      <c r="G310" s="19">
        <f t="shared" si="145"/>
        <v>4.84434730436273</v>
      </c>
      <c r="H310" s="19">
        <f t="shared" si="145"/>
        <v>-1.91782770656733</v>
      </c>
      <c r="I310" s="19">
        <f t="shared" si="145"/>
        <v>-0.0157231196970391</v>
      </c>
      <c r="J310" s="12">
        <f>IF(AND(J21=0,'Rolling LTM'!AB21=0),0,IF(OR('Rolling LTM'!AB21=0,'Rolling LTM'!AB21="NM",J21="NM"),"NM",IF('Rolling LTM'!AB21&lt;0,-(J21/'Rolling LTM'!AB21-1),J21/'Rolling LTM'!AB21-1)))</f>
        <v>0.80081585824463</v>
      </c>
      <c r="O310" s="19">
        <f t="shared" si="146" ref="O310:AN310">IF(AND(O21=0,K21=0),0,IF(OR(K21=0,K21="NM",O21="NM"),"NM",IF(K21&lt;0,-(O21/K21-1),O21/K21-1)))</f>
        <v>-13.6081771720615</v>
      </c>
      <c r="P310" s="19">
        <f t="shared" si="146"/>
        <v>-0.785573770491794</v>
      </c>
      <c r="Q310" s="19">
        <f t="shared" si="146"/>
        <v>-16.4982608695652</v>
      </c>
      <c r="R310" s="19">
        <f t="shared" si="146"/>
        <v>-4.68173770938309</v>
      </c>
      <c r="S310" s="19">
        <f t="shared" si="146"/>
        <v>1.23699500067559</v>
      </c>
      <c r="T310" s="19">
        <f t="shared" si="146"/>
        <v>18.6223241590205</v>
      </c>
      <c r="U310" s="19">
        <f t="shared" si="146"/>
        <v>2.23744599674578</v>
      </c>
      <c r="V310" s="19">
        <f t="shared" si="146"/>
        <v>0.91588681339005</v>
      </c>
      <c r="W310" s="19">
        <f t="shared" si="146"/>
        <v>-8.39281641961232</v>
      </c>
      <c r="X310" s="19">
        <f t="shared" si="146"/>
        <v>0.406685887945141</v>
      </c>
      <c r="Y310" s="19">
        <f t="shared" si="146"/>
        <v>1.27449557923373</v>
      </c>
      <c r="Z310" s="19">
        <f t="shared" si="146"/>
        <v>-18.1653474054529</v>
      </c>
      <c r="AA310" s="19">
        <f t="shared" si="146"/>
        <v>-1.58664301688903</v>
      </c>
      <c r="AB310" s="19">
        <f t="shared" si="146"/>
        <v>0.695656990915134</v>
      </c>
      <c r="AC310" s="19">
        <f t="shared" si="146"/>
        <v>0.469579778327087</v>
      </c>
      <c r="AD310" s="19">
        <f t="shared" si="146"/>
        <v>0.940273507411314</v>
      </c>
      <c r="AE310" s="19">
        <f t="shared" si="146"/>
        <v>-1.90852985897856</v>
      </c>
      <c r="AF310" s="19">
        <f t="shared" si="146"/>
        <v>2.15341391702058</v>
      </c>
      <c r="AG310" s="19">
        <f t="shared" si="146"/>
        <v>0.144262072707542</v>
      </c>
      <c r="AH310" s="19">
        <f t="shared" si="146"/>
        <v>-55.0541682673816</v>
      </c>
      <c r="AI310" s="19">
        <f t="shared" si="146"/>
        <v>-0.25158115934601</v>
      </c>
      <c r="AJ310" s="19">
        <f t="shared" si="146"/>
        <v>-0.885284793734331</v>
      </c>
      <c r="AK310" s="19">
        <f t="shared" si="146"/>
        <v>-0.158520538201648</v>
      </c>
      <c r="AL310" s="19">
        <f t="shared" si="146"/>
        <v>0.838769369949763</v>
      </c>
      <c r="AM310" s="19">
        <f t="shared" si="146"/>
        <v>0.509295811561205</v>
      </c>
      <c r="AN310" s="19">
        <f t="shared" si="146"/>
        <v>-2.97949968391583</v>
      </c>
      <c r="AO310" s="14"/>
      <c r="AP310" s="14"/>
    </row>
    <row customHeight="1" ht="15">
      <c r="A311" s="9" t="s">
        <v>325</v>
      </c>
      <c r="C311" s="19">
        <f t="shared" si="147" ref="C311:I311">IF(AND(C60=0,B60=0),0,IF(OR(B60=0,B60="NM",C60="NM"),"NM",IF(B60&lt;0,-(C60/B60-1),C60/B60-1)))</f>
        <v>0.914659762590982</v>
      </c>
      <c r="D311" s="19">
        <f t="shared" si="147"/>
        <v>1.48427095292767</v>
      </c>
      <c r="E311" s="19">
        <f t="shared" si="147"/>
        <v>-0.561666204516745</v>
      </c>
      <c r="F311" s="19">
        <f t="shared" si="147"/>
        <v>3.06553267261779</v>
      </c>
      <c r="G311" s="19">
        <f t="shared" si="147"/>
        <v>0.545714927876165</v>
      </c>
      <c r="H311" s="19">
        <f t="shared" si="147"/>
        <v>0.0949987696391688</v>
      </c>
      <c r="I311" s="19">
        <f t="shared" si="147"/>
        <v>-0.169039885050427</v>
      </c>
      <c r="J311" s="12">
        <f>IF(AND(J60=0,'Rolling LTM'!AB60=0),0,IF(OR('Rolling LTM'!AB60=0,'Rolling LTM'!AB60="NM",J60="NM"),"NM",IF('Rolling LTM'!AB60&lt;0,-(J60/'Rolling LTM'!AB60-1),J60/'Rolling LTM'!AB60-1)))</f>
        <v>-0.302564515067532</v>
      </c>
      <c r="O311" s="19">
        <f t="shared" si="148" ref="O311:AN311">IF(AND(O60=0,K60=0),0,IF(OR(K60=0,K60="NM",O60="NM"),"NM",IF(K60&lt;0,-(O60/K60-1),O60/K60-1)))</f>
        <v>8.191809647135</v>
      </c>
      <c r="P311" s="19">
        <f t="shared" si="148"/>
        <v>12.2513953488372</v>
      </c>
      <c r="Q311" s="19">
        <f t="shared" si="148"/>
        <v>-11.6231983527797</v>
      </c>
      <c r="R311" s="19">
        <f t="shared" si="148"/>
        <v>-0.355474060257343</v>
      </c>
      <c r="S311" s="19">
        <f t="shared" si="148"/>
        <v>-0.798915244686284</v>
      </c>
      <c r="T311" s="19">
        <f t="shared" si="148"/>
        <v>-0.957301556659237</v>
      </c>
      <c r="U311" s="19">
        <f t="shared" si="148"/>
        <v>1.39568834275772</v>
      </c>
      <c r="V311" s="19">
        <f t="shared" si="148"/>
        <v>-0.299847942316182</v>
      </c>
      <c r="W311" s="19">
        <f t="shared" si="148"/>
        <v>2.77931517646029</v>
      </c>
      <c r="X311" s="19">
        <f t="shared" si="148"/>
        <v>10.2749691738594</v>
      </c>
      <c r="Y311" s="19">
        <f t="shared" si="148"/>
        <v>5.22638268636207</v>
      </c>
      <c r="Z311" s="19">
        <f t="shared" si="148"/>
        <v>-0.137732941011629</v>
      </c>
      <c r="AA311" s="19">
        <f t="shared" si="148"/>
        <v>-0.909213087403837</v>
      </c>
      <c r="AB311" s="19">
        <f t="shared" si="148"/>
        <v>2.58435403907845</v>
      </c>
      <c r="AC311" s="19">
        <f t="shared" si="148"/>
        <v>0.123564137931034</v>
      </c>
      <c r="AD311" s="19">
        <f t="shared" si="148"/>
        <v>4.21181345466363</v>
      </c>
      <c r="AE311" s="19">
        <f t="shared" si="148"/>
        <v>14.1314446145993</v>
      </c>
      <c r="AF311" s="19">
        <f t="shared" si="148"/>
        <v>0.0136383052295426</v>
      </c>
      <c r="AG311" s="19">
        <f t="shared" si="148"/>
        <v>0.416045490704458</v>
      </c>
      <c r="AH311" s="19">
        <f t="shared" si="148"/>
        <v>-1.14722434408468</v>
      </c>
      <c r="AI311" s="19">
        <f t="shared" si="148"/>
        <v>-0.558775406932614</v>
      </c>
      <c r="AJ311" s="19">
        <f t="shared" si="148"/>
        <v>0.129782174641556</v>
      </c>
      <c r="AK311" s="19">
        <f t="shared" si="148"/>
        <v>0.0918882554478242</v>
      </c>
      <c r="AL311" s="19">
        <f t="shared" si="148"/>
        <v>-4.5217069038543</v>
      </c>
      <c r="AM311" s="19">
        <f t="shared" si="148"/>
        <v>0.435316155669394</v>
      </c>
      <c r="AN311" s="19">
        <f t="shared" si="148"/>
        <v>-0.574456936821726</v>
      </c>
      <c r="AO311" s="14"/>
      <c r="AP311" s="14"/>
    </row>
    <row customHeight="1" ht="15">
      <c r="A312" s="9" t="s">
        <v>326</v>
      </c>
      <c r="C312" s="19">
        <f t="shared" si="149" ref="C312:I312">IF(AND(C276=0,B276=0),0,IF(OR(B276=0,B276="NM",C276="NM"),"NM",IF(B276&lt;0,(C276/B276-1),-(C276/B276-1))))</f>
        <v>0.572991832527159</v>
      </c>
      <c r="D312" s="19">
        <f t="shared" si="149"/>
        <v>1.34743156727328</v>
      </c>
      <c r="E312" s="19">
        <f t="shared" si="149"/>
        <v>-0.245662071038956</v>
      </c>
      <c r="F312" s="19">
        <f t="shared" si="149"/>
        <v>1.26424494327644</v>
      </c>
      <c r="G312" s="19">
        <f t="shared" si="149"/>
        <v>0.343961777833658</v>
      </c>
      <c r="H312" s="19">
        <f t="shared" si="149"/>
        <v>0.124242225798002</v>
      </c>
      <c r="I312" s="19">
        <f t="shared" si="149"/>
        <v>-0.296365641057646</v>
      </c>
      <c r="J312" s="12">
        <f>IF(AND(J276=0,'Rolling LTM'!AB276=0),0,IF(OR('Rolling LTM'!AB276=0,'Rolling LTM'!AB276="NM",J276="NM"),"NM",IF('Rolling LTM'!AB276&lt;0,(J276/'Rolling LTM'!AB276-1),-(J276/'Rolling LTM'!AB276-1))))</f>
        <v>-0.30041575567683</v>
      </c>
      <c r="O312" s="19">
        <f t="shared" si="150" ref="O312:AN312">IF(AND(O276=0,K276=0),0,IF(OR(K276=0,K276="NM",O276="NM"),"NM",IF(K276&lt;0,(O276/K276-1),-(O276/K276-1))))</f>
        <v>4.25056625141563</v>
      </c>
      <c r="P312" s="19">
        <f t="shared" si="150"/>
        <v>1.34416912934758</v>
      </c>
      <c r="Q312" s="19">
        <f t="shared" si="150"/>
        <v>2.55772408908476</v>
      </c>
      <c r="R312" s="19">
        <f t="shared" si="150"/>
        <v>-0.330836979692584</v>
      </c>
      <c r="S312" s="19">
        <f t="shared" si="150"/>
        <v>0.415583715287139</v>
      </c>
      <c r="T312" s="19">
        <f t="shared" si="150"/>
        <v>-0.609031549004396</v>
      </c>
      <c r="U312" s="19">
        <f t="shared" si="150"/>
        <v>-0.430736586844498</v>
      </c>
      <c r="V312" s="19">
        <f t="shared" si="150"/>
        <v>-0.134928951670369</v>
      </c>
      <c r="W312" s="19">
        <f t="shared" si="150"/>
        <v>-0.175339021788816</v>
      </c>
      <c r="X312" s="19">
        <f t="shared" si="150"/>
        <v>0.49656883009508</v>
      </c>
      <c r="Y312" s="19">
        <f t="shared" si="150"/>
        <v>0.83981185658502</v>
      </c>
      <c r="Z312" s="19">
        <f t="shared" si="150"/>
        <v>3.77706173078787</v>
      </c>
      <c r="AA312" s="19">
        <f t="shared" si="150"/>
        <v>0.68903875467689</v>
      </c>
      <c r="AB312" s="19">
        <f t="shared" si="150"/>
        <v>2.21639688415005</v>
      </c>
      <c r="AC312" s="19">
        <f t="shared" si="150"/>
        <v>0.657951859534031</v>
      </c>
      <c r="AD312" s="19">
        <f t="shared" si="150"/>
        <v>-0.14161823327146</v>
      </c>
      <c r="AE312" s="19">
        <f t="shared" si="150"/>
        <v>0.227697861401302</v>
      </c>
      <c r="AF312" s="19">
        <f t="shared" si="150"/>
        <v>-0.271470285125387</v>
      </c>
      <c r="AG312" s="19">
        <f t="shared" si="150"/>
        <v>1.19324430479183</v>
      </c>
      <c r="AH312" s="19">
        <f t="shared" si="150"/>
        <v>-0.0823968709749844</v>
      </c>
      <c r="AI312" s="19">
        <f t="shared" si="150"/>
        <v>0.0857391071905906</v>
      </c>
      <c r="AJ312" s="19">
        <f t="shared" si="150"/>
        <v>-0.279287987740186</v>
      </c>
      <c r="AK312" s="19">
        <f t="shared" si="150"/>
        <v>-0.511355194736284</v>
      </c>
      <c r="AL312" s="19">
        <f t="shared" si="150"/>
        <v>-0.317884461843562</v>
      </c>
      <c r="AM312" s="19">
        <f t="shared" si="150"/>
        <v>-0.723005272768306</v>
      </c>
      <c r="AN312" s="19">
        <f t="shared" si="150"/>
        <v>0.937943668422258</v>
      </c>
      <c r="AO312" s="14"/>
      <c r="AP312" s="14"/>
    </row>
    <row customHeight="1" ht="15">
      <c r="A313" s="9" t="s">
        <v>327</v>
      </c>
      <c r="C313" s="19">
        <f t="shared" si="151" ref="C313:I315">IF(AND(C282=0,B282=0),0,IF(OR(B282=0,B282="NM",C282="NM"),"NM",IF(B282&lt;0,-(C282/B282-1),C282/B282-1)))</f>
        <v>1.38171190357515</v>
      </c>
      <c r="D313" s="19">
        <f t="shared" si="151"/>
        <v>-0.111278109660972</v>
      </c>
      <c r="E313" s="19">
        <f t="shared" si="151"/>
        <v>1.46415344764841</v>
      </c>
      <c r="F313" s="19">
        <f t="shared" si="151"/>
        <v>0.878618341036244</v>
      </c>
      <c r="G313" s="19">
        <f t="shared" si="151"/>
        <v>0.308165775697823</v>
      </c>
      <c r="H313" s="19">
        <f t="shared" si="151"/>
        <v>0.043802561483016</v>
      </c>
      <c r="I313" s="19">
        <f t="shared" si="151"/>
        <v>-0.267781789117904</v>
      </c>
      <c r="J313" s="12">
        <f>IF(AND(J282=0,'Rolling LTM'!AB282=0),0,IF(OR('Rolling LTM'!AB282=0,'Rolling LTM'!AB282="NM",J282="NM"),"NM",IF('Rolling LTM'!AB282&lt;0,-(J282/'Rolling LTM'!AB282-1),J282/'Rolling LTM'!AB282-1)))</f>
        <v>-0.093974175035868</v>
      </c>
      <c r="O313" s="19">
        <f t="shared" si="152" ref="O313:AN315">IF(AND(O282=0,K282=0),0,IF(OR(K282=0,K282="NM",O282="NM"),"NM",IF(K282&lt;0,-(O282/K282-1),O282/K282-1)))</f>
        <v>5.46016153678236</v>
      </c>
      <c r="P313" s="19">
        <f t="shared" si="152"/>
        <v>3.38513742789277</v>
      </c>
      <c r="Q313" s="19">
        <f t="shared" si="152"/>
        <v>-0.529306054741498</v>
      </c>
      <c r="R313" s="19">
        <f t="shared" si="152"/>
        <v>-1.3480905517459</v>
      </c>
      <c r="S313" s="19">
        <f t="shared" si="152"/>
        <v>-0.206089072109211</v>
      </c>
      <c r="T313" s="19">
        <f t="shared" si="152"/>
        <v>-0.394916041166912</v>
      </c>
      <c r="U313" s="19">
        <f t="shared" si="152"/>
        <v>11.8082232011747</v>
      </c>
      <c r="V313" s="19">
        <f t="shared" si="152"/>
        <v>3.66749093306957</v>
      </c>
      <c r="W313" s="19">
        <f t="shared" si="152"/>
        <v>-0.15709725473505</v>
      </c>
      <c r="X313" s="19">
        <f t="shared" si="152"/>
        <v>3.04335315557261</v>
      </c>
      <c r="Y313" s="19">
        <f t="shared" si="152"/>
        <v>1.66580299000275</v>
      </c>
      <c r="Z313" s="19">
        <f t="shared" si="152"/>
        <v>-0.47639206476732</v>
      </c>
      <c r="AA313" s="19">
        <f t="shared" si="152"/>
        <v>-1.3691173500303</v>
      </c>
      <c r="AB313" s="19">
        <f t="shared" si="152"/>
        <v>0.521586488281621</v>
      </c>
      <c r="AC313" s="19">
        <f t="shared" si="152"/>
        <v>0.368412451294931</v>
      </c>
      <c r="AD313" s="19">
        <f t="shared" si="152"/>
        <v>1.05866037179109</v>
      </c>
      <c r="AE313" s="19">
        <f t="shared" si="152"/>
        <v>-2.28960328317373</v>
      </c>
      <c r="AF313" s="19">
        <f t="shared" si="152"/>
        <v>0.371050552922591</v>
      </c>
      <c r="AG313" s="19">
        <f t="shared" si="152"/>
        <v>0.182258176035401</v>
      </c>
      <c r="AH313" s="19">
        <f t="shared" si="152"/>
        <v>-1.01963650957459</v>
      </c>
      <c r="AI313" s="19">
        <f t="shared" si="152"/>
        <v>-0.176903563854119</v>
      </c>
      <c r="AJ313" s="19">
        <f t="shared" si="152"/>
        <v>-0.483622277644276</v>
      </c>
      <c r="AK313" s="19">
        <f t="shared" si="152"/>
        <v>-0.00306769667550999</v>
      </c>
      <c r="AL313" s="19">
        <f t="shared" si="152"/>
        <v>-15.2408759124088</v>
      </c>
      <c r="AM313" s="19">
        <f t="shared" si="152"/>
        <v>1.5205823115791</v>
      </c>
      <c r="AN313" s="19">
        <f t="shared" si="152"/>
        <v>-0.783481847942571</v>
      </c>
      <c r="AO313" s="14"/>
      <c r="AP313" s="14"/>
    </row>
    <row customHeight="1" ht="15">
      <c r="A314" s="9" t="s">
        <v>328</v>
      </c>
      <c r="C314" s="19">
        <f t="shared" si="151"/>
        <v>-3.59504616737506</v>
      </c>
      <c r="D314" s="19">
        <f t="shared" si="151"/>
        <v>-0.0704899208981882</v>
      </c>
      <c r="E314" s="19">
        <f t="shared" si="151"/>
        <v>-0.95193969370121</v>
      </c>
      <c r="F314" s="19">
        <f t="shared" si="151"/>
        <v>0.245729724779045</v>
      </c>
      <c r="G314" s="19">
        <f t="shared" si="151"/>
        <v>-0.96328901301277</v>
      </c>
      <c r="H314" s="19">
        <f t="shared" si="151"/>
        <v>-0.950758669030636</v>
      </c>
      <c r="I314" s="19">
        <f t="shared" si="151"/>
        <v>0.0623101026700555</v>
      </c>
      <c r="J314" s="12">
        <f>IF(AND(J283=0,'Rolling LTM'!AB283=0),0,IF(OR('Rolling LTM'!AB283=0,'Rolling LTM'!AB283="NM",J283="NM"),"NM",IF('Rolling LTM'!AB283&lt;0,-(J283/'Rolling LTM'!AB283-1),J283/'Rolling LTM'!AB283-1)))</f>
        <v>0.271064953509531</v>
      </c>
      <c r="O314" s="19">
        <f t="shared" si="152"/>
        <v>18.4025385312783</v>
      </c>
      <c r="P314" s="19">
        <f t="shared" si="152"/>
        <v>1.22296124927704</v>
      </c>
      <c r="Q314" s="19">
        <f t="shared" si="152"/>
        <v>-6.98156396931453</v>
      </c>
      <c r="R314" s="19">
        <f t="shared" si="152"/>
        <v>0.703842455989126</v>
      </c>
      <c r="S314" s="19">
        <f t="shared" si="152"/>
        <v>-2.00845754871268</v>
      </c>
      <c r="T314" s="19">
        <f t="shared" si="152"/>
        <v>-8.92088197146563</v>
      </c>
      <c r="U314" s="19">
        <f t="shared" si="152"/>
        <v>0.836770576919099</v>
      </c>
      <c r="V314" s="19">
        <f t="shared" si="152"/>
        <v>-0.98332027314452</v>
      </c>
      <c r="W314" s="19">
        <f t="shared" si="152"/>
        <v>1.44245204336947</v>
      </c>
      <c r="X314" s="19">
        <f t="shared" si="152"/>
        <v>1.08230991758092</v>
      </c>
      <c r="Y314" s="19">
        <f t="shared" si="152"/>
        <v>7.40197693574959</v>
      </c>
      <c r="Z314" s="19">
        <f t="shared" si="152"/>
        <v>-5.26449173110572</v>
      </c>
      <c r="AA314" s="19">
        <f t="shared" si="152"/>
        <v>-6.62833804586868</v>
      </c>
      <c r="AB314" s="19">
        <f t="shared" si="152"/>
        <v>6.52453580901857</v>
      </c>
      <c r="AC314" s="19">
        <f t="shared" si="152"/>
        <v>-0.526406429391504</v>
      </c>
      <c r="AD314" s="19">
        <f t="shared" si="152"/>
        <v>0.292364940353912</v>
      </c>
      <c r="AE314" s="19">
        <f t="shared" si="152"/>
        <v>0.320494929760908</v>
      </c>
      <c r="AF314" s="19">
        <f t="shared" si="152"/>
        <v>-1.73993125936371</v>
      </c>
      <c r="AG314" s="19">
        <f t="shared" si="152"/>
        <v>-1.098934169279</v>
      </c>
      <c r="AH314" s="19">
        <f t="shared" si="152"/>
        <v>-0.807560575000955</v>
      </c>
      <c r="AI314" s="19">
        <f t="shared" si="152"/>
        <v>-1.75646221248631</v>
      </c>
      <c r="AJ314" s="19">
        <f t="shared" si="152"/>
        <v>3.34421152929967</v>
      </c>
      <c r="AK314" s="19">
        <f t="shared" si="152"/>
        <v>24.0583016476554</v>
      </c>
      <c r="AL314" s="19">
        <f t="shared" si="152"/>
        <v>-0.0640021413879577</v>
      </c>
      <c r="AM314" s="19">
        <f t="shared" si="152"/>
        <v>0.828204160292452</v>
      </c>
      <c r="AN314" s="19">
        <f t="shared" si="152"/>
        <v>-3.56452596280866</v>
      </c>
      <c r="AO314" s="14"/>
      <c r="AP314" s="14"/>
    </row>
    <row customHeight="1" ht="15">
      <c r="A315" s="9" t="s">
        <v>329</v>
      </c>
      <c r="C315" s="19">
        <f t="shared" si="151"/>
        <v>3.19569174757282</v>
      </c>
      <c r="D315" s="19">
        <f t="shared" si="151"/>
        <v>3.54207544562664</v>
      </c>
      <c r="E315" s="19">
        <f t="shared" si="151"/>
        <v>-1.05220407045724</v>
      </c>
      <c r="F315" s="19">
        <f t="shared" si="151"/>
        <v>33.8100233100235</v>
      </c>
      <c r="G315" s="19">
        <f t="shared" si="151"/>
        <v>1.29105537991546</v>
      </c>
      <c r="H315" s="19">
        <f t="shared" si="151"/>
        <v>0.375382778643471</v>
      </c>
      <c r="I315" s="19">
        <f t="shared" si="151"/>
        <v>0.0336786688611819</v>
      </c>
      <c r="J315" s="12">
        <f>IF(AND(J284=0,'Rolling LTM'!AB284=0),0,IF(OR('Rolling LTM'!AB284=0,'Rolling LTM'!AB284="NM",J284="NM"),"NM",IF('Rolling LTM'!AB284&lt;0,-(J284/'Rolling LTM'!AB284-1),J284/'Rolling LTM'!AB284-1)))</f>
        <v>-0.324274128284398</v>
      </c>
      <c r="O315" s="19">
        <f t="shared" si="152"/>
        <v>11.6951364175563</v>
      </c>
      <c r="P315" s="19">
        <f t="shared" si="152"/>
        <v>5.76462984723854</v>
      </c>
      <c r="Q315" s="19">
        <f t="shared" si="152"/>
        <v>-6.75059540821187</v>
      </c>
      <c r="R315" s="19">
        <f t="shared" si="152"/>
        <v>4.26091586794462</v>
      </c>
      <c r="S315" s="19">
        <f t="shared" si="152"/>
        <v>-1.29821528686227</v>
      </c>
      <c r="T315" s="19">
        <f t="shared" si="152"/>
        <v>-0.979061336227095</v>
      </c>
      <c r="U315" s="19">
        <f t="shared" si="152"/>
        <v>1.10499635544364</v>
      </c>
      <c r="V315" s="19">
        <f t="shared" si="152"/>
        <v>-0.609008097165992</v>
      </c>
      <c r="W315" s="19">
        <f t="shared" si="152"/>
        <v>2.93380855397149</v>
      </c>
      <c r="X315" s="19">
        <f t="shared" si="152"/>
        <v>26.9469964664312</v>
      </c>
      <c r="Y315" s="19">
        <f t="shared" si="152"/>
        <v>11.1789207952035</v>
      </c>
      <c r="Z315" s="19">
        <f t="shared" si="152"/>
        <v>-18.9399430494434</v>
      </c>
      <c r="AA315" s="19">
        <f t="shared" si="152"/>
        <v>-1.93393283914611</v>
      </c>
      <c r="AB315" s="19">
        <f t="shared" si="152"/>
        <v>1.62460488051587</v>
      </c>
      <c r="AC315" s="19">
        <f t="shared" si="152"/>
        <v>0.0836766420520794</v>
      </c>
      <c r="AD315" s="19">
        <f t="shared" si="152"/>
        <v>1.08836685809933</v>
      </c>
      <c r="AE315" s="19">
        <f t="shared" si="152"/>
        <v>2.65158743927828</v>
      </c>
      <c r="AF315" s="19">
        <f t="shared" si="152"/>
        <v>0.417220669942512</v>
      </c>
      <c r="AG315" s="19">
        <f t="shared" si="152"/>
        <v>0.158005475259716</v>
      </c>
      <c r="AH315" s="19">
        <f t="shared" si="152"/>
        <v>-8.47697583278903</v>
      </c>
      <c r="AI315" s="19">
        <f t="shared" si="152"/>
        <v>-0.95217836602852</v>
      </c>
      <c r="AJ315" s="19">
        <f t="shared" si="152"/>
        <v>0.346775290065265</v>
      </c>
      <c r="AK315" s="19">
        <f t="shared" si="152"/>
        <v>0.452635599694423</v>
      </c>
      <c r="AL315" s="19">
        <f t="shared" si="152"/>
        <v>-0.703596933761384</v>
      </c>
      <c r="AM315" s="19">
        <f t="shared" si="152"/>
        <v>19.2520593080725</v>
      </c>
      <c r="AN315" s="19">
        <f t="shared" si="152"/>
        <v>-0.861367479661117</v>
      </c>
      <c r="AO315" s="14"/>
      <c r="AP315" s="14"/>
    </row>
    <row customHeight="1" ht="15">
      <c r="A316" s="9" t="s">
        <v>330</v>
      </c>
      <c r="C316" s="19">
        <f t="shared" si="153" ref="C316:I316">IF(AND(C104=0,B104=0),0,IF(OR(B104=0,B104="NM",C104="NM"),"NM",IF(B104&lt;0,-(C104/B104-1),C104/B104-1)))</f>
        <v>45.689917936694</v>
      </c>
      <c r="D316" s="19">
        <f t="shared" si="153"/>
        <v>-1.14968761340136</v>
      </c>
      <c r="E316" s="19">
        <f t="shared" si="153"/>
        <v>2.11029003709437</v>
      </c>
      <c r="F316" s="19">
        <f t="shared" si="153"/>
        <v>1.8606529345224</v>
      </c>
      <c r="G316" s="19">
        <f t="shared" si="153"/>
        <v>-2.14081035846315</v>
      </c>
      <c r="H316" s="19">
        <f t="shared" si="153"/>
        <v>0.872216937785158</v>
      </c>
      <c r="I316" s="19">
        <f t="shared" si="153"/>
        <v>-2.91408024224073</v>
      </c>
      <c r="J316" s="12">
        <f>IF(AND(J104=0,'Rolling LTM'!AB104=0),0,IF(OR('Rolling LTM'!AB104=0,'Rolling LTM'!AB104="NM",J104="NM"),"NM",IF('Rolling LTM'!AB104&lt;0,-(J104/'Rolling LTM'!AB104-1),J104/'Rolling LTM'!AB104-1)))</f>
        <v>0.244862880671224</v>
      </c>
      <c r="O316" s="19">
        <f t="shared" si="154" ref="O316:AN316">IF(AND(O104=0,K104=0),0,IF(OR(K104=0,K104="NM",O104="NM"),"NM",IF(K104&lt;0,-(O104/K104-1),O104/K104-1)))</f>
        <v>-78.6404715127701</v>
      </c>
      <c r="P316" s="19">
        <f t="shared" si="154"/>
        <v>50.5374791782343</v>
      </c>
      <c r="Q316" s="19">
        <f t="shared" si="154"/>
        <v>-3.76458951533136</v>
      </c>
      <c r="R316" s="19">
        <f t="shared" si="154"/>
        <v>-1.16029104217497</v>
      </c>
      <c r="S316" s="19">
        <f t="shared" si="154"/>
        <v>0.666428201396255</v>
      </c>
      <c r="T316" s="19">
        <f t="shared" si="154"/>
        <v>-0.778674467870473</v>
      </c>
      <c r="U316" s="19">
        <f t="shared" si="154"/>
        <v>0.0815742397137745</v>
      </c>
      <c r="V316" s="19">
        <f t="shared" si="154"/>
        <v>2.37116064147866</v>
      </c>
      <c r="W316" s="19">
        <f t="shared" si="154"/>
        <v>4.77322141695016</v>
      </c>
      <c r="X316" s="19">
        <f t="shared" si="154"/>
        <v>-0.317836523852932</v>
      </c>
      <c r="Y316" s="19">
        <f t="shared" si="154"/>
        <v>-6.42072458122322</v>
      </c>
      <c r="Z316" s="19">
        <f t="shared" si="154"/>
        <v>-0.378987015561503</v>
      </c>
      <c r="AA316" s="19">
        <f t="shared" si="154"/>
        <v>-1.38289740599551</v>
      </c>
      <c r="AB316" s="19">
        <f t="shared" si="154"/>
        <v>-2.90660727542687</v>
      </c>
      <c r="AC316" s="19">
        <f t="shared" si="154"/>
        <v>1.62402225838627</v>
      </c>
      <c r="AD316" s="19">
        <f t="shared" si="154"/>
        <v>-3.65183388131644</v>
      </c>
      <c r="AE316" s="19">
        <f t="shared" si="154"/>
        <v>0.652436527436527</v>
      </c>
      <c r="AF316" s="19">
        <f t="shared" si="154"/>
        <v>5.35005061911066</v>
      </c>
      <c r="AG316" s="19">
        <f t="shared" si="154"/>
        <v>-1.8394043913519</v>
      </c>
      <c r="AH316" s="19">
        <f t="shared" si="154"/>
        <v>-0.13193056792739</v>
      </c>
      <c r="AI316" s="19">
        <f t="shared" si="154"/>
        <v>-2.98291605301915</v>
      </c>
      <c r="AJ316" s="19">
        <f t="shared" si="154"/>
        <v>-0.417264899121001</v>
      </c>
      <c r="AK316" s="19">
        <f t="shared" si="154"/>
        <v>3.32606734816597</v>
      </c>
      <c r="AL316" s="19">
        <f t="shared" si="154"/>
        <v>-0.270593615075398</v>
      </c>
      <c r="AM316" s="19">
        <f t="shared" si="154"/>
        <v>0.657539565153084</v>
      </c>
      <c r="AN316" s="19">
        <f t="shared" si="154"/>
        <v>-0.787687014223833</v>
      </c>
      <c r="AO316" s="14"/>
      <c r="AP316" s="14"/>
    </row>
    <row customHeight="1" ht="15">
      <c r="A317" s="9" t="s">
        <v>331</v>
      </c>
      <c r="C317" s="19">
        <f t="shared" si="155" ref="C317:I320">IF(AND(C177=0,B177=0),0,IF(OR(B177=0,B177="NM",C177="NM"),"NM",IF(B177&lt;0,-(C177/B177-1),C177/B177-1)))</f>
        <v>9.06550158518924</v>
      </c>
      <c r="D317" s="19">
        <f t="shared" si="155"/>
        <v>-0.209483460911055</v>
      </c>
      <c r="E317" s="19">
        <f t="shared" si="155"/>
        <v>0.179753753221966</v>
      </c>
      <c r="F317" s="19">
        <f t="shared" si="155"/>
        <v>0.496559085536068</v>
      </c>
      <c r="G317" s="19">
        <f t="shared" si="155"/>
        <v>0.700683844742586</v>
      </c>
      <c r="H317" s="19">
        <f t="shared" si="155"/>
        <v>0.391998630452287</v>
      </c>
      <c r="I317" s="19">
        <f t="shared" si="155"/>
        <v>-0.388670414244011</v>
      </c>
      <c r="J317" s="12">
        <f>IF(AND(J177=0,'Rolling LTM'!AB177=0),0,IF(OR('Rolling LTM'!AB177=0,'Rolling LTM'!AB177="NM",J177="NM"),"NM",IF('Rolling LTM'!AB177&lt;0,-(J177/'Rolling LTM'!AB177-1),J177/'Rolling LTM'!AB177-1)))</f>
        <v>-0.31139079883141</v>
      </c>
      <c r="N317" s="29">
        <v>9.0655015852</v>
      </c>
      <c r="R317" s="19">
        <f t="shared" si="156" ref="R317:AN320">IF(AND(R177=0,N177=0),0,IF(OR(N177=0,N177="NM",R177="NM"),"NM",IF(N177&lt;0,-(R177/N177-1),R177/N177-1)))</f>
        <v>-0.209483460911055</v>
      </c>
      <c r="S317" s="19">
        <f t="shared" si="156"/>
        <v>-0.257052054794521</v>
      </c>
      <c r="T317" s="19">
        <f t="shared" si="156"/>
        <v>-0.117986911695857</v>
      </c>
      <c r="U317" s="19">
        <f t="shared" si="156"/>
        <v>0.00868351750264673</v>
      </c>
      <c r="V317" s="19">
        <f t="shared" si="156"/>
        <v>0.179753753221966</v>
      </c>
      <c r="W317" s="19">
        <f t="shared" si="156"/>
        <v>0.302010502404342</v>
      </c>
      <c r="X317" s="19">
        <f t="shared" si="156"/>
        <v>0.481460362935097</v>
      </c>
      <c r="Y317" s="19">
        <f t="shared" si="156"/>
        <v>0.732846443084583</v>
      </c>
      <c r="Z317" s="19">
        <f t="shared" si="156"/>
        <v>0.496559085536068</v>
      </c>
      <c r="AA317" s="19">
        <f t="shared" si="156"/>
        <v>0.64063246420486</v>
      </c>
      <c r="AB317" s="19">
        <f t="shared" si="156"/>
        <v>0.540976809535283</v>
      </c>
      <c r="AC317" s="19">
        <f t="shared" si="156"/>
        <v>0.433072294885849</v>
      </c>
      <c r="AD317" s="19">
        <f t="shared" si="156"/>
        <v>0.700683844742586</v>
      </c>
      <c r="AE317" s="19">
        <f t="shared" si="156"/>
        <v>0.668675343567764</v>
      </c>
      <c r="AF317" s="19">
        <f t="shared" si="156"/>
        <v>0.663014530364919</v>
      </c>
      <c r="AG317" s="19">
        <f t="shared" si="156"/>
        <v>0.377533529341394</v>
      </c>
      <c r="AH317" s="19">
        <f t="shared" si="156"/>
        <v>0.391998630452287</v>
      </c>
      <c r="AI317" s="19">
        <f t="shared" si="156"/>
        <v>0.0856227330442574</v>
      </c>
      <c r="AJ317" s="19">
        <f t="shared" si="156"/>
        <v>-0.172432151256359</v>
      </c>
      <c r="AK317" s="19">
        <f t="shared" si="156"/>
        <v>-0.17611292018771</v>
      </c>
      <c r="AL317" s="19">
        <f t="shared" si="156"/>
        <v>-0.388670414244011</v>
      </c>
      <c r="AM317" s="19">
        <f t="shared" si="156"/>
        <v>-0.318239168718695</v>
      </c>
      <c r="AN317" s="19">
        <f t="shared" si="156"/>
        <v>-0.31139079883141</v>
      </c>
      <c r="AO317" s="14"/>
      <c r="AP317" s="14"/>
    </row>
    <row customHeight="1" ht="15">
      <c r="A318" s="9" t="s">
        <v>332</v>
      </c>
      <c r="C318" s="15">
        <f t="shared" si="157" ref="C318:I322">IF(OR(B178=0,B178="NM",C178="NM"),"NM",C178-B178)</f>
        <v>0.37922807081518</v>
      </c>
      <c r="D318" s="15">
        <f t="shared" si="157"/>
        <v>1.32550183150183</v>
      </c>
      <c r="E318" s="15">
        <f t="shared" si="157"/>
        <v>-0.62755950622677</v>
      </c>
      <c r="F318" s="15">
        <f t="shared" si="157"/>
        <v>-0.43106140381391</v>
      </c>
      <c r="G318" s="15">
        <f t="shared" si="157"/>
        <v>0.27089200410812</v>
      </c>
      <c r="H318" s="15">
        <f t="shared" si="157"/>
        <v>2.38045118429547</v>
      </c>
      <c r="I318" s="15">
        <f t="shared" si="157"/>
        <v>-2.13072671264641</v>
      </c>
      <c r="J318" s="16">
        <f>IF(OR('Rolling LTM'!AB178=0,'Rolling LTM'!AB178="NM",J178="NM"),"NM",J178-'Rolling LTM'!AB178)</f>
        <v>0.0234215016026402</v>
      </c>
      <c r="N318" s="15">
        <f t="shared" si="159" ref="N318:N321">IF(OR(B178=0,B178="NM",N178="NM"),"NM",N178-B178)</f>
        <v>0.37922807081518</v>
      </c>
      <c r="R318" s="15">
        <f t="shared" si="158" ref="R318:AN322">IF(OR(N178=0,N178="NM",R178="NM"),"NM",R178-N178)</f>
        <v>1.32550183150183</v>
      </c>
      <c r="S318" s="15">
        <f t="shared" si="158"/>
        <v>-1.79907016366391</v>
      </c>
      <c r="T318" s="15">
        <f t="shared" si="158"/>
        <v>2.76033886841653</v>
      </c>
      <c r="U318" s="15">
        <f t="shared" si="158"/>
        <v>0.22069697519296</v>
      </c>
      <c r="V318" s="15">
        <f t="shared" si="158"/>
        <v>-0.62755950622677</v>
      </c>
      <c r="W318" s="15">
        <f t="shared" si="158"/>
        <v>-1.36058691260458</v>
      </c>
      <c r="X318" s="15">
        <f t="shared" si="158"/>
        <v>-2.32816669325654</v>
      </c>
      <c r="Y318" s="15">
        <f t="shared" si="158"/>
        <v>-1.18729377958145</v>
      </c>
      <c r="Z318" s="15">
        <f t="shared" si="158"/>
        <v>-0.43106140381391</v>
      </c>
      <c r="AA318" s="15">
        <f t="shared" si="158"/>
        <v>0.26393240827519</v>
      </c>
      <c r="AB318" s="15">
        <f t="shared" si="158"/>
        <v>0.22592491851548</v>
      </c>
      <c r="AC318" s="15">
        <f t="shared" si="158"/>
        <v>0.37572017632416</v>
      </c>
      <c r="AD318" s="15">
        <f t="shared" si="158"/>
        <v>0.27089200410812</v>
      </c>
      <c r="AE318" s="15">
        <f t="shared" si="158"/>
        <v>0.60317114115552</v>
      </c>
      <c r="AF318" s="15">
        <f t="shared" si="158"/>
        <v>0.56067347953372</v>
      </c>
      <c r="AG318" s="15">
        <f t="shared" si="158"/>
        <v>0.12771820507523</v>
      </c>
      <c r="AH318" s="15">
        <f t="shared" si="158"/>
        <v>2.38045118429547</v>
      </c>
      <c r="AI318" s="15">
        <f t="shared" si="158"/>
        <v>-0.81721808833739</v>
      </c>
      <c r="AJ318" s="15">
        <f t="shared" si="158"/>
        <v>-1.1110260532781</v>
      </c>
      <c r="AK318" s="15">
        <f t="shared" si="158"/>
        <v>-0.23762715574539</v>
      </c>
      <c r="AL318" s="15">
        <f t="shared" si="158"/>
        <v>-2.13072671264641</v>
      </c>
      <c r="AM318" s="15">
        <f t="shared" si="158"/>
        <v>-0.45586847997587</v>
      </c>
      <c r="AN318" s="15">
        <f t="shared" si="158"/>
        <v>0.0234215016026402</v>
      </c>
      <c r="AO318" s="14"/>
      <c r="AP318" s="14"/>
    </row>
    <row customHeight="1" ht="15">
      <c r="A319" s="9" t="s">
        <v>333</v>
      </c>
      <c r="F319" s="15">
        <f t="shared" si="157"/>
        <v>-0.60193103225429</v>
      </c>
      <c r="G319" s="15">
        <f t="shared" si="157"/>
        <v>0.62247718355818</v>
      </c>
      <c r="H319" s="15">
        <f t="shared" si="157"/>
        <v>2.14984010301947</v>
      </c>
      <c r="I319" s="15">
        <f t="shared" si="157"/>
        <v>-2.38357374923862</v>
      </c>
      <c r="J319" s="14"/>
      <c r="Z319" s="15">
        <f t="shared" si="158"/>
        <v>-0.60193103225429</v>
      </c>
      <c r="AD319" s="15">
        <f t="shared" si="158"/>
        <v>0.62247718355818</v>
      </c>
      <c r="AH319" s="15">
        <f t="shared" si="158"/>
        <v>2.14984010301947</v>
      </c>
      <c r="AL319" s="15">
        <f t="shared" si="158"/>
        <v>-2.38357374923862</v>
      </c>
      <c r="AO319" s="14"/>
      <c r="AP319" s="14"/>
    </row>
    <row customHeight="1" ht="15">
      <c r="A320" s="9" t="s">
        <v>334</v>
      </c>
      <c r="C320" s="19">
        <f t="shared" si="155"/>
        <v>5.84804407459487</v>
      </c>
      <c r="D320" s="19">
        <f t="shared" si="155"/>
        <v>-0.231736093579063</v>
      </c>
      <c r="E320" s="19">
        <f t="shared" si="155"/>
        <v>0.152358126818325</v>
      </c>
      <c r="F320" s="19">
        <f t="shared" si="155"/>
        <v>0.494781468032927</v>
      </c>
      <c r="G320" s="19">
        <f t="shared" si="155"/>
        <v>1.59526116982716</v>
      </c>
      <c r="H320" s="19">
        <f t="shared" si="155"/>
        <v>0.484588665161209</v>
      </c>
      <c r="I320" s="19">
        <f t="shared" si="155"/>
        <v>-0.396003058015142</v>
      </c>
      <c r="J320" s="12">
        <f>IF(AND(J180=0,'Rolling LTM'!AB180=0),0,IF(OR('Rolling LTM'!AB180=0,'Rolling LTM'!AB180="NM",J180="NM"),"NM",IF('Rolling LTM'!AB180&lt;0,-(J180/'Rolling LTM'!AB180-1),J180/'Rolling LTM'!AB180-1)))</f>
        <v>-0.297505442019912</v>
      </c>
      <c r="N320" s="29">
        <v>5.8480440746</v>
      </c>
      <c r="R320" s="19">
        <f t="shared" si="156"/>
        <v>-0.231736093579063</v>
      </c>
      <c r="S320" s="19">
        <f t="shared" si="156"/>
        <v>-0.37756464348507</v>
      </c>
      <c r="T320" s="19">
        <f t="shared" si="156"/>
        <v>-0.0273244626102003</v>
      </c>
      <c r="U320" s="19">
        <f t="shared" si="156"/>
        <v>0.222062841812417</v>
      </c>
      <c r="V320" s="19">
        <f t="shared" si="156"/>
        <v>0.152358126818325</v>
      </c>
      <c r="W320" s="19">
        <f t="shared" si="156"/>
        <v>-0.178741658722593</v>
      </c>
      <c r="X320" s="19">
        <f t="shared" si="156"/>
        <v>0.179985507301943</v>
      </c>
      <c r="Y320" s="19">
        <f t="shared" si="156"/>
        <v>0.711055786326058</v>
      </c>
      <c r="Z320" s="19">
        <f t="shared" si="156"/>
        <v>0.494781468032927</v>
      </c>
      <c r="AA320" s="19">
        <f t="shared" si="156"/>
        <v>1.77608155809064</v>
      </c>
      <c r="AB320" s="19">
        <f t="shared" si="156"/>
        <v>1.35646353548974</v>
      </c>
      <c r="AC320" s="19">
        <f t="shared" si="156"/>
        <v>0.703247692928143</v>
      </c>
      <c r="AD320" s="19">
        <f t="shared" si="156"/>
        <v>1.59526116982716</v>
      </c>
      <c r="AE320" s="19">
        <f t="shared" si="156"/>
        <v>1.16422956769697</v>
      </c>
      <c r="AF320" s="19">
        <f t="shared" si="156"/>
        <v>0.846592217440644</v>
      </c>
      <c r="AG320" s="19">
        <f t="shared" si="156"/>
        <v>0.505632779456895</v>
      </c>
      <c r="AH320" s="19">
        <f t="shared" si="156"/>
        <v>0.484588665161209</v>
      </c>
      <c r="AI320" s="19">
        <f t="shared" si="156"/>
        <v>0.139211550247281</v>
      </c>
      <c r="AJ320" s="19">
        <f t="shared" si="156"/>
        <v>-0.135913746614626</v>
      </c>
      <c r="AK320" s="19">
        <f t="shared" si="156"/>
        <v>-0.187179453576514</v>
      </c>
      <c r="AL320" s="19">
        <f t="shared" si="156"/>
        <v>-0.396003058015142</v>
      </c>
      <c r="AM320" s="19">
        <f t="shared" si="156"/>
        <v>-0.326877725023614</v>
      </c>
      <c r="AN320" s="19">
        <f t="shared" si="156"/>
        <v>-0.297505442019912</v>
      </c>
      <c r="AO320" s="14"/>
      <c r="AP320" s="14"/>
    </row>
    <row customHeight="1" ht="15">
      <c r="A321" s="9" t="s">
        <v>335</v>
      </c>
      <c r="C321" s="15">
        <f t="shared" si="157"/>
        <v>-0.32875069546082</v>
      </c>
      <c r="D321" s="15">
        <f t="shared" si="157"/>
        <v>0.7050715950716</v>
      </c>
      <c r="E321" s="15">
        <f t="shared" si="157"/>
        <v>-0.39262787209026</v>
      </c>
      <c r="F321" s="15">
        <f t="shared" si="157"/>
        <v>-0.23808864925879</v>
      </c>
      <c r="G321" s="15">
        <f t="shared" si="157"/>
        <v>0.99400886440315</v>
      </c>
      <c r="H321" s="15">
        <f t="shared" si="157"/>
        <v>2.28491619312392</v>
      </c>
      <c r="I321" s="15">
        <f t="shared" si="157"/>
        <v>-1.93320155198215</v>
      </c>
      <c r="J321" s="16">
        <f>IF(OR('Rolling LTM'!AB181=0,'Rolling LTM'!AB181="NM",J181="NM"),"NM",J181-'Rolling LTM'!AB181)</f>
        <v>0.0640003894490397</v>
      </c>
      <c r="N321" s="15">
        <f t="shared" si="159"/>
        <v>-0.32875069546082</v>
      </c>
      <c r="R321" s="15">
        <f t="shared" si="158"/>
        <v>0.7050715950716</v>
      </c>
      <c r="S321" s="15">
        <f t="shared" si="158"/>
        <v>-1.86214302369088</v>
      </c>
      <c r="T321" s="15">
        <f t="shared" si="158"/>
        <v>1.80542802643873</v>
      </c>
      <c r="U321" s="15">
        <f t="shared" si="158"/>
        <v>0.55054388757901</v>
      </c>
      <c r="V321" s="15">
        <f t="shared" si="158"/>
        <v>-0.39262787209026</v>
      </c>
      <c r="W321" s="15">
        <f t="shared" si="158"/>
        <v>-1.51434279490612</v>
      </c>
      <c r="X321" s="15">
        <f t="shared" si="158"/>
        <v>-1.75901896128476</v>
      </c>
      <c r="Y321" s="15">
        <f t="shared" si="158"/>
        <v>-0.78279022667016</v>
      </c>
      <c r="Z321" s="15">
        <f t="shared" si="158"/>
        <v>-0.23808864925879</v>
      </c>
      <c r="AA321" s="15">
        <f t="shared" si="158"/>
        <v>0.95541656918664</v>
      </c>
      <c r="AB321" s="15">
        <f t="shared" si="158"/>
        <v>0.89446146195058</v>
      </c>
      <c r="AC321" s="15">
        <f t="shared" si="158"/>
        <v>0.6034440972223</v>
      </c>
      <c r="AD321" s="15">
        <f t="shared" si="158"/>
        <v>0.99400886440315</v>
      </c>
      <c r="AE321" s="15">
        <f t="shared" si="158"/>
        <v>1.14303555887974</v>
      </c>
      <c r="AF321" s="15">
        <f t="shared" si="158"/>
        <v>0.70904450365305</v>
      </c>
      <c r="AG321" s="15">
        <f t="shared" si="158"/>
        <v>0.31936056054551</v>
      </c>
      <c r="AH321" s="15">
        <f t="shared" si="158"/>
        <v>2.28491619312392</v>
      </c>
      <c r="AI321" s="15">
        <f t="shared" si="158"/>
        <v>-0.58788502769027</v>
      </c>
      <c r="AJ321" s="15">
        <f t="shared" si="158"/>
        <v>-0.8170328920582</v>
      </c>
      <c r="AK321" s="15">
        <f t="shared" si="158"/>
        <v>-0.22802412022493</v>
      </c>
      <c r="AL321" s="15">
        <f t="shared" si="158"/>
        <v>-1.93320155198215</v>
      </c>
      <c r="AM321" s="15">
        <f t="shared" si="158"/>
        <v>-0.44479025089401</v>
      </c>
      <c r="AN321" s="15">
        <f t="shared" si="158"/>
        <v>0.0640003894490397</v>
      </c>
      <c r="AO321" s="14"/>
      <c r="AP321" s="14"/>
    </row>
    <row customHeight="1" ht="15">
      <c r="A322" s="9" t="s">
        <v>336</v>
      </c>
      <c r="F322" s="15">
        <f t="shared" si="157"/>
        <v>-0.33166426175213</v>
      </c>
      <c r="G322" s="15">
        <f t="shared" si="157"/>
        <v>1.2378155801195</v>
      </c>
      <c r="H322" s="15">
        <f t="shared" si="157"/>
        <v>2.08926073780008</v>
      </c>
      <c r="I322" s="15">
        <f t="shared" si="157"/>
        <v>-2.15530153073267</v>
      </c>
      <c r="J322" s="14"/>
      <c r="Z322" s="15">
        <f t="shared" si="158"/>
        <v>-0.33166426175213</v>
      </c>
      <c r="AD322" s="15">
        <f t="shared" si="158"/>
        <v>1.2378155801195</v>
      </c>
      <c r="AH322" s="15">
        <f t="shared" si="158"/>
        <v>2.08926073780008</v>
      </c>
      <c r="AL322" s="15">
        <f t="shared" si="158"/>
        <v>-2.15530153073267</v>
      </c>
      <c r="AO322" s="14"/>
      <c r="AP322" s="14"/>
    </row>
    <row customHeight="1" ht="15">
      <c r="A323" s="9" t="s">
        <v>337</v>
      </c>
      <c r="C323" s="30">
        <f t="shared" si="160" ref="C323:I326">IF(OR(B267=0,B267="NM",C267="NM"),"NM",10000*(C267-B267))</f>
        <v>433.6554229986</v>
      </c>
      <c r="D323" s="30">
        <f t="shared" si="160"/>
        <v>780.1849597023</v>
      </c>
      <c r="E323" s="30">
        <f t="shared" si="160"/>
        <v>-48.7180066670501</v>
      </c>
      <c r="F323" s="30">
        <f t="shared" si="160"/>
        <v>-378.92405558856</v>
      </c>
      <c r="G323" s="30">
        <f t="shared" si="160"/>
        <v>225.40656533623</v>
      </c>
      <c r="H323" s="30">
        <f t="shared" si="160"/>
        <v>570.372007254411</v>
      </c>
      <c r="I323" s="30">
        <f t="shared" si="160"/>
        <v>151.79542825019</v>
      </c>
      <c r="J323" s="23">
        <f>IF(OR('Rolling LTM'!AB267=0,'Rolling LTM'!AB267="NM",J267="NM"),"NM",10000*(J267-'Rolling LTM'!AB267))</f>
        <v>-469.12721823375</v>
      </c>
      <c r="O323" s="30">
        <f t="shared" si="161" ref="O323:AN326">IF(OR(K267=0,K267="NM",O267="NM"),"NM",10000*(O267-K267))</f>
        <v>-239.43806805491</v>
      </c>
      <c r="P323" s="30">
        <f t="shared" si="161"/>
        <v>1994.89575948877</v>
      </c>
      <c r="Q323" s="30">
        <f t="shared" si="161"/>
        <v>1410.23347819482</v>
      </c>
      <c r="R323" s="30">
        <f t="shared" si="161"/>
        <v>880.40739366027</v>
      </c>
      <c r="S323" s="30">
        <f t="shared" si="161"/>
        <v>1053.94855480211</v>
      </c>
      <c r="T323" s="30">
        <f t="shared" si="161"/>
        <v>-1406.86669681717</v>
      </c>
      <c r="U323" s="30">
        <f t="shared" si="161"/>
        <v>-549.74000443928</v>
      </c>
      <c r="V323" s="30">
        <f t="shared" si="161"/>
        <v>-134.13750737764</v>
      </c>
      <c r="W323" s="30">
        <f t="shared" si="161"/>
        <v>-720.77960181127</v>
      </c>
      <c r="X323" s="30">
        <f t="shared" si="161"/>
        <v>-431.4003285849</v>
      </c>
      <c r="Y323" s="30">
        <f t="shared" si="161"/>
        <v>-14.9035512490697</v>
      </c>
      <c r="Z323" s="30">
        <f t="shared" si="161"/>
        <v>-489.90443108715</v>
      </c>
      <c r="AA323" s="30">
        <f t="shared" si="161"/>
        <v>-286.00869319326</v>
      </c>
      <c r="AB323" s="30">
        <f t="shared" si="161"/>
        <v>676.17911436865</v>
      </c>
      <c r="AC323" s="30">
        <f t="shared" si="161"/>
        <v>516.37146619996</v>
      </c>
      <c r="AD323" s="30">
        <f t="shared" si="161"/>
        <v>-163.18450496221</v>
      </c>
      <c r="AE323" s="30">
        <f t="shared" si="161"/>
        <v>-216.28952398469</v>
      </c>
      <c r="AF323" s="30">
        <f t="shared" si="161"/>
        <v>361.66559068386</v>
      </c>
      <c r="AG323" s="30">
        <f t="shared" si="161"/>
        <v>284.90491759985</v>
      </c>
      <c r="AH323" s="30">
        <f t="shared" si="161"/>
        <v>10950.1122032436</v>
      </c>
      <c r="AI323" s="30">
        <f t="shared" si="161"/>
        <v>724.9509920429</v>
      </c>
      <c r="AJ323" s="30">
        <f t="shared" si="161"/>
        <v>417.00621509972</v>
      </c>
      <c r="AK323" s="30">
        <f t="shared" si="161"/>
        <v>428.43052246155</v>
      </c>
      <c r="AL323" s="30">
        <f t="shared" si="161"/>
        <v>-8219.85099320144</v>
      </c>
      <c r="AM323" s="30">
        <f t="shared" si="161"/>
        <v>88.4307500315495</v>
      </c>
      <c r="AN323" s="30">
        <f t="shared" si="161"/>
        <v>-1110.44906715612</v>
      </c>
      <c r="AO323" s="14"/>
      <c r="AP323" s="14"/>
    </row>
    <row customHeight="1" ht="15">
      <c r="A324" s="9" t="s">
        <v>338</v>
      </c>
      <c r="C324" s="30">
        <f t="shared" si="160"/>
        <v>2946.69701962006</v>
      </c>
      <c r="D324" s="30">
        <f t="shared" si="160"/>
        <v>-1962.32174137525</v>
      </c>
      <c r="E324" s="30">
        <f t="shared" si="160"/>
        <v>-42.9895865440499</v>
      </c>
      <c r="F324" s="30">
        <f t="shared" si="160"/>
        <v>-72.6322541928401</v>
      </c>
      <c r="G324" s="30">
        <f t="shared" si="160"/>
        <v>383.83403525248</v>
      </c>
      <c r="H324" s="30">
        <f t="shared" si="160"/>
        <v>-318.01418339854</v>
      </c>
      <c r="I324" s="30">
        <f t="shared" si="160"/>
        <v>-30.1430210675499</v>
      </c>
      <c r="J324" s="23">
        <f>IF(OR('Rolling LTM'!AB268=0,'Rolling LTM'!AB268="NM",J268="NM"),"NM",10000*(J268-'Rolling LTM'!AB268))</f>
        <v>-1229.61496981562</v>
      </c>
      <c r="O324" s="30">
        <f t="shared" si="161"/>
        <v>563.29110679318</v>
      </c>
      <c r="P324" s="30">
        <f t="shared" si="161"/>
        <v>2062.9825041427</v>
      </c>
      <c r="Q324" s="30">
        <f t="shared" si="161"/>
        <v>-6824.0525489706</v>
      </c>
      <c r="R324" s="30">
        <f t="shared" si="161"/>
        <v>113.03550117419</v>
      </c>
      <c r="S324" s="30">
        <f t="shared" si="161"/>
        <v>16.78622489241</v>
      </c>
      <c r="T324" s="30">
        <f t="shared" si="161"/>
        <v>-1666.55828841719</v>
      </c>
      <c r="U324" s="30">
        <f t="shared" si="161"/>
        <v>540.69797903321</v>
      </c>
      <c r="V324" s="30">
        <f t="shared" si="161"/>
        <v>222.4886999644</v>
      </c>
      <c r="W324" s="30">
        <f t="shared" si="161"/>
        <v>235.94660113209</v>
      </c>
      <c r="X324" s="30">
        <f t="shared" si="161"/>
        <v>416.7948281203</v>
      </c>
      <c r="Y324" s="30">
        <f t="shared" si="161"/>
        <v>592.73001199397</v>
      </c>
      <c r="Z324" s="30">
        <f t="shared" si="161"/>
        <v>-668.9317777292</v>
      </c>
      <c r="AA324" s="30">
        <f t="shared" si="161"/>
        <v>-855.255213981657</v>
      </c>
      <c r="AB324" s="30">
        <f t="shared" si="161"/>
        <v>462.40224882541</v>
      </c>
      <c r="AC324" s="30">
        <f t="shared" si="161"/>
        <v>374.32664626278</v>
      </c>
      <c r="AD324" s="30">
        <f t="shared" si="161"/>
        <v>278.48685107303</v>
      </c>
      <c r="AE324" s="30">
        <f t="shared" si="161"/>
        <v>-339.845004499626</v>
      </c>
      <c r="AF324" s="30">
        <f t="shared" si="161"/>
        <v>323.35601833989</v>
      </c>
      <c r="AG324" s="30">
        <f t="shared" si="161"/>
        <v>83.33692478589</v>
      </c>
      <c r="AH324" s="30">
        <f t="shared" si="161"/>
        <v>22979.5788838329</v>
      </c>
      <c r="AI324" s="30">
        <f t="shared" si="161"/>
        <v>553.128058856584</v>
      </c>
      <c r="AJ324" s="30">
        <f t="shared" si="161"/>
        <v>470.61240740164</v>
      </c>
      <c r="AK324" s="30">
        <f t="shared" si="161"/>
        <v>201.29301060265</v>
      </c>
      <c r="AL324" s="30">
        <f t="shared" si="161"/>
        <v>-19964.0423241221</v>
      </c>
      <c r="AM324" s="30">
        <f t="shared" si="161"/>
        <v>-230.240726486538</v>
      </c>
      <c r="AN324" s="30">
        <f t="shared" si="161"/>
        <v>-1448.09053861487</v>
      </c>
      <c r="AO324" s="14"/>
      <c r="AP324" s="14"/>
    </row>
    <row customHeight="1" ht="15">
      <c r="A325" s="9" t="s">
        <v>339</v>
      </c>
      <c r="F325" s="30">
        <f t="shared" si="160"/>
        <v>27.35908357517</v>
      </c>
      <c r="G325" s="30">
        <f t="shared" si="160"/>
        <v>177.43383292439</v>
      </c>
      <c r="H325" s="30">
        <f t="shared" si="160"/>
        <v>-197.76528877425</v>
      </c>
      <c r="I325" s="30">
        <f t="shared" si="160"/>
        <v>112.69699578756</v>
      </c>
      <c r="J325" s="14"/>
      <c r="AO325" s="14"/>
      <c r="AP325" s="14"/>
    </row>
    <row customHeight="1" ht="15">
      <c r="A326" s="9" t="s">
        <v>340</v>
      </c>
      <c r="C326" s="30">
        <f t="shared" si="160"/>
        <v>88.12889466261</v>
      </c>
      <c r="D326" s="30">
        <f t="shared" si="160"/>
        <v>-686.408485946163</v>
      </c>
      <c r="E326" s="30">
        <f t="shared" si="160"/>
        <v>1050.08704701137</v>
      </c>
      <c r="F326" s="30">
        <f t="shared" si="160"/>
        <v>86.315595971109</v>
      </c>
      <c r="G326" s="30">
        <f t="shared" si="160"/>
        <v>-168.700827606507</v>
      </c>
      <c r="H326" s="30">
        <f t="shared" si="160"/>
        <v>-262.913735964206</v>
      </c>
      <c r="I326" s="30">
        <f t="shared" si="160"/>
        <v>-746.397546459404</v>
      </c>
      <c r="J326" s="23">
        <f>IF(OR('Rolling LTM'!AB270=0,'Rolling LTM'!AB270="NM",J270="NM"),"NM",10000*(J270-'Rolling LTM'!AB270))</f>
        <v>-1201.5254764616</v>
      </c>
      <c r="O326" s="30">
        <f t="shared" si="161"/>
        <v>-107.064822047252</v>
      </c>
      <c r="P326" s="30">
        <f t="shared" si="161"/>
        <v>299.434177567959</v>
      </c>
      <c r="Q326" s="30">
        <f t="shared" si="161"/>
        <v>-1031.1844569371</v>
      </c>
      <c r="R326" s="30">
        <f t="shared" si="161"/>
        <v>-1874.83701304349</v>
      </c>
      <c r="S326" s="30">
        <f t="shared" si="161"/>
        <v>613.278410099973</v>
      </c>
      <c r="T326" s="30">
        <f t="shared" si="161"/>
        <v>57.1856013162379</v>
      </c>
      <c r="U326" s="30">
        <f t="shared" si="161"/>
        <v>1953.28872816444</v>
      </c>
      <c r="V326" s="30">
        <f t="shared" si="161"/>
        <v>1773.96693227443</v>
      </c>
      <c r="W326" s="30">
        <f t="shared" si="161"/>
        <v>-478.987126903225</v>
      </c>
      <c r="X326" s="30">
        <f t="shared" si="161"/>
        <v>236.813859142943</v>
      </c>
      <c r="Y326" s="30">
        <f t="shared" si="161"/>
        <v>447.16307242533</v>
      </c>
      <c r="Z326" s="30">
        <f t="shared" si="161"/>
        <v>-197.122491853377</v>
      </c>
      <c r="AA326" s="30">
        <f t="shared" si="161"/>
        <v>-725.313254439731</v>
      </c>
      <c r="AB326" s="30">
        <f t="shared" si="161"/>
        <v>101.12131949711</v>
      </c>
      <c r="AC326" s="30">
        <f t="shared" si="161"/>
        <v>39.5767856481799</v>
      </c>
      <c r="AD326" s="30">
        <f t="shared" si="161"/>
        <v>-253.10187315551</v>
      </c>
      <c r="AE326" s="30">
        <f t="shared" si="161"/>
        <v>-900.354981479548</v>
      </c>
      <c r="AF326" s="30">
        <f t="shared" si="161"/>
        <v>-47.5165800814401</v>
      </c>
      <c r="AG326" s="30">
        <f t="shared" si="161"/>
        <v>-99.8051628938701</v>
      </c>
      <c r="AH326" s="30">
        <f t="shared" si="161"/>
        <v>-10574.0373089819</v>
      </c>
      <c r="AI326" s="30">
        <f t="shared" si="161"/>
        <v>1.14591951424992</v>
      </c>
      <c r="AJ326" s="30">
        <f t="shared" si="161"/>
        <v>311.85095732184</v>
      </c>
      <c r="AK326" s="30">
        <f t="shared" si="161"/>
        <v>14.7194180987301</v>
      </c>
      <c r="AL326" s="30">
        <f t="shared" si="161"/>
        <v>6312.0604294997</v>
      </c>
      <c r="AM326" s="30">
        <f t="shared" si="161"/>
        <v>496.394170575034</v>
      </c>
      <c r="AN326" s="30">
        <f t="shared" si="161"/>
        <v>-1824.12343224494</v>
      </c>
      <c r="AO326" s="14"/>
      <c r="AP326" s="14"/>
    </row>
    <row customHeight="1" ht="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</row>
    <row r="330" customHeight="1" ht="30">
      <c r="A330" s="9"/>
    </row>
    <row customHeight="1" ht="54">
      <c r="A331" s="31" t="s">
        <v>341</v>
      </c>
    </row>
    <row r="335" customHeight="1" ht="15">
      <c r="A335" s="31" t="s">
        <v>342</v>
      </c>
    </row>
    <row customHeight="1" ht="15">
      <c r="A336" s="32" t="s">
        <v>343</v>
      </c>
    </row>
  </sheetData>
  <hyperlinks>
    <hyperlink ref="A336" r:id="rId1" tooltip="Source location" xr:uid="{0C757649-47B4-24F9-6ED8-F408055FFF78}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9ADF8B-2056-717B-BA19-0D795574E0B1}" mc:Ignorable="x14ac xr xr2 xr3">
  <dimension ref="A1:AF337"/>
  <sheetViews>
    <sheetView defaultGridColor="0" colorId="9" showGridLines="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32" width="10.7109375" customWidth="1"/>
  </cols>
  <sheetData>
    <row customHeight="1" ht="15">
      <c r="A1" s="0" t="s">
        <v>0</v>
      </c>
      <c r="B1" s="1" t="s">
        <v>1</v>
      </c>
      <c r="C1" s="1" t="s">
        <v>10</v>
      </c>
      <c r="D1" s="1" t="s">
        <v>344</v>
      </c>
      <c r="E1" s="1" t="s">
        <v>12</v>
      </c>
      <c r="F1" s="1" t="s">
        <v>2</v>
      </c>
      <c r="G1" s="1" t="s">
        <v>14</v>
      </c>
      <c r="H1" s="1" t="s">
        <v>345</v>
      </c>
      <c r="I1" s="1" t="s">
        <v>16</v>
      </c>
      <c r="J1" s="1" t="s">
        <v>3</v>
      </c>
      <c r="K1" s="1" t="s">
        <v>18</v>
      </c>
      <c r="L1" s="1" t="s">
        <v>346</v>
      </c>
      <c r="M1" s="1" t="s">
        <v>20</v>
      </c>
      <c r="N1" s="1" t="s">
        <v>4</v>
      </c>
      <c r="O1" s="1" t="s">
        <v>22</v>
      </c>
      <c r="P1" s="1" t="s">
        <v>347</v>
      </c>
      <c r="Q1" s="1" t="s">
        <v>24</v>
      </c>
      <c r="R1" s="1" t="s">
        <v>5</v>
      </c>
      <c r="S1" s="1" t="s">
        <v>26</v>
      </c>
      <c r="T1" s="1" t="s">
        <v>348</v>
      </c>
      <c r="U1" s="1" t="s">
        <v>28</v>
      </c>
      <c r="V1" s="1" t="s">
        <v>6</v>
      </c>
      <c r="W1" s="1" t="s">
        <v>30</v>
      </c>
      <c r="X1" s="1" t="s">
        <v>349</v>
      </c>
      <c r="Y1" s="1" t="s">
        <v>32</v>
      </c>
      <c r="Z1" s="1" t="s">
        <v>7</v>
      </c>
      <c r="AA1" s="1" t="s">
        <v>34</v>
      </c>
      <c r="AB1" s="1" t="s">
        <v>350</v>
      </c>
      <c r="AC1" s="1" t="s">
        <v>36</v>
      </c>
      <c r="AD1" s="1" t="s">
        <v>8</v>
      </c>
      <c r="AE1" s="1" t="s">
        <v>38</v>
      </c>
      <c r="AF1" s="1" t="s">
        <v>351</v>
      </c>
    </row>
    <row customHeight="1" ht="15">
      <c r="A2" s="2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customHeight="1" ht="15">
      <c r="A3" s="4" t="s">
        <v>43</v>
      </c>
      <c r="B3" s="5">
        <v>432.474</v>
      </c>
      <c r="C3" s="5">
        <v>93.496</v>
      </c>
      <c r="D3" s="5">
        <v>205.02</v>
      </c>
      <c r="E3" s="5">
        <v>320.448</v>
      </c>
      <c r="F3" s="5">
        <v>607.3</v>
      </c>
      <c r="G3" s="5">
        <v>267.869</v>
      </c>
      <c r="H3" s="5">
        <v>400.847</v>
      </c>
      <c r="I3" s="5">
        <v>534.639</v>
      </c>
      <c r="J3" s="5">
        <v>695.672</v>
      </c>
      <c r="K3" s="5">
        <v>162.144</v>
      </c>
      <c r="L3" s="5">
        <v>368.571</v>
      </c>
      <c r="M3" s="5">
        <v>668.286</v>
      </c>
      <c r="N3" s="5">
        <v>1014.891</v>
      </c>
      <c r="O3" s="5">
        <v>317.129</v>
      </c>
      <c r="P3" s="5">
        <v>780.635</v>
      </c>
      <c r="Q3" s="5">
        <v>1344.539</v>
      </c>
      <c r="R3" s="5">
        <v>1852.686</v>
      </c>
      <c r="S3" s="5">
        <v>404.776</v>
      </c>
      <c r="T3" s="5">
        <v>954.678</v>
      </c>
      <c r="U3" s="5">
        <v>1642.213</v>
      </c>
      <c r="V3" s="5">
        <v>2262.773</v>
      </c>
      <c r="W3" s="5">
        <v>508.778</v>
      </c>
      <c r="X3" s="5">
        <v>1228.894</v>
      </c>
      <c r="Y3" s="5">
        <v>2057.399</v>
      </c>
      <c r="Z3" s="5">
        <v>2103.272</v>
      </c>
      <c r="AA3" s="5">
        <v>457.491</v>
      </c>
      <c r="AB3" s="5">
        <v>1018.442</v>
      </c>
      <c r="AC3" s="5">
        <v>1913.128</v>
      </c>
      <c r="AD3" s="5">
        <v>2189.312</v>
      </c>
      <c r="AE3" s="5">
        <v>522.848</v>
      </c>
      <c r="AF3" s="5">
        <v>1114.52</v>
      </c>
    </row>
    <row customHeight="1" ht="15">
      <c r="A4" s="9" t="s">
        <v>44</v>
      </c>
      <c r="B4" s="0">
        <v>0.262</v>
      </c>
      <c r="C4" s="0">
        <v>0.16</v>
      </c>
      <c r="D4" s="0">
        <v>0.267</v>
      </c>
      <c r="E4" s="0">
        <v>0.403</v>
      </c>
      <c r="F4" s="0">
        <v>0.879</v>
      </c>
      <c r="G4" s="0">
        <v>1.034</v>
      </c>
      <c r="H4" s="0">
        <v>12.043</v>
      </c>
      <c r="I4" s="0">
        <v>13.38</v>
      </c>
      <c r="J4" s="0">
        <v>13.218</v>
      </c>
      <c r="K4" s="0">
        <v>0.889</v>
      </c>
      <c r="L4" s="0">
        <v>2.758</v>
      </c>
      <c r="M4" s="0">
        <v>4.186</v>
      </c>
      <c r="N4" s="0">
        <v>3.332</v>
      </c>
      <c r="O4" s="0">
        <v>0.746</v>
      </c>
      <c r="P4" s="0">
        <v>2.881</v>
      </c>
      <c r="Q4" s="0">
        <v>4.346</v>
      </c>
      <c r="R4" s="0">
        <v>2.832</v>
      </c>
      <c r="S4" s="0">
        <v>0.783</v>
      </c>
      <c r="T4" s="0">
        <v>1.196</v>
      </c>
      <c r="U4" s="0">
        <v>4.762</v>
      </c>
      <c r="V4" s="0">
        <v>3.466</v>
      </c>
      <c r="W4" s="0">
        <v>1.109</v>
      </c>
      <c r="X4" s="0">
        <v>2.167</v>
      </c>
      <c r="Y4" s="0">
        <v>2.908</v>
      </c>
      <c r="Z4" s="0">
        <v>2.154</v>
      </c>
      <c r="AA4" s="0">
        <v>0.771</v>
      </c>
      <c r="AB4" s="0">
        <v>1.748</v>
      </c>
      <c r="AC4" s="0">
        <v>3.246</v>
      </c>
      <c r="AD4" s="0">
        <v>6.403</v>
      </c>
      <c r="AE4" s="0">
        <v>1.269</v>
      </c>
      <c r="AF4" s="0">
        <v>3.5</v>
      </c>
    </row>
    <row customHeight="1" ht="15">
      <c r="A5" s="9" t="s">
        <v>45</v>
      </c>
      <c r="B5" s="0">
        <v>-312.579</v>
      </c>
      <c r="C5" s="0">
        <v>-62.428</v>
      </c>
      <c r="D5" s="0">
        <v>-138.098</v>
      </c>
      <c r="E5" s="0">
        <v>-218.973</v>
      </c>
      <c r="F5" s="0">
        <v>-412.602</v>
      </c>
      <c r="G5" s="0">
        <v>-185.272</v>
      </c>
      <c r="H5" s="0">
        <v>-248.971</v>
      </c>
      <c r="I5" s="0">
        <v>-323.845</v>
      </c>
      <c r="J5" s="0">
        <v>-418.367</v>
      </c>
      <c r="K5" s="0">
        <v>-95.058</v>
      </c>
      <c r="L5" s="0">
        <v>-222.982</v>
      </c>
      <c r="M5" s="0">
        <v>-407.188</v>
      </c>
      <c r="N5" s="0">
        <v>-615.285</v>
      </c>
      <c r="O5" s="0">
        <v>-208.777</v>
      </c>
      <c r="P5" s="0">
        <v>-516.01</v>
      </c>
      <c r="Q5" s="0">
        <v>-863.428</v>
      </c>
      <c r="R5" s="0">
        <v>-1193.407</v>
      </c>
      <c r="S5" s="0">
        <v>-278.055</v>
      </c>
      <c r="T5" s="0">
        <v>-605.372</v>
      </c>
      <c r="U5" s="0">
        <v>-993.456</v>
      </c>
      <c r="V5" s="0">
        <v>-1406.56</v>
      </c>
      <c r="W5" s="0">
        <v>-360.502</v>
      </c>
      <c r="X5" s="0">
        <v>-763.091</v>
      </c>
      <c r="Y5" s="0">
        <v>-1207.142</v>
      </c>
      <c r="Z5" s="0">
        <v>-1187.448</v>
      </c>
      <c r="AA5" s="0">
        <v>-290.996</v>
      </c>
      <c r="AB5" s="0">
        <v>-581.21</v>
      </c>
      <c r="AC5" s="0">
        <v>-1094.342</v>
      </c>
      <c r="AD5" s="0">
        <v>-1202.791</v>
      </c>
      <c r="AE5" s="0">
        <v>-327.944</v>
      </c>
      <c r="AF5" s="0">
        <v>-699.754</v>
      </c>
    </row>
    <row customHeight="1" ht="15">
      <c r="A6" s="9" t="s">
        <v>46</v>
      </c>
      <c r="B6" s="0">
        <v>-6.853</v>
      </c>
      <c r="C6" s="0">
        <v>-2.936</v>
      </c>
      <c r="D6" s="0">
        <v>-6.166</v>
      </c>
      <c r="E6" s="0">
        <v>-9.593</v>
      </c>
      <c r="F6" s="0">
        <v>-34.732</v>
      </c>
      <c r="G6" s="0">
        <v>-26.639</v>
      </c>
      <c r="H6" s="0">
        <v>-53.231</v>
      </c>
      <c r="I6" s="0">
        <v>-77.619</v>
      </c>
      <c r="J6" s="0">
        <v>-99.205</v>
      </c>
      <c r="K6" s="0">
        <v>-18.04</v>
      </c>
      <c r="L6" s="0">
        <v>-35.1</v>
      </c>
      <c r="M6" s="0">
        <v>-54.207</v>
      </c>
      <c r="N6" s="0">
        <v>-74.338</v>
      </c>
      <c r="O6" s="0">
        <v>-21.68</v>
      </c>
      <c r="P6" s="0">
        <v>-48.19</v>
      </c>
      <c r="Q6" s="0">
        <v>-84.391</v>
      </c>
      <c r="R6" s="0">
        <v>-114.781</v>
      </c>
      <c r="S6" s="0">
        <v>-41.974</v>
      </c>
      <c r="T6" s="0">
        <v>-92.017</v>
      </c>
      <c r="U6" s="0">
        <v>-156.588</v>
      </c>
      <c r="V6" s="0">
        <v>-239.28</v>
      </c>
      <c r="W6" s="0">
        <v>-81.707</v>
      </c>
      <c r="X6" s="0">
        <v>-171.318</v>
      </c>
      <c r="Y6" s="0">
        <v>-265.277</v>
      </c>
      <c r="Z6" s="0">
        <v>-220.229</v>
      </c>
      <c r="AA6" s="0">
        <v>-62.883</v>
      </c>
      <c r="AB6" s="0">
        <v>-123.235</v>
      </c>
      <c r="AC6" s="0">
        <v>-284.197</v>
      </c>
      <c r="AD6" s="0">
        <v>-265.414</v>
      </c>
      <c r="AE6" s="0">
        <v>-72.539</v>
      </c>
      <c r="AF6" s="0">
        <v>-125.86</v>
      </c>
    </row>
    <row customHeight="1" ht="15">
      <c r="A7" s="9" t="s">
        <v>47</v>
      </c>
      <c r="B7" s="0">
        <v>-71.907</v>
      </c>
      <c r="C7" s="0">
        <v>-20.556</v>
      </c>
      <c r="D7" s="0">
        <v>-41.589</v>
      </c>
      <c r="E7" s="0">
        <v>-61.923</v>
      </c>
      <c r="F7" s="0">
        <v>-96.702</v>
      </c>
      <c r="G7" s="0">
        <v>-39.977</v>
      </c>
      <c r="H7" s="0">
        <v>-72.448</v>
      </c>
      <c r="I7" s="0">
        <v>-108.718</v>
      </c>
      <c r="J7" s="0">
        <v>-145.734</v>
      </c>
      <c r="K7" s="0">
        <v>-38.995</v>
      </c>
      <c r="L7" s="0">
        <v>-82.325</v>
      </c>
      <c r="M7" s="0">
        <v>-134.315</v>
      </c>
      <c r="N7" s="0">
        <v>-200.189</v>
      </c>
      <c r="O7" s="0">
        <v>-66.068</v>
      </c>
      <c r="P7" s="0">
        <v>-142.623</v>
      </c>
      <c r="Q7" s="0">
        <v>-221.076</v>
      </c>
      <c r="R7" s="0">
        <v>-306.593</v>
      </c>
      <c r="S7" s="0">
        <v>-85.755</v>
      </c>
      <c r="T7" s="0">
        <v>-181.897</v>
      </c>
      <c r="U7" s="0">
        <v>-282.972</v>
      </c>
      <c r="V7" s="0">
        <v>-395.763</v>
      </c>
      <c r="W7" s="0">
        <v>-115.571</v>
      </c>
      <c r="X7" s="0">
        <v>-240.08</v>
      </c>
      <c r="Y7" s="0">
        <v>-363.562</v>
      </c>
      <c r="Z7" s="0">
        <v>-470.48</v>
      </c>
      <c r="AA7" s="0">
        <v>-128.452</v>
      </c>
      <c r="AB7" s="0">
        <v>-254.09</v>
      </c>
      <c r="AC7" s="0">
        <v>-402.217</v>
      </c>
      <c r="AD7" s="0">
        <v>-519.925</v>
      </c>
      <c r="AE7" s="0">
        <v>-141.944</v>
      </c>
      <c r="AF7" s="0">
        <v>-278.917</v>
      </c>
    </row>
    <row customHeight="1" ht="15">
      <c r="A8" s="9" t="s">
        <v>48</v>
      </c>
      <c r="B8" s="0">
        <v>-22.952</v>
      </c>
      <c r="C8" s="0">
        <v>-5.566</v>
      </c>
      <c r="D8" s="0">
        <v>-12.151</v>
      </c>
      <c r="E8" s="0">
        <v>-18.504</v>
      </c>
      <c r="F8" s="0">
        <v>-34.741</v>
      </c>
      <c r="G8" s="0">
        <v>-12.328</v>
      </c>
      <c r="H8" s="0">
        <v>-22.284</v>
      </c>
      <c r="I8" s="0">
        <v>-32.791</v>
      </c>
      <c r="J8" s="0">
        <v>-46.596</v>
      </c>
      <c r="K8" s="0">
        <v>-11.52</v>
      </c>
      <c r="L8" s="0">
        <v>-24.036</v>
      </c>
      <c r="M8" s="0">
        <v>-38.095</v>
      </c>
      <c r="N8" s="0">
        <v>-68.488</v>
      </c>
      <c r="O8" s="0">
        <v>-17.336</v>
      </c>
      <c r="P8" s="0">
        <v>-34.888</v>
      </c>
      <c r="Q8" s="0">
        <v>-58.404</v>
      </c>
      <c r="R8" s="0">
        <v>-79.919</v>
      </c>
      <c r="S8" s="0">
        <v>-21.85</v>
      </c>
      <c r="T8" s="0">
        <v>-41.749</v>
      </c>
      <c r="U8" s="0">
        <v>-66.202</v>
      </c>
      <c r="V8" s="0">
        <v>-97.36</v>
      </c>
      <c r="W8" s="0">
        <v>-32.188</v>
      </c>
      <c r="X8" s="0">
        <v>-63.586</v>
      </c>
      <c r="Y8" s="0">
        <v>-97.835</v>
      </c>
      <c r="Z8" s="0">
        <v>-121.492</v>
      </c>
      <c r="AA8" s="0">
        <v>-33.392</v>
      </c>
      <c r="AB8" s="0">
        <v>-56.638</v>
      </c>
      <c r="AC8" s="0">
        <v>-101.418</v>
      </c>
      <c r="AD8" s="0">
        <v>-127.501</v>
      </c>
      <c r="AE8" s="0">
        <v>-26.695</v>
      </c>
      <c r="AF8" s="0">
        <v>-53.519</v>
      </c>
    </row>
    <row customHeight="1" ht="15">
      <c r="A9" s="9" t="s">
        <v>49</v>
      </c>
      <c r="B9" s="0">
        <v>-1.558</v>
      </c>
      <c r="C9" s="0">
        <v>-0.219</v>
      </c>
      <c r="D9" s="0">
        <v>-0.197</v>
      </c>
      <c r="E9" s="0">
        <v>-0.676</v>
      </c>
      <c r="F9" s="0">
        <v>-1.389</v>
      </c>
      <c r="G9" s="0">
        <v>-1.37</v>
      </c>
      <c r="H9" s="0">
        <v>-7.588</v>
      </c>
      <c r="I9" s="0">
        <v>-7.849</v>
      </c>
      <c r="J9" s="0">
        <v>-21.9</v>
      </c>
      <c r="K9" s="0">
        <v>-0.236</v>
      </c>
      <c r="L9" s="0">
        <v>-1.799</v>
      </c>
      <c r="M9" s="0">
        <v>-2.399</v>
      </c>
      <c r="N9" s="0">
        <v>-12.438</v>
      </c>
      <c r="O9" s="0">
        <v>-9.311</v>
      </c>
      <c r="P9" s="0">
        <v>-9.675</v>
      </c>
      <c r="Q9" s="0">
        <v>-8.934</v>
      </c>
      <c r="R9" s="0">
        <v>-12.251</v>
      </c>
      <c r="S9" s="0">
        <v>-0.133</v>
      </c>
      <c r="T9" s="0">
        <v>2.032</v>
      </c>
      <c r="U9" s="0">
        <v>0.204</v>
      </c>
      <c r="V9" s="0">
        <v>-0.919</v>
      </c>
      <c r="W9" s="0">
        <v>1.105</v>
      </c>
      <c r="X9" s="0">
        <v>0.723</v>
      </c>
      <c r="Y9" s="0">
        <v>0.508</v>
      </c>
      <c r="Z9" s="0">
        <v>-3.33</v>
      </c>
      <c r="AA9" s="0">
        <v>-2.974</v>
      </c>
      <c r="AB9" s="0">
        <v>1.733</v>
      </c>
      <c r="AC9" s="0">
        <v>6.195</v>
      </c>
      <c r="AD9" s="0">
        <v>-159.559</v>
      </c>
      <c r="AE9" s="0">
        <v>-1.113</v>
      </c>
      <c r="AF9" s="0">
        <v>-30.363</v>
      </c>
    </row>
    <row customHeight="1" ht="15">
      <c r="A10" s="9" t="s">
        <v>50</v>
      </c>
      <c r="B10" s="0">
        <v>-2.365</v>
      </c>
      <c r="C10" s="0">
        <v>-0.407</v>
      </c>
      <c r="D10" s="0">
        <v>-0.753</v>
      </c>
      <c r="E10" s="0">
        <v>-1.163</v>
      </c>
      <c r="F10" s="0">
        <v>-3.536</v>
      </c>
      <c r="G10" s="0">
        <v>-0.256</v>
      </c>
      <c r="H10" s="0">
        <v>-2.519</v>
      </c>
      <c r="I10" s="0">
        <v>-4.464</v>
      </c>
      <c r="J10" s="0">
        <v>-7.344</v>
      </c>
      <c r="K10" s="0">
        <v>-0.632</v>
      </c>
      <c r="L10" s="0">
        <v>-1.256</v>
      </c>
      <c r="M10" s="0">
        <v>-1.591</v>
      </c>
      <c r="N10" s="0">
        <v>-5.714</v>
      </c>
      <c r="O10" s="0">
        <v>-6.106</v>
      </c>
      <c r="P10" s="0">
        <v>-4.19</v>
      </c>
      <c r="Q10" s="0">
        <v>-4.662</v>
      </c>
      <c r="R10" s="0">
        <v>-13.635</v>
      </c>
      <c r="S10" s="0">
        <v>0.017</v>
      </c>
      <c r="T10" s="0">
        <v>-1.582</v>
      </c>
      <c r="U10" s="0">
        <v>-2.008</v>
      </c>
      <c r="V10" s="0">
        <v>-3.303</v>
      </c>
      <c r="W10" s="0">
        <v>-0.82</v>
      </c>
      <c r="X10" s="0">
        <v>-2.326</v>
      </c>
      <c r="Y10" s="0">
        <v>-3.852</v>
      </c>
      <c r="Z10" s="0">
        <v>-12.561</v>
      </c>
      <c r="AA10" s="0">
        <v>-0.225</v>
      </c>
      <c r="AB10" s="0">
        <v>6.369</v>
      </c>
      <c r="AC10" s="0">
        <v>1.321</v>
      </c>
      <c r="AD10" s="0">
        <v>-4.535</v>
      </c>
      <c r="AE10" s="0">
        <v>-0.89</v>
      </c>
      <c r="AF10" s="0">
        <v>-11.646</v>
      </c>
    </row>
    <row customHeight="1" ht="15">
      <c r="A11" s="9" t="s">
        <v>51</v>
      </c>
      <c r="B11" s="0">
        <v>0.016</v>
      </c>
      <c r="C11" s="0">
        <v>0.657</v>
      </c>
      <c r="D11" s="0">
        <v>0.589</v>
      </c>
      <c r="E11" s="0">
        <v>0.457</v>
      </c>
      <c r="F11" s="0">
        <v>1.29</v>
      </c>
      <c r="G11" s="0">
        <v>0.377</v>
      </c>
      <c r="H11" s="0">
        <v>7.2</v>
      </c>
      <c r="I11" s="0">
        <v>10.639</v>
      </c>
      <c r="J11" s="0">
        <v>12.021</v>
      </c>
      <c r="K11" s="0">
        <v>13.473</v>
      </c>
      <c r="L11" s="0">
        <v>24.294</v>
      </c>
      <c r="M11" s="0">
        <v>30.313</v>
      </c>
      <c r="N11" s="0">
        <v>38.199</v>
      </c>
      <c r="O11" s="0">
        <v>19.732</v>
      </c>
      <c r="P11" s="0">
        <v>27.516</v>
      </c>
      <c r="Q11" s="0">
        <v>42.042</v>
      </c>
      <c r="R11" s="0">
        <v>27.045</v>
      </c>
      <c r="S11" s="0">
        <v>3.463</v>
      </c>
      <c r="T11" s="0">
        <v>7.455</v>
      </c>
      <c r="U11" s="0">
        <v>14.823</v>
      </c>
      <c r="V11" s="0">
        <v>36.603</v>
      </c>
      <c r="W11" s="0">
        <v>10.448</v>
      </c>
      <c r="X11" s="0">
        <v>16.347</v>
      </c>
      <c r="Y11" s="0">
        <v>18.547</v>
      </c>
      <c r="Z11" s="0">
        <v>3.219</v>
      </c>
      <c r="AA11" s="0">
        <v>-1.645</v>
      </c>
      <c r="AB11" s="0">
        <v>2.111</v>
      </c>
      <c r="AC11" s="0">
        <v>9.995</v>
      </c>
      <c r="AD11" s="0">
        <v>17.514</v>
      </c>
      <c r="AE11" s="0">
        <v>1.756</v>
      </c>
      <c r="AF11" s="0">
        <v>10.64</v>
      </c>
    </row>
    <row customHeight="1" ht="15">
      <c r="A12" s="4" t="s">
        <v>52</v>
      </c>
      <c r="B12" s="7">
        <f t="shared" si="0" ref="B12:AF142">SUM(B3:B11)</f>
        <v>14.538</v>
      </c>
      <c r="C12" s="7">
        <f t="shared" si="0"/>
        <v>2.20099999999999</v>
      </c>
      <c r="D12" s="7">
        <f t="shared" si="0"/>
        <v>6.922</v>
      </c>
      <c r="E12" s="7">
        <f t="shared" si="0"/>
        <v>10.476</v>
      </c>
      <c r="F12" s="7">
        <f t="shared" si="0"/>
        <v>25.767</v>
      </c>
      <c r="G12" s="7">
        <f t="shared" si="0"/>
        <v>3.43800000000004</v>
      </c>
      <c r="H12" s="7">
        <f t="shared" si="0"/>
        <v>13.049</v>
      </c>
      <c r="I12" s="7">
        <f t="shared" si="0"/>
        <v>3.37199999999998</v>
      </c>
      <c r="J12" s="7">
        <f t="shared" si="0"/>
        <v>-18.235</v>
      </c>
      <c r="K12" s="7">
        <f t="shared" si="0"/>
        <v>12.025</v>
      </c>
      <c r="L12" s="7">
        <f t="shared" si="0"/>
        <v>28.125</v>
      </c>
      <c r="M12" s="7">
        <f t="shared" si="0"/>
        <v>64.99</v>
      </c>
      <c r="N12" s="7">
        <f t="shared" si="0"/>
        <v>79.97</v>
      </c>
      <c r="O12" s="7">
        <f t="shared" si="0"/>
        <v>8.32900000000001</v>
      </c>
      <c r="P12" s="7">
        <f t="shared" si="0"/>
        <v>55.456</v>
      </c>
      <c r="Q12" s="7">
        <f t="shared" si="0"/>
        <v>150.032</v>
      </c>
      <c r="R12" s="7">
        <f t="shared" si="0"/>
        <v>161.977</v>
      </c>
      <c r="S12" s="7">
        <f t="shared" si="0"/>
        <v>-18.728</v>
      </c>
      <c r="T12" s="7">
        <f t="shared" si="0"/>
        <v>42.7440000000001</v>
      </c>
      <c r="U12" s="7">
        <f t="shared" si="0"/>
        <v>160.776</v>
      </c>
      <c r="V12" s="7">
        <f t="shared" si="0"/>
        <v>159.657</v>
      </c>
      <c r="W12" s="7">
        <f t="shared" si="0"/>
        <v>-69.348</v>
      </c>
      <c r="X12" s="7">
        <f t="shared" si="0"/>
        <v>7.72999999999992</v>
      </c>
      <c r="Y12" s="7">
        <f t="shared" si="0"/>
        <v>141.694</v>
      </c>
      <c r="Z12" s="7">
        <f t="shared" si="0"/>
        <v>93.1049999999998</v>
      </c>
      <c r="AA12" s="7">
        <f t="shared" si="0"/>
        <v>-62.305</v>
      </c>
      <c r="AB12" s="7">
        <f t="shared" si="0"/>
        <v>15.23</v>
      </c>
      <c r="AC12" s="7">
        <f t="shared" si="0"/>
        <v>51.7109999999999</v>
      </c>
      <c r="AD12" s="7">
        <f t="shared" si="0"/>
        <v>-66.4960000000002</v>
      </c>
      <c r="AE12" s="7">
        <f t="shared" si="0"/>
        <v>-45.252</v>
      </c>
      <c r="AF12" s="7">
        <f t="shared" si="0"/>
        <v>-71.399</v>
      </c>
    </row>
    <row customHeight="1" ht="15">
      <c r="A13" s="9" t="s">
        <v>53</v>
      </c>
      <c r="B13" s="0">
        <v>0.067</v>
      </c>
      <c r="C13" s="0">
        <v>0.003</v>
      </c>
      <c r="D13" s="0">
        <v>0.032</v>
      </c>
      <c r="E13" s="0">
        <v>0.356</v>
      </c>
      <c r="F13" s="0">
        <v>3.05</v>
      </c>
      <c r="G13" s="0">
        <v>1.059</v>
      </c>
      <c r="H13" s="0">
        <v>5.179</v>
      </c>
      <c r="I13" s="0">
        <v>4.735</v>
      </c>
      <c r="J13" s="0">
        <v>12.271</v>
      </c>
      <c r="K13" s="0">
        <v>2.403</v>
      </c>
      <c r="L13" s="0">
        <v>3.17</v>
      </c>
      <c r="M13" s="0">
        <v>2.667</v>
      </c>
      <c r="N13" s="0">
        <v>2.919</v>
      </c>
      <c r="O13" s="0">
        <v>0.094</v>
      </c>
      <c r="P13" s="0">
        <v>0.192</v>
      </c>
      <c r="Q13" s="0">
        <v>2.297</v>
      </c>
      <c r="R13" s="0">
        <v>3.901</v>
      </c>
      <c r="S13" s="0">
        <v>6.358</v>
      </c>
      <c r="T13" s="0">
        <v>7.084</v>
      </c>
      <c r="U13" s="0">
        <v>4.576</v>
      </c>
      <c r="V13" s="0">
        <v>24.747</v>
      </c>
      <c r="W13" s="0">
        <v>0.593</v>
      </c>
      <c r="X13" s="0">
        <v>54.812</v>
      </c>
      <c r="Y13" s="0">
        <v>63.961</v>
      </c>
      <c r="Z13" s="0">
        <v>58.254</v>
      </c>
      <c r="AA13" s="0">
        <v>7.109</v>
      </c>
      <c r="AB13" s="0">
        <v>18.676</v>
      </c>
      <c r="AC13" s="0">
        <v>21.077</v>
      </c>
      <c r="AD13" s="0">
        <v>15.295</v>
      </c>
      <c r="AE13" s="0">
        <v>0.412</v>
      </c>
      <c r="AF13" s="0">
        <v>1.134</v>
      </c>
    </row>
    <row customHeight="1" ht="15">
      <c r="A14" s="9" t="s">
        <v>54</v>
      </c>
      <c r="B14" s="0">
        <v>-1.962</v>
      </c>
      <c r="C14" s="0">
        <v>-1.155</v>
      </c>
      <c r="D14" s="0">
        <v>-2.031</v>
      </c>
      <c r="E14" s="0">
        <v>-3.371</v>
      </c>
      <c r="F14" s="0">
        <v>-9.948</v>
      </c>
      <c r="G14" s="0">
        <v>-10.943</v>
      </c>
      <c r="H14" s="0">
        <v>-20.77</v>
      </c>
      <c r="I14" s="0">
        <v>-30.936</v>
      </c>
      <c r="J14" s="0">
        <v>-38.655</v>
      </c>
      <c r="K14" s="0">
        <v>-8.494</v>
      </c>
      <c r="L14" s="0">
        <v>-16.343</v>
      </c>
      <c r="M14" s="0">
        <v>-26.843</v>
      </c>
      <c r="N14" s="0">
        <v>-39.719</v>
      </c>
      <c r="O14" s="0">
        <v>-18.259</v>
      </c>
      <c r="P14" s="0">
        <v>-40.747</v>
      </c>
      <c r="Q14" s="0">
        <v>-76.592</v>
      </c>
      <c r="R14" s="0">
        <v>-83.341</v>
      </c>
      <c r="S14" s="0">
        <v>-24.175</v>
      </c>
      <c r="T14" s="0">
        <v>-50.733</v>
      </c>
      <c r="U14" s="0">
        <v>-85.137</v>
      </c>
      <c r="V14" s="0">
        <v>-114.979</v>
      </c>
      <c r="W14" s="0">
        <v>-41.744</v>
      </c>
      <c r="X14" s="0">
        <v>-69.044</v>
      </c>
      <c r="Y14" s="0">
        <v>-104.976</v>
      </c>
      <c r="Z14" s="0">
        <v>-92.387</v>
      </c>
      <c r="AA14" s="0">
        <v>-23.988</v>
      </c>
      <c r="AB14" s="0">
        <v>-40.258</v>
      </c>
      <c r="AC14" s="0">
        <v>-93.841</v>
      </c>
      <c r="AD14" s="0">
        <v>-93.369</v>
      </c>
      <c r="AE14" s="0">
        <v>-23.556</v>
      </c>
      <c r="AF14" s="0">
        <v>-44.093</v>
      </c>
    </row>
    <row customHeight="1" ht="15">
      <c r="A15" s="9" t="s">
        <v>55</v>
      </c>
      <c r="B15" s="11">
        <f t="shared" si="1" ref="B15:AF238">SUM(B13:B14)</f>
        <v>-1.895</v>
      </c>
      <c r="C15" s="11">
        <f t="shared" si="1"/>
        <v>-1.152</v>
      </c>
      <c r="D15" s="11">
        <f t="shared" si="1"/>
        <v>-1.999</v>
      </c>
      <c r="E15" s="11">
        <f t="shared" si="1"/>
        <v>-3.015</v>
      </c>
      <c r="F15" s="11">
        <f t="shared" si="1"/>
        <v>-6.898</v>
      </c>
      <c r="G15" s="11">
        <f t="shared" si="1"/>
        <v>-9.884</v>
      </c>
      <c r="H15" s="11">
        <f t="shared" si="1"/>
        <v>-15.591</v>
      </c>
      <c r="I15" s="11">
        <f t="shared" si="1"/>
        <v>-26.201</v>
      </c>
      <c r="J15" s="11">
        <f t="shared" si="1"/>
        <v>-26.384</v>
      </c>
      <c r="K15" s="11">
        <f t="shared" si="1"/>
        <v>-6.091</v>
      </c>
      <c r="L15" s="11">
        <f t="shared" si="1"/>
        <v>-13.173</v>
      </c>
      <c r="M15" s="11">
        <f t="shared" si="1"/>
        <v>-24.176</v>
      </c>
      <c r="N15" s="11">
        <f t="shared" si="1"/>
        <v>-36.8</v>
      </c>
      <c r="O15" s="11">
        <f t="shared" si="1"/>
        <v>-18.165</v>
      </c>
      <c r="P15" s="11">
        <f t="shared" si="1"/>
        <v>-40.555</v>
      </c>
      <c r="Q15" s="11">
        <f t="shared" si="1"/>
        <v>-74.295</v>
      </c>
      <c r="R15" s="11">
        <f t="shared" si="1"/>
        <v>-79.44</v>
      </c>
      <c r="S15" s="11">
        <f t="shared" si="1"/>
        <v>-17.817</v>
      </c>
      <c r="T15" s="11">
        <f t="shared" si="1"/>
        <v>-43.649</v>
      </c>
      <c r="U15" s="11">
        <f t="shared" si="1"/>
        <v>-80.561</v>
      </c>
      <c r="V15" s="11">
        <f t="shared" si="1"/>
        <v>-90.232</v>
      </c>
      <c r="W15" s="11">
        <f t="shared" si="1"/>
        <v>-41.151</v>
      </c>
      <c r="X15" s="11">
        <f t="shared" si="1"/>
        <v>-14.232</v>
      </c>
      <c r="Y15" s="11">
        <f t="shared" si="1"/>
        <v>-41.015</v>
      </c>
      <c r="Z15" s="11">
        <f t="shared" si="1"/>
        <v>-34.133</v>
      </c>
      <c r="AA15" s="11">
        <f t="shared" si="1"/>
        <v>-16.879</v>
      </c>
      <c r="AB15" s="11">
        <f t="shared" si="1"/>
        <v>-21.582</v>
      </c>
      <c r="AC15" s="11">
        <f t="shared" si="1"/>
        <v>-72.764</v>
      </c>
      <c r="AD15" s="11">
        <f t="shared" si="1"/>
        <v>-78.074</v>
      </c>
      <c r="AE15" s="11">
        <f t="shared" si="1"/>
        <v>-23.144</v>
      </c>
      <c r="AF15" s="11">
        <f t="shared" si="1"/>
        <v>-42.959</v>
      </c>
    </row>
    <row customHeight="1" ht="15">
      <c r="A16" s="9" t="s">
        <v>56</v>
      </c>
      <c r="B16" s="0">
        <v>0</v>
      </c>
      <c r="C16" s="0">
        <v>-0.054</v>
      </c>
      <c r="D16" s="0">
        <v>-0.079</v>
      </c>
      <c r="E16" s="0">
        <v>-0.938</v>
      </c>
      <c r="F16" s="0">
        <v>-1.027</v>
      </c>
      <c r="G16" s="0">
        <v>0.84</v>
      </c>
      <c r="H16" s="0">
        <v>1.849</v>
      </c>
      <c r="I16" s="0">
        <v>3.411</v>
      </c>
      <c r="J16" s="0">
        <v>-1.19</v>
      </c>
      <c r="K16" s="0">
        <v>0.022</v>
      </c>
      <c r="L16" s="0">
        <v>0.018</v>
      </c>
      <c r="M16" s="0">
        <v>-0.049</v>
      </c>
      <c r="N16" s="0">
        <v>1.458</v>
      </c>
      <c r="O16" s="0">
        <v>0.023</v>
      </c>
      <c r="P16" s="0">
        <v>-0.007</v>
      </c>
      <c r="Q16" s="0">
        <v>-0.013</v>
      </c>
      <c r="R16" s="0">
        <v>-55.091</v>
      </c>
      <c r="S16" s="0">
        <v>0.004</v>
      </c>
      <c r="T16" s="0">
        <v>2.097</v>
      </c>
      <c r="U16" s="0">
        <v>2.478</v>
      </c>
      <c r="V16" s="0">
        <v>2.706</v>
      </c>
      <c r="W16" s="0">
        <v>0.004</v>
      </c>
      <c r="X16" s="0">
        <v>0.004</v>
      </c>
      <c r="Y16" s="0">
        <v>0.005</v>
      </c>
      <c r="Z16" s="0">
        <v>0.013</v>
      </c>
      <c r="AA16" s="0">
        <v>0</v>
      </c>
      <c r="AB16" s="0">
        <v>0.012</v>
      </c>
      <c r="AC16" s="0">
        <v>0.012</v>
      </c>
      <c r="AD16" s="0">
        <v>-0.255</v>
      </c>
      <c r="AE16" s="0">
        <v>0</v>
      </c>
      <c r="AF16" s="0">
        <v>0.005</v>
      </c>
    </row>
    <row customHeight="1" ht="15">
      <c r="A17" s="9" t="s">
        <v>58</v>
      </c>
      <c r="B17" s="11">
        <f t="shared" si="2" ref="B17:AF17">B12+SUM(B15:B16)</f>
        <v>12.643</v>
      </c>
      <c r="C17" s="11">
        <f t="shared" si="2"/>
        <v>0.99499999999999</v>
      </c>
      <c r="D17" s="11">
        <f t="shared" si="2"/>
        <v>4.844</v>
      </c>
      <c r="E17" s="11">
        <f t="shared" si="2"/>
        <v>6.523</v>
      </c>
      <c r="F17" s="11">
        <f t="shared" si="2"/>
        <v>17.842</v>
      </c>
      <c r="G17" s="11">
        <f t="shared" si="2"/>
        <v>-5.60599999999996</v>
      </c>
      <c r="H17" s="11">
        <f t="shared" si="2"/>
        <v>-0.693</v>
      </c>
      <c r="I17" s="11">
        <f t="shared" si="2"/>
        <v>-19.418</v>
      </c>
      <c r="J17" s="11">
        <f t="shared" si="2"/>
        <v>-45.809</v>
      </c>
      <c r="K17" s="11">
        <f t="shared" si="2"/>
        <v>5.956</v>
      </c>
      <c r="L17" s="11">
        <f t="shared" si="2"/>
        <v>14.97</v>
      </c>
      <c r="M17" s="11">
        <f t="shared" si="2"/>
        <v>40.765</v>
      </c>
      <c r="N17" s="11">
        <f t="shared" si="2"/>
        <v>44.628</v>
      </c>
      <c r="O17" s="11">
        <f t="shared" si="2"/>
        <v>-9.81299999999999</v>
      </c>
      <c r="P17" s="11">
        <f t="shared" si="2"/>
        <v>14.894</v>
      </c>
      <c r="Q17" s="11">
        <f t="shared" si="2"/>
        <v>75.724</v>
      </c>
      <c r="R17" s="11">
        <f t="shared" si="2"/>
        <v>27.446</v>
      </c>
      <c r="S17" s="11">
        <f t="shared" si="2"/>
        <v>-36.541</v>
      </c>
      <c r="T17" s="11">
        <f t="shared" si="2"/>
        <v>1.1920000000001</v>
      </c>
      <c r="U17" s="11">
        <f t="shared" si="2"/>
        <v>82.693</v>
      </c>
      <c r="V17" s="11">
        <f t="shared" si="2"/>
        <v>72.131</v>
      </c>
      <c r="W17" s="11">
        <f t="shared" si="2"/>
        <v>-110.495</v>
      </c>
      <c r="X17" s="11">
        <f t="shared" si="2"/>
        <v>-6.49800000000008</v>
      </c>
      <c r="Y17" s="11">
        <f t="shared" si="2"/>
        <v>100.684</v>
      </c>
      <c r="Z17" s="11">
        <f t="shared" si="2"/>
        <v>58.9849999999998</v>
      </c>
      <c r="AA17" s="11">
        <f t="shared" si="2"/>
        <v>-79.184</v>
      </c>
      <c r="AB17" s="11">
        <f t="shared" si="2"/>
        <v>-6.34</v>
      </c>
      <c r="AC17" s="11">
        <f t="shared" si="2"/>
        <v>-21.0410000000001</v>
      </c>
      <c r="AD17" s="11">
        <f t="shared" si="2"/>
        <v>-144.825</v>
      </c>
      <c r="AE17" s="11">
        <f t="shared" si="2"/>
        <v>-68.396</v>
      </c>
      <c r="AF17" s="11">
        <f t="shared" si="2"/>
        <v>-114.353</v>
      </c>
    </row>
    <row customHeight="1" ht="15">
      <c r="A18" s="9" t="s">
        <v>59</v>
      </c>
      <c r="B18" s="0">
        <v>-2.952</v>
      </c>
      <c r="C18" s="0">
        <v>-0.408</v>
      </c>
      <c r="D18" s="0">
        <v>-1.207</v>
      </c>
      <c r="E18" s="0">
        <v>-1.736</v>
      </c>
      <c r="F18" s="0">
        <v>-5.712</v>
      </c>
      <c r="G18" s="0">
        <v>-1.795</v>
      </c>
      <c r="H18" s="0">
        <v>-6.054</v>
      </c>
      <c r="I18" s="0">
        <v>-5.152</v>
      </c>
      <c r="J18" s="0">
        <v>-5.796</v>
      </c>
      <c r="K18" s="0">
        <v>-4.202</v>
      </c>
      <c r="L18" s="0">
        <v>-0.383</v>
      </c>
      <c r="M18" s="0">
        <v>-4.123</v>
      </c>
      <c r="N18" s="0">
        <v>-10.26</v>
      </c>
      <c r="O18" s="0">
        <v>-3.154</v>
      </c>
      <c r="P18" s="0">
        <v>-9.809</v>
      </c>
      <c r="Q18" s="0">
        <v>-20.475</v>
      </c>
      <c r="R18" s="0">
        <v>-15.779</v>
      </c>
      <c r="S18" s="0">
        <v>3</v>
      </c>
      <c r="T18" s="0">
        <v>-4.123</v>
      </c>
      <c r="U18" s="0">
        <v>-11.904</v>
      </c>
      <c r="V18" s="0">
        <v>-3.945</v>
      </c>
      <c r="W18" s="0">
        <v>12.94</v>
      </c>
      <c r="X18" s="0">
        <v>5.469</v>
      </c>
      <c r="Y18" s="0">
        <v>-17.358</v>
      </c>
      <c r="Z18" s="0">
        <v>-4.73</v>
      </c>
      <c r="AA18" s="0">
        <v>16.991</v>
      </c>
      <c r="AB18" s="0">
        <v>1.467</v>
      </c>
      <c r="AC18" s="0">
        <v>-19.001</v>
      </c>
      <c r="AD18" s="0">
        <v>-0.124</v>
      </c>
      <c r="AE18" s="0">
        <v>8.482</v>
      </c>
      <c r="AF18" s="0">
        <v>11.566</v>
      </c>
    </row>
    <row customHeight="1" ht="15">
      <c r="A19" s="9" t="s">
        <v>60</v>
      </c>
      <c r="B19" s="11">
        <f t="shared" si="1"/>
        <v>9.691</v>
      </c>
      <c r="C19" s="11">
        <f t="shared" si="1"/>
        <v>0.58699999999999</v>
      </c>
      <c r="D19" s="11">
        <f t="shared" si="1"/>
        <v>3.637</v>
      </c>
      <c r="E19" s="11">
        <f t="shared" si="1"/>
        <v>4.787</v>
      </c>
      <c r="F19" s="11">
        <f t="shared" si="1"/>
        <v>12.13</v>
      </c>
      <c r="G19" s="11">
        <f t="shared" si="1"/>
        <v>-7.40099999999996</v>
      </c>
      <c r="H19" s="11">
        <f t="shared" si="1"/>
        <v>-6.747</v>
      </c>
      <c r="I19" s="11">
        <f t="shared" si="1"/>
        <v>-24.57</v>
      </c>
      <c r="J19" s="11">
        <f t="shared" si="1"/>
        <v>-51.605</v>
      </c>
      <c r="K19" s="11">
        <f t="shared" si="1"/>
        <v>1.754</v>
      </c>
      <c r="L19" s="11">
        <f t="shared" si="1"/>
        <v>14.587</v>
      </c>
      <c r="M19" s="11">
        <f t="shared" si="1"/>
        <v>36.642</v>
      </c>
      <c r="N19" s="11">
        <f t="shared" si="1"/>
        <v>34.368</v>
      </c>
      <c r="O19" s="11">
        <f t="shared" si="1"/>
        <v>-12.967</v>
      </c>
      <c r="P19" s="11">
        <f t="shared" si="1"/>
        <v>5.085</v>
      </c>
      <c r="Q19" s="11">
        <f t="shared" si="1"/>
        <v>55.249</v>
      </c>
      <c r="R19" s="11">
        <f t="shared" si="1"/>
        <v>11.667</v>
      </c>
      <c r="S19" s="11">
        <f t="shared" si="1"/>
        <v>-33.541</v>
      </c>
      <c r="T19" s="11">
        <f t="shared" si="1"/>
        <v>-2.9309999999999</v>
      </c>
      <c r="U19" s="11">
        <f t="shared" si="1"/>
        <v>70.789</v>
      </c>
      <c r="V19" s="11">
        <f t="shared" si="1"/>
        <v>68.186</v>
      </c>
      <c r="W19" s="11">
        <f t="shared" si="1"/>
        <v>-97.555</v>
      </c>
      <c r="X19" s="11">
        <f t="shared" si="1"/>
        <v>-1.02900000000008</v>
      </c>
      <c r="Y19" s="11">
        <f t="shared" si="1"/>
        <v>83.326</v>
      </c>
      <c r="Z19" s="11">
        <f t="shared" si="1"/>
        <v>54.2549999999998</v>
      </c>
      <c r="AA19" s="11">
        <f t="shared" si="1"/>
        <v>-62.193</v>
      </c>
      <c r="AB19" s="11">
        <f t="shared" si="1"/>
        <v>-4.873</v>
      </c>
      <c r="AC19" s="11">
        <f t="shared" si="1"/>
        <v>-40.0420000000001</v>
      </c>
      <c r="AD19" s="11">
        <f t="shared" si="1"/>
        <v>-144.949</v>
      </c>
      <c r="AE19" s="11">
        <f t="shared" si="1"/>
        <v>-59.914</v>
      </c>
      <c r="AF19" s="11">
        <f t="shared" si="1"/>
        <v>-102.787</v>
      </c>
    </row>
    <row customHeight="1" ht="15">
      <c r="A20" s="9" t="s">
        <v>61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-116.838</v>
      </c>
      <c r="AA20" s="0">
        <v>-59.905</v>
      </c>
      <c r="AB20" s="0">
        <v>-106.152</v>
      </c>
      <c r="AC20" s="0">
        <v>0</v>
      </c>
      <c r="AD20" s="0">
        <v>81.382</v>
      </c>
      <c r="AE20" s="0">
        <v>0</v>
      </c>
      <c r="AF20" s="0">
        <v>20.954</v>
      </c>
    </row>
    <row customHeight="1" ht="15">
      <c r="A21" s="4" t="s">
        <v>60</v>
      </c>
      <c r="B21" s="7">
        <f t="shared" si="1"/>
        <v>9.691</v>
      </c>
      <c r="C21" s="7">
        <f t="shared" si="3" ref="C21:AC21">C19</f>
        <v>0.58699999999999</v>
      </c>
      <c r="D21" s="7">
        <f t="shared" si="3"/>
        <v>3.637</v>
      </c>
      <c r="E21" s="7">
        <f t="shared" si="3"/>
        <v>4.787</v>
      </c>
      <c r="F21" s="7">
        <f t="shared" si="3"/>
        <v>12.13</v>
      </c>
      <c r="G21" s="7">
        <f t="shared" si="3"/>
        <v>-7.40099999999996</v>
      </c>
      <c r="H21" s="7">
        <f t="shared" si="3"/>
        <v>-6.747</v>
      </c>
      <c r="I21" s="7">
        <f t="shared" si="3"/>
        <v>-24.57</v>
      </c>
      <c r="J21" s="7">
        <f t="shared" si="3"/>
        <v>-51.605</v>
      </c>
      <c r="K21" s="7">
        <f t="shared" si="3"/>
        <v>1.754</v>
      </c>
      <c r="L21" s="7">
        <f t="shared" si="3"/>
        <v>14.587</v>
      </c>
      <c r="M21" s="7">
        <f t="shared" si="3"/>
        <v>36.642</v>
      </c>
      <c r="N21" s="7">
        <f t="shared" si="3"/>
        <v>34.368</v>
      </c>
      <c r="O21" s="7">
        <f t="shared" si="3"/>
        <v>-12.967</v>
      </c>
      <c r="P21" s="7">
        <f t="shared" si="3"/>
        <v>5.085</v>
      </c>
      <c r="Q21" s="7">
        <f t="shared" si="3"/>
        <v>55.249</v>
      </c>
      <c r="R21" s="7">
        <f t="shared" si="3"/>
        <v>11.667</v>
      </c>
      <c r="S21" s="7">
        <f t="shared" si="3"/>
        <v>-33.541</v>
      </c>
      <c r="T21" s="7">
        <f t="shared" si="3"/>
        <v>-2.9309999999999</v>
      </c>
      <c r="U21" s="7">
        <f t="shared" si="3"/>
        <v>70.789</v>
      </c>
      <c r="V21" s="7">
        <f t="shared" si="3"/>
        <v>68.186</v>
      </c>
      <c r="W21" s="7">
        <f t="shared" si="3"/>
        <v>-97.555</v>
      </c>
      <c r="X21" s="7">
        <f t="shared" si="3"/>
        <v>-1.02900000000008</v>
      </c>
      <c r="Y21" s="7">
        <f t="shared" si="3"/>
        <v>83.326</v>
      </c>
      <c r="Z21" s="7">
        <f t="shared" si="1"/>
        <v>-62.5830000000002</v>
      </c>
      <c r="AA21" s="7">
        <f t="shared" si="1"/>
        <v>-122.098</v>
      </c>
      <c r="AB21" s="7">
        <f t="shared" si="1"/>
        <v>-111.025</v>
      </c>
      <c r="AC21" s="7">
        <f t="shared" si="3"/>
        <v>-40.0420000000001</v>
      </c>
      <c r="AD21" s="7">
        <f t="shared" si="1"/>
        <v>-63.567</v>
      </c>
      <c r="AE21" s="7">
        <f t="shared" si="1"/>
        <v>-59.914</v>
      </c>
      <c r="AF21" s="7">
        <f t="shared" si="1"/>
        <v>-81.833</v>
      </c>
    </row>
    <row customHeight="1" ht="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customHeight="1" ht="15">
      <c r="A23" s="2" t="s">
        <v>62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customHeight="1" ht="15">
      <c r="A24" s="9" t="s">
        <v>60</v>
      </c>
      <c r="B24" s="0">
        <v>9.691</v>
      </c>
      <c r="C24" s="0">
        <v>0.587</v>
      </c>
      <c r="D24" s="0">
        <v>3.637</v>
      </c>
      <c r="E24" s="0">
        <v>4.787</v>
      </c>
      <c r="F24" s="0">
        <v>12.13</v>
      </c>
      <c r="G24" s="0">
        <v>-7.401</v>
      </c>
      <c r="H24" s="0">
        <v>-6.747</v>
      </c>
      <c r="I24" s="0">
        <v>-24.57</v>
      </c>
      <c r="J24" s="0">
        <v>-51.605</v>
      </c>
      <c r="K24" s="0">
        <v>1.754</v>
      </c>
      <c r="L24" s="0">
        <v>14.587</v>
      </c>
      <c r="M24" s="0">
        <v>36.642</v>
      </c>
      <c r="N24" s="0">
        <v>34.368</v>
      </c>
      <c r="O24" s="0">
        <v>-12.967</v>
      </c>
      <c r="P24" s="0">
        <v>5.085</v>
      </c>
      <c r="Q24" s="0">
        <v>55.249</v>
      </c>
      <c r="R24" s="0">
        <v>11.667</v>
      </c>
      <c r="S24" s="0">
        <v>-33.541</v>
      </c>
      <c r="T24" s="0">
        <v>-2.931</v>
      </c>
      <c r="U24" s="0">
        <v>70.789</v>
      </c>
      <c r="V24" s="0">
        <v>68.186</v>
      </c>
      <c r="W24" s="0">
        <v>-97.555</v>
      </c>
      <c r="X24" s="0">
        <v>-1.03</v>
      </c>
      <c r="Y24" s="0">
        <v>83.326</v>
      </c>
      <c r="Z24" s="0">
        <v>-62.583</v>
      </c>
      <c r="AA24" s="0">
        <v>-122.098</v>
      </c>
      <c r="AB24" s="0">
        <v>-111.025</v>
      </c>
      <c r="AC24" s="0">
        <v>-40.042</v>
      </c>
      <c r="AD24" s="0">
        <v>-63.567</v>
      </c>
      <c r="AE24" s="0">
        <v>-59.914</v>
      </c>
      <c r="AF24" s="0">
        <v>-81.833</v>
      </c>
    </row>
    <row customHeight="1" ht="15">
      <c r="A25" s="9" t="s">
        <v>63</v>
      </c>
      <c r="B25" s="0">
        <v>2.952</v>
      </c>
      <c r="C25" s="0">
        <v>0.408</v>
      </c>
      <c r="D25" s="0">
        <v>1.207</v>
      </c>
      <c r="E25" s="0">
        <v>1.736</v>
      </c>
      <c r="F25" s="0">
        <v>5.712</v>
      </c>
      <c r="G25" s="0">
        <v>1.795</v>
      </c>
      <c r="H25" s="0">
        <v>6.054</v>
      </c>
      <c r="I25" s="0">
        <v>5.152</v>
      </c>
      <c r="J25" s="0">
        <v>5.796</v>
      </c>
      <c r="K25" s="0">
        <v>4.202</v>
      </c>
      <c r="L25" s="0">
        <v>0.383</v>
      </c>
      <c r="M25" s="0">
        <v>4.123</v>
      </c>
      <c r="N25" s="0">
        <v>10.26</v>
      </c>
      <c r="O25" s="0">
        <v>3.154</v>
      </c>
      <c r="P25" s="0">
        <v>9.809</v>
      </c>
      <c r="Q25" s="0">
        <v>20.475</v>
      </c>
      <c r="R25" s="0">
        <v>15.779</v>
      </c>
      <c r="S25" s="0">
        <v>-3</v>
      </c>
      <c r="T25" s="0">
        <v>4.123</v>
      </c>
      <c r="U25" s="0">
        <v>11.904</v>
      </c>
      <c r="V25" s="0">
        <v>3.945</v>
      </c>
      <c r="W25" s="0">
        <v>-12.94</v>
      </c>
      <c r="X25" s="0">
        <v>-5.469</v>
      </c>
      <c r="Y25" s="0">
        <v>17.358</v>
      </c>
      <c r="Z25" s="0">
        <v>-2.197</v>
      </c>
      <c r="AA25" s="0">
        <v>-16.582</v>
      </c>
      <c r="AB25" s="0">
        <v>-1.877</v>
      </c>
      <c r="AC25" s="0">
        <v>19.001</v>
      </c>
      <c r="AD25" s="0">
        <v>3.712</v>
      </c>
      <c r="AE25" s="0">
        <v>-8.482</v>
      </c>
      <c r="AF25" s="0">
        <v>-7.296</v>
      </c>
    </row>
    <row customHeight="1" ht="15">
      <c r="A26" s="9" t="s">
        <v>46</v>
      </c>
      <c r="B26" s="0">
        <v>6.853</v>
      </c>
      <c r="C26" s="0">
        <v>2.936</v>
      </c>
      <c r="D26" s="0">
        <v>6.166</v>
      </c>
      <c r="E26" s="0">
        <v>9.593</v>
      </c>
      <c r="F26" s="0">
        <v>34.732</v>
      </c>
      <c r="G26" s="0">
        <v>26.639</v>
      </c>
      <c r="H26" s="0">
        <v>53.231</v>
      </c>
      <c r="I26" s="0">
        <v>77.619</v>
      </c>
      <c r="J26" s="0">
        <v>99.205</v>
      </c>
      <c r="K26" s="0">
        <v>18.04</v>
      </c>
      <c r="L26" s="0">
        <v>35.1</v>
      </c>
      <c r="M26" s="0">
        <v>54.207</v>
      </c>
      <c r="N26" s="0">
        <v>74.338</v>
      </c>
      <c r="O26" s="0">
        <v>21.68</v>
      </c>
      <c r="P26" s="0">
        <v>48.19</v>
      </c>
      <c r="Q26" s="0">
        <v>84.391</v>
      </c>
      <c r="R26" s="0">
        <v>114.781</v>
      </c>
      <c r="S26" s="0">
        <v>41.974</v>
      </c>
      <c r="T26" s="0">
        <v>92.017</v>
      </c>
      <c r="U26" s="0">
        <v>156.588</v>
      </c>
      <c r="V26" s="0">
        <v>239.28</v>
      </c>
      <c r="W26" s="0">
        <v>81.707</v>
      </c>
      <c r="X26" s="0">
        <v>171.318</v>
      </c>
      <c r="Y26" s="0">
        <v>265.277</v>
      </c>
      <c r="Z26" s="0">
        <v>364.599</v>
      </c>
      <c r="AA26" s="0">
        <v>102.318</v>
      </c>
      <c r="AB26" s="0">
        <v>192.833</v>
      </c>
      <c r="AC26" s="0">
        <v>284.197</v>
      </c>
      <c r="AD26" s="0">
        <v>353.946</v>
      </c>
      <c r="AE26" s="0">
        <v>72.539</v>
      </c>
      <c r="AF26" s="0">
        <v>131.744</v>
      </c>
    </row>
    <row customHeight="1" ht="15">
      <c r="A27" s="9" t="s">
        <v>64</v>
      </c>
      <c r="B27" s="0">
        <v>3.923</v>
      </c>
      <c r="C27" s="0">
        <v>0.626</v>
      </c>
      <c r="D27" s="0">
        <v>0.95</v>
      </c>
      <c r="E27" s="0">
        <v>1.839</v>
      </c>
      <c r="F27" s="0">
        <v>4.925</v>
      </c>
      <c r="G27" s="0">
        <v>1.626</v>
      </c>
      <c r="H27" s="0">
        <v>10.107</v>
      </c>
      <c r="I27" s="0">
        <v>12.313</v>
      </c>
      <c r="J27" s="0">
        <v>29.244</v>
      </c>
      <c r="K27" s="0">
        <v>0.868</v>
      </c>
      <c r="L27" s="0">
        <v>3.055</v>
      </c>
      <c r="M27" s="0">
        <v>3.99</v>
      </c>
      <c r="N27" s="0">
        <v>18.152</v>
      </c>
      <c r="O27" s="0">
        <v>15.417</v>
      </c>
      <c r="P27" s="0">
        <v>13.865</v>
      </c>
      <c r="Q27" s="0">
        <v>13.596</v>
      </c>
      <c r="R27" s="0">
        <v>25.886</v>
      </c>
      <c r="S27" s="0">
        <v>0.116</v>
      </c>
      <c r="T27" s="0">
        <v>-0.45</v>
      </c>
      <c r="U27" s="0">
        <v>1.804</v>
      </c>
      <c r="V27" s="0">
        <v>4.222</v>
      </c>
      <c r="W27" s="0">
        <v>-0.285</v>
      </c>
      <c r="X27" s="0">
        <v>1.603</v>
      </c>
      <c r="Y27" s="0">
        <v>3.344</v>
      </c>
      <c r="Z27" s="0">
        <v>64.234</v>
      </c>
      <c r="AA27" s="0">
        <v>-3.851</v>
      </c>
      <c r="AB27" s="0">
        <v>-14.185</v>
      </c>
      <c r="AC27" s="0">
        <v>-7.516</v>
      </c>
      <c r="AD27" s="0">
        <v>161.607</v>
      </c>
      <c r="AE27" s="0">
        <v>2.003</v>
      </c>
      <c r="AF27" s="0">
        <v>49.619</v>
      </c>
    </row>
    <row customHeight="1" ht="15">
      <c r="A28" s="9" t="s">
        <v>65</v>
      </c>
      <c r="B28" s="0">
        <v>1.512</v>
      </c>
      <c r="C28" s="0">
        <v>0.833</v>
      </c>
      <c r="D28" s="0">
        <v>1.663</v>
      </c>
      <c r="E28" s="0">
        <v>2.638</v>
      </c>
      <c r="F28" s="0">
        <v>8.969</v>
      </c>
      <c r="G28" s="0">
        <v>9.986</v>
      </c>
      <c r="H28" s="0">
        <v>19.178</v>
      </c>
      <c r="I28" s="0">
        <v>29.584</v>
      </c>
      <c r="J28" s="0">
        <v>38.784</v>
      </c>
      <c r="K28" s="0">
        <v>8.209</v>
      </c>
      <c r="L28" s="0">
        <v>15.584</v>
      </c>
      <c r="M28" s="0">
        <v>24.823</v>
      </c>
      <c r="N28" s="0">
        <v>33.432</v>
      </c>
      <c r="O28" s="0">
        <v>10.146</v>
      </c>
      <c r="P28" s="0">
        <v>21.566</v>
      </c>
      <c r="Q28" s="0">
        <v>34.653</v>
      </c>
      <c r="R28" s="0">
        <v>47.69</v>
      </c>
      <c r="S28" s="0">
        <v>16.243</v>
      </c>
      <c r="T28" s="0">
        <v>34.71</v>
      </c>
      <c r="U28" s="0">
        <v>57.995</v>
      </c>
      <c r="V28" s="0">
        <v>82.481</v>
      </c>
      <c r="W28" s="0">
        <v>29.16</v>
      </c>
      <c r="X28" s="0">
        <v>65.055</v>
      </c>
      <c r="Y28" s="0">
        <v>101.178</v>
      </c>
      <c r="Z28" s="0">
        <v>137.997</v>
      </c>
      <c r="AA28" s="0">
        <v>35.468</v>
      </c>
      <c r="AB28" s="0">
        <v>64.885</v>
      </c>
      <c r="AC28" s="0">
        <v>92.517</v>
      </c>
      <c r="AD28" s="0">
        <v>114.609</v>
      </c>
      <c r="AE28" s="0">
        <v>22.628</v>
      </c>
      <c r="AF28" s="0">
        <v>43.649</v>
      </c>
    </row>
    <row customHeight="1" ht="15">
      <c r="A29" s="9" t="s">
        <v>66</v>
      </c>
      <c r="B29" s="0">
        <v>-0.04</v>
      </c>
      <c r="C29" s="0">
        <v>0.352</v>
      </c>
      <c r="D29" s="0">
        <v>-0.197</v>
      </c>
      <c r="E29" s="0">
        <v>0.162</v>
      </c>
      <c r="F29" s="0">
        <v>-2.354</v>
      </c>
      <c r="G29" s="0">
        <v>2.687</v>
      </c>
      <c r="H29" s="0">
        <v>-0.416</v>
      </c>
      <c r="I29" s="0">
        <v>-4.851</v>
      </c>
      <c r="J29" s="0">
        <v>-15.434</v>
      </c>
      <c r="K29" s="0">
        <v>6.477</v>
      </c>
      <c r="L29" s="0">
        <v>2.683</v>
      </c>
      <c r="M29" s="0">
        <v>7.496</v>
      </c>
      <c r="N29" s="0">
        <v>14.492</v>
      </c>
      <c r="O29" s="0">
        <v>0.659</v>
      </c>
      <c r="P29" s="0">
        <v>18.838</v>
      </c>
      <c r="Q29" s="0">
        <v>45.217</v>
      </c>
      <c r="R29" s="0">
        <v>7.001</v>
      </c>
      <c r="S29" s="0">
        <v>-8.876</v>
      </c>
      <c r="T29" s="0">
        <v>-3.888</v>
      </c>
      <c r="U29" s="0">
        <v>6.884</v>
      </c>
      <c r="V29" s="0">
        <v>-16.743</v>
      </c>
      <c r="W29" s="0">
        <v>3.824</v>
      </c>
      <c r="X29" s="0">
        <v>5.579</v>
      </c>
      <c r="Y29" s="0">
        <v>-7.37</v>
      </c>
      <c r="Z29" s="0">
        <v>7.308</v>
      </c>
      <c r="AA29" s="0">
        <v>1.148</v>
      </c>
      <c r="AB29" s="0">
        <v>-11.605</v>
      </c>
      <c r="AC29" s="0">
        <v>-13.715</v>
      </c>
      <c r="AD29" s="0">
        <v>-11.84</v>
      </c>
      <c r="AE29" s="0">
        <v>1.791</v>
      </c>
      <c r="AF29" s="0">
        <v>3.037</v>
      </c>
    </row>
    <row customHeight="1" ht="15">
      <c r="A30" s="9" t="s">
        <v>67</v>
      </c>
      <c r="B30" s="0">
        <v>0.008</v>
      </c>
      <c r="C30" s="0">
        <v>0.002</v>
      </c>
      <c r="D30" s="0">
        <v>0.002</v>
      </c>
      <c r="E30" s="0">
        <v>0.115</v>
      </c>
      <c r="F30" s="0">
        <v>0.29</v>
      </c>
      <c r="G30" s="0">
        <v>-0.073</v>
      </c>
      <c r="H30" s="0">
        <v>-0.514</v>
      </c>
      <c r="I30" s="0">
        <v>-0.563</v>
      </c>
      <c r="J30" s="0">
        <v>-0.812</v>
      </c>
      <c r="K30" s="0">
        <v>-0.287</v>
      </c>
      <c r="L30" s="0">
        <v>-0.086</v>
      </c>
      <c r="M30" s="0">
        <v>0.091</v>
      </c>
      <c r="N30" s="0">
        <v>-1.281</v>
      </c>
      <c r="O30" s="0">
        <v>0.769</v>
      </c>
      <c r="P30" s="0">
        <v>1.201</v>
      </c>
      <c r="Q30" s="0">
        <v>3.14</v>
      </c>
      <c r="R30" s="0">
        <v>3.26</v>
      </c>
      <c r="S30" s="0">
        <v>1.391</v>
      </c>
      <c r="T30" s="0">
        <v>2.789</v>
      </c>
      <c r="U30" s="0">
        <v>3.529</v>
      </c>
      <c r="V30" s="0">
        <v>3.01</v>
      </c>
      <c r="W30" s="0">
        <v>1.308</v>
      </c>
      <c r="X30" s="0">
        <v>1.492</v>
      </c>
      <c r="Y30" s="0">
        <v>2.021</v>
      </c>
      <c r="Z30" s="0">
        <v>2.566</v>
      </c>
      <c r="AA30" s="0">
        <v>-0.006</v>
      </c>
      <c r="AB30" s="0">
        <v>-2.406</v>
      </c>
      <c r="AC30" s="0">
        <v>-2.545</v>
      </c>
      <c r="AD30" s="0">
        <v>-0.804</v>
      </c>
      <c r="AE30" s="0">
        <v>-0.252</v>
      </c>
      <c r="AF30" s="0">
        <v>-1.499</v>
      </c>
    </row>
    <row customHeight="1" ht="15">
      <c r="A31" s="9" t="s">
        <v>68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</row>
    <row customHeight="1" ht="15">
      <c r="A32" s="9" t="s">
        <v>69</v>
      </c>
      <c r="B32" s="0">
        <v>0.002</v>
      </c>
      <c r="C32" s="0">
        <v>0</v>
      </c>
      <c r="D32" s="0">
        <v>0</v>
      </c>
      <c r="E32" s="0">
        <v>0</v>
      </c>
      <c r="F32" s="0">
        <v>-0.003</v>
      </c>
      <c r="G32" s="0">
        <v>0</v>
      </c>
      <c r="H32" s="0">
        <v>0</v>
      </c>
      <c r="I32" s="0">
        <v>-0.003</v>
      </c>
      <c r="J32" s="0">
        <v>-0.66</v>
      </c>
      <c r="K32" s="0">
        <v>-1.958</v>
      </c>
      <c r="L32" s="0">
        <v>-2.398</v>
      </c>
      <c r="M32" s="0">
        <v>-2.478</v>
      </c>
      <c r="N32" s="0">
        <v>-0.474</v>
      </c>
      <c r="O32" s="0">
        <v>5.983</v>
      </c>
      <c r="P32" s="0">
        <v>12.105</v>
      </c>
      <c r="Q32" s="0">
        <v>18.465</v>
      </c>
      <c r="R32" s="0">
        <v>26.441</v>
      </c>
      <c r="S32" s="0">
        <v>6.425</v>
      </c>
      <c r="T32" s="0">
        <v>13.05</v>
      </c>
      <c r="U32" s="0">
        <v>19.807</v>
      </c>
      <c r="V32" s="0">
        <v>26.685</v>
      </c>
      <c r="W32" s="0">
        <v>7.032</v>
      </c>
      <c r="X32" s="0">
        <v>-52.576</v>
      </c>
      <c r="Y32" s="0">
        <v>-52.576</v>
      </c>
      <c r="Z32" s="0">
        <v>-52.388</v>
      </c>
      <c r="AA32" s="0">
        <v>0.009</v>
      </c>
      <c r="AB32" s="0">
        <v>0.803</v>
      </c>
      <c r="AC32" s="0">
        <v>0.378</v>
      </c>
      <c r="AD32" s="0">
        <v>0.01</v>
      </c>
      <c r="AE32" s="0">
        <v>0.033</v>
      </c>
      <c r="AF32" s="0">
        <v>0.032</v>
      </c>
    </row>
    <row customHeight="1" ht="15">
      <c r="A33" s="9" t="s">
        <v>70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1.511</v>
      </c>
      <c r="Z33" s="0">
        <v>1.574</v>
      </c>
      <c r="AA33" s="0">
        <v>1.137</v>
      </c>
      <c r="AB33" s="0">
        <v>1.137</v>
      </c>
      <c r="AC33" s="0">
        <v>1.137</v>
      </c>
      <c r="AD33" s="0">
        <v>1.137</v>
      </c>
      <c r="AE33" s="0">
        <v>0</v>
      </c>
      <c r="AF33" s="0">
        <v>0</v>
      </c>
    </row>
    <row customHeight="1" ht="15">
      <c r="A34" s="9" t="s">
        <v>71</v>
      </c>
      <c r="B34" s="0">
        <v>0</v>
      </c>
      <c r="C34" s="0">
        <v>0</v>
      </c>
      <c r="D34" s="0">
        <v>0</v>
      </c>
      <c r="E34" s="0">
        <v>-0.002</v>
      </c>
      <c r="F34" s="0">
        <v>0.06</v>
      </c>
      <c r="G34" s="0">
        <v>0.072</v>
      </c>
      <c r="H34" s="0">
        <v>0.138</v>
      </c>
      <c r="I34" s="0">
        <v>0.205</v>
      </c>
      <c r="J34" s="0">
        <v>0.271</v>
      </c>
      <c r="K34" s="0">
        <v>0.066</v>
      </c>
      <c r="L34" s="0">
        <v>0.132</v>
      </c>
      <c r="M34" s="0">
        <v>0.199</v>
      </c>
      <c r="N34" s="0">
        <v>0.265</v>
      </c>
      <c r="O34" s="0">
        <v>0.066</v>
      </c>
      <c r="P34" s="0">
        <v>0.132</v>
      </c>
      <c r="Q34" s="0">
        <v>0.199</v>
      </c>
      <c r="R34" s="0">
        <v>0.265</v>
      </c>
      <c r="S34" s="0">
        <v>0.066</v>
      </c>
      <c r="T34" s="0">
        <v>0.133</v>
      </c>
      <c r="U34" s="0">
        <v>0.199</v>
      </c>
      <c r="V34" s="0">
        <v>1.134</v>
      </c>
      <c r="W34" s="0">
        <v>0.204</v>
      </c>
      <c r="X34" s="0">
        <v>0.407</v>
      </c>
      <c r="Y34" s="0">
        <v>0.612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</row>
    <row customHeight="1" ht="15">
      <c r="A35" s="9" t="s">
        <v>72</v>
      </c>
      <c r="B35" s="0">
        <v>0.108</v>
      </c>
      <c r="C35" s="0">
        <v>-0.272</v>
      </c>
      <c r="D35" s="0">
        <v>0.177</v>
      </c>
      <c r="E35" s="0">
        <v>-0.373</v>
      </c>
      <c r="F35" s="0">
        <v>-0.879</v>
      </c>
      <c r="G35" s="0">
        <v>0.289</v>
      </c>
      <c r="H35" s="0">
        <v>0.106</v>
      </c>
      <c r="I35" s="0">
        <v>1.322</v>
      </c>
      <c r="J35" s="0">
        <v>0.588</v>
      </c>
      <c r="K35" s="0">
        <v>0.445</v>
      </c>
      <c r="L35" s="0">
        <v>0.629</v>
      </c>
      <c r="M35" s="0">
        <v>3.662</v>
      </c>
      <c r="N35" s="0">
        <v>-4.902</v>
      </c>
      <c r="O35" s="0">
        <v>-15.095</v>
      </c>
      <c r="P35" s="0">
        <v>-15.081</v>
      </c>
      <c r="Q35" s="0">
        <v>-29.006</v>
      </c>
      <c r="R35" s="0">
        <v>-14.615</v>
      </c>
      <c r="S35" s="0">
        <v>0.366</v>
      </c>
      <c r="T35" s="0">
        <v>0.172</v>
      </c>
      <c r="U35" s="0">
        <v>0.524</v>
      </c>
      <c r="V35" s="0">
        <v>-8.391</v>
      </c>
      <c r="W35" s="0">
        <v>-8.902</v>
      </c>
      <c r="X35" s="0">
        <v>-11.7</v>
      </c>
      <c r="Y35" s="0">
        <v>-16.146</v>
      </c>
      <c r="Z35" s="0">
        <v>-14.771</v>
      </c>
      <c r="AA35" s="0">
        <v>0.018</v>
      </c>
      <c r="AB35" s="0">
        <v>-2.721</v>
      </c>
      <c r="AC35" s="0">
        <v>-2.309</v>
      </c>
      <c r="AD35" s="0">
        <v>-1.151</v>
      </c>
      <c r="AE35" s="0">
        <v>-0.162</v>
      </c>
      <c r="AF35" s="0">
        <v>-0.439</v>
      </c>
    </row>
    <row customHeight="1" ht="15">
      <c r="A36" s="9" t="s">
        <v>73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4.169</v>
      </c>
      <c r="I36" s="0">
        <v>-8.174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</row>
    <row customHeight="1" ht="15">
      <c r="A37" s="9" t="s">
        <v>74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2.832</v>
      </c>
      <c r="K37" s="0">
        <v>0</v>
      </c>
      <c r="L37" s="0">
        <v>0</v>
      </c>
      <c r="M37" s="0">
        <v>0</v>
      </c>
      <c r="N37" s="0">
        <v>0.378</v>
      </c>
      <c r="O37" s="0">
        <v>0</v>
      </c>
      <c r="P37" s="0">
        <v>0</v>
      </c>
      <c r="Q37" s="0">
        <v>0</v>
      </c>
      <c r="R37" s="0">
        <v>0.05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</row>
    <row customHeight="1" ht="15">
      <c r="A38" s="9" t="s">
        <v>75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-13.896</v>
      </c>
      <c r="K38" s="0">
        <v>-6.743</v>
      </c>
      <c r="L38" s="0">
        <v>-10.12</v>
      </c>
      <c r="M38" s="0">
        <v>-10.785</v>
      </c>
      <c r="N38" s="0">
        <v>-13.518</v>
      </c>
      <c r="O38" s="0">
        <v>0.116</v>
      </c>
      <c r="P38" s="0">
        <v>-0.864</v>
      </c>
      <c r="Q38" s="0">
        <v>-0.772</v>
      </c>
      <c r="R38" s="0">
        <v>-6.446</v>
      </c>
      <c r="S38" s="0">
        <v>-0.076</v>
      </c>
      <c r="T38" s="0">
        <v>-0.838</v>
      </c>
      <c r="U38" s="0">
        <v>-1.387</v>
      </c>
      <c r="V38" s="0">
        <v>-1.733</v>
      </c>
      <c r="W38" s="0">
        <v>-0.478</v>
      </c>
      <c r="X38" s="0">
        <v>-0.707</v>
      </c>
      <c r="Y38" s="0">
        <v>-1.021</v>
      </c>
      <c r="Z38" s="0">
        <v>-1.929</v>
      </c>
      <c r="AA38" s="0">
        <v>-0.293</v>
      </c>
      <c r="AB38" s="0">
        <v>-4.785</v>
      </c>
      <c r="AC38" s="0">
        <v>-4.11</v>
      </c>
      <c r="AD38" s="0">
        <v>-4.721</v>
      </c>
      <c r="AE38" s="0">
        <v>0.035</v>
      </c>
      <c r="AF38" s="0">
        <v>-17.64</v>
      </c>
    </row>
    <row customHeight="1" ht="15">
      <c r="A39" s="9" t="s">
        <v>76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</row>
    <row customHeight="1" ht="15">
      <c r="A40" s="9" t="s">
        <v>77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0.468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</row>
    <row customHeight="1" ht="15">
      <c r="A41" s="9" t="s">
        <v>78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-3.219</v>
      </c>
      <c r="Y41" s="0">
        <v>-3.219</v>
      </c>
      <c r="Z41" s="0">
        <v>-3.262</v>
      </c>
      <c r="AA41" s="0">
        <v>1.721</v>
      </c>
      <c r="AB41" s="0">
        <v>1.721</v>
      </c>
      <c r="AC41" s="0">
        <v>1.714</v>
      </c>
      <c r="AD41" s="0">
        <v>1.714</v>
      </c>
      <c r="AE41" s="0">
        <v>-0.045</v>
      </c>
      <c r="AF41" s="0">
        <v>-0.032</v>
      </c>
    </row>
    <row customHeight="1" ht="15">
      <c r="A42" s="9" t="s">
        <v>79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-3.772</v>
      </c>
      <c r="I42" s="0">
        <v>-4.533</v>
      </c>
      <c r="J42" s="0">
        <v>-6.073</v>
      </c>
      <c r="K42" s="0">
        <v>-0.049</v>
      </c>
      <c r="L42" s="0">
        <v>0.049</v>
      </c>
      <c r="M42" s="0">
        <v>-0.04</v>
      </c>
      <c r="N42" s="0">
        <v>-0.04</v>
      </c>
      <c r="O42" s="0">
        <v>-0.038</v>
      </c>
      <c r="P42" s="0">
        <v>-0.134</v>
      </c>
      <c r="Q42" s="0">
        <v>-2.299</v>
      </c>
      <c r="R42" s="0">
        <v>-2.241</v>
      </c>
      <c r="S42" s="0">
        <v>0</v>
      </c>
      <c r="T42" s="0">
        <v>-0.499</v>
      </c>
      <c r="U42" s="0">
        <v>-0.498</v>
      </c>
      <c r="V42" s="0">
        <v>-0.498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</row>
    <row customHeight="1" ht="15">
      <c r="A43" s="9" t="s">
        <v>80</v>
      </c>
      <c r="B43" s="0">
        <v>-0.166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-2.68</v>
      </c>
      <c r="I43" s="0">
        <v>-2.68</v>
      </c>
      <c r="J43" s="0">
        <v>-3.829</v>
      </c>
      <c r="K43" s="0">
        <v>0</v>
      </c>
      <c r="L43" s="0">
        <v>0</v>
      </c>
      <c r="M43" s="0">
        <v>-5.13</v>
      </c>
      <c r="N43" s="0">
        <v>-5.13</v>
      </c>
      <c r="O43" s="0">
        <v>-2.968</v>
      </c>
      <c r="P43" s="0">
        <v>-2.933</v>
      </c>
      <c r="Q43" s="0">
        <v>-2.981</v>
      </c>
      <c r="R43" s="0">
        <v>-2.396</v>
      </c>
      <c r="S43" s="0">
        <v>-7.189</v>
      </c>
      <c r="T43" s="0">
        <v>-7.189</v>
      </c>
      <c r="U43" s="0">
        <v>-8.16</v>
      </c>
      <c r="V43" s="0">
        <v>-9.853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-2.293</v>
      </c>
      <c r="AD43" s="0">
        <v>-204.806</v>
      </c>
      <c r="AE43" s="0">
        <v>0</v>
      </c>
      <c r="AF43" s="0">
        <v>-40.273</v>
      </c>
    </row>
    <row customHeight="1" ht="15">
      <c r="A44" s="9" t="s">
        <v>81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-0.984</v>
      </c>
    </row>
    <row customHeight="1" ht="15">
      <c r="A45" s="9" t="s">
        <v>82</v>
      </c>
      <c r="B45" s="0">
        <v>-0.254</v>
      </c>
      <c r="C45" s="0">
        <v>-0.062</v>
      </c>
      <c r="D45" s="0">
        <v>-0.122</v>
      </c>
      <c r="E45" s="0">
        <v>-0.183</v>
      </c>
      <c r="F45" s="0">
        <v>-0.243</v>
      </c>
      <c r="G45" s="0">
        <v>-0.06</v>
      </c>
      <c r="H45" s="0">
        <v>-0.119</v>
      </c>
      <c r="I45" s="0">
        <v>-0.179</v>
      </c>
      <c r="J45" s="0">
        <v>-0.238</v>
      </c>
      <c r="K45" s="0">
        <v>-0.059</v>
      </c>
      <c r="L45" s="0">
        <v>-0.119</v>
      </c>
      <c r="M45" s="0">
        <v>-0.178</v>
      </c>
      <c r="N45" s="0">
        <v>-0.237</v>
      </c>
      <c r="O45" s="0">
        <v>-0.053</v>
      </c>
      <c r="P45" s="0">
        <v>-0.101</v>
      </c>
      <c r="Q45" s="0">
        <v>-0.146</v>
      </c>
      <c r="R45" s="0">
        <v>-0.192</v>
      </c>
      <c r="S45" s="0">
        <v>-0.044</v>
      </c>
      <c r="T45" s="0">
        <v>-0.083</v>
      </c>
      <c r="U45" s="0">
        <v>-0.107</v>
      </c>
      <c r="V45" s="0">
        <v>-0.106</v>
      </c>
      <c r="W45" s="0">
        <v>0</v>
      </c>
      <c r="X45" s="0">
        <v>-0.002</v>
      </c>
      <c r="Y45" s="0">
        <v>-0.003</v>
      </c>
      <c r="Z45" s="0">
        <v>-0.004</v>
      </c>
      <c r="AA45" s="0">
        <v>0</v>
      </c>
      <c r="AB45" s="0">
        <v>-0.199</v>
      </c>
      <c r="AC45" s="0">
        <v>-0.43</v>
      </c>
      <c r="AD45" s="0">
        <v>-0.77</v>
      </c>
      <c r="AE45" s="0">
        <v>-0.002</v>
      </c>
      <c r="AF45" s="0">
        <v>-0.005</v>
      </c>
    </row>
    <row customHeight="1" ht="15">
      <c r="A46" s="9" t="s">
        <v>83</v>
      </c>
      <c r="B46" s="0">
        <v>-0.134</v>
      </c>
      <c r="C46" s="0">
        <v>-0.09</v>
      </c>
      <c r="D46" s="0">
        <v>-0.297</v>
      </c>
      <c r="E46" s="0">
        <v>-0.157</v>
      </c>
      <c r="F46" s="0">
        <v>-0.552</v>
      </c>
      <c r="G46" s="0">
        <v>-0.4</v>
      </c>
      <c r="H46" s="0">
        <v>-1.404</v>
      </c>
      <c r="I46" s="0">
        <v>-1.776</v>
      </c>
      <c r="J46" s="0">
        <v>-3.133</v>
      </c>
      <c r="K46" s="0">
        <v>-0.395</v>
      </c>
      <c r="L46" s="0">
        <v>-0.824</v>
      </c>
      <c r="M46" s="0">
        <v>-1.295</v>
      </c>
      <c r="N46" s="0">
        <v>-1.473</v>
      </c>
      <c r="O46" s="0">
        <v>-0.451</v>
      </c>
      <c r="P46" s="0">
        <v>-0.833</v>
      </c>
      <c r="Q46" s="0">
        <v>-1.353</v>
      </c>
      <c r="R46" s="0">
        <v>-3.505</v>
      </c>
      <c r="S46" s="0">
        <v>-0.262</v>
      </c>
      <c r="T46" s="0">
        <v>-0.84</v>
      </c>
      <c r="U46" s="0">
        <v>-1.731</v>
      </c>
      <c r="V46" s="0">
        <v>-6.94</v>
      </c>
      <c r="W46" s="0">
        <v>-1.065</v>
      </c>
      <c r="X46" s="0">
        <v>-3.351</v>
      </c>
      <c r="Y46" s="0">
        <v>-6.144</v>
      </c>
      <c r="Z46" s="0">
        <v>-8.245</v>
      </c>
      <c r="AA46" s="0">
        <v>-1.255</v>
      </c>
      <c r="AB46" s="0">
        <v>-2.226</v>
      </c>
      <c r="AC46" s="0">
        <v>-3.566</v>
      </c>
      <c r="AD46" s="0">
        <v>-6.97</v>
      </c>
      <c r="AE46" s="0">
        <v>-1.199</v>
      </c>
      <c r="AF46" s="0">
        <v>-2.763</v>
      </c>
    </row>
    <row customHeight="1" ht="15">
      <c r="A47" s="9" t="s">
        <v>84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-0.013</v>
      </c>
      <c r="AA47" s="0">
        <v>0</v>
      </c>
      <c r="AB47" s="0">
        <v>0</v>
      </c>
      <c r="AC47" s="0">
        <v>0</v>
      </c>
      <c r="AD47" s="0">
        <v>0.255</v>
      </c>
      <c r="AE47" s="0">
        <v>0</v>
      </c>
      <c r="AF47" s="0">
        <v>0</v>
      </c>
    </row>
    <row customHeight="1" ht="15">
      <c r="A48" s="9" t="s">
        <v>85</v>
      </c>
      <c r="B48" s="0">
        <v>0</v>
      </c>
      <c r="C48" s="0">
        <v>0.054</v>
      </c>
      <c r="D48" s="0">
        <v>0.079</v>
      </c>
      <c r="E48" s="0">
        <v>0.938</v>
      </c>
      <c r="F48" s="0">
        <v>1.027</v>
      </c>
      <c r="G48" s="0">
        <v>-0.84</v>
      </c>
      <c r="H48" s="0">
        <v>-1.849</v>
      </c>
      <c r="I48" s="0">
        <v>-3.411</v>
      </c>
      <c r="J48" s="0">
        <v>1.19</v>
      </c>
      <c r="K48" s="0">
        <v>-0.022</v>
      </c>
      <c r="L48" s="0">
        <v>-0.018</v>
      </c>
      <c r="M48" s="0">
        <v>0.049</v>
      </c>
      <c r="N48" s="0">
        <v>-1.458</v>
      </c>
      <c r="O48" s="0">
        <v>-0.023</v>
      </c>
      <c r="P48" s="0">
        <v>0.007</v>
      </c>
      <c r="Q48" s="0">
        <v>0.013</v>
      </c>
      <c r="R48" s="0">
        <v>55.091</v>
      </c>
      <c r="S48" s="0">
        <v>-0.004</v>
      </c>
      <c r="T48" s="0">
        <v>-2.097</v>
      </c>
      <c r="U48" s="0">
        <v>-2.478</v>
      </c>
      <c r="V48" s="0">
        <v>-2.706</v>
      </c>
      <c r="W48" s="0">
        <v>-0.004</v>
      </c>
      <c r="X48" s="0">
        <v>-0.004</v>
      </c>
      <c r="Y48" s="0">
        <v>-0.005</v>
      </c>
      <c r="Z48" s="0">
        <v>0</v>
      </c>
      <c r="AA48" s="0">
        <v>0</v>
      </c>
      <c r="AB48" s="0">
        <v>-0.012</v>
      </c>
      <c r="AC48" s="0">
        <v>-0.012</v>
      </c>
      <c r="AD48" s="0">
        <v>0</v>
      </c>
      <c r="AE48" s="0">
        <v>0</v>
      </c>
      <c r="AF48" s="0">
        <v>-0.005</v>
      </c>
    </row>
    <row customHeight="1" ht="15">
      <c r="A49" s="9" t="s">
        <v>86</v>
      </c>
      <c r="B49" s="0">
        <v>1.217</v>
      </c>
      <c r="C49" s="0">
        <v>1.258</v>
      </c>
      <c r="D49" s="0">
        <v>0.613</v>
      </c>
      <c r="E49" s="0">
        <v>-2.102</v>
      </c>
      <c r="F49" s="0">
        <v>-24.084</v>
      </c>
      <c r="G49" s="0">
        <v>58.46</v>
      </c>
      <c r="H49" s="0">
        <v>58.015</v>
      </c>
      <c r="I49" s="0">
        <v>53.271</v>
      </c>
      <c r="J49" s="0">
        <v>58.453</v>
      </c>
      <c r="K49" s="0">
        <v>-5.624</v>
      </c>
      <c r="L49" s="0">
        <v>-15.328</v>
      </c>
      <c r="M49" s="0">
        <v>-23.664</v>
      </c>
      <c r="N49" s="0">
        <v>-26.844</v>
      </c>
      <c r="O49" s="0">
        <v>12.04</v>
      </c>
      <c r="P49" s="0">
        <v>-16.077</v>
      </c>
      <c r="Q49" s="0">
        <v>-29.474</v>
      </c>
      <c r="R49" s="0">
        <v>3.298</v>
      </c>
      <c r="S49" s="0">
        <v>-8.757</v>
      </c>
      <c r="T49" s="0">
        <v>-18.118</v>
      </c>
      <c r="U49" s="0">
        <v>-30.575</v>
      </c>
      <c r="V49" s="0">
        <v>6.901</v>
      </c>
      <c r="W49" s="0">
        <v>-5.613</v>
      </c>
      <c r="X49" s="0">
        <v>-27.446</v>
      </c>
      <c r="Y49" s="0">
        <v>-72.817</v>
      </c>
      <c r="Z49" s="0">
        <v>-72.934</v>
      </c>
      <c r="AA49" s="0">
        <v>21.06</v>
      </c>
      <c r="AB49" s="0">
        <v>17.298</v>
      </c>
      <c r="AC49" s="0">
        <v>32.3</v>
      </c>
      <c r="AD49" s="0">
        <v>-10.603</v>
      </c>
      <c r="AE49" s="0">
        <v>22.656</v>
      </c>
      <c r="AF49" s="0">
        <v>26.747</v>
      </c>
    </row>
    <row customHeight="1" ht="15">
      <c r="A50" s="9" t="s">
        <v>87</v>
      </c>
      <c r="B50" s="0">
        <v>-10.783</v>
      </c>
      <c r="C50" s="0">
        <v>-6.486</v>
      </c>
      <c r="D50" s="0">
        <v>-6.95</v>
      </c>
      <c r="E50" s="0">
        <v>-13.275</v>
      </c>
      <c r="F50" s="0">
        <v>-1.533</v>
      </c>
      <c r="G50" s="0">
        <v>-27.374</v>
      </c>
      <c r="H50" s="0">
        <v>-1.074</v>
      </c>
      <c r="I50" s="0">
        <v>-4.859</v>
      </c>
      <c r="J50" s="0">
        <v>15.818</v>
      </c>
      <c r="K50" s="0">
        <v>-32.739</v>
      </c>
      <c r="L50" s="0">
        <v>-58.556</v>
      </c>
      <c r="M50" s="0">
        <v>-94.038</v>
      </c>
      <c r="N50" s="0">
        <v>-140.502</v>
      </c>
      <c r="O50" s="0">
        <v>-8.776</v>
      </c>
      <c r="P50" s="0">
        <v>-34.46</v>
      </c>
      <c r="Q50" s="0">
        <v>-66.946</v>
      </c>
      <c r="R50" s="0">
        <v>-42.187</v>
      </c>
      <c r="S50" s="0">
        <v>-47.637</v>
      </c>
      <c r="T50" s="0">
        <v>-79.702</v>
      </c>
      <c r="U50" s="0">
        <v>-86.786</v>
      </c>
      <c r="V50" s="0">
        <v>-76.5</v>
      </c>
      <c r="W50" s="0">
        <v>-40.815</v>
      </c>
      <c r="X50" s="0">
        <v>-76.073</v>
      </c>
      <c r="Y50" s="0">
        <v>-48.101</v>
      </c>
      <c r="Z50" s="0">
        <v>-2.796</v>
      </c>
      <c r="AA50" s="0">
        <v>-12.048</v>
      </c>
      <c r="AB50" s="0">
        <v>-13.843</v>
      </c>
      <c r="AC50" s="0">
        <v>2.845</v>
      </c>
      <c r="AD50" s="0">
        <v>-76.038</v>
      </c>
      <c r="AE50" s="0">
        <v>-44.89</v>
      </c>
      <c r="AF50" s="0">
        <v>-4.743</v>
      </c>
    </row>
    <row customHeight="1" ht="15">
      <c r="A51" s="9" t="s">
        <v>88</v>
      </c>
      <c r="B51" s="0">
        <v>-0.679</v>
      </c>
      <c r="C51" s="0">
        <v>0</v>
      </c>
      <c r="D51" s="0">
        <v>0</v>
      </c>
      <c r="E51" s="0">
        <v>0</v>
      </c>
      <c r="F51" s="0">
        <v>-6.119</v>
      </c>
      <c r="G51" s="0">
        <v>-0.506</v>
      </c>
      <c r="H51" s="0">
        <v>0</v>
      </c>
      <c r="I51" s="0">
        <v>0</v>
      </c>
      <c r="J51" s="0">
        <v>-0.04</v>
      </c>
      <c r="K51" s="0">
        <v>0.36</v>
      </c>
      <c r="L51" s="0">
        <v>-1.677</v>
      </c>
      <c r="M51" s="0">
        <v>-7.195</v>
      </c>
      <c r="N51" s="0">
        <v>-14.444</v>
      </c>
      <c r="O51" s="0">
        <v>-5.156</v>
      </c>
      <c r="P51" s="0">
        <v>-9.934</v>
      </c>
      <c r="Q51" s="0">
        <v>-16.551</v>
      </c>
      <c r="R51" s="0">
        <v>-28.291</v>
      </c>
      <c r="S51" s="0">
        <v>-13.46</v>
      </c>
      <c r="T51" s="0">
        <v>-23.546</v>
      </c>
      <c r="U51" s="0">
        <v>-30.022</v>
      </c>
      <c r="V51" s="0">
        <v>-36.044</v>
      </c>
      <c r="W51" s="0">
        <v>-7.138</v>
      </c>
      <c r="X51" s="0">
        <v>-9.878</v>
      </c>
      <c r="Y51" s="0">
        <v>-23.705</v>
      </c>
      <c r="Z51" s="0">
        <v>-16.774</v>
      </c>
      <c r="AA51" s="0">
        <v>-1.789</v>
      </c>
      <c r="AB51" s="0">
        <v>0.378</v>
      </c>
      <c r="AC51" s="0">
        <v>-1.139</v>
      </c>
      <c r="AD51" s="0">
        <v>1.236</v>
      </c>
      <c r="AE51" s="0">
        <v>-0.194</v>
      </c>
      <c r="AF51" s="0">
        <v>0.645</v>
      </c>
    </row>
    <row customHeight="1" ht="15">
      <c r="A52" s="9" t="s">
        <v>89</v>
      </c>
      <c r="B52" s="0">
        <v>1.021</v>
      </c>
      <c r="C52" s="0">
        <v>-0.101</v>
      </c>
      <c r="D52" s="0">
        <v>-0.004</v>
      </c>
      <c r="E52" s="0">
        <v>0.504</v>
      </c>
      <c r="F52" s="0">
        <v>6.241</v>
      </c>
      <c r="G52" s="0">
        <v>0.478</v>
      </c>
      <c r="H52" s="0">
        <v>-0.301</v>
      </c>
      <c r="I52" s="0">
        <v>-0.393</v>
      </c>
      <c r="J52" s="0">
        <v>-0.255</v>
      </c>
      <c r="K52" s="0">
        <v>-0.033</v>
      </c>
      <c r="L52" s="0">
        <v>0</v>
      </c>
      <c r="M52" s="0">
        <v>0.458</v>
      </c>
      <c r="N52" s="0">
        <v>-0.136</v>
      </c>
      <c r="O52" s="0">
        <v>-0.141</v>
      </c>
      <c r="P52" s="0">
        <v>-0.45</v>
      </c>
      <c r="Q52" s="0">
        <v>-0.465</v>
      </c>
      <c r="R52" s="0">
        <v>-1.351</v>
      </c>
      <c r="S52" s="0">
        <v>-0.039</v>
      </c>
      <c r="T52" s="0">
        <v>-0.098</v>
      </c>
      <c r="U52" s="0">
        <v>-0.15</v>
      </c>
      <c r="V52" s="0">
        <v>-0.086</v>
      </c>
      <c r="W52" s="0">
        <v>0</v>
      </c>
      <c r="X52" s="0">
        <v>0.268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</row>
    <row customHeight="1" ht="15">
      <c r="A53" s="9" t="s">
        <v>90</v>
      </c>
      <c r="B53" s="0">
        <v>7.612</v>
      </c>
      <c r="C53" s="0">
        <v>6.89</v>
      </c>
      <c r="D53" s="0">
        <v>6.02</v>
      </c>
      <c r="E53" s="0">
        <v>4.261</v>
      </c>
      <c r="F53" s="0">
        <v>10.783</v>
      </c>
      <c r="G53" s="0">
        <v>-5.299</v>
      </c>
      <c r="H53" s="0">
        <v>-0.437</v>
      </c>
      <c r="I53" s="0">
        <v>-31.58</v>
      </c>
      <c r="J53" s="0">
        <v>-25.283</v>
      </c>
      <c r="K53" s="0">
        <v>25.919</v>
      </c>
      <c r="L53" s="0">
        <v>47.609</v>
      </c>
      <c r="M53" s="0">
        <v>68.229</v>
      </c>
      <c r="N53" s="0">
        <v>106.822</v>
      </c>
      <c r="O53" s="0">
        <v>21.257</v>
      </c>
      <c r="P53" s="0">
        <v>40.293</v>
      </c>
      <c r="Q53" s="0">
        <v>64.18</v>
      </c>
      <c r="R53" s="0">
        <v>16.476</v>
      </c>
      <c r="S53" s="0">
        <v>76.776</v>
      </c>
      <c r="T53" s="0">
        <v>120.545</v>
      </c>
      <c r="U53" s="0">
        <v>90.752</v>
      </c>
      <c r="V53" s="0">
        <v>80.396</v>
      </c>
      <c r="W53" s="0">
        <v>115.156</v>
      </c>
      <c r="X53" s="0">
        <v>152.713</v>
      </c>
      <c r="Y53" s="0">
        <v>137.471</v>
      </c>
      <c r="Z53" s="0">
        <v>75.427</v>
      </c>
      <c r="AA53" s="0">
        <v>45.651</v>
      </c>
      <c r="AB53" s="0">
        <v>88.049</v>
      </c>
      <c r="AC53" s="0">
        <v>25.913</v>
      </c>
      <c r="AD53" s="0">
        <v>101.135</v>
      </c>
      <c r="AE53" s="0">
        <v>40.802</v>
      </c>
      <c r="AF53" s="0">
        <v>27.577</v>
      </c>
    </row>
    <row customHeight="1" ht="15">
      <c r="A54" s="9" t="s">
        <v>91</v>
      </c>
      <c r="B54" s="0">
        <v>0.014</v>
      </c>
      <c r="C54" s="0">
        <v>0.036</v>
      </c>
      <c r="D54" s="0">
        <v>0.324</v>
      </c>
      <c r="E54" s="0">
        <v>0.467</v>
      </c>
      <c r="F54" s="0">
        <v>1.345</v>
      </c>
      <c r="G54" s="0">
        <v>1.434</v>
      </c>
      <c r="H54" s="0">
        <v>2.125</v>
      </c>
      <c r="I54" s="0">
        <v>1.7</v>
      </c>
      <c r="J54" s="0">
        <v>1.965</v>
      </c>
      <c r="K54" s="0">
        <v>0.041</v>
      </c>
      <c r="L54" s="0">
        <v>2.67</v>
      </c>
      <c r="M54" s="0">
        <v>1.871</v>
      </c>
      <c r="N54" s="0">
        <v>2.677</v>
      </c>
      <c r="O54" s="0">
        <v>4.128</v>
      </c>
      <c r="P54" s="0">
        <v>8.178</v>
      </c>
      <c r="Q54" s="0">
        <v>11.17</v>
      </c>
      <c r="R54" s="0">
        <v>9.332</v>
      </c>
      <c r="S54" s="0">
        <v>4.345</v>
      </c>
      <c r="T54" s="0">
        <v>14.257</v>
      </c>
      <c r="U54" s="0">
        <v>12.849</v>
      </c>
      <c r="V54" s="0">
        <v>10.664</v>
      </c>
      <c r="W54" s="0">
        <v>21.742</v>
      </c>
      <c r="X54" s="0">
        <v>11.498</v>
      </c>
      <c r="Y54" s="0">
        <v>14.331</v>
      </c>
      <c r="Z54" s="0">
        <v>15.497</v>
      </c>
      <c r="AA54" s="0">
        <v>1.585</v>
      </c>
      <c r="AB54" s="0">
        <v>7.06</v>
      </c>
      <c r="AC54" s="0">
        <v>8.946</v>
      </c>
      <c r="AD54" s="0">
        <v>12.113</v>
      </c>
      <c r="AE54" s="0">
        <v>4.438</v>
      </c>
      <c r="AF54" s="0">
        <v>5.754</v>
      </c>
    </row>
    <row customHeight="1" ht="15">
      <c r="A55" s="9" t="s">
        <v>92</v>
      </c>
      <c r="B55" s="11">
        <f>SUM(B24:B30)+B32+SUM(B34:B35)+B43+SUM(B45:B46)+SUM(B48:B54)</f>
        <v>22.857</v>
      </c>
      <c r="C55" s="11">
        <f>SUM(C24:C30)+SUM(C34:C35)+SUM(C45:C46)+SUM(C48:C50)+SUM(C52:C54)</f>
        <v>6.971</v>
      </c>
      <c r="D55" s="11">
        <f>SUM(D24:D30)+SUM(D34:D36)+SUM(D42:D43)+SUM(D45:D46)+SUM(D48:D50)+SUM(D52:D54)</f>
        <v>13.268</v>
      </c>
      <c r="E55" s="11">
        <f>SUM(E24:E31)+SUM(E34:E35)+E38+SUM(E42:E43)+SUM(E45:E46)+SUM(E48:E50)+SUM(E52:E54)</f>
        <v>10.948</v>
      </c>
      <c r="F55" s="11">
        <f t="shared" si="5" ref="F55:R55">SUM(F24:F30)+F32+SUM(F34:F35)+SUM(F37:F38)+SUM(F42:F43)+SUM(F45:F46)+SUM(F48:F54)</f>
        <v>50.447</v>
      </c>
      <c r="G55" s="11">
        <f>SUM(G24:G30)+G32+SUM(G34:G35)+G38+G42+SUM(G45:G46)+SUM(G48:G54)</f>
        <v>61.513</v>
      </c>
      <c r="H55" s="11">
        <f t="shared" si="4" ref="H55:I55">SUM(H24:H30)+H32+SUM(H34:H36)+SUM(H42:H43)+SUM(H45:H46)+SUM(H48:H54)</f>
        <v>133.81</v>
      </c>
      <c r="I55" s="11">
        <f t="shared" si="4"/>
        <v>93.594</v>
      </c>
      <c r="J55" s="11">
        <f t="shared" si="5"/>
        <v>132.888</v>
      </c>
      <c r="K55" s="11">
        <f t="shared" si="6" ref="K55:L55">SUM(K24:K30)+K32+SUM(K34:K35)+SUM(K38:K39)+SUM(K42:K43)+SUM(K45:K46)+SUM(K48:K54)</f>
        <v>18.472</v>
      </c>
      <c r="L55" s="11">
        <f t="shared" si="6"/>
        <v>33.355</v>
      </c>
      <c r="M55" s="11">
        <f t="shared" si="7" ref="M55:Q55">SUM(M24:M30)+M32+SUM(M34:M35)+M38+SUM(M42:M43)+SUM(M45:M46)+SUM(M48:M54)</f>
        <v>61.037</v>
      </c>
      <c r="N55" s="11">
        <f t="shared" si="5"/>
        <v>84.745</v>
      </c>
      <c r="O55" s="11">
        <f t="shared" si="7"/>
        <v>49.747</v>
      </c>
      <c r="P55" s="11">
        <f t="shared" si="7"/>
        <v>98.402</v>
      </c>
      <c r="Q55" s="11">
        <f t="shared" si="7"/>
        <v>200.755</v>
      </c>
      <c r="R55" s="11">
        <f t="shared" si="5"/>
        <v>235.793</v>
      </c>
      <c r="S55" s="11">
        <f>SUM(S24:S30)+S32+SUM(S34:S35)+S38+S43+SUM(S45:S46)+SUM(S48:S54)</f>
        <v>24.817</v>
      </c>
      <c r="T55" s="11">
        <f>SUM(T24:T30)+T32+SUM(T34:T35)+T38+SUM(T41:T43)+SUM(T45:T46)+SUM(T48:T54)</f>
        <v>141.517</v>
      </c>
      <c r="U55" s="11">
        <f>SUM(U24:U30)+SUM(U32:U35)+U38+SUM(U41:U43)+SUM(U45:U46)+SUM(U48:U54)</f>
        <v>271.73</v>
      </c>
      <c r="V55" s="11">
        <f>SUM(V24:V30)+SUM(V32:V35)+V38+SUM(V40:V43)+SUM(V45:V46)+SUM(V48:V54)</f>
        <v>367.304</v>
      </c>
      <c r="W55" s="11">
        <f>SUM(W24:W30)+SUM(W32:W35)+W38+W41+W46+SUM(W48:W51)+SUM(W53:W54)</f>
        <v>85.338</v>
      </c>
      <c r="X55" s="11">
        <f>SUM(X24:X30)+SUM(X32:X35)+X38+X41+SUM(X45:X46)+SUM(X48:X54)</f>
        <v>218.478</v>
      </c>
      <c r="Y55" s="11">
        <f t="shared" si="8" ref="Y55:AC55">SUM(Y24:Y30)+SUM(Y32:Y35)+Y38+Y41+Y43+SUM(Y45:Y46)+SUM(Y48:Y54)</f>
        <v>395.322</v>
      </c>
      <c r="Z55" s="11">
        <f t="shared" si="9" ref="Z55:AD55">SUM(Z24:Z30)+SUM(Z32:Z33)+Z35+Z38+SUM(Z40:Z41)+Z43+SUM(Z45:Z47)+SUM(Z49:Z51)+SUM(Z53:Z54)</f>
        <v>431.774</v>
      </c>
      <c r="AA55" s="11">
        <f t="shared" si="10" ref="AA55:AE55">SUM(AA24:AA30)+SUM(AA32:AA33)+AA35+AA38+AA41+SUM(AA45:AA46)+SUM(AA49:AA51)+SUM(AA53:AA54)</f>
        <v>52.193</v>
      </c>
      <c r="AB55" s="11">
        <f t="shared" si="11" ref="AB55:AF55">SUM(AB24:AB30)+SUM(AB32:AB33)+AB35+AB38+AB41+SUM(AB43:AB46)+SUM(AB48:AB51)+SUM(AB53:AB54)</f>
        <v>209.28</v>
      </c>
      <c r="AC55" s="11">
        <f t="shared" si="8"/>
        <v>391.271</v>
      </c>
      <c r="AD55" s="11">
        <f t="shared" si="9"/>
        <v>370.204</v>
      </c>
      <c r="AE55" s="11">
        <f t="shared" si="10"/>
        <v>51.785</v>
      </c>
      <c r="AF55" s="11">
        <f t="shared" si="11"/>
        <v>131.292</v>
      </c>
    </row>
    <row customHeight="1" ht="15">
      <c r="A56" s="9" t="s">
        <v>93</v>
      </c>
      <c r="B56" s="0">
        <v>0.001</v>
      </c>
      <c r="C56" s="0">
        <v>0</v>
      </c>
      <c r="D56" s="0">
        <v>0.027</v>
      </c>
      <c r="E56" s="0">
        <v>0.028</v>
      </c>
      <c r="F56" s="0">
        <v>0.002</v>
      </c>
      <c r="G56" s="0">
        <v>0</v>
      </c>
      <c r="H56" s="0">
        <v>0.397</v>
      </c>
      <c r="I56" s="0">
        <v>0.426</v>
      </c>
      <c r="J56" s="0">
        <v>0.952</v>
      </c>
      <c r="K56" s="0">
        <v>-2.072</v>
      </c>
      <c r="L56" s="0">
        <v>0.837</v>
      </c>
      <c r="M56" s="0">
        <v>0.846</v>
      </c>
      <c r="N56" s="0">
        <v>1.711</v>
      </c>
      <c r="O56" s="0">
        <v>0.095</v>
      </c>
      <c r="P56" s="0">
        <v>0.013</v>
      </c>
      <c r="Q56" s="0">
        <v>1.479</v>
      </c>
      <c r="R56" s="0">
        <v>2.337</v>
      </c>
      <c r="S56" s="0">
        <v>0.192</v>
      </c>
      <c r="T56" s="0">
        <v>0.257</v>
      </c>
      <c r="U56" s="0">
        <v>0.274</v>
      </c>
      <c r="V56" s="0">
        <v>5.272</v>
      </c>
      <c r="W56" s="0">
        <v>0.607</v>
      </c>
      <c r="X56" s="0">
        <v>3.151</v>
      </c>
      <c r="Y56" s="0">
        <v>4.605</v>
      </c>
      <c r="Z56" s="0">
        <v>7.141</v>
      </c>
      <c r="AA56" s="0">
        <v>0.65</v>
      </c>
      <c r="AB56" s="0">
        <v>1.018</v>
      </c>
      <c r="AC56" s="0">
        <v>1.65</v>
      </c>
      <c r="AD56" s="0">
        <v>2.114</v>
      </c>
      <c r="AE56" s="0">
        <v>0.18</v>
      </c>
      <c r="AF56" s="0">
        <v>0.359</v>
      </c>
    </row>
    <row customHeight="1" ht="15">
      <c r="A57" s="9" t="s">
        <v>94</v>
      </c>
      <c r="B57" s="0">
        <v>-1.456</v>
      </c>
      <c r="C57" s="0">
        <v>-0.726</v>
      </c>
      <c r="D57" s="0">
        <v>-1.14</v>
      </c>
      <c r="E57" s="0">
        <v>-1.845</v>
      </c>
      <c r="F57" s="0">
        <v>-7.718</v>
      </c>
      <c r="G57" s="0">
        <v>-4.566</v>
      </c>
      <c r="H57" s="0">
        <v>-19.465</v>
      </c>
      <c r="I57" s="0">
        <v>-15.708</v>
      </c>
      <c r="J57" s="0">
        <v>-29.584</v>
      </c>
      <c r="K57" s="0">
        <v>0.005</v>
      </c>
      <c r="L57" s="0">
        <v>-13.415</v>
      </c>
      <c r="M57" s="0">
        <v>-16.475</v>
      </c>
      <c r="N57" s="0">
        <v>-27.567</v>
      </c>
      <c r="O57" s="0">
        <v>-3.275</v>
      </c>
      <c r="P57" s="0">
        <v>-17.589</v>
      </c>
      <c r="Q57" s="0">
        <v>-26.351</v>
      </c>
      <c r="R57" s="0">
        <v>-44.188</v>
      </c>
      <c r="S57" s="0">
        <v>-9.784</v>
      </c>
      <c r="T57" s="0">
        <v>-32.017</v>
      </c>
      <c r="U57" s="0">
        <v>-48.231</v>
      </c>
      <c r="V57" s="0">
        <v>-79.833</v>
      </c>
      <c r="W57" s="0">
        <v>-24.293</v>
      </c>
      <c r="X57" s="0">
        <v>-57.841</v>
      </c>
      <c r="Y57" s="0">
        <v>-87.359</v>
      </c>
      <c r="Z57" s="0">
        <v>-131.204</v>
      </c>
      <c r="AA57" s="0">
        <v>-25.054</v>
      </c>
      <c r="AB57" s="0">
        <v>-62.25</v>
      </c>
      <c r="AC57" s="0">
        <v>-82.994</v>
      </c>
      <c r="AD57" s="0">
        <v>-110.568</v>
      </c>
      <c r="AE57" s="0">
        <v>-13.015</v>
      </c>
      <c r="AF57" s="0">
        <v>-40.996</v>
      </c>
    </row>
    <row customHeight="1" ht="15">
      <c r="A58" s="9" t="s">
        <v>95</v>
      </c>
      <c r="B58" s="0">
        <v>-0.931</v>
      </c>
      <c r="C58" s="0">
        <v>-0.067</v>
      </c>
      <c r="D58" s="0">
        <v>-1.677</v>
      </c>
      <c r="E58" s="0">
        <v>-1.567</v>
      </c>
      <c r="F58" s="0">
        <v>-3.536</v>
      </c>
      <c r="G58" s="0">
        <v>-0.16</v>
      </c>
      <c r="H58" s="0">
        <v>-0.974</v>
      </c>
      <c r="I58" s="0">
        <v>-1.328</v>
      </c>
      <c r="J58" s="0">
        <v>-6.885</v>
      </c>
      <c r="K58" s="0">
        <v>-4.986</v>
      </c>
      <c r="L58" s="0">
        <v>-6.925</v>
      </c>
      <c r="M58" s="0">
        <v>-17.001</v>
      </c>
      <c r="N58" s="0">
        <v>-16.208</v>
      </c>
      <c r="O58" s="0">
        <v>-3.411</v>
      </c>
      <c r="P58" s="0">
        <v>-10.238</v>
      </c>
      <c r="Q58" s="0">
        <v>-14.67</v>
      </c>
      <c r="R58" s="0">
        <v>-20.421</v>
      </c>
      <c r="S58" s="0">
        <v>-11.307</v>
      </c>
      <c r="T58" s="0">
        <v>-7.513</v>
      </c>
      <c r="U58" s="0">
        <v>-19.706</v>
      </c>
      <c r="V58" s="0">
        <v>-24.529</v>
      </c>
      <c r="W58" s="0">
        <v>-2.367</v>
      </c>
      <c r="X58" s="0">
        <v>-4.836</v>
      </c>
      <c r="Y58" s="0">
        <v>-9.43</v>
      </c>
      <c r="Z58" s="0">
        <v>-14.017</v>
      </c>
      <c r="AA58" s="0">
        <v>-1.631</v>
      </c>
      <c r="AB58" s="0">
        <v>-9.288</v>
      </c>
      <c r="AC58" s="0">
        <v>-13.732</v>
      </c>
      <c r="AD58" s="0">
        <v>-17.702</v>
      </c>
      <c r="AE58" s="0">
        <v>-1.405</v>
      </c>
      <c r="AF58" s="0">
        <v>-5.193</v>
      </c>
    </row>
    <row customHeight="1" ht="15">
      <c r="A59" s="9" t="s">
        <v>96</v>
      </c>
      <c r="B59" s="11">
        <f t="shared" si="12" ref="B59:AF226">SUM(B55:B58)</f>
        <v>20.471</v>
      </c>
      <c r="C59" s="11">
        <f>C55+SUM(C57:C58)</f>
        <v>6.178</v>
      </c>
      <c r="D59" s="11">
        <f t="shared" si="12"/>
        <v>10.478</v>
      </c>
      <c r="E59" s="11">
        <f t="shared" si="12"/>
        <v>7.564</v>
      </c>
      <c r="F59" s="11">
        <f t="shared" si="12"/>
        <v>39.195</v>
      </c>
      <c r="G59" s="11">
        <f t="shared" si="12"/>
        <v>56.787</v>
      </c>
      <c r="H59" s="11">
        <f t="shared" si="12"/>
        <v>113.768</v>
      </c>
      <c r="I59" s="11">
        <f t="shared" si="12"/>
        <v>76.984</v>
      </c>
      <c r="J59" s="11">
        <f t="shared" si="12"/>
        <v>97.371</v>
      </c>
      <c r="K59" s="11">
        <f t="shared" si="12"/>
        <v>11.419</v>
      </c>
      <c r="L59" s="11">
        <f t="shared" si="12"/>
        <v>13.852</v>
      </c>
      <c r="M59" s="11">
        <f t="shared" si="12"/>
        <v>28.407</v>
      </c>
      <c r="N59" s="11">
        <f t="shared" si="12"/>
        <v>42.681</v>
      </c>
      <c r="O59" s="11">
        <f t="shared" si="12"/>
        <v>43.156</v>
      </c>
      <c r="P59" s="11">
        <f t="shared" si="12"/>
        <v>70.588</v>
      </c>
      <c r="Q59" s="11">
        <f t="shared" si="12"/>
        <v>161.213</v>
      </c>
      <c r="R59" s="11">
        <f t="shared" si="12"/>
        <v>173.521</v>
      </c>
      <c r="S59" s="11">
        <f t="shared" si="12"/>
        <v>3.918</v>
      </c>
      <c r="T59" s="11">
        <f t="shared" si="12"/>
        <v>102.244</v>
      </c>
      <c r="U59" s="11">
        <f t="shared" si="12"/>
        <v>204.067</v>
      </c>
      <c r="V59" s="11">
        <f t="shared" si="12"/>
        <v>268.214</v>
      </c>
      <c r="W59" s="11">
        <f t="shared" si="12"/>
        <v>59.285</v>
      </c>
      <c r="X59" s="11">
        <f t="shared" si="12"/>
        <v>158.952</v>
      </c>
      <c r="Y59" s="11">
        <f t="shared" si="12"/>
        <v>303.138</v>
      </c>
      <c r="Z59" s="11">
        <f t="shared" si="12"/>
        <v>293.694</v>
      </c>
      <c r="AA59" s="11">
        <f t="shared" si="12"/>
        <v>26.158</v>
      </c>
      <c r="AB59" s="11">
        <f t="shared" si="12"/>
        <v>138.76</v>
      </c>
      <c r="AC59" s="11">
        <f t="shared" si="12"/>
        <v>296.195</v>
      </c>
      <c r="AD59" s="11">
        <f t="shared" si="12"/>
        <v>244.048</v>
      </c>
      <c r="AE59" s="11">
        <f t="shared" si="12"/>
        <v>37.545</v>
      </c>
      <c r="AF59" s="11">
        <f t="shared" si="12"/>
        <v>85.462</v>
      </c>
    </row>
    <row customHeight="1" ht="15">
      <c r="A60" s="4" t="s">
        <v>97</v>
      </c>
      <c r="B60" s="7">
        <f t="shared" si="13" ref="B60:AF101">B59</f>
        <v>20.471</v>
      </c>
      <c r="C60" s="7">
        <f t="shared" si="13"/>
        <v>6.178</v>
      </c>
      <c r="D60" s="7">
        <f t="shared" si="13"/>
        <v>10.478</v>
      </c>
      <c r="E60" s="7">
        <f t="shared" si="13"/>
        <v>7.564</v>
      </c>
      <c r="F60" s="7">
        <f t="shared" si="13"/>
        <v>39.195</v>
      </c>
      <c r="G60" s="7">
        <f t="shared" si="13"/>
        <v>56.787</v>
      </c>
      <c r="H60" s="7">
        <f t="shared" si="13"/>
        <v>113.768</v>
      </c>
      <c r="I60" s="7">
        <f t="shared" si="13"/>
        <v>76.984</v>
      </c>
      <c r="J60" s="7">
        <f t="shared" si="13"/>
        <v>97.371</v>
      </c>
      <c r="K60" s="7">
        <f t="shared" si="13"/>
        <v>11.419</v>
      </c>
      <c r="L60" s="7">
        <f t="shared" si="13"/>
        <v>13.852</v>
      </c>
      <c r="M60" s="7">
        <f t="shared" si="13"/>
        <v>28.407</v>
      </c>
      <c r="N60" s="7">
        <f t="shared" si="13"/>
        <v>42.681</v>
      </c>
      <c r="O60" s="7">
        <f t="shared" si="13"/>
        <v>43.156</v>
      </c>
      <c r="P60" s="7">
        <f t="shared" si="13"/>
        <v>70.588</v>
      </c>
      <c r="Q60" s="7">
        <f t="shared" si="13"/>
        <v>161.213</v>
      </c>
      <c r="R60" s="7">
        <f t="shared" si="13"/>
        <v>173.521</v>
      </c>
      <c r="S60" s="7">
        <f t="shared" si="13"/>
        <v>3.918</v>
      </c>
      <c r="T60" s="7">
        <f t="shared" si="13"/>
        <v>102.244</v>
      </c>
      <c r="U60" s="7">
        <f t="shared" si="13"/>
        <v>204.067</v>
      </c>
      <c r="V60" s="7">
        <f t="shared" si="13"/>
        <v>268.214</v>
      </c>
      <c r="W60" s="7">
        <f t="shared" si="13"/>
        <v>59.285</v>
      </c>
      <c r="X60" s="7">
        <f t="shared" si="13"/>
        <v>158.952</v>
      </c>
      <c r="Y60" s="7">
        <f t="shared" si="13"/>
        <v>303.138</v>
      </c>
      <c r="Z60" s="7">
        <f t="shared" si="13"/>
        <v>293.694</v>
      </c>
      <c r="AA60" s="7">
        <f t="shared" si="13"/>
        <v>26.158</v>
      </c>
      <c r="AB60" s="7">
        <f t="shared" si="13"/>
        <v>138.76</v>
      </c>
      <c r="AC60" s="7">
        <f t="shared" si="13"/>
        <v>296.195</v>
      </c>
      <c r="AD60" s="7">
        <f t="shared" si="13"/>
        <v>244.048</v>
      </c>
      <c r="AE60" s="7">
        <f t="shared" si="13"/>
        <v>37.545</v>
      </c>
      <c r="AF60" s="7">
        <f t="shared" si="13"/>
        <v>85.462</v>
      </c>
    </row>
    <row customHeight="1" ht="15">
      <c r="A61" s="9" t="s">
        <v>98</v>
      </c>
      <c r="B61" s="0">
        <v>-25.222</v>
      </c>
      <c r="C61" s="0">
        <v>-3.532</v>
      </c>
      <c r="D61" s="0">
        <v>-16.729</v>
      </c>
      <c r="E61" s="0">
        <v>-4.022</v>
      </c>
      <c r="F61" s="0">
        <v>-39.674</v>
      </c>
      <c r="G61" s="0">
        <v>-18.545</v>
      </c>
      <c r="H61" s="0">
        <v>-49.481</v>
      </c>
      <c r="I61" s="0">
        <v>-69.275</v>
      </c>
      <c r="J61" s="0">
        <v>-93.132</v>
      </c>
      <c r="K61" s="0">
        <v>-26.252</v>
      </c>
      <c r="L61" s="0">
        <v>-38.347</v>
      </c>
      <c r="M61" s="0">
        <v>-49.615</v>
      </c>
      <c r="N61" s="0">
        <v>-70.253</v>
      </c>
      <c r="O61" s="0">
        <v>-21.649</v>
      </c>
      <c r="P61" s="0">
        <v>-39.75</v>
      </c>
      <c r="Q61" s="0">
        <v>-60.481</v>
      </c>
      <c r="R61" s="0">
        <v>-154.722</v>
      </c>
      <c r="S61" s="0">
        <v>-34.387</v>
      </c>
      <c r="T61" s="0">
        <v>-90.221</v>
      </c>
      <c r="U61" s="0">
        <v>-122.791</v>
      </c>
      <c r="V61" s="0">
        <v>-204.822</v>
      </c>
      <c r="W61" s="0">
        <v>-42.935</v>
      </c>
      <c r="X61" s="0">
        <v>-82.96</v>
      </c>
      <c r="Y61" s="0">
        <v>-155.65</v>
      </c>
      <c r="Z61" s="0">
        <v>-230.833</v>
      </c>
      <c r="AA61" s="0">
        <v>-47.439</v>
      </c>
      <c r="AB61" s="0">
        <v>-76.912</v>
      </c>
      <c r="AC61" s="0">
        <v>-112.345</v>
      </c>
      <c r="AD61" s="0">
        <v>-162.507</v>
      </c>
      <c r="AE61" s="0">
        <v>-12.02</v>
      </c>
      <c r="AF61" s="0">
        <v>-69.52</v>
      </c>
    </row>
    <row customHeight="1" ht="15">
      <c r="A62" s="9" t="s">
        <v>99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-4.348</v>
      </c>
      <c r="S62" s="0">
        <v>-2.179</v>
      </c>
      <c r="T62" s="0">
        <v>-4.565</v>
      </c>
      <c r="U62" s="0">
        <v>-6.366</v>
      </c>
      <c r="V62" s="0">
        <v>-8.962</v>
      </c>
      <c r="W62" s="0">
        <v>-1.957</v>
      </c>
      <c r="X62" s="0">
        <v>-4.347</v>
      </c>
      <c r="Y62" s="0">
        <v>-7.041</v>
      </c>
      <c r="Z62" s="0">
        <v>-9.512</v>
      </c>
      <c r="AA62" s="0">
        <v>-1.302</v>
      </c>
      <c r="AB62" s="0">
        <v>-2.398</v>
      </c>
      <c r="AC62" s="0">
        <v>-3.801</v>
      </c>
      <c r="AD62" s="0">
        <v>-6.608</v>
      </c>
      <c r="AE62" s="0">
        <v>-1.481</v>
      </c>
      <c r="AF62" s="0">
        <v>-3.222</v>
      </c>
    </row>
    <row customHeight="1" ht="15">
      <c r="A63" s="9" t="s">
        <v>100</v>
      </c>
      <c r="B63" s="0">
        <v>0.215</v>
      </c>
      <c r="C63" s="0">
        <v>0.328</v>
      </c>
      <c r="D63" s="0">
        <v>0.498</v>
      </c>
      <c r="E63" s="0">
        <v>0.528</v>
      </c>
      <c r="F63" s="0">
        <v>3.422</v>
      </c>
      <c r="G63" s="0">
        <v>0.433</v>
      </c>
      <c r="H63" s="0">
        <v>0.698</v>
      </c>
      <c r="I63" s="0">
        <v>0.665</v>
      </c>
      <c r="J63" s="0">
        <v>9.145</v>
      </c>
      <c r="K63" s="0">
        <v>0.05</v>
      </c>
      <c r="L63" s="0">
        <v>0.397</v>
      </c>
      <c r="M63" s="0">
        <v>0.587</v>
      </c>
      <c r="N63" s="0">
        <v>4.129</v>
      </c>
      <c r="O63" s="0">
        <v>1.976</v>
      </c>
      <c r="P63" s="0">
        <v>2.024</v>
      </c>
      <c r="Q63" s="0">
        <v>23.286</v>
      </c>
      <c r="R63" s="0">
        <v>3.9</v>
      </c>
      <c r="S63" s="0">
        <v>0.053</v>
      </c>
      <c r="T63" s="0">
        <v>0.001</v>
      </c>
      <c r="U63" s="0">
        <v>0.104</v>
      </c>
      <c r="V63" s="0">
        <v>21.152</v>
      </c>
      <c r="W63" s="0">
        <v>0.041</v>
      </c>
      <c r="X63" s="0">
        <v>1.355</v>
      </c>
      <c r="Y63" s="0">
        <v>5.334</v>
      </c>
      <c r="Z63" s="0">
        <v>6.519</v>
      </c>
      <c r="AA63" s="0">
        <v>9.265</v>
      </c>
      <c r="AB63" s="0">
        <v>15.65</v>
      </c>
      <c r="AC63" s="0">
        <v>11.492</v>
      </c>
      <c r="AD63" s="0">
        <v>18.903</v>
      </c>
      <c r="AE63" s="0">
        <v>0.297</v>
      </c>
      <c r="AF63" s="0">
        <v>2.58</v>
      </c>
    </row>
    <row customHeight="1" ht="15">
      <c r="A64" s="9" t="s">
        <v>101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</row>
    <row customHeight="1" ht="15">
      <c r="A65" s="9" t="s">
        <v>102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-81.411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</row>
    <row customHeight="1" ht="15">
      <c r="A66" s="9" t="s">
        <v>103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98.738</v>
      </c>
      <c r="S66" s="0">
        <v>0</v>
      </c>
      <c r="T66" s="0">
        <v>0</v>
      </c>
      <c r="U66" s="0">
        <v>0</v>
      </c>
      <c r="V66" s="0">
        <v>6.621</v>
      </c>
      <c r="W66" s="0">
        <v>33.24</v>
      </c>
      <c r="X66" s="0">
        <v>42.39</v>
      </c>
      <c r="Y66" s="0">
        <v>44.096</v>
      </c>
      <c r="Z66" s="0">
        <v>57.737</v>
      </c>
      <c r="AA66" s="0">
        <v>12.077</v>
      </c>
      <c r="AB66" s="0">
        <v>27.809</v>
      </c>
      <c r="AC66" s="0">
        <v>27.683</v>
      </c>
      <c r="AD66" s="0">
        <v>27.5</v>
      </c>
      <c r="AE66" s="0">
        <v>6.695</v>
      </c>
      <c r="AF66" s="0">
        <v>6.803</v>
      </c>
    </row>
    <row customHeight="1" ht="15">
      <c r="A67" s="9" t="s">
        <v>104</v>
      </c>
      <c r="B67" s="0">
        <v>0</v>
      </c>
      <c r="C67" s="0">
        <v>0</v>
      </c>
      <c r="D67" s="0">
        <v>-2.868</v>
      </c>
      <c r="E67" s="0">
        <v>0</v>
      </c>
      <c r="F67" s="0">
        <v>0</v>
      </c>
      <c r="G67" s="0">
        <v>0</v>
      </c>
      <c r="H67" s="0">
        <v>-0.468</v>
      </c>
      <c r="I67" s="0">
        <v>-0.443</v>
      </c>
      <c r="J67" s="0">
        <v>-0.57</v>
      </c>
      <c r="K67" s="0">
        <v>0</v>
      </c>
      <c r="L67" s="0">
        <v>-0.831</v>
      </c>
      <c r="M67" s="0">
        <v>-3.111</v>
      </c>
      <c r="N67" s="0">
        <v>-6.626</v>
      </c>
      <c r="O67" s="0">
        <v>-0.305</v>
      </c>
      <c r="P67" s="0">
        <v>-0.313</v>
      </c>
      <c r="Q67" s="0">
        <v>0</v>
      </c>
      <c r="R67" s="0">
        <v>-0.607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</row>
    <row customHeight="1" ht="15">
      <c r="A68" s="9" t="s">
        <v>105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2.117</v>
      </c>
      <c r="K68" s="0">
        <v>0</v>
      </c>
      <c r="L68" s="0">
        <v>0</v>
      </c>
      <c r="M68" s="0">
        <v>2.275</v>
      </c>
      <c r="N68" s="0">
        <v>6.37</v>
      </c>
      <c r="O68" s="0">
        <v>0.269</v>
      </c>
      <c r="P68" s="0">
        <v>0.276</v>
      </c>
      <c r="Q68" s="0">
        <v>0.284</v>
      </c>
      <c r="R68" s="0">
        <v>0.287</v>
      </c>
      <c r="S68" s="0">
        <v>0</v>
      </c>
      <c r="T68" s="0">
        <v>0.487</v>
      </c>
      <c r="U68" s="0">
        <v>0.32</v>
      </c>
      <c r="V68" s="0">
        <v>0.209</v>
      </c>
      <c r="W68" s="0">
        <v>0.061</v>
      </c>
      <c r="X68" s="0">
        <v>0.059</v>
      </c>
      <c r="Y68" s="0">
        <v>3.632</v>
      </c>
      <c r="Z68" s="0">
        <v>5.107</v>
      </c>
      <c r="AA68" s="0">
        <v>0.001</v>
      </c>
      <c r="AB68" s="0">
        <v>7.22</v>
      </c>
      <c r="AC68" s="0">
        <v>7.245</v>
      </c>
      <c r="AD68" s="0">
        <v>6.773</v>
      </c>
      <c r="AE68" s="0">
        <v>0</v>
      </c>
      <c r="AF68" s="0">
        <v>0.009</v>
      </c>
    </row>
    <row customHeight="1" ht="15">
      <c r="A69" s="9" t="s">
        <v>106</v>
      </c>
      <c r="B69" s="0">
        <v>-1.471</v>
      </c>
      <c r="C69" s="0">
        <v>-0.586</v>
      </c>
      <c r="D69" s="0">
        <v>-0.655</v>
      </c>
      <c r="E69" s="0">
        <v>-0.819</v>
      </c>
      <c r="F69" s="0">
        <v>-2.729</v>
      </c>
      <c r="G69" s="0">
        <v>-0.511</v>
      </c>
      <c r="H69" s="0">
        <v>-3.534</v>
      </c>
      <c r="I69" s="0">
        <v>-4.232</v>
      </c>
      <c r="J69" s="0">
        <v>-4.733</v>
      </c>
      <c r="K69" s="0">
        <v>-2.131</v>
      </c>
      <c r="L69" s="0">
        <v>-3.627</v>
      </c>
      <c r="M69" s="0">
        <v>-10.599</v>
      </c>
      <c r="N69" s="0">
        <v>-10.733</v>
      </c>
      <c r="O69" s="0">
        <v>-0.729</v>
      </c>
      <c r="P69" s="0">
        <v>-4.012</v>
      </c>
      <c r="Q69" s="0">
        <v>-14.116</v>
      </c>
      <c r="R69" s="0">
        <v>-5.108</v>
      </c>
      <c r="S69" s="0">
        <v>-0.011</v>
      </c>
      <c r="T69" s="0">
        <v>-4.03</v>
      </c>
      <c r="U69" s="0">
        <v>-4.036</v>
      </c>
      <c r="V69" s="0">
        <v>-4.541</v>
      </c>
      <c r="W69" s="0">
        <v>-4.437</v>
      </c>
      <c r="X69" s="0">
        <v>-4.511</v>
      </c>
      <c r="Y69" s="0">
        <v>-5.049</v>
      </c>
      <c r="Z69" s="0">
        <v>-6.028</v>
      </c>
      <c r="AA69" s="0">
        <v>-0.035</v>
      </c>
      <c r="AB69" s="0">
        <v>-1.264</v>
      </c>
      <c r="AC69" s="0">
        <v>-1.27</v>
      </c>
      <c r="AD69" s="0">
        <v>-1.797</v>
      </c>
      <c r="AE69" s="0">
        <v>-2.965</v>
      </c>
      <c r="AF69" s="0">
        <v>-6.506</v>
      </c>
    </row>
    <row customHeight="1" ht="15">
      <c r="A70" s="9" t="s">
        <v>107</v>
      </c>
      <c r="B70" s="0">
        <v>1.023</v>
      </c>
      <c r="C70" s="0">
        <v>0.313</v>
      </c>
      <c r="D70" s="0">
        <v>0.015</v>
      </c>
      <c r="E70" s="0">
        <v>0.015</v>
      </c>
      <c r="F70" s="0">
        <v>0.312</v>
      </c>
      <c r="G70" s="0">
        <v>0.177</v>
      </c>
      <c r="H70" s="0">
        <v>0.157</v>
      </c>
      <c r="I70" s="0">
        <v>0.167</v>
      </c>
      <c r="J70" s="0">
        <v>0.182</v>
      </c>
      <c r="K70" s="0">
        <v>0.008</v>
      </c>
      <c r="L70" s="0">
        <v>0.008</v>
      </c>
      <c r="M70" s="0">
        <v>1.179</v>
      </c>
      <c r="N70" s="0">
        <v>1.311</v>
      </c>
      <c r="O70" s="0">
        <v>1.785</v>
      </c>
      <c r="P70" s="0">
        <v>2.433</v>
      </c>
      <c r="Q70" s="0">
        <v>3.099</v>
      </c>
      <c r="R70" s="0">
        <v>3.139</v>
      </c>
      <c r="S70" s="0">
        <v>0.027</v>
      </c>
      <c r="T70" s="0">
        <v>2.222</v>
      </c>
      <c r="U70" s="0">
        <v>2.225</v>
      </c>
      <c r="V70" s="0">
        <v>2.876</v>
      </c>
      <c r="W70" s="0">
        <v>0.047</v>
      </c>
      <c r="X70" s="0">
        <v>0.392</v>
      </c>
      <c r="Y70" s="0">
        <v>0.942</v>
      </c>
      <c r="Z70" s="0">
        <v>1.835</v>
      </c>
      <c r="AA70" s="0">
        <v>0.358</v>
      </c>
      <c r="AB70" s="0">
        <v>1.383</v>
      </c>
      <c r="AC70" s="0">
        <v>1.426</v>
      </c>
      <c r="AD70" s="0">
        <v>1.482</v>
      </c>
      <c r="AE70" s="0">
        <v>0.079</v>
      </c>
      <c r="AF70" s="0">
        <v>0.566</v>
      </c>
    </row>
    <row customHeight="1" ht="15">
      <c r="A71" s="9" t="s">
        <v>108</v>
      </c>
      <c r="B71" s="0">
        <v>0</v>
      </c>
      <c r="C71" s="0">
        <v>-0.567</v>
      </c>
      <c r="D71" s="0">
        <v>0</v>
      </c>
      <c r="E71" s="0">
        <v>0</v>
      </c>
      <c r="F71" s="0">
        <v>-84.994</v>
      </c>
      <c r="G71" s="0">
        <v>-141.549</v>
      </c>
      <c r="H71" s="0">
        <v>-276.103</v>
      </c>
      <c r="I71" s="0">
        <v>-297.58</v>
      </c>
      <c r="J71" s="0">
        <v>-363.039</v>
      </c>
      <c r="K71" s="0">
        <v>-0.374</v>
      </c>
      <c r="L71" s="0">
        <v>-0.913</v>
      </c>
      <c r="M71" s="0">
        <v>-0.93</v>
      </c>
      <c r="N71" s="0">
        <v>-225.941</v>
      </c>
      <c r="O71" s="0">
        <v>-0.026</v>
      </c>
      <c r="P71" s="0">
        <v>-1.45</v>
      </c>
      <c r="Q71" s="0">
        <v>0</v>
      </c>
      <c r="R71" s="0">
        <v>-1.553</v>
      </c>
      <c r="S71" s="0">
        <v>1.398</v>
      </c>
      <c r="T71" s="0">
        <v>1.382</v>
      </c>
      <c r="U71" s="0">
        <v>1.313</v>
      </c>
      <c r="V71" s="0">
        <v>-1.5</v>
      </c>
      <c r="W71" s="0">
        <v>2.175</v>
      </c>
      <c r="X71" s="0">
        <v>-9.247</v>
      </c>
      <c r="Y71" s="0">
        <v>-18.699</v>
      </c>
      <c r="Z71" s="0">
        <v>-0.581</v>
      </c>
      <c r="AA71" s="0">
        <v>2.998</v>
      </c>
      <c r="AB71" s="0">
        <v>2.764</v>
      </c>
      <c r="AC71" s="0">
        <v>3.536</v>
      </c>
      <c r="AD71" s="0">
        <v>2.142</v>
      </c>
      <c r="AE71" s="0">
        <v>-0.444</v>
      </c>
      <c r="AF71" s="0">
        <v>-6.259</v>
      </c>
    </row>
    <row customHeight="1" ht="15">
      <c r="A72" s="9" t="s">
        <v>109</v>
      </c>
      <c r="B72" s="0">
        <v>0</v>
      </c>
      <c r="C72" s="0">
        <v>0.047</v>
      </c>
      <c r="D72" s="0">
        <v>0</v>
      </c>
      <c r="E72" s="0">
        <v>0</v>
      </c>
      <c r="F72" s="0">
        <v>0</v>
      </c>
      <c r="G72" s="0">
        <v>54.407</v>
      </c>
      <c r="H72" s="0">
        <v>287.815</v>
      </c>
      <c r="I72" s="0">
        <v>353.979</v>
      </c>
      <c r="J72" s="0">
        <v>418.311</v>
      </c>
      <c r="K72" s="0">
        <v>0.913</v>
      </c>
      <c r="L72" s="0">
        <v>25.978</v>
      </c>
      <c r="M72" s="0">
        <v>26.174</v>
      </c>
      <c r="N72" s="0">
        <v>26.471</v>
      </c>
      <c r="O72" s="0">
        <v>90.073</v>
      </c>
      <c r="P72" s="0">
        <v>139.585</v>
      </c>
      <c r="Q72" s="0">
        <v>73.912</v>
      </c>
      <c r="R72" s="0">
        <v>226.651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</row>
    <row customHeight="1" ht="15">
      <c r="A73" s="9" t="s">
        <v>88</v>
      </c>
      <c r="B73" s="0">
        <v>0</v>
      </c>
      <c r="C73" s="0">
        <v>0</v>
      </c>
      <c r="D73" s="0">
        <v>-3.336</v>
      </c>
      <c r="E73" s="0">
        <v>-3.893</v>
      </c>
      <c r="F73" s="0">
        <v>0</v>
      </c>
      <c r="G73" s="0">
        <v>0</v>
      </c>
      <c r="H73" s="0">
        <v>-3.149</v>
      </c>
      <c r="I73" s="0">
        <v>-1.887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</row>
    <row customHeight="1" ht="15">
      <c r="A74" s="9" t="s">
        <v>110</v>
      </c>
      <c r="B74" s="0">
        <v>0</v>
      </c>
      <c r="C74" s="0">
        <v>0</v>
      </c>
      <c r="D74" s="0">
        <v>0.052</v>
      </c>
      <c r="E74" s="0">
        <v>0.132</v>
      </c>
      <c r="F74" s="0">
        <v>0</v>
      </c>
      <c r="G74" s="0">
        <v>0</v>
      </c>
      <c r="H74" s="0">
        <v>2.981</v>
      </c>
      <c r="I74" s="0">
        <v>2.615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</row>
    <row customHeight="1" ht="15">
      <c r="A75" s="9" t="s">
        <v>111</v>
      </c>
      <c r="B75" s="0">
        <v>-3.239</v>
      </c>
      <c r="C75" s="0">
        <v>0</v>
      </c>
      <c r="D75" s="0">
        <v>0.164</v>
      </c>
      <c r="E75" s="0">
        <v>0.164</v>
      </c>
      <c r="F75" s="0">
        <v>83.741</v>
      </c>
      <c r="G75" s="0">
        <v>-3.925</v>
      </c>
      <c r="H75" s="0">
        <v>-5.763</v>
      </c>
      <c r="I75" s="0">
        <v>-5.79</v>
      </c>
      <c r="J75" s="0">
        <v>-21.351</v>
      </c>
      <c r="K75" s="0">
        <v>-3.605</v>
      </c>
      <c r="L75" s="0">
        <v>-3.605</v>
      </c>
      <c r="M75" s="0">
        <v>-10.118</v>
      </c>
      <c r="N75" s="0">
        <v>-22.826</v>
      </c>
      <c r="O75" s="0">
        <v>0</v>
      </c>
      <c r="P75" s="0">
        <v>0</v>
      </c>
      <c r="Q75" s="0">
        <v>9.631</v>
      </c>
      <c r="R75" s="0">
        <v>0</v>
      </c>
      <c r="S75" s="0">
        <v>-2.008</v>
      </c>
      <c r="T75" s="0">
        <v>-6.401</v>
      </c>
      <c r="U75" s="0">
        <v>-10.27</v>
      </c>
      <c r="V75" s="0">
        <v>-9.473</v>
      </c>
      <c r="W75" s="0">
        <v>-5.729</v>
      </c>
      <c r="X75" s="0">
        <v>-2.856</v>
      </c>
      <c r="Y75" s="0">
        <v>-7.224</v>
      </c>
      <c r="Z75" s="0">
        <v>-11.888</v>
      </c>
      <c r="AA75" s="0">
        <v>0</v>
      </c>
      <c r="AB75" s="0">
        <v>-0.012</v>
      </c>
      <c r="AC75" s="0">
        <v>0</v>
      </c>
      <c r="AD75" s="0">
        <v>0</v>
      </c>
      <c r="AE75" s="0">
        <v>-27.788</v>
      </c>
      <c r="AF75" s="0">
        <v>-24.824</v>
      </c>
    </row>
    <row customHeight="1" ht="15">
      <c r="A76" s="9" t="s">
        <v>112</v>
      </c>
      <c r="B76" s="11">
        <f>B61+B63+SUM(B69:B71)+B75+SUM(B77:B78)</f>
        <v>-30.78</v>
      </c>
      <c r="C76" s="11">
        <f t="shared" si="15" ref="C76:G76">C61+C63+SUM(C69:C72)+C75+SUM(C78:C79)</f>
        <v>-8.236</v>
      </c>
      <c r="D76" s="11">
        <f t="shared" si="14" ref="D76:H76">D61+D63+D67+SUM(D69:D75)+SUM(D77:D79)</f>
        <v>-24.205</v>
      </c>
      <c r="E76" s="11">
        <f t="shared" si="14"/>
        <v>-9.328</v>
      </c>
      <c r="F76" s="11">
        <f>F61+F63+SUM(F67:F71)+F75+SUM(F77:F79)</f>
        <v>-41.352</v>
      </c>
      <c r="G76" s="11">
        <f t="shared" si="15"/>
        <v>-121.293</v>
      </c>
      <c r="H76" s="11">
        <f t="shared" si="14"/>
        <v>-60.035</v>
      </c>
      <c r="I76" s="11">
        <f>I61+I63+SUM(I67:I75)+SUM(I77:I79)</f>
        <v>-34.969</v>
      </c>
      <c r="J76" s="11">
        <f>J61+J63+SUM(J67:J72)+J75+SUM(J77:J79)</f>
        <v>-84.247</v>
      </c>
      <c r="K76" s="11">
        <f>K61+K63+K67+SUM(K69:K72)+K75+K77</f>
        <v>-31.391</v>
      </c>
      <c r="L76" s="11">
        <f t="shared" si="16" ref="L76:P76">L61+L63+SUM(L67:L72)+L75+L77</f>
        <v>-20.94</v>
      </c>
      <c r="M76" s="11">
        <f t="shared" si="16"/>
        <v>-37.745</v>
      </c>
      <c r="N76" s="11">
        <f>N61+SUM(N63:N64)+SUM(N67:N72)+N75+SUM(N77:N78)</f>
        <v>-292.192</v>
      </c>
      <c r="O76" s="11">
        <f t="shared" si="16"/>
        <v>71.352</v>
      </c>
      <c r="P76" s="11">
        <f t="shared" si="16"/>
        <v>98.738</v>
      </c>
      <c r="Q76" s="11">
        <f>Q61+Q63+SUM(Q67:Q70)+Q72+Q75+Q77+Q79</f>
        <v>35.56</v>
      </c>
      <c r="R76" s="11">
        <f>SUM(R61:R63)+SUM(R65:R72)+R75+R77+R79</f>
        <v>84.892</v>
      </c>
      <c r="S76" s="11">
        <f t="shared" si="17" ref="S76:V76">SUM(S61:S63)+S66+SUM(S68:S71)+S75+S77+S79</f>
        <v>-16.845</v>
      </c>
      <c r="T76" s="11">
        <f t="shared" si="17"/>
        <v>-80.978</v>
      </c>
      <c r="U76" s="11">
        <f t="shared" si="17"/>
        <v>-121.224</v>
      </c>
      <c r="V76" s="11">
        <f t="shared" si="17"/>
        <v>-180.123</v>
      </c>
      <c r="W76" s="11">
        <f t="shared" si="19" ref="W76:AE76">SUM(W61:W63)+W66+SUM(W68:W71)+W75+W79</f>
        <v>-22.324</v>
      </c>
      <c r="X76" s="11">
        <f>SUM(X61:X63)+X66+SUM(X68:X71)+X75+SUM(X79:X80)</f>
        <v>-62.555</v>
      </c>
      <c r="Y76" s="11">
        <f t="shared" si="18" ref="Y76:AF76">SUM(Y61:Y63)+Y66+SUM(Y68:Y71)+Y75+Y77+SUM(Y79:Y80)</f>
        <v>-142.534</v>
      </c>
      <c r="Z76" s="11">
        <f t="shared" si="18"/>
        <v>-190.521</v>
      </c>
      <c r="AA76" s="11">
        <f t="shared" si="19"/>
        <v>-24.077</v>
      </c>
      <c r="AB76" s="11">
        <f t="shared" si="18"/>
        <v>-24.985</v>
      </c>
      <c r="AC76" s="11">
        <f t="shared" si="18"/>
        <v>-65.634</v>
      </c>
      <c r="AD76" s="11">
        <f t="shared" si="18"/>
        <v>-114.056</v>
      </c>
      <c r="AE76" s="11">
        <f t="shared" si="19"/>
        <v>-42.446</v>
      </c>
      <c r="AF76" s="11">
        <f t="shared" si="18"/>
        <v>-103.514</v>
      </c>
    </row>
    <row customHeight="1" ht="15">
      <c r="A77" s="9" t="s">
        <v>113</v>
      </c>
      <c r="B77" s="0">
        <v>-1.983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0.038</v>
      </c>
      <c r="I77" s="0">
        <v>0.038</v>
      </c>
      <c r="J77" s="0">
        <v>-5.951</v>
      </c>
      <c r="K77" s="0">
        <v>0</v>
      </c>
      <c r="L77" s="0">
        <v>0</v>
      </c>
      <c r="M77" s="0">
        <v>6.413</v>
      </c>
      <c r="N77" s="0">
        <v>6.413</v>
      </c>
      <c r="O77" s="0">
        <v>-0.042</v>
      </c>
      <c r="P77" s="0">
        <v>-0.055</v>
      </c>
      <c r="Q77" s="0">
        <v>-0.055</v>
      </c>
      <c r="R77" s="0">
        <v>-0.074</v>
      </c>
      <c r="S77" s="0">
        <v>20.262</v>
      </c>
      <c r="T77" s="0">
        <v>20.147</v>
      </c>
      <c r="U77" s="0">
        <v>20.097</v>
      </c>
      <c r="V77" s="0">
        <v>20.137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-0.363</v>
      </c>
      <c r="AD77" s="0">
        <v>-0.719</v>
      </c>
      <c r="AE77" s="0">
        <v>0</v>
      </c>
      <c r="AF77" s="0">
        <v>1.639</v>
      </c>
    </row>
    <row customHeight="1" ht="15">
      <c r="A78" s="9" t="s">
        <v>114</v>
      </c>
      <c r="B78" s="0">
        <v>-0.103</v>
      </c>
      <c r="C78" s="0">
        <v>-4.239</v>
      </c>
      <c r="D78" s="0">
        <v>-1.346</v>
      </c>
      <c r="E78" s="0">
        <v>-1.433</v>
      </c>
      <c r="F78" s="0">
        <v>-1.43</v>
      </c>
      <c r="G78" s="0">
        <v>-0.272</v>
      </c>
      <c r="H78" s="0">
        <v>-1.658</v>
      </c>
      <c r="I78" s="0">
        <v>-1.658</v>
      </c>
      <c r="J78" s="0">
        <v>-1.658</v>
      </c>
      <c r="K78" s="0">
        <v>0</v>
      </c>
      <c r="L78" s="0">
        <v>0</v>
      </c>
      <c r="M78" s="0">
        <v>0</v>
      </c>
      <c r="N78" s="0">
        <v>-0.507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</row>
    <row customHeight="1" ht="15">
      <c r="A79" s="9" t="s">
        <v>115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-11.508</v>
      </c>
      <c r="H79" s="0">
        <v>-11.568</v>
      </c>
      <c r="I79" s="0">
        <v>-11.568</v>
      </c>
      <c r="J79" s="0">
        <v>-23.568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-1.82</v>
      </c>
      <c r="V79" s="0">
        <v>-1.82</v>
      </c>
      <c r="W79" s="0">
        <v>-2.83</v>
      </c>
      <c r="X79" s="0">
        <v>-2.83</v>
      </c>
      <c r="Y79" s="0">
        <v>-2.875</v>
      </c>
      <c r="Z79" s="0">
        <v>-2.877</v>
      </c>
      <c r="AA79" s="0">
        <v>0</v>
      </c>
      <c r="AB79" s="0">
        <v>0</v>
      </c>
      <c r="AC79" s="0">
        <v>-0.012</v>
      </c>
      <c r="AD79" s="0">
        <v>0</v>
      </c>
      <c r="AE79" s="0">
        <v>-4.819</v>
      </c>
      <c r="AF79" s="0">
        <v>-4.832</v>
      </c>
    </row>
    <row customHeight="1" ht="15">
      <c r="A80" s="9" t="s">
        <v>116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0.775</v>
      </c>
      <c r="AC80" s="0">
        <v>0.775</v>
      </c>
      <c r="AD80" s="0">
        <v>0.775</v>
      </c>
      <c r="AE80" s="0">
        <v>0</v>
      </c>
      <c r="AF80" s="0">
        <v>0.052</v>
      </c>
    </row>
    <row customHeight="1" ht="15">
      <c r="A81" s="4" t="s">
        <v>117</v>
      </c>
      <c r="B81" s="7">
        <f t="shared" si="20" ref="B81:AF81">B76</f>
        <v>-30.78</v>
      </c>
      <c r="C81" s="7">
        <f t="shared" si="20"/>
        <v>-8.236</v>
      </c>
      <c r="D81" s="7">
        <f t="shared" si="20"/>
        <v>-24.205</v>
      </c>
      <c r="E81" s="7">
        <f t="shared" si="20"/>
        <v>-9.328</v>
      </c>
      <c r="F81" s="7">
        <f t="shared" si="20"/>
        <v>-41.352</v>
      </c>
      <c r="G81" s="7">
        <f t="shared" si="20"/>
        <v>-121.293</v>
      </c>
      <c r="H81" s="7">
        <f t="shared" si="20"/>
        <v>-60.035</v>
      </c>
      <c r="I81" s="7">
        <f t="shared" si="20"/>
        <v>-34.969</v>
      </c>
      <c r="J81" s="7">
        <f t="shared" si="20"/>
        <v>-84.247</v>
      </c>
      <c r="K81" s="7">
        <f t="shared" si="20"/>
        <v>-31.391</v>
      </c>
      <c r="L81" s="7">
        <f t="shared" si="20"/>
        <v>-20.94</v>
      </c>
      <c r="M81" s="7">
        <f t="shared" si="20"/>
        <v>-37.745</v>
      </c>
      <c r="N81" s="7">
        <f t="shared" si="20"/>
        <v>-292.192</v>
      </c>
      <c r="O81" s="7">
        <f t="shared" si="20"/>
        <v>71.352</v>
      </c>
      <c r="P81" s="7">
        <f t="shared" si="20"/>
        <v>98.738</v>
      </c>
      <c r="Q81" s="7">
        <f t="shared" si="20"/>
        <v>35.56</v>
      </c>
      <c r="R81" s="7">
        <f t="shared" si="20"/>
        <v>84.892</v>
      </c>
      <c r="S81" s="7">
        <f t="shared" si="20"/>
        <v>-16.845</v>
      </c>
      <c r="T81" s="7">
        <f t="shared" si="20"/>
        <v>-80.978</v>
      </c>
      <c r="U81" s="7">
        <f t="shared" si="20"/>
        <v>-121.224</v>
      </c>
      <c r="V81" s="7">
        <f t="shared" si="20"/>
        <v>-180.123</v>
      </c>
      <c r="W81" s="7">
        <f t="shared" si="20"/>
        <v>-22.324</v>
      </c>
      <c r="X81" s="7">
        <f t="shared" si="20"/>
        <v>-62.555</v>
      </c>
      <c r="Y81" s="7">
        <f t="shared" si="20"/>
        <v>-142.534</v>
      </c>
      <c r="Z81" s="7">
        <f t="shared" si="20"/>
        <v>-190.521</v>
      </c>
      <c r="AA81" s="7">
        <f t="shared" si="20"/>
        <v>-24.077</v>
      </c>
      <c r="AB81" s="7">
        <f t="shared" si="20"/>
        <v>-24.985</v>
      </c>
      <c r="AC81" s="7">
        <f t="shared" si="20"/>
        <v>-65.634</v>
      </c>
      <c r="AD81" s="7">
        <f t="shared" si="20"/>
        <v>-114.056</v>
      </c>
      <c r="AE81" s="7">
        <f t="shared" si="20"/>
        <v>-42.446</v>
      </c>
      <c r="AF81" s="7">
        <f t="shared" si="20"/>
        <v>-103.514</v>
      </c>
    </row>
    <row customHeight="1" ht="15">
      <c r="A82" s="9" t="s">
        <v>118</v>
      </c>
      <c r="B82" s="0">
        <v>-0.049</v>
      </c>
      <c r="C82" s="0">
        <v>0</v>
      </c>
      <c r="D82" s="0">
        <v>-0.005</v>
      </c>
      <c r="E82" s="0">
        <v>-0.005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</row>
    <row customHeight="1" ht="15">
      <c r="A83" s="9" t="s">
        <v>119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-0.675</v>
      </c>
      <c r="K83" s="0">
        <v>-0.293</v>
      </c>
      <c r="L83" s="0">
        <v>-0.293</v>
      </c>
      <c r="M83" s="0">
        <v>-0.293</v>
      </c>
      <c r="N83" s="0">
        <v>-0.293</v>
      </c>
      <c r="O83" s="0">
        <v>0</v>
      </c>
      <c r="P83" s="0">
        <v>-29.764</v>
      </c>
      <c r="Q83" s="0">
        <v>-30.293</v>
      </c>
      <c r="R83" s="0">
        <v>-30.328</v>
      </c>
      <c r="S83" s="0">
        <v>0</v>
      </c>
      <c r="T83" s="0">
        <v>-0.572</v>
      </c>
      <c r="U83" s="0">
        <v>-1.308</v>
      </c>
      <c r="V83" s="0">
        <v>-25.995</v>
      </c>
      <c r="W83" s="0">
        <v>-0.07</v>
      </c>
      <c r="X83" s="0">
        <v>-0.735</v>
      </c>
      <c r="Y83" s="0">
        <v>-1.024</v>
      </c>
      <c r="Z83" s="0">
        <v>-1.492</v>
      </c>
      <c r="AA83" s="0">
        <v>-0.148</v>
      </c>
      <c r="AB83" s="0">
        <v>-0.253</v>
      </c>
      <c r="AC83" s="0">
        <v>-2.097</v>
      </c>
      <c r="AD83" s="0">
        <v>-2.097</v>
      </c>
      <c r="AE83" s="0">
        <v>-0.155</v>
      </c>
      <c r="AF83" s="0">
        <v>-1.076</v>
      </c>
    </row>
    <row customHeight="1" ht="15">
      <c r="A84" s="9" t="s">
        <v>120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300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</row>
    <row customHeight="1" ht="15">
      <c r="A85" s="9" t="s">
        <v>121</v>
      </c>
      <c r="B85" s="0">
        <v>0</v>
      </c>
      <c r="C85" s="0">
        <v>0</v>
      </c>
      <c r="D85" s="0">
        <v>0</v>
      </c>
      <c r="E85" s="0">
        <v>0</v>
      </c>
      <c r="F85" s="0">
        <v>-0.004</v>
      </c>
      <c r="G85" s="0">
        <v>0</v>
      </c>
      <c r="H85" s="0">
        <v>0</v>
      </c>
      <c r="I85" s="0">
        <v>0</v>
      </c>
      <c r="J85" s="0">
        <v>-2.905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</row>
    <row customHeight="1" ht="15">
      <c r="A86" s="9" t="s">
        <v>122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</row>
    <row customHeight="1" ht="15">
      <c r="A87" s="9" t="s">
        <v>123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-0.048</v>
      </c>
      <c r="S87" s="0">
        <v>0</v>
      </c>
      <c r="T87" s="0">
        <v>0</v>
      </c>
      <c r="U87" s="0">
        <v>0</v>
      </c>
      <c r="V87" s="0">
        <v>-0.359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</row>
    <row customHeight="1" ht="15">
      <c r="A88" s="9" t="s">
        <v>124</v>
      </c>
      <c r="B88" s="0">
        <v>14.047</v>
      </c>
      <c r="C88" s="0">
        <v>0.731</v>
      </c>
      <c r="D88" s="0">
        <v>2.089</v>
      </c>
      <c r="E88" s="0">
        <v>2.64</v>
      </c>
      <c r="F88" s="0">
        <v>5.728</v>
      </c>
      <c r="G88" s="0">
        <v>1.455</v>
      </c>
      <c r="H88" s="0">
        <v>1.456</v>
      </c>
      <c r="I88" s="0">
        <v>1.696</v>
      </c>
      <c r="J88" s="0">
        <v>8.658</v>
      </c>
      <c r="K88" s="0">
        <v>0.714</v>
      </c>
      <c r="L88" s="0">
        <v>16.557</v>
      </c>
      <c r="M88" s="0">
        <v>26.121</v>
      </c>
      <c r="N88" s="0">
        <v>22.118</v>
      </c>
      <c r="O88" s="0">
        <v>5.426</v>
      </c>
      <c r="P88" s="0">
        <v>10.629</v>
      </c>
      <c r="Q88" s="0">
        <v>11.082</v>
      </c>
      <c r="R88" s="0">
        <v>11.094</v>
      </c>
      <c r="S88" s="0">
        <v>0</v>
      </c>
      <c r="T88" s="0">
        <v>0.276</v>
      </c>
      <c r="U88" s="0">
        <v>1.981</v>
      </c>
      <c r="V88" s="0">
        <v>1.11</v>
      </c>
      <c r="W88" s="0">
        <v>0.839</v>
      </c>
      <c r="X88" s="0">
        <v>15.86</v>
      </c>
      <c r="Y88" s="0">
        <v>15.93</v>
      </c>
      <c r="Z88" s="0">
        <v>33.158</v>
      </c>
      <c r="AA88" s="0">
        <v>28.516</v>
      </c>
      <c r="AB88" s="0">
        <v>51.307</v>
      </c>
      <c r="AC88" s="0">
        <v>53.792</v>
      </c>
      <c r="AD88" s="0">
        <v>80.896</v>
      </c>
      <c r="AE88" s="0">
        <v>54.916</v>
      </c>
      <c r="AF88" s="0">
        <v>126.51</v>
      </c>
    </row>
    <row customHeight="1" ht="15">
      <c r="A89" s="9" t="s">
        <v>125</v>
      </c>
      <c r="B89" s="0">
        <v>-8.976</v>
      </c>
      <c r="C89" s="0">
        <v>-1.053</v>
      </c>
      <c r="D89" s="0">
        <v>-2.528</v>
      </c>
      <c r="E89" s="0">
        <v>-3.941</v>
      </c>
      <c r="F89" s="0">
        <v>-9.493</v>
      </c>
      <c r="G89" s="0">
        <v>-1.082</v>
      </c>
      <c r="H89" s="0">
        <v>-1.245</v>
      </c>
      <c r="I89" s="0">
        <v>-1.669</v>
      </c>
      <c r="J89" s="0">
        <v>-0.842</v>
      </c>
      <c r="K89" s="0">
        <v>-0.584</v>
      </c>
      <c r="L89" s="0">
        <v>-1.38</v>
      </c>
      <c r="M89" s="0">
        <v>-4.853</v>
      </c>
      <c r="N89" s="0">
        <v>-4.121</v>
      </c>
      <c r="O89" s="0">
        <v>-0.65</v>
      </c>
      <c r="P89" s="0">
        <v>-1.073</v>
      </c>
      <c r="Q89" s="0">
        <v>-3.501</v>
      </c>
      <c r="R89" s="0">
        <v>-3.891</v>
      </c>
      <c r="S89" s="0">
        <v>-1.314</v>
      </c>
      <c r="T89" s="0">
        <v>-1.868</v>
      </c>
      <c r="U89" s="0">
        <v>-3.227</v>
      </c>
      <c r="V89" s="0">
        <v>-3.875</v>
      </c>
      <c r="W89" s="0">
        <v>-1.435</v>
      </c>
      <c r="X89" s="0">
        <v>-2.22</v>
      </c>
      <c r="Y89" s="0">
        <v>-4.229</v>
      </c>
      <c r="Z89" s="0">
        <v>-14.861</v>
      </c>
      <c r="AA89" s="0">
        <v>-1.59</v>
      </c>
      <c r="AB89" s="0">
        <v>-2.5</v>
      </c>
      <c r="AC89" s="0">
        <v>-6.116</v>
      </c>
      <c r="AD89" s="0">
        <v>-10.148</v>
      </c>
      <c r="AE89" s="0">
        <v>-14.123</v>
      </c>
      <c r="AF89" s="0">
        <v>-18.607</v>
      </c>
    </row>
    <row customHeight="1" ht="15">
      <c r="A90" s="9" t="s">
        <v>126</v>
      </c>
      <c r="B90" s="0">
        <v>2.434</v>
      </c>
      <c r="C90" s="0">
        <v>2.905</v>
      </c>
      <c r="D90" s="0">
        <v>14.372</v>
      </c>
      <c r="E90" s="0">
        <v>13.638</v>
      </c>
      <c r="F90" s="0">
        <v>7.699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</row>
    <row customHeight="1" ht="15">
      <c r="A91" s="9" t="s">
        <v>127</v>
      </c>
      <c r="B91" s="0">
        <v>-0.193</v>
      </c>
      <c r="C91" s="0">
        <v>0</v>
      </c>
      <c r="D91" s="0">
        <v>0</v>
      </c>
      <c r="E91" s="0">
        <v>0</v>
      </c>
      <c r="F91" s="0">
        <v>-6.634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</row>
    <row customHeight="1" ht="15">
      <c r="A92" s="9" t="s">
        <v>128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1.878</v>
      </c>
      <c r="K92" s="0">
        <v>0.449</v>
      </c>
      <c r="L92" s="0">
        <v>0.831</v>
      </c>
      <c r="M92" s="0">
        <v>3.02</v>
      </c>
      <c r="N92" s="0">
        <v>8.383</v>
      </c>
      <c r="O92" s="0">
        <v>0</v>
      </c>
      <c r="P92" s="0">
        <v>0</v>
      </c>
      <c r="Q92" s="0">
        <v>0.043</v>
      </c>
      <c r="R92" s="0">
        <v>1.63</v>
      </c>
      <c r="S92" s="0">
        <v>0</v>
      </c>
      <c r="T92" s="0">
        <v>0</v>
      </c>
      <c r="U92" s="0">
        <v>1.03</v>
      </c>
      <c r="V92" s="0">
        <v>1.035</v>
      </c>
      <c r="W92" s="0">
        <v>0</v>
      </c>
      <c r="X92" s="0">
        <v>0</v>
      </c>
      <c r="Y92" s="0">
        <v>0</v>
      </c>
      <c r="Z92" s="0">
        <v>1.22</v>
      </c>
      <c r="AA92" s="0">
        <v>0</v>
      </c>
      <c r="AB92" s="0">
        <v>1.419</v>
      </c>
      <c r="AC92" s="0">
        <v>1.289</v>
      </c>
      <c r="AD92" s="0">
        <v>3.75</v>
      </c>
      <c r="AE92" s="0">
        <v>0</v>
      </c>
      <c r="AF92" s="0">
        <v>0.359</v>
      </c>
    </row>
    <row customHeight="1" ht="15">
      <c r="A93" s="9" t="s">
        <v>129</v>
      </c>
      <c r="B93" s="0">
        <v>0</v>
      </c>
      <c r="C93" s="0">
        <v>0</v>
      </c>
      <c r="D93" s="0">
        <v>0</v>
      </c>
      <c r="E93" s="0">
        <v>-6.634</v>
      </c>
      <c r="F93" s="0">
        <v>0</v>
      </c>
      <c r="G93" s="0">
        <v>-0.1</v>
      </c>
      <c r="H93" s="0">
        <v>0</v>
      </c>
      <c r="I93" s="0">
        <v>0</v>
      </c>
      <c r="J93" s="0">
        <v>-0.096</v>
      </c>
      <c r="K93" s="0">
        <v>-0.109</v>
      </c>
      <c r="L93" s="0">
        <v>-0.017</v>
      </c>
      <c r="M93" s="0">
        <v>0</v>
      </c>
      <c r="N93" s="0">
        <v>-0.115</v>
      </c>
      <c r="O93" s="0">
        <v>-4.43</v>
      </c>
      <c r="P93" s="0">
        <v>-3.12</v>
      </c>
      <c r="Q93" s="0">
        <v>-1.94</v>
      </c>
      <c r="R93" s="0">
        <v>-1.898</v>
      </c>
      <c r="S93" s="0">
        <v>-3.734</v>
      </c>
      <c r="T93" s="0">
        <v>-14.142</v>
      </c>
      <c r="U93" s="0">
        <v>-9.105</v>
      </c>
      <c r="V93" s="0">
        <v>-9.238</v>
      </c>
      <c r="W93" s="0">
        <v>-0.845</v>
      </c>
      <c r="X93" s="0">
        <v>-1.799</v>
      </c>
      <c r="Y93" s="0">
        <v>-4.386</v>
      </c>
      <c r="Z93" s="0">
        <v>-4.733</v>
      </c>
      <c r="AA93" s="0">
        <v>-2.277</v>
      </c>
      <c r="AB93" s="0">
        <v>-3.475</v>
      </c>
      <c r="AC93" s="0">
        <v>-4.168</v>
      </c>
      <c r="AD93" s="0">
        <v>-3.704</v>
      </c>
      <c r="AE93" s="0">
        <v>-13.573</v>
      </c>
      <c r="AF93" s="0">
        <v>-13.819</v>
      </c>
    </row>
    <row customHeight="1" ht="15">
      <c r="A94" s="9" t="s">
        <v>130</v>
      </c>
      <c r="B94" s="0">
        <v>0</v>
      </c>
      <c r="C94" s="0">
        <v>0</v>
      </c>
      <c r="D94" s="0">
        <v>0</v>
      </c>
      <c r="E94" s="0">
        <v>0</v>
      </c>
      <c r="F94" s="0">
        <v>264.457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</row>
    <row customHeight="1" ht="15">
      <c r="A95" s="9" t="s">
        <v>131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-6.934</v>
      </c>
      <c r="Y95" s="0">
        <v>-7.239</v>
      </c>
      <c r="Z95" s="0">
        <v>-7.262</v>
      </c>
      <c r="AA95" s="0">
        <v>0</v>
      </c>
      <c r="AB95" s="0">
        <v>0</v>
      </c>
      <c r="AC95" s="0">
        <v>0</v>
      </c>
      <c r="AD95" s="0">
        <v>-0.024</v>
      </c>
      <c r="AE95" s="0">
        <v>-0.13</v>
      </c>
      <c r="AF95" s="0">
        <v>0</v>
      </c>
    </row>
    <row customHeight="1" ht="15">
      <c r="A96" s="9" t="s">
        <v>132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277.444</v>
      </c>
      <c r="Y96" s="0">
        <v>278.836</v>
      </c>
      <c r="Z96" s="0">
        <v>278.836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</row>
    <row customHeight="1" ht="15">
      <c r="A97" s="9" t="s">
        <v>133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-5.228</v>
      </c>
      <c r="I97" s="0">
        <v>-7.151</v>
      </c>
      <c r="J97" s="0">
        <v>-15.578</v>
      </c>
      <c r="K97" s="0">
        <v>-0.5</v>
      </c>
      <c r="L97" s="0">
        <v>-0.5</v>
      </c>
      <c r="M97" s="0">
        <v>-0.503</v>
      </c>
      <c r="N97" s="0">
        <v>-0.509</v>
      </c>
      <c r="O97" s="0">
        <v>-0.853</v>
      </c>
      <c r="P97" s="0">
        <v>-10.704</v>
      </c>
      <c r="Q97" s="0">
        <v>-55.592</v>
      </c>
      <c r="R97" s="0">
        <v>-64.702</v>
      </c>
      <c r="S97" s="0">
        <v>0</v>
      </c>
      <c r="T97" s="0">
        <v>-19.858</v>
      </c>
      <c r="U97" s="0">
        <v>-19.811</v>
      </c>
      <c r="V97" s="0">
        <v>-19.847</v>
      </c>
      <c r="W97" s="0">
        <v>0</v>
      </c>
      <c r="X97" s="0">
        <v>-166.774</v>
      </c>
      <c r="Y97" s="0">
        <v>-167.611</v>
      </c>
      <c r="Z97" s="0">
        <v>-167.611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</row>
    <row customHeight="1" ht="15">
      <c r="A98" s="9" t="s">
        <v>134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-0.13</v>
      </c>
    </row>
    <row customHeight="1" ht="15">
      <c r="A99" s="9" t="s">
        <v>135</v>
      </c>
      <c r="B99" s="0">
        <v>-2.072</v>
      </c>
      <c r="C99" s="0">
        <v>-1.543</v>
      </c>
      <c r="D99" s="0">
        <v>-3.02</v>
      </c>
      <c r="E99" s="0">
        <v>-4.731</v>
      </c>
      <c r="F99" s="0">
        <v>-30.873</v>
      </c>
      <c r="G99" s="0">
        <v>-16.841</v>
      </c>
      <c r="H99" s="0">
        <v>-40.573</v>
      </c>
      <c r="I99" s="0">
        <v>-32.338</v>
      </c>
      <c r="J99" s="0">
        <v>-37.801</v>
      </c>
      <c r="K99" s="0">
        <v>-6.749</v>
      </c>
      <c r="L99" s="0">
        <v>-15.408</v>
      </c>
      <c r="M99" s="0">
        <v>-26.586</v>
      </c>
      <c r="N99" s="0">
        <v>-37.939</v>
      </c>
      <c r="O99" s="0">
        <v>-11.958</v>
      </c>
      <c r="P99" s="0">
        <v>-19.781</v>
      </c>
      <c r="Q99" s="0">
        <v>-39.157</v>
      </c>
      <c r="R99" s="0">
        <v>-63.864</v>
      </c>
      <c r="S99" s="0">
        <v>-21.097</v>
      </c>
      <c r="T99" s="0">
        <v>-49.856</v>
      </c>
      <c r="U99" s="0">
        <v>-93.383</v>
      </c>
      <c r="V99" s="0">
        <v>-151.442</v>
      </c>
      <c r="W99" s="0">
        <v>-50.913</v>
      </c>
      <c r="X99" s="0">
        <v>-116.561</v>
      </c>
      <c r="Y99" s="0">
        <v>-187.73</v>
      </c>
      <c r="Z99" s="0">
        <v>-242.596</v>
      </c>
      <c r="AA99" s="0">
        <v>-78.083</v>
      </c>
      <c r="AB99" s="0">
        <v>-140.434</v>
      </c>
      <c r="AC99" s="0">
        <v>-206.454</v>
      </c>
      <c r="AD99" s="0">
        <v>-252.388</v>
      </c>
      <c r="AE99" s="0">
        <v>-41.338</v>
      </c>
      <c r="AF99" s="0">
        <v>-80.489</v>
      </c>
    </row>
    <row customHeight="1" ht="15">
      <c r="A100" s="9" t="s">
        <v>136</v>
      </c>
      <c r="B100" s="11">
        <f>B82+SUM(B88:B91)+B94+B99</f>
        <v>5.191</v>
      </c>
      <c r="C100" s="11">
        <f>SUM(C88:C90)+C93+C99</f>
        <v>1.04</v>
      </c>
      <c r="D100" s="11">
        <f t="shared" si="21" ref="D100:E100">D82+SUM(D88:D90)+D93+D97+D99</f>
        <v>10.908</v>
      </c>
      <c r="E100" s="11">
        <f t="shared" si="21"/>
        <v>0.966999999999999</v>
      </c>
      <c r="F100" s="11">
        <f>F83+F85+SUM(F88:F94)+F97+F99</f>
        <v>230.88</v>
      </c>
      <c r="G100" s="11">
        <f t="shared" si="22" ref="G100:Q100">G83+SUM(G88:G89)+SUM(G92:G93)+G97+G99</f>
        <v>-16.568</v>
      </c>
      <c r="H100" s="11">
        <f t="shared" si="22"/>
        <v>-45.59</v>
      </c>
      <c r="I100" s="11">
        <f>I83+SUM(I88:I89)+I92+I97+I99</f>
        <v>-39.462</v>
      </c>
      <c r="J100" s="11">
        <f>SUM(J83:J85)+SUM(J88:J93)+J97+J99</f>
        <v>-47.361</v>
      </c>
      <c r="K100" s="11">
        <f t="shared" si="22"/>
        <v>-7.072</v>
      </c>
      <c r="L100" s="11">
        <f t="shared" si="22"/>
        <v>-0.21</v>
      </c>
      <c r="M100" s="11">
        <f t="shared" si="22"/>
        <v>-3.094</v>
      </c>
      <c r="N100" s="11">
        <f>SUM(N83:N84)+N86+SUM(N88:N89)+SUM(N92:N93)+N97+N99</f>
        <v>287.524</v>
      </c>
      <c r="O100" s="11">
        <f t="shared" si="23" ref="O100:P100">O83+SUM(O88:O89)+O93+O97+O99</f>
        <v>-12.465</v>
      </c>
      <c r="P100" s="11">
        <f t="shared" si="23"/>
        <v>-53.813</v>
      </c>
      <c r="Q100" s="11">
        <f t="shared" si="22"/>
        <v>-119.358</v>
      </c>
      <c r="R100" s="11">
        <f>R83+SUM(R87:R89)+SUM(R92:R93)+R97+R99</f>
        <v>-152.007</v>
      </c>
      <c r="S100" s="11">
        <f t="shared" si="24" ref="S100:W100">S83+SUM(S88:S89)+S93+S99</f>
        <v>-26.145</v>
      </c>
      <c r="T100" s="11">
        <f>T83+SUM(T88:T89)+T93+SUM(T95:T97)+T99</f>
        <v>-86.02</v>
      </c>
      <c r="U100" s="11">
        <f t="shared" si="25" ref="U100:AD100">U83+SUM(U88:U89)+SUM(U92:U93)+SUM(U95:U97)+U99</f>
        <v>-123.823</v>
      </c>
      <c r="V100" s="11">
        <f>V83+SUM(V87:V89)+SUM(V92:V93)+SUM(V95:V97)+V99</f>
        <v>-208.611</v>
      </c>
      <c r="W100" s="11">
        <f t="shared" si="24"/>
        <v>-52.424</v>
      </c>
      <c r="X100" s="11">
        <f t="shared" si="25"/>
        <v>-1.71900000000002</v>
      </c>
      <c r="Y100" s="11">
        <f t="shared" si="25"/>
        <v>-77.4529999999999</v>
      </c>
      <c r="Z100" s="11">
        <f t="shared" si="25"/>
        <v>-125.341</v>
      </c>
      <c r="AA100" s="11">
        <f t="shared" si="26" ref="AA100:AE100">AA83+SUM(AA88:AA89)+AA93+AA95+AA99</f>
        <v>-53.582</v>
      </c>
      <c r="AB100" s="11">
        <f t="shared" si="27" ref="AB100:AF100">AB83+SUM(AB88:AB89)+SUM(AB92:AB93)+SUM(AB98:AB99)</f>
        <v>-93.936</v>
      </c>
      <c r="AC100" s="11">
        <f t="shared" si="25"/>
        <v>-163.754</v>
      </c>
      <c r="AD100" s="11">
        <f t="shared" si="25"/>
        <v>-183.715</v>
      </c>
      <c r="AE100" s="11">
        <f t="shared" si="26"/>
        <v>-14.403</v>
      </c>
      <c r="AF100" s="11">
        <f t="shared" si="27"/>
        <v>12.748</v>
      </c>
    </row>
    <row customHeight="1" ht="15">
      <c r="A101" s="4" t="s">
        <v>137</v>
      </c>
      <c r="B101" s="7">
        <f t="shared" si="13"/>
        <v>5.191</v>
      </c>
      <c r="C101" s="7">
        <f t="shared" si="13"/>
        <v>1.04</v>
      </c>
      <c r="D101" s="7">
        <f t="shared" si="13"/>
        <v>10.908</v>
      </c>
      <c r="E101" s="7">
        <f t="shared" si="13"/>
        <v>0.967</v>
      </c>
      <c r="F101" s="7">
        <f t="shared" si="13"/>
        <v>230.88</v>
      </c>
      <c r="G101" s="7">
        <f t="shared" si="13"/>
        <v>-16.568</v>
      </c>
      <c r="H101" s="7">
        <f t="shared" si="13"/>
        <v>-45.59</v>
      </c>
      <c r="I101" s="7">
        <f t="shared" si="13"/>
        <v>-39.462</v>
      </c>
      <c r="J101" s="7">
        <f t="shared" si="13"/>
        <v>-47.361</v>
      </c>
      <c r="K101" s="7">
        <f t="shared" si="13"/>
        <v>-7.072</v>
      </c>
      <c r="L101" s="7">
        <f t="shared" si="13"/>
        <v>-0.21</v>
      </c>
      <c r="M101" s="7">
        <f t="shared" si="13"/>
        <v>-3.094</v>
      </c>
      <c r="N101" s="7">
        <f t="shared" si="13"/>
        <v>287.524</v>
      </c>
      <c r="O101" s="7">
        <f t="shared" si="13"/>
        <v>-12.465</v>
      </c>
      <c r="P101" s="7">
        <f t="shared" si="13"/>
        <v>-53.813</v>
      </c>
      <c r="Q101" s="7">
        <f t="shared" si="13"/>
        <v>-119.358</v>
      </c>
      <c r="R101" s="7">
        <f t="shared" si="13"/>
        <v>-152.007</v>
      </c>
      <c r="S101" s="7">
        <f t="shared" si="13"/>
        <v>-26.145</v>
      </c>
      <c r="T101" s="7">
        <f t="shared" si="13"/>
        <v>-86.02</v>
      </c>
      <c r="U101" s="7">
        <f t="shared" si="13"/>
        <v>-123.823</v>
      </c>
      <c r="V101" s="7">
        <f t="shared" si="13"/>
        <v>-208.611</v>
      </c>
      <c r="W101" s="7">
        <f t="shared" si="13"/>
        <v>-52.424</v>
      </c>
      <c r="X101" s="7">
        <f t="shared" si="13"/>
        <v>-1.71900000000002</v>
      </c>
      <c r="Y101" s="7">
        <f t="shared" si="13"/>
        <v>-77.4529999999999</v>
      </c>
      <c r="Z101" s="7">
        <f t="shared" si="13"/>
        <v>-125.341</v>
      </c>
      <c r="AA101" s="7">
        <f t="shared" si="13"/>
        <v>-53.582</v>
      </c>
      <c r="AB101" s="7">
        <f t="shared" si="13"/>
        <v>-93.936</v>
      </c>
      <c r="AC101" s="7">
        <f t="shared" si="13"/>
        <v>-163.754</v>
      </c>
      <c r="AD101" s="7">
        <f t="shared" si="13"/>
        <v>-183.715</v>
      </c>
      <c r="AE101" s="7">
        <f t="shared" si="13"/>
        <v>-14.403</v>
      </c>
      <c r="AF101" s="7">
        <f t="shared" si="13"/>
        <v>12.748</v>
      </c>
    </row>
    <row customHeight="1" ht="15">
      <c r="A102" s="9" t="s">
        <v>138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2.336</v>
      </c>
      <c r="S102" s="0">
        <v>0</v>
      </c>
      <c r="T102" s="0">
        <v>0</v>
      </c>
      <c r="U102" s="0">
        <v>0</v>
      </c>
      <c r="V102" s="0">
        <v>-3.534</v>
      </c>
      <c r="W102" s="0">
        <v>1.883</v>
      </c>
      <c r="X102" s="0">
        <v>3.46</v>
      </c>
      <c r="Y102" s="0">
        <v>-4.969</v>
      </c>
      <c r="Z102" s="0">
        <v>6.316</v>
      </c>
      <c r="AA102" s="0">
        <v>-2.587</v>
      </c>
      <c r="AB102" s="0">
        <v>-8.825</v>
      </c>
      <c r="AC102" s="0">
        <v>-9.374</v>
      </c>
      <c r="AD102" s="0">
        <v>-8.323</v>
      </c>
      <c r="AE102" s="0">
        <v>0.781</v>
      </c>
      <c r="AF102" s="0">
        <v>0.603</v>
      </c>
    </row>
    <row customHeight="1" ht="15">
      <c r="A103" s="9" t="s">
        <v>139</v>
      </c>
      <c r="B103" s="0">
        <v>-11.516</v>
      </c>
      <c r="C103" s="11">
        <f t="shared" si="28" ref="C103:W103">F103</f>
        <v>-16.634</v>
      </c>
      <c r="D103" s="11">
        <f t="shared" si="29" ref="D103:X103">F103</f>
        <v>-16.634</v>
      </c>
      <c r="E103" s="11">
        <f t="shared" si="30" ref="E103:AE103">F103</f>
        <v>-16.634</v>
      </c>
      <c r="F103" s="0">
        <v>-16.634</v>
      </c>
      <c r="G103" s="11">
        <f t="shared" si="28"/>
        <v>212.089</v>
      </c>
      <c r="H103" s="11">
        <f t="shared" si="29"/>
        <v>212.089</v>
      </c>
      <c r="I103" s="11">
        <f t="shared" si="30"/>
        <v>212.089</v>
      </c>
      <c r="J103" s="0">
        <v>212.089</v>
      </c>
      <c r="K103" s="11">
        <f t="shared" si="28"/>
        <v>177.852</v>
      </c>
      <c r="L103" s="11">
        <f t="shared" si="29"/>
        <v>177.852</v>
      </c>
      <c r="M103" s="11">
        <f t="shared" si="30"/>
        <v>177.852</v>
      </c>
      <c r="N103" s="0">
        <v>177.852</v>
      </c>
      <c r="O103" s="11">
        <f t="shared" si="28"/>
        <v>215.865</v>
      </c>
      <c r="P103" s="11">
        <f t="shared" si="29"/>
        <v>215.865</v>
      </c>
      <c r="Q103" s="11">
        <f t="shared" si="30"/>
        <v>215.865</v>
      </c>
      <c r="R103" s="0">
        <v>215.865</v>
      </c>
      <c r="S103" s="11">
        <f t="shared" si="28"/>
        <v>324.607</v>
      </c>
      <c r="T103" s="11">
        <f t="shared" si="29"/>
        <v>324.607</v>
      </c>
      <c r="U103" s="11">
        <f t="shared" si="30"/>
        <v>324.607</v>
      </c>
      <c r="V103" s="0">
        <v>324.607</v>
      </c>
      <c r="W103" s="11">
        <f t="shared" si="28"/>
        <v>200.553</v>
      </c>
      <c r="X103" s="11">
        <f t="shared" si="29"/>
        <v>200.553</v>
      </c>
      <c r="Y103" s="11">
        <f t="shared" si="30"/>
        <v>200.553</v>
      </c>
      <c r="Z103" s="0">
        <v>200.553</v>
      </c>
      <c r="AA103" s="11">
        <f t="shared" si="30"/>
        <v>184.701</v>
      </c>
      <c r="AB103" s="0">
        <v>184.701</v>
      </c>
      <c r="AC103" s="11">
        <f>AB103</f>
        <v>184.701</v>
      </c>
      <c r="AD103" s="11">
        <f>AB103</f>
        <v>184.701</v>
      </c>
      <c r="AE103" s="11">
        <f t="shared" si="30"/>
        <v>122.655</v>
      </c>
      <c r="AF103" s="0">
        <v>122.655</v>
      </c>
    </row>
    <row customHeight="1" ht="15">
      <c r="A104" s="9" t="s">
        <v>140</v>
      </c>
      <c r="B104" s="11">
        <f t="shared" si="31" ref="B104:Q104">B60+B81+B101</f>
        <v>-5.118</v>
      </c>
      <c r="C104" s="11">
        <f t="shared" si="31"/>
        <v>-1.018</v>
      </c>
      <c r="D104" s="11">
        <f t="shared" si="31"/>
        <v>-2.819</v>
      </c>
      <c r="E104" s="11">
        <f t="shared" si="31"/>
        <v>-0.797</v>
      </c>
      <c r="F104" s="11">
        <f t="shared" si="31"/>
        <v>228.723</v>
      </c>
      <c r="G104" s="11">
        <f t="shared" si="31"/>
        <v>-81.074</v>
      </c>
      <c r="H104" s="11">
        <f t="shared" si="31"/>
        <v>8.143</v>
      </c>
      <c r="I104" s="11">
        <f t="shared" si="31"/>
        <v>2.55299999999999</v>
      </c>
      <c r="J104" s="11">
        <f t="shared" si="31"/>
        <v>-34.237</v>
      </c>
      <c r="K104" s="11">
        <f t="shared" si="31"/>
        <v>-27.044</v>
      </c>
      <c r="L104" s="11">
        <f t="shared" si="31"/>
        <v>-7.298</v>
      </c>
      <c r="M104" s="11">
        <f t="shared" si="31"/>
        <v>-12.432</v>
      </c>
      <c r="N104" s="11">
        <f t="shared" si="31"/>
        <v>38.013</v>
      </c>
      <c r="O104" s="11">
        <f t="shared" si="31"/>
        <v>102.043</v>
      </c>
      <c r="P104" s="11">
        <f t="shared" si="32" ref="P104:AF104">P60+P81+SUM(P101:P102)</f>
        <v>115.513</v>
      </c>
      <c r="Q104" s="11">
        <f t="shared" si="31"/>
        <v>77.415</v>
      </c>
      <c r="R104" s="11">
        <f t="shared" si="32"/>
        <v>108.742</v>
      </c>
      <c r="S104" s="11">
        <f t="shared" si="32"/>
        <v>-39.072</v>
      </c>
      <c r="T104" s="11">
        <f t="shared" si="32"/>
        <v>-64.754</v>
      </c>
      <c r="U104" s="11">
        <f t="shared" si="32"/>
        <v>-40.98</v>
      </c>
      <c r="V104" s="11">
        <f t="shared" si="32"/>
        <v>-124.054</v>
      </c>
      <c r="W104" s="11">
        <f t="shared" si="32"/>
        <v>-13.58</v>
      </c>
      <c r="X104" s="11">
        <f t="shared" si="32"/>
        <v>98.138</v>
      </c>
      <c r="Y104" s="11">
        <f t="shared" si="32"/>
        <v>78.1820000000001</v>
      </c>
      <c r="Z104" s="11">
        <f t="shared" si="32"/>
        <v>-15.852</v>
      </c>
      <c r="AA104" s="11">
        <f t="shared" si="32"/>
        <v>-54.088</v>
      </c>
      <c r="AB104" s="11">
        <f t="shared" si="32"/>
        <v>11.014</v>
      </c>
      <c r="AC104" s="11">
        <f t="shared" si="32"/>
        <v>57.433</v>
      </c>
      <c r="AD104" s="11">
        <f t="shared" si="32"/>
        <v>-62.046</v>
      </c>
      <c r="AE104" s="11">
        <f t="shared" si="32"/>
        <v>-18.523</v>
      </c>
      <c r="AF104" s="11">
        <f t="shared" si="32"/>
        <v>-4.70099999999999</v>
      </c>
    </row>
    <row customHeight="1" ht="15">
      <c r="A105" s="4" t="s">
        <v>141</v>
      </c>
      <c r="B105" s="7">
        <f t="shared" si="1"/>
        <v>-16.634</v>
      </c>
      <c r="C105" s="7">
        <f t="shared" si="1"/>
        <v>-17.652</v>
      </c>
      <c r="D105" s="7">
        <f t="shared" si="1"/>
        <v>-19.453</v>
      </c>
      <c r="E105" s="7">
        <f t="shared" si="1"/>
        <v>-17.431</v>
      </c>
      <c r="F105" s="7">
        <f t="shared" si="1"/>
        <v>212.089</v>
      </c>
      <c r="G105" s="7">
        <f t="shared" si="1"/>
        <v>131.015</v>
      </c>
      <c r="H105" s="7">
        <f t="shared" si="1"/>
        <v>220.232</v>
      </c>
      <c r="I105" s="7">
        <f t="shared" si="1"/>
        <v>214.642</v>
      </c>
      <c r="J105" s="7">
        <f t="shared" si="1"/>
        <v>177.852</v>
      </c>
      <c r="K105" s="7">
        <f t="shared" si="1"/>
        <v>150.808</v>
      </c>
      <c r="L105" s="7">
        <f t="shared" si="1"/>
        <v>170.554</v>
      </c>
      <c r="M105" s="7">
        <f t="shared" si="1"/>
        <v>165.42</v>
      </c>
      <c r="N105" s="7">
        <f t="shared" si="1"/>
        <v>215.865</v>
      </c>
      <c r="O105" s="7">
        <f t="shared" si="1"/>
        <v>317.908</v>
      </c>
      <c r="P105" s="7">
        <f t="shared" si="1"/>
        <v>331.378</v>
      </c>
      <c r="Q105" s="7">
        <f t="shared" si="1"/>
        <v>293.28</v>
      </c>
      <c r="R105" s="7">
        <f t="shared" si="1"/>
        <v>324.607</v>
      </c>
      <c r="S105" s="7">
        <f t="shared" si="1"/>
        <v>285.535</v>
      </c>
      <c r="T105" s="7">
        <f t="shared" si="1"/>
        <v>259.853</v>
      </c>
      <c r="U105" s="7">
        <f t="shared" si="1"/>
        <v>283.627</v>
      </c>
      <c r="V105" s="7">
        <f t="shared" si="1"/>
        <v>200.553</v>
      </c>
      <c r="W105" s="7">
        <f t="shared" si="1"/>
        <v>186.973</v>
      </c>
      <c r="X105" s="7">
        <f t="shared" si="1"/>
        <v>298.691</v>
      </c>
      <c r="Y105" s="7">
        <f t="shared" si="1"/>
        <v>278.735</v>
      </c>
      <c r="Z105" s="7">
        <f t="shared" si="1"/>
        <v>184.701</v>
      </c>
      <c r="AA105" s="7">
        <f t="shared" si="1"/>
        <v>130.613</v>
      </c>
      <c r="AB105" s="7">
        <f t="shared" si="1"/>
        <v>195.715</v>
      </c>
      <c r="AC105" s="7">
        <f t="shared" si="1"/>
        <v>242.134</v>
      </c>
      <c r="AD105" s="7">
        <f t="shared" si="1"/>
        <v>122.655</v>
      </c>
      <c r="AE105" s="7">
        <f t="shared" si="1"/>
        <v>104.132</v>
      </c>
      <c r="AF105" s="7">
        <f t="shared" si="1"/>
        <v>117.954</v>
      </c>
    </row>
    <row customHeight="1" ht="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customHeight="1" ht="15">
      <c r="A107" s="2" t="s">
        <v>142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customHeight="1" ht="15">
      <c r="A108" s="9" t="s">
        <v>143</v>
      </c>
      <c r="B108" s="0">
        <v>62.449</v>
      </c>
      <c r="F108" s="0">
        <v>363.286</v>
      </c>
      <c r="G108" s="0">
        <v>405.787</v>
      </c>
      <c r="H108" s="11">
        <f>'Annual and Quarterly'!P108</f>
        <v>388.096</v>
      </c>
      <c r="I108" s="11">
        <f>'Annual and Quarterly'!Q108</f>
        <v>380.535</v>
      </c>
      <c r="J108" s="0">
        <v>352.931</v>
      </c>
      <c r="K108" s="0">
        <v>364.592</v>
      </c>
      <c r="L108" s="11">
        <f>'Annual and Quarterly'!T108</f>
        <v>380.509</v>
      </c>
      <c r="M108" s="11">
        <f>'Annual and Quarterly'!U108</f>
        <v>396.674</v>
      </c>
      <c r="N108" s="0">
        <v>414.443</v>
      </c>
      <c r="O108" s="0">
        <v>464.724</v>
      </c>
      <c r="P108" s="11">
        <f>'Annual and Quarterly'!X108</f>
        <v>573.566</v>
      </c>
      <c r="Q108" s="11">
        <f>'Annual and Quarterly'!Y108</f>
        <v>752.719</v>
      </c>
      <c r="R108" s="0">
        <v>776.321</v>
      </c>
      <c r="S108" s="0">
        <v>953.524</v>
      </c>
      <c r="T108" s="11">
        <f>'Annual and Quarterly'!AB108</f>
        <v>1144.169</v>
      </c>
      <c r="U108" s="11">
        <f>'Annual and Quarterly'!AC108</f>
        <v>1299.404</v>
      </c>
      <c r="V108" s="0">
        <v>1410.635</v>
      </c>
      <c r="W108" s="0">
        <v>1584.065</v>
      </c>
      <c r="X108" s="11">
        <f>'Annual and Quarterly'!AF108</f>
        <v>1670.091</v>
      </c>
      <c r="Y108" s="11">
        <f>'Annual and Quarterly'!AG108</f>
        <v>1671.461</v>
      </c>
      <c r="Z108" s="0">
        <v>1723.662</v>
      </c>
      <c r="AA108" s="0">
        <v>1604.095</v>
      </c>
      <c r="AB108" s="11">
        <f>'Annual and Quarterly'!AJ108</f>
        <v>1403.598</v>
      </c>
      <c r="AC108" s="11">
        <f>'Annual and Quarterly'!AK108</f>
        <v>1340.629</v>
      </c>
      <c r="AD108" s="0">
        <v>1084.449</v>
      </c>
      <c r="AE108" s="0">
        <v>1106.064</v>
      </c>
      <c r="AF108" s="11">
        <f>'Annual and Quarterly'!AN108</f>
        <v>939.053</v>
      </c>
    </row>
    <row customHeight="1" ht="15">
      <c r="A109" s="9" t="s">
        <v>144</v>
      </c>
      <c r="B109" s="0">
        <v>0</v>
      </c>
      <c r="F109" s="0">
        <v>11.842</v>
      </c>
      <c r="G109" s="0">
        <v>12.645</v>
      </c>
      <c r="H109" s="11">
        <f>'Annual and Quarterly'!P109</f>
        <v>10.851</v>
      </c>
      <c r="I109" s="11">
        <f>'Annual and Quarterly'!Q109</f>
        <v>10.473</v>
      </c>
      <c r="J109" s="0">
        <v>10.132</v>
      </c>
      <c r="K109" s="0">
        <v>13.356</v>
      </c>
      <c r="L109" s="11">
        <f>'Annual and Quarterly'!T109</f>
        <v>10.5</v>
      </c>
      <c r="M109" s="11">
        <f>'Annual and Quarterly'!U109</f>
        <v>11.599</v>
      </c>
      <c r="N109" s="0">
        <v>31.03</v>
      </c>
      <c r="O109" s="0">
        <v>27.166</v>
      </c>
      <c r="P109" s="11">
        <f>'Annual and Quarterly'!X109</f>
        <v>28.21</v>
      </c>
      <c r="Q109" s="11">
        <f>'Annual and Quarterly'!Y109</f>
        <v>38.728</v>
      </c>
      <c r="R109" s="0">
        <v>41.64</v>
      </c>
      <c r="S109" s="0">
        <v>43.62</v>
      </c>
      <c r="T109" s="11">
        <f>'Annual and Quarterly'!AB109</f>
        <v>43.159</v>
      </c>
      <c r="U109" s="11">
        <f>'Annual and Quarterly'!AC109</f>
        <v>41.398</v>
      </c>
      <c r="V109" s="0">
        <v>41.151</v>
      </c>
      <c r="W109" s="0">
        <v>64.49</v>
      </c>
      <c r="X109" s="11">
        <f>'Annual and Quarterly'!AF109</f>
        <v>60.761</v>
      </c>
      <c r="Y109" s="11">
        <f>'Annual and Quarterly'!AG109</f>
        <v>60.181</v>
      </c>
      <c r="Z109" s="0">
        <v>59.644</v>
      </c>
      <c r="AA109" s="0">
        <v>58.938</v>
      </c>
      <c r="AB109" s="11">
        <f>'Annual and Quarterly'!AJ109</f>
        <v>55.613</v>
      </c>
      <c r="AC109" s="11">
        <f>'Annual and Quarterly'!AK109</f>
        <v>54.886</v>
      </c>
      <c r="AD109" s="0">
        <v>53.604</v>
      </c>
      <c r="AE109" s="0">
        <v>53.268</v>
      </c>
      <c r="AF109" s="11">
        <f>'Annual and Quarterly'!AN109</f>
        <v>52.892</v>
      </c>
    </row>
    <row customHeight="1" ht="15">
      <c r="A110" s="9" t="s">
        <v>145</v>
      </c>
      <c r="B110" s="0">
        <v>6.963</v>
      </c>
      <c r="F110" s="0">
        <v>74.412</v>
      </c>
      <c r="G110" s="0">
        <v>94.381</v>
      </c>
      <c r="H110" s="11">
        <f>'Annual and Quarterly'!P110</f>
        <v>95.323</v>
      </c>
      <c r="I110" s="11">
        <f>'Annual and Quarterly'!Q110</f>
        <v>94.424</v>
      </c>
      <c r="J110" s="0">
        <v>102.777</v>
      </c>
      <c r="K110" s="0">
        <v>107.53</v>
      </c>
      <c r="L110" s="11">
        <f>'Annual and Quarterly'!T110</f>
        <v>107.253</v>
      </c>
      <c r="M110" s="11">
        <f>'Annual and Quarterly'!U110</f>
        <v>108.882</v>
      </c>
      <c r="N110" s="0">
        <v>113.584</v>
      </c>
      <c r="O110" s="0">
        <v>116.219</v>
      </c>
      <c r="P110" s="11">
        <f>'Annual and Quarterly'!X110</f>
        <v>117.558</v>
      </c>
      <c r="Q110" s="11">
        <f>'Annual and Quarterly'!Y110</f>
        <v>115.845</v>
      </c>
      <c r="R110" s="0">
        <v>110.215</v>
      </c>
      <c r="S110" s="0">
        <v>110.473</v>
      </c>
      <c r="T110" s="11">
        <f>'Annual and Quarterly'!AB110</f>
        <v>130.668</v>
      </c>
      <c r="U110" s="11">
        <f>'Annual and Quarterly'!AC110</f>
        <v>136.333</v>
      </c>
      <c r="V110" s="0">
        <v>139.622</v>
      </c>
      <c r="W110" s="0">
        <v>146.163</v>
      </c>
      <c r="X110" s="11">
        <f>'Annual and Quarterly'!AF110</f>
        <v>147.907</v>
      </c>
      <c r="Y110" s="11">
        <f>'Annual and Quarterly'!AG110</f>
        <v>148.537</v>
      </c>
      <c r="Z110" s="0">
        <v>151.848</v>
      </c>
      <c r="AA110" s="0">
        <v>150.29</v>
      </c>
      <c r="AB110" s="11">
        <f>'Annual and Quarterly'!AJ110</f>
        <v>145.31</v>
      </c>
      <c r="AC110" s="11">
        <f>'Annual and Quarterly'!AK110</f>
        <v>144.14</v>
      </c>
      <c r="AD110" s="0">
        <v>133.318</v>
      </c>
      <c r="AE110" s="0">
        <v>134.15</v>
      </c>
      <c r="AF110" s="11">
        <f>'Annual and Quarterly'!AN110</f>
        <v>132.969</v>
      </c>
    </row>
    <row customHeight="1" ht="15">
      <c r="A111" s="9" t="s">
        <v>146</v>
      </c>
      <c r="B111" s="0">
        <v>0.103</v>
      </c>
      <c r="F111" s="0">
        <v>47.034</v>
      </c>
      <c r="G111" s="0">
        <v>48.816</v>
      </c>
      <c r="H111" s="11">
        <f>'Annual and Quarterly'!P111</f>
        <v>50.254</v>
      </c>
      <c r="I111" s="11">
        <f>'Annual and Quarterly'!Q111</f>
        <v>50.101</v>
      </c>
      <c r="J111" s="0">
        <v>43.68</v>
      </c>
      <c r="K111" s="0">
        <v>46.333</v>
      </c>
      <c r="L111" s="11">
        <f>'Annual and Quarterly'!T111</f>
        <v>46.338</v>
      </c>
      <c r="M111" s="11">
        <f>'Annual and Quarterly'!U111</f>
        <v>48.208</v>
      </c>
      <c r="N111" s="0">
        <v>51.602</v>
      </c>
      <c r="O111" s="0">
        <v>52.664</v>
      </c>
      <c r="P111" s="11">
        <f>'Annual and Quarterly'!X111</f>
        <v>56.224</v>
      </c>
      <c r="Q111" s="11">
        <f>'Annual and Quarterly'!Y111</f>
        <v>59.877</v>
      </c>
      <c r="R111" s="0">
        <v>0.349</v>
      </c>
      <c r="S111" s="0">
        <v>0.349</v>
      </c>
      <c r="T111" s="11">
        <f>'Annual and Quarterly'!AB111</f>
        <v>0.358</v>
      </c>
      <c r="U111" s="11">
        <f>'Annual and Quarterly'!AC111</f>
        <v>0.358</v>
      </c>
      <c r="V111" s="0">
        <v>0.348</v>
      </c>
      <c r="W111" s="0">
        <v>0.356</v>
      </c>
      <c r="X111" s="11">
        <f>'Annual and Quarterly'!AF111</f>
        <v>0.354</v>
      </c>
      <c r="Y111" s="11">
        <f>'Annual and Quarterly'!AG111</f>
        <v>0</v>
      </c>
      <c r="Z111" s="0">
        <v>0.368</v>
      </c>
      <c r="AA111" s="0">
        <v>0.359</v>
      </c>
      <c r="AB111" s="11">
        <f>'Annual and Quarterly'!AJ111</f>
        <v>0.353</v>
      </c>
      <c r="AC111" s="11">
        <f>'Annual and Quarterly'!AK111</f>
        <v>0.352</v>
      </c>
      <c r="AD111" s="0">
        <v>0.086</v>
      </c>
      <c r="AE111" s="0">
        <v>0.093</v>
      </c>
      <c r="AF111" s="11">
        <f>'Annual and Quarterly'!AN111</f>
        <v>0.103</v>
      </c>
    </row>
    <row customHeight="1" ht="15">
      <c r="A112" s="9" t="s">
        <v>147</v>
      </c>
      <c r="B112" s="0">
        <v>6.914</v>
      </c>
      <c r="F112" s="0">
        <v>9.615</v>
      </c>
      <c r="G112" s="0">
        <v>15.222</v>
      </c>
      <c r="H112" s="11">
        <f>'Annual and Quarterly'!P112</f>
        <v>17.666</v>
      </c>
      <c r="I112" s="11">
        <f>'Annual and Quarterly'!Q112</f>
        <v>22.331</v>
      </c>
      <c r="J112" s="0">
        <v>17.161</v>
      </c>
      <c r="K112" s="0">
        <v>18.559</v>
      </c>
      <c r="L112" s="11">
        <f>'Annual and Quarterly'!T112</f>
        <v>16.317</v>
      </c>
      <c r="M112" s="11">
        <f>'Annual and Quarterly'!U112</f>
        <v>16.438</v>
      </c>
      <c r="N112" s="0">
        <v>16.728</v>
      </c>
      <c r="O112" s="0">
        <v>18.975</v>
      </c>
      <c r="P112" s="11">
        <f>'Annual and Quarterly'!X112</f>
        <v>17.458</v>
      </c>
      <c r="Q112" s="11">
        <f>'Annual and Quarterly'!Y112</f>
        <v>18.065</v>
      </c>
      <c r="R112" s="0">
        <v>17.646</v>
      </c>
      <c r="S112" s="0">
        <v>25.679</v>
      </c>
      <c r="T112" s="11">
        <f>'Annual and Quarterly'!AB112</f>
        <v>24.404</v>
      </c>
      <c r="U112" s="11">
        <f>'Annual and Quarterly'!AC112</f>
        <v>30.234</v>
      </c>
      <c r="V112" s="0">
        <v>38.486</v>
      </c>
      <c r="W112" s="0">
        <v>57.412</v>
      </c>
      <c r="X112" s="11">
        <f>'Annual and Quarterly'!AF112</f>
        <v>52.405</v>
      </c>
      <c r="Y112" s="11">
        <f>'Annual and Quarterly'!AG112</f>
        <v>43.533</v>
      </c>
      <c r="Z112" s="0">
        <v>72.029</v>
      </c>
      <c r="AA112" s="0">
        <v>84.194</v>
      </c>
      <c r="AB112" s="11">
        <f>'Annual and Quarterly'!AJ112</f>
        <v>66.137</v>
      </c>
      <c r="AC112" s="11">
        <f>'Annual and Quarterly'!AK112</f>
        <v>52.719</v>
      </c>
      <c r="AD112" s="0">
        <v>64.647</v>
      </c>
      <c r="AE112" s="0">
        <v>80.672</v>
      </c>
      <c r="AF112" s="11">
        <f>'Annual and Quarterly'!AN112</f>
        <v>84.819</v>
      </c>
    </row>
    <row customHeight="1" ht="15">
      <c r="A113" s="9" t="s">
        <v>148</v>
      </c>
      <c r="B113" s="0">
        <v>0</v>
      </c>
      <c r="F113" s="0">
        <v>0</v>
      </c>
      <c r="G113" s="0">
        <v>0</v>
      </c>
      <c r="H113" s="11">
        <f>'Annual and Quarterly'!P113</f>
        <v>0.468</v>
      </c>
      <c r="I113" s="11">
        <f>'Annual and Quarterly'!Q113</f>
        <v>1.289</v>
      </c>
      <c r="J113" s="0">
        <v>0</v>
      </c>
      <c r="K113" s="0">
        <v>3.246</v>
      </c>
      <c r="L113" s="11">
        <f>'Annual and Quarterly'!T113</f>
        <v>3.909</v>
      </c>
      <c r="M113" s="11">
        <f>'Annual and Quarterly'!U113</f>
        <v>5.334</v>
      </c>
      <c r="N113" s="0">
        <v>0</v>
      </c>
      <c r="O113" s="0">
        <v>0</v>
      </c>
      <c r="P113" s="11">
        <f>'Annual and Quarterly'!X113</f>
        <v>0</v>
      </c>
      <c r="Q113" s="11">
        <f>'Annual and Quarterly'!Y113</f>
        <v>0</v>
      </c>
      <c r="R113" s="0">
        <v>0</v>
      </c>
      <c r="S113" s="0">
        <v>0</v>
      </c>
      <c r="T113" s="11">
        <f>'Annual and Quarterly'!AB113</f>
        <v>0</v>
      </c>
      <c r="U113" s="11">
        <f>'Annual and Quarterly'!AC113</f>
        <v>0</v>
      </c>
      <c r="V113" s="0">
        <v>0</v>
      </c>
      <c r="W113" s="0">
        <v>0</v>
      </c>
      <c r="X113" s="11">
        <f>'Annual and Quarterly'!AF113</f>
        <v>0</v>
      </c>
      <c r="Y113" s="11">
        <f>'Annual and Quarterly'!AG113</f>
        <v>0</v>
      </c>
      <c r="Z113" s="0">
        <v>0</v>
      </c>
      <c r="AA113" s="0">
        <v>0</v>
      </c>
      <c r="AB113" s="11">
        <f>'Annual and Quarterly'!AJ113</f>
        <v>0</v>
      </c>
      <c r="AC113" s="11">
        <f>'Annual and Quarterly'!AK113</f>
        <v>0</v>
      </c>
      <c r="AD113" s="0">
        <v>0</v>
      </c>
      <c r="AE113" s="0">
        <v>0</v>
      </c>
      <c r="AF113" s="11">
        <f>'Annual and Quarterly'!AN113</f>
        <v>0.012</v>
      </c>
    </row>
    <row customHeight="1" ht="15">
      <c r="A114" s="9" t="s">
        <v>149</v>
      </c>
      <c r="B114" s="0">
        <v>0</v>
      </c>
      <c r="F114" s="0">
        <v>0</v>
      </c>
      <c r="G114" s="0">
        <v>0</v>
      </c>
      <c r="H114" s="11">
        <f>'Annual and Quarterly'!P114</f>
        <v>0</v>
      </c>
      <c r="I114" s="11">
        <f>'Annual and Quarterly'!Q114</f>
        <v>0</v>
      </c>
      <c r="J114" s="0">
        <v>1.231</v>
      </c>
      <c r="K114" s="0">
        <v>0</v>
      </c>
      <c r="L114" s="11">
        <f>'Annual and Quarterly'!T114</f>
        <v>0</v>
      </c>
      <c r="M114" s="11">
        <f>'Annual and Quarterly'!U114</f>
        <v>0</v>
      </c>
      <c r="N114" s="0">
        <v>2.924</v>
      </c>
      <c r="O114" s="0">
        <v>2.967</v>
      </c>
      <c r="P114" s="11">
        <f>'Annual and Quarterly'!X114</f>
        <v>2.967</v>
      </c>
      <c r="Q114" s="11">
        <f>'Annual and Quarterly'!Y114</f>
        <v>2.977</v>
      </c>
      <c r="R114" s="0">
        <v>1.649</v>
      </c>
      <c r="S114" s="0">
        <v>1.531</v>
      </c>
      <c r="T114" s="11">
        <f>'Annual and Quarterly'!AB114</f>
        <v>1.507</v>
      </c>
      <c r="U114" s="11">
        <f>'Annual and Quarterly'!AC114</f>
        <v>1.506</v>
      </c>
      <c r="V114" s="0">
        <v>1.289</v>
      </c>
      <c r="W114" s="0">
        <v>1.311</v>
      </c>
      <c r="X114" s="11">
        <f>'Annual and Quarterly'!AF114</f>
        <v>1.324</v>
      </c>
      <c r="Y114" s="11">
        <f>'Annual and Quarterly'!AG114</f>
        <v>1.617</v>
      </c>
      <c r="Z114" s="0">
        <v>0.01</v>
      </c>
      <c r="AA114" s="0">
        <v>0</v>
      </c>
      <c r="AB114" s="11">
        <f>'Annual and Quarterly'!AJ114</f>
        <v>0</v>
      </c>
      <c r="AC114" s="11">
        <f>'Annual and Quarterly'!AK114</f>
        <v>0.002</v>
      </c>
      <c r="AD114" s="0">
        <v>0</v>
      </c>
      <c r="AE114" s="0">
        <v>0.54</v>
      </c>
      <c r="AF114" s="11">
        <f>'Annual and Quarterly'!AN114</f>
        <v>0.54</v>
      </c>
    </row>
    <row customHeight="1" ht="15">
      <c r="A115" s="9" t="s">
        <v>150</v>
      </c>
      <c r="B115" s="0">
        <v>0</v>
      </c>
      <c r="F115" s="0">
        <v>3.672</v>
      </c>
      <c r="G115" s="0">
        <v>7.665</v>
      </c>
      <c r="H115" s="11">
        <f>'Annual and Quarterly'!P115</f>
        <v>6.48</v>
      </c>
      <c r="I115" s="11">
        <f>'Annual and Quarterly'!Q115</f>
        <v>5.321</v>
      </c>
      <c r="J115" s="0">
        <v>3.563</v>
      </c>
      <c r="K115" s="0">
        <v>4.707</v>
      </c>
      <c r="L115" s="11">
        <f>'Annual and Quarterly'!T115</f>
        <v>3.828</v>
      </c>
      <c r="M115" s="11">
        <f>'Annual and Quarterly'!U115</f>
        <v>4.471</v>
      </c>
      <c r="N115" s="0">
        <v>4.667</v>
      </c>
      <c r="O115" s="0">
        <v>4.995</v>
      </c>
      <c r="P115" s="11">
        <f>'Annual and Quarterly'!X115</f>
        <v>7.577</v>
      </c>
      <c r="Q115" s="11">
        <f>'Annual and Quarterly'!Y115</f>
        <v>15.864</v>
      </c>
      <c r="R115" s="0">
        <v>5.513</v>
      </c>
      <c r="S115" s="0">
        <v>4.719</v>
      </c>
      <c r="T115" s="11">
        <f>'Annual and Quarterly'!AB115</f>
        <v>3.854</v>
      </c>
      <c r="U115" s="11">
        <f>'Annual and Quarterly'!AC115</f>
        <v>6.568</v>
      </c>
      <c r="V115" s="0">
        <v>2.774</v>
      </c>
      <c r="W115" s="0">
        <v>4.092</v>
      </c>
      <c r="X115" s="11">
        <f>'Annual and Quarterly'!AF115</f>
        <v>1.579</v>
      </c>
      <c r="Y115" s="11">
        <f>'Annual and Quarterly'!AG115</f>
        <v>0</v>
      </c>
      <c r="Z115" s="0">
        <v>6.023</v>
      </c>
      <c r="AA115" s="0">
        <v>0</v>
      </c>
      <c r="AB115" s="11">
        <f>'Annual and Quarterly'!AJ115</f>
        <v>0</v>
      </c>
      <c r="AC115" s="11">
        <f>'Annual and Quarterly'!AK115</f>
        <v>0</v>
      </c>
      <c r="AD115" s="0">
        <v>0</v>
      </c>
      <c r="AE115" s="0">
        <v>0</v>
      </c>
      <c r="AF115" s="11">
        <f>'Annual and Quarterly'!AN115</f>
        <v>0</v>
      </c>
    </row>
    <row customHeight="1" ht="15">
      <c r="A116" s="9" t="s">
        <v>151</v>
      </c>
      <c r="B116" s="0">
        <v>0</v>
      </c>
      <c r="F116" s="0">
        <v>0.983</v>
      </c>
      <c r="G116" s="0">
        <v>0.997</v>
      </c>
      <c r="H116" s="11">
        <f>'Annual and Quarterly'!P116</f>
        <v>0.975</v>
      </c>
      <c r="I116" s="11">
        <f>'Annual and Quarterly'!Q116</f>
        <v>0.94</v>
      </c>
      <c r="J116" s="0">
        <v>1.226</v>
      </c>
      <c r="K116" s="0">
        <v>1.523</v>
      </c>
      <c r="L116" s="11">
        <f>'Annual and Quarterly'!T116</f>
        <v>2.18</v>
      </c>
      <c r="M116" s="11">
        <f>'Annual and Quarterly'!U116</f>
        <v>2.244</v>
      </c>
      <c r="N116" s="0">
        <v>2.297</v>
      </c>
      <c r="O116" s="0">
        <v>2.338</v>
      </c>
      <c r="P116" s="11">
        <f>'Annual and Quarterly'!X116</f>
        <v>0.895</v>
      </c>
      <c r="Q116" s="11">
        <f>'Annual and Quarterly'!Y116</f>
        <v>0.946</v>
      </c>
      <c r="R116" s="0">
        <v>0.859</v>
      </c>
      <c r="S116" s="0">
        <v>0.854</v>
      </c>
      <c r="T116" s="11">
        <f>'Annual and Quarterly'!AB116</f>
        <v>0.858</v>
      </c>
      <c r="U116" s="11">
        <f>'Annual and Quarterly'!AC116</f>
        <v>0.866</v>
      </c>
      <c r="V116" s="0">
        <v>0.865</v>
      </c>
      <c r="W116" s="0">
        <v>0.875</v>
      </c>
      <c r="X116" s="11">
        <f>'Annual and Quarterly'!AF116</f>
        <v>0.878</v>
      </c>
      <c r="Y116" s="11">
        <f>'Annual and Quarterly'!AG116</f>
        <v>0.866</v>
      </c>
      <c r="Z116" s="0">
        <v>0.362</v>
      </c>
      <c r="AA116" s="0">
        <v>0.006</v>
      </c>
      <c r="AB116" s="11">
        <f>'Annual and Quarterly'!AJ116</f>
        <v>0</v>
      </c>
      <c r="AC116" s="11">
        <f>'Annual and Quarterly'!AK116</f>
        <v>0.106</v>
      </c>
      <c r="AD116" s="0">
        <v>1.762</v>
      </c>
      <c r="AE116" s="0">
        <v>0.645</v>
      </c>
      <c r="AF116" s="11">
        <f>'Annual and Quarterly'!AN116</f>
        <v>3.397</v>
      </c>
    </row>
    <row customHeight="1" ht="15">
      <c r="A117" s="9" t="s">
        <v>152</v>
      </c>
      <c r="B117" s="0">
        <v>4.052</v>
      </c>
      <c r="F117" s="0">
        <v>40.319</v>
      </c>
      <c r="G117" s="0">
        <v>47.791</v>
      </c>
      <c r="H117" s="11">
        <f>'Annual and Quarterly'!P117</f>
        <v>47.104</v>
      </c>
      <c r="I117" s="11">
        <f>'Annual and Quarterly'!Q117</f>
        <v>45.451</v>
      </c>
      <c r="J117" s="0">
        <v>42.091</v>
      </c>
      <c r="K117" s="0">
        <v>43.301</v>
      </c>
      <c r="L117" s="11">
        <f>'Annual and Quarterly'!T117</f>
        <v>47.009</v>
      </c>
      <c r="M117" s="11">
        <f>'Annual and Quarterly'!U117</f>
        <v>55.884</v>
      </c>
      <c r="N117" s="0">
        <v>49.725</v>
      </c>
      <c r="O117" s="0">
        <v>53.375</v>
      </c>
      <c r="P117" s="11">
        <f>'Annual and Quarterly'!X117</f>
        <v>59.674</v>
      </c>
      <c r="Q117" s="11">
        <f>'Annual and Quarterly'!Y117</f>
        <v>80.256</v>
      </c>
      <c r="R117" s="0">
        <v>81.12</v>
      </c>
      <c r="S117" s="0">
        <v>92.223</v>
      </c>
      <c r="T117" s="11">
        <f>'Annual and Quarterly'!AB117</f>
        <v>106.504</v>
      </c>
      <c r="U117" s="11">
        <f>'Annual and Quarterly'!AC117</f>
        <v>111.652</v>
      </c>
      <c r="V117" s="0">
        <v>112.618</v>
      </c>
      <c r="W117" s="0">
        <v>120.322</v>
      </c>
      <c r="X117" s="11">
        <f>'Annual and Quarterly'!AF117</f>
        <v>136.818</v>
      </c>
      <c r="Y117" s="11">
        <f>'Annual and Quarterly'!AG117</f>
        <v>147.712</v>
      </c>
      <c r="Z117" s="0">
        <v>134.58</v>
      </c>
      <c r="AA117" s="0">
        <v>114.172</v>
      </c>
      <c r="AB117" s="11">
        <f>'Annual and Quarterly'!AJ117</f>
        <v>107.278</v>
      </c>
      <c r="AC117" s="11">
        <f>'Annual and Quarterly'!AK117</f>
        <v>106.819</v>
      </c>
      <c r="AD117" s="0">
        <v>81.777</v>
      </c>
      <c r="AE117" s="0">
        <v>84.641</v>
      </c>
      <c r="AF117" s="11">
        <f>'Annual and Quarterly'!AN117</f>
        <v>75.186</v>
      </c>
    </row>
    <row customHeight="1" ht="15">
      <c r="A118" s="4" t="s">
        <v>153</v>
      </c>
      <c r="B118" s="7">
        <f t="shared" si="33" ref="B118:G118">SUM(B108:B112)+SUM(B115:B117)</f>
        <v>80.481</v>
      </c>
      <c r="F118" s="7">
        <f t="shared" si="34" ref="F118:AA118">SUM(F108:F112)+SUM(F114:F117)</f>
        <v>551.163</v>
      </c>
      <c r="G118" s="7">
        <f t="shared" si="33"/>
        <v>633.304</v>
      </c>
      <c r="H118" s="7">
        <f>'Annual and Quarterly'!P118</f>
        <v>617.217</v>
      </c>
      <c r="I118" s="7">
        <f>'Annual and Quarterly'!Q118</f>
        <v>610.865</v>
      </c>
      <c r="J118" s="7">
        <f t="shared" si="34"/>
        <v>574.792</v>
      </c>
      <c r="K118" s="7">
        <f>SUM(K108:K113)+SUM(K115:K117)</f>
        <v>603.147</v>
      </c>
      <c r="L118" s="7">
        <f>'Annual and Quarterly'!T118</f>
        <v>617.843</v>
      </c>
      <c r="M118" s="7">
        <f>'Annual and Quarterly'!U118</f>
        <v>649.734</v>
      </c>
      <c r="N118" s="7">
        <f t="shared" si="34"/>
        <v>687</v>
      </c>
      <c r="O118" s="7">
        <f t="shared" si="34"/>
        <v>743.423</v>
      </c>
      <c r="P118" s="7">
        <f>'Annual and Quarterly'!X118</f>
        <v>864.129</v>
      </c>
      <c r="Q118" s="7">
        <f>'Annual and Quarterly'!Y118</f>
        <v>1085.277</v>
      </c>
      <c r="R118" s="7">
        <f t="shared" si="34"/>
        <v>1035.312</v>
      </c>
      <c r="S118" s="7">
        <f t="shared" si="34"/>
        <v>1232.972</v>
      </c>
      <c r="T118" s="7">
        <f>'Annual and Quarterly'!AB118</f>
        <v>1455.481</v>
      </c>
      <c r="U118" s="7">
        <f>'Annual and Quarterly'!AC118</f>
        <v>1628.319</v>
      </c>
      <c r="V118" s="7">
        <f t="shared" si="34"/>
        <v>1747.788</v>
      </c>
      <c r="W118" s="7">
        <f t="shared" si="34"/>
        <v>1979.086</v>
      </c>
      <c r="X118" s="7">
        <f>'Annual and Quarterly'!AF118</f>
        <v>2072.117</v>
      </c>
      <c r="Y118" s="7">
        <f>'Annual and Quarterly'!AG118</f>
        <v>2073.907</v>
      </c>
      <c r="Z118" s="7">
        <f t="shared" si="34"/>
        <v>2148.526</v>
      </c>
      <c r="AA118" s="7">
        <f t="shared" si="34"/>
        <v>2012.054</v>
      </c>
      <c r="AB118" s="7">
        <f>'Annual and Quarterly'!AJ118</f>
        <v>1778.289</v>
      </c>
      <c r="AC118" s="7">
        <f>'Annual and Quarterly'!AK118</f>
        <v>1699.653</v>
      </c>
      <c r="AD118" s="7">
        <f>SUM(AD108:AD114)+SUM(AD116:AD117)</f>
        <v>1419.643</v>
      </c>
      <c r="AE118" s="7">
        <f>SUM(AE108:AE112)+AE114+SUM(AE116:AE117)</f>
        <v>1460.073</v>
      </c>
      <c r="AF118" s="7">
        <f>'Annual and Quarterly'!AN118</f>
        <v>1288.971</v>
      </c>
    </row>
    <row customHeight="1" ht="15">
      <c r="A119" s="9" t="s">
        <v>86</v>
      </c>
      <c r="B119" s="0">
        <v>26.709</v>
      </c>
      <c r="F119" s="0">
        <v>95.847</v>
      </c>
      <c r="G119" s="0">
        <v>39.111</v>
      </c>
      <c r="H119" s="11">
        <f>'Annual and Quarterly'!P119</f>
        <v>39.443</v>
      </c>
      <c r="I119" s="11">
        <f>'Annual and Quarterly'!Q119</f>
        <v>41.206</v>
      </c>
      <c r="J119" s="0">
        <v>38.976</v>
      </c>
      <c r="K119" s="0">
        <v>44.288</v>
      </c>
      <c r="L119" s="11">
        <f>'Annual and Quarterly'!T119</f>
        <v>62.885</v>
      </c>
      <c r="M119" s="11">
        <f>'Annual and Quarterly'!U119</f>
        <v>77.206</v>
      </c>
      <c r="N119" s="0">
        <v>73.551</v>
      </c>
      <c r="O119" s="0">
        <v>76.52</v>
      </c>
      <c r="P119" s="11">
        <f>'Annual and Quarterly'!X119</f>
        <v>110.29</v>
      </c>
      <c r="Q119" s="11">
        <f>'Annual and Quarterly'!Y119</f>
        <v>126.329</v>
      </c>
      <c r="R119" s="0">
        <v>89.855</v>
      </c>
      <c r="S119" s="0">
        <v>94.526</v>
      </c>
      <c r="T119" s="11">
        <f>'Annual and Quarterly'!AB119</f>
        <v>109.463</v>
      </c>
      <c r="U119" s="11">
        <f>'Annual and Quarterly'!AC119</f>
        <v>133.908</v>
      </c>
      <c r="V119" s="0">
        <v>125.745</v>
      </c>
      <c r="W119" s="0">
        <v>151.759</v>
      </c>
      <c r="X119" s="11">
        <f>'Annual and Quarterly'!AF119</f>
        <v>159.693</v>
      </c>
      <c r="Y119" s="11">
        <f>'Annual and Quarterly'!AG119</f>
        <v>200.006</v>
      </c>
      <c r="Z119" s="0">
        <v>248.835</v>
      </c>
      <c r="AA119" s="0">
        <v>223.859</v>
      </c>
      <c r="AB119" s="11">
        <f>'Annual and Quarterly'!AJ119</f>
        <v>209.073</v>
      </c>
      <c r="AC119" s="11">
        <f>'Annual and Quarterly'!AK119</f>
        <v>201.883</v>
      </c>
      <c r="AD119" s="0">
        <v>221.047</v>
      </c>
      <c r="AE119" s="0">
        <v>199.391</v>
      </c>
      <c r="AF119" s="11">
        <f>'Annual and Quarterly'!AN119</f>
        <v>190.585</v>
      </c>
    </row>
    <row customHeight="1" ht="15">
      <c r="A120" s="9" t="s">
        <v>152</v>
      </c>
      <c r="B120" s="0">
        <v>65.585</v>
      </c>
      <c r="F120" s="0">
        <v>142.85</v>
      </c>
      <c r="G120" s="0">
        <v>183.817</v>
      </c>
      <c r="H120" s="11">
        <f>'Annual and Quarterly'!P120</f>
        <v>150.231</v>
      </c>
      <c r="I120" s="11">
        <f>'Annual and Quarterly'!Q120</f>
        <v>152.414</v>
      </c>
      <c r="J120" s="0">
        <v>116.824</v>
      </c>
      <c r="K120" s="0">
        <v>140.147</v>
      </c>
      <c r="L120" s="11">
        <f>'Annual and Quarterly'!T120</f>
        <v>159.232</v>
      </c>
      <c r="M120" s="11">
        <f>'Annual and Quarterly'!U120</f>
        <v>203.359</v>
      </c>
      <c r="N120" s="0">
        <v>247.093</v>
      </c>
      <c r="O120" s="0">
        <v>242.44</v>
      </c>
      <c r="P120" s="11">
        <f>'Annual and Quarterly'!X120</f>
        <v>269.332</v>
      </c>
      <c r="Q120" s="11">
        <f>'Annual and Quarterly'!Y120</f>
        <v>289.9</v>
      </c>
      <c r="R120" s="0">
        <v>259.04</v>
      </c>
      <c r="S120" s="0">
        <v>305.529</v>
      </c>
      <c r="T120" s="11">
        <f>'Annual and Quarterly'!AB120</f>
        <v>338.024</v>
      </c>
      <c r="U120" s="11">
        <f>'Annual and Quarterly'!AC120</f>
        <v>340.762</v>
      </c>
      <c r="V120" s="0">
        <v>327.359</v>
      </c>
      <c r="W120" s="0">
        <v>371.961</v>
      </c>
      <c r="X120" s="11">
        <f>'Annual and Quarterly'!AF120</f>
        <v>398.356</v>
      </c>
      <c r="Y120" s="11">
        <f>'Annual and Quarterly'!AG120</f>
        <v>383.022</v>
      </c>
      <c r="Z120" s="0">
        <v>335.482</v>
      </c>
      <c r="AA120" s="0">
        <v>354.854</v>
      </c>
      <c r="AB120" s="11">
        <f>'Annual and Quarterly'!AJ120</f>
        <v>349.648</v>
      </c>
      <c r="AC120" s="11">
        <f>'Annual and Quarterly'!AK120</f>
        <v>338.015</v>
      </c>
      <c r="AD120" s="0">
        <v>317.267</v>
      </c>
      <c r="AE120" s="0">
        <v>369.281</v>
      </c>
      <c r="AF120" s="11">
        <f>'Annual and Quarterly'!AN120</f>
        <v>335.079</v>
      </c>
    </row>
    <row customHeight="1" ht="15">
      <c r="A121" s="9" t="s">
        <v>150</v>
      </c>
      <c r="B121" s="0">
        <v>0</v>
      </c>
      <c r="F121" s="0">
        <v>0.377</v>
      </c>
      <c r="G121" s="0">
        <v>0</v>
      </c>
      <c r="H121" s="11">
        <f>'Annual and Quarterly'!P121</f>
        <v>0</v>
      </c>
      <c r="I121" s="11">
        <f>'Annual and Quarterly'!Q121</f>
        <v>0</v>
      </c>
      <c r="J121" s="0">
        <v>0</v>
      </c>
      <c r="K121" s="0">
        <v>0</v>
      </c>
      <c r="L121" s="11">
        <f>'Annual and Quarterly'!T121</f>
        <v>0</v>
      </c>
      <c r="M121" s="11">
        <f>'Annual and Quarterly'!U121</f>
        <v>0</v>
      </c>
      <c r="N121" s="0">
        <v>0</v>
      </c>
      <c r="O121" s="0">
        <v>0</v>
      </c>
      <c r="P121" s="11">
        <f>'Annual and Quarterly'!X121</f>
        <v>0</v>
      </c>
      <c r="Q121" s="11">
        <f>'Annual and Quarterly'!Y121</f>
        <v>0</v>
      </c>
      <c r="R121" s="0">
        <v>0</v>
      </c>
      <c r="S121" s="0">
        <v>0</v>
      </c>
      <c r="T121" s="11">
        <f>'Annual and Quarterly'!AB121</f>
        <v>0</v>
      </c>
      <c r="U121" s="11">
        <f>'Annual and Quarterly'!AC121</f>
        <v>0</v>
      </c>
      <c r="V121" s="0">
        <v>0</v>
      </c>
      <c r="W121" s="0">
        <v>0</v>
      </c>
      <c r="X121" s="11">
        <f>'Annual and Quarterly'!AF121</f>
        <v>0</v>
      </c>
      <c r="Y121" s="11">
        <f>'Annual and Quarterly'!AG121</f>
        <v>0</v>
      </c>
      <c r="Z121" s="0">
        <v>0</v>
      </c>
      <c r="AA121" s="0">
        <v>0</v>
      </c>
      <c r="AB121" s="11">
        <f>'Annual and Quarterly'!AJ121</f>
        <v>0</v>
      </c>
      <c r="AC121" s="11">
        <f>'Annual and Quarterly'!AK121</f>
        <v>0</v>
      </c>
      <c r="AD121" s="0">
        <v>0</v>
      </c>
      <c r="AE121" s="0">
        <v>0</v>
      </c>
      <c r="AF121" s="11">
        <f>'Annual and Quarterly'!AN121</f>
        <v>0</v>
      </c>
    </row>
    <row customHeight="1" ht="15">
      <c r="A122" s="9" t="s">
        <v>149</v>
      </c>
      <c r="B122" s="0">
        <v>0</v>
      </c>
      <c r="F122" s="0">
        <v>0</v>
      </c>
      <c r="G122" s="0">
        <v>0</v>
      </c>
      <c r="H122" s="11">
        <f>'Annual and Quarterly'!P122</f>
        <v>0</v>
      </c>
      <c r="I122" s="11">
        <f>'Annual and Quarterly'!Q122</f>
        <v>0</v>
      </c>
      <c r="J122" s="0">
        <v>0</v>
      </c>
      <c r="K122" s="0">
        <v>0</v>
      </c>
      <c r="L122" s="11">
        <f>'Annual and Quarterly'!T122</f>
        <v>0</v>
      </c>
      <c r="M122" s="11">
        <f>'Annual and Quarterly'!U122</f>
        <v>0</v>
      </c>
      <c r="N122" s="0">
        <v>0.313</v>
      </c>
      <c r="O122" s="0">
        <v>0.308</v>
      </c>
      <c r="P122" s="11">
        <f>'Annual and Quarterly'!X122</f>
        <v>0</v>
      </c>
      <c r="Q122" s="11">
        <f>'Annual and Quarterly'!Y122</f>
        <v>0</v>
      </c>
      <c r="R122" s="0">
        <v>0.6</v>
      </c>
      <c r="S122" s="0">
        <v>0.588</v>
      </c>
      <c r="T122" s="11">
        <f>'Annual and Quarterly'!AB122</f>
        <v>0.118</v>
      </c>
      <c r="U122" s="11">
        <f>'Annual and Quarterly'!AC122</f>
        <v>0.272</v>
      </c>
      <c r="V122" s="0">
        <v>0.371</v>
      </c>
      <c r="W122" s="0">
        <v>0.324</v>
      </c>
      <c r="X122" s="11">
        <f>'Annual and Quarterly'!AF122</f>
        <v>0.33</v>
      </c>
      <c r="Y122" s="11">
        <f>'Annual and Quarterly'!AG122</f>
        <v>0.316</v>
      </c>
      <c r="Z122" s="0">
        <v>0.016</v>
      </c>
      <c r="AA122" s="0">
        <v>0.016</v>
      </c>
      <c r="AB122" s="11">
        <f>'Annual and Quarterly'!AJ122</f>
        <v>0.079</v>
      </c>
      <c r="AC122" s="11">
        <f>'Annual and Quarterly'!AK122</f>
        <v>0.064</v>
      </c>
      <c r="AD122" s="0">
        <v>0.071</v>
      </c>
      <c r="AE122" s="0">
        <v>0.063</v>
      </c>
      <c r="AF122" s="11">
        <f>'Annual and Quarterly'!AN122</f>
        <v>0.07</v>
      </c>
    </row>
    <row customHeight="1" ht="15">
      <c r="A123" s="9" t="s">
        <v>154</v>
      </c>
      <c r="B123" s="0">
        <v>3.047</v>
      </c>
      <c r="F123" s="0">
        <v>7.376</v>
      </c>
      <c r="G123" s="0">
        <v>10.924</v>
      </c>
      <c r="H123" s="11">
        <f>'Annual and Quarterly'!P123</f>
        <v>11.541</v>
      </c>
      <c r="I123" s="11">
        <f>'Annual and Quarterly'!Q123</f>
        <v>10.546</v>
      </c>
      <c r="J123" s="0">
        <v>10.128</v>
      </c>
      <c r="K123" s="0">
        <v>18.258</v>
      </c>
      <c r="L123" s="11">
        <f>'Annual and Quarterly'!T123</f>
        <v>20.594</v>
      </c>
      <c r="M123" s="11">
        <f>'Annual and Quarterly'!U123</f>
        <v>18.908</v>
      </c>
      <c r="N123" s="0">
        <v>20.676</v>
      </c>
      <c r="O123" s="0">
        <v>23.954</v>
      </c>
      <c r="P123" s="11">
        <f>'Annual and Quarterly'!X123</f>
        <v>21.026</v>
      </c>
      <c r="Q123" s="11">
        <f>'Annual and Quarterly'!Y123</f>
        <v>26.936</v>
      </c>
      <c r="R123" s="0">
        <v>24.701</v>
      </c>
      <c r="S123" s="0">
        <v>23.512</v>
      </c>
      <c r="T123" s="11">
        <f>'Annual and Quarterly'!AB123</f>
        <v>29.142</v>
      </c>
      <c r="U123" s="11">
        <f>'Annual and Quarterly'!AC123</f>
        <v>28.263</v>
      </c>
      <c r="V123" s="0">
        <v>35.986</v>
      </c>
      <c r="W123" s="0">
        <v>36.744</v>
      </c>
      <c r="X123" s="11">
        <f>'Annual and Quarterly'!AF123</f>
        <v>34.093</v>
      </c>
      <c r="Y123" s="11">
        <f>'Annual and Quarterly'!AG123</f>
        <v>29.294</v>
      </c>
      <c r="Z123" s="0">
        <v>41.957</v>
      </c>
      <c r="AA123" s="0">
        <v>24.748</v>
      </c>
      <c r="AB123" s="11">
        <f>'Annual and Quarterly'!AJ123</f>
        <v>20.555</v>
      </c>
      <c r="AC123" s="11">
        <f>'Annual and Quarterly'!AK123</f>
        <v>18.267</v>
      </c>
      <c r="AD123" s="0">
        <v>15.053</v>
      </c>
      <c r="AE123" s="0">
        <v>31.702</v>
      </c>
      <c r="AF123" s="11">
        <f>'Annual and Quarterly'!AN123</f>
        <v>24.2</v>
      </c>
    </row>
    <row customHeight="1" ht="15">
      <c r="A124" s="9" t="s">
        <v>155</v>
      </c>
      <c r="B124" s="0">
        <v>0</v>
      </c>
      <c r="F124" s="0">
        <v>0</v>
      </c>
      <c r="G124" s="0">
        <v>0</v>
      </c>
      <c r="H124" s="11">
        <f>'Annual and Quarterly'!P124</f>
        <v>0</v>
      </c>
      <c r="I124" s="11">
        <f>'Annual and Quarterly'!Q124</f>
        <v>0</v>
      </c>
      <c r="J124" s="0">
        <v>0</v>
      </c>
      <c r="K124" s="0">
        <v>0</v>
      </c>
      <c r="L124" s="11">
        <f>'Annual and Quarterly'!T124</f>
        <v>0.701</v>
      </c>
      <c r="M124" s="11">
        <f>'Annual and Quarterly'!U124</f>
        <v>0.642</v>
      </c>
      <c r="N124" s="0">
        <v>0</v>
      </c>
      <c r="O124" s="0">
        <v>0</v>
      </c>
      <c r="P124" s="11">
        <f>'Annual and Quarterly'!X124</f>
        <v>0</v>
      </c>
      <c r="Q124" s="11">
        <f>'Annual and Quarterly'!Y124</f>
        <v>0</v>
      </c>
      <c r="R124" s="0">
        <v>0</v>
      </c>
      <c r="S124" s="0">
        <v>0</v>
      </c>
      <c r="T124" s="11">
        <f>'Annual and Quarterly'!AB124</f>
        <v>0</v>
      </c>
      <c r="U124" s="11">
        <f>'Annual and Quarterly'!AC124</f>
        <v>0</v>
      </c>
      <c r="V124" s="0">
        <v>0</v>
      </c>
      <c r="W124" s="0">
        <v>0</v>
      </c>
      <c r="X124" s="11">
        <f>'Annual and Quarterly'!AF124</f>
        <v>0</v>
      </c>
      <c r="Y124" s="11">
        <f>'Annual and Quarterly'!AG124</f>
        <v>0</v>
      </c>
      <c r="Z124" s="0">
        <v>0</v>
      </c>
      <c r="AA124" s="0">
        <v>0</v>
      </c>
      <c r="AB124" s="11">
        <f>'Annual and Quarterly'!AJ124</f>
        <v>0</v>
      </c>
      <c r="AC124" s="11">
        <f>'Annual and Quarterly'!AK124</f>
        <v>0</v>
      </c>
      <c r="AD124" s="0">
        <v>0</v>
      </c>
      <c r="AE124" s="0">
        <v>0</v>
      </c>
      <c r="AF124" s="11">
        <f>'Annual and Quarterly'!AN124</f>
        <v>0</v>
      </c>
    </row>
    <row customHeight="1" ht="15">
      <c r="A125" s="9" t="s">
        <v>156</v>
      </c>
      <c r="B125" s="0">
        <v>1.022</v>
      </c>
      <c r="F125" s="0">
        <v>1.156</v>
      </c>
      <c r="G125" s="0">
        <v>2.494</v>
      </c>
      <c r="H125" s="11">
        <f>'Annual and Quarterly'!P125</f>
        <v>1.656</v>
      </c>
      <c r="I125" s="11">
        <f>'Annual and Quarterly'!Q125</f>
        <v>1.768</v>
      </c>
      <c r="J125" s="0">
        <v>1.699</v>
      </c>
      <c r="K125" s="0">
        <v>1.696</v>
      </c>
      <c r="L125" s="11">
        <f>'Annual and Quarterly'!T125</f>
        <v>2.066</v>
      </c>
      <c r="M125" s="11">
        <f>'Annual and Quarterly'!U125</f>
        <v>2.038</v>
      </c>
      <c r="N125" s="0">
        <v>1.739</v>
      </c>
      <c r="O125" s="0">
        <v>0.945</v>
      </c>
      <c r="P125" s="11">
        <f>'Annual and Quarterly'!X125</f>
        <v>1.163</v>
      </c>
      <c r="Q125" s="11">
        <f>'Annual and Quarterly'!Y125</f>
        <v>1.594</v>
      </c>
      <c r="R125" s="0">
        <v>4.41</v>
      </c>
      <c r="S125" s="0">
        <v>2.086</v>
      </c>
      <c r="T125" s="11">
        <f>'Annual and Quarterly'!AB125</f>
        <v>2.091</v>
      </c>
      <c r="U125" s="11">
        <f>'Annual and Quarterly'!AC125</f>
        <v>4.242</v>
      </c>
      <c r="V125" s="0">
        <v>3.729</v>
      </c>
      <c r="W125" s="0">
        <v>5.769</v>
      </c>
      <c r="X125" s="11">
        <f>'Annual and Quarterly'!AF125</f>
        <v>7.348</v>
      </c>
      <c r="Y125" s="11">
        <f>'Annual and Quarterly'!AG125</f>
        <v>5.781</v>
      </c>
      <c r="Z125" s="0">
        <v>0</v>
      </c>
      <c r="AA125" s="0">
        <v>3.563</v>
      </c>
      <c r="AB125" s="11">
        <f>'Annual and Quarterly'!AJ125</f>
        <v>5.5</v>
      </c>
      <c r="AC125" s="11">
        <f>'Annual and Quarterly'!AK125</f>
        <v>6.525</v>
      </c>
      <c r="AD125" s="0">
        <v>0</v>
      </c>
      <c r="AE125" s="0">
        <v>0</v>
      </c>
      <c r="AF125" s="11">
        <f>'Annual and Quarterly'!AN125</f>
        <v>0</v>
      </c>
    </row>
    <row customHeight="1" ht="15">
      <c r="A126" s="9" t="s">
        <v>157</v>
      </c>
      <c r="B126" s="0">
        <v>0</v>
      </c>
      <c r="F126" s="0">
        <v>84.011</v>
      </c>
      <c r="G126" s="0">
        <v>172.597</v>
      </c>
      <c r="H126" s="11">
        <f>'Annual and Quarterly'!P126</f>
        <v>72.161</v>
      </c>
      <c r="I126" s="11">
        <f>'Annual and Quarterly'!Q126</f>
        <v>26.862</v>
      </c>
      <c r="J126" s="0">
        <v>25.519</v>
      </c>
      <c r="K126" s="0">
        <v>25.881</v>
      </c>
      <c r="L126" s="11">
        <f>'Annual and Quarterly'!T126</f>
        <v>0</v>
      </c>
      <c r="M126" s="11">
        <f>'Annual and Quarterly'!U126</f>
        <v>0.009</v>
      </c>
      <c r="N126" s="0">
        <v>0</v>
      </c>
      <c r="O126" s="0">
        <v>135.032</v>
      </c>
      <c r="P126" s="11">
        <f>'Annual and Quarterly'!X126</f>
        <v>88.51</v>
      </c>
      <c r="Q126" s="11">
        <f>'Annual and Quarterly'!Y126</f>
        <v>154.814</v>
      </c>
      <c r="R126" s="0">
        <v>0</v>
      </c>
      <c r="S126" s="0">
        <v>0</v>
      </c>
      <c r="T126" s="11">
        <f>'Annual and Quarterly'!AB126</f>
        <v>0</v>
      </c>
      <c r="U126" s="11">
        <f>'Annual and Quarterly'!AC126</f>
        <v>0</v>
      </c>
      <c r="V126" s="0">
        <v>0</v>
      </c>
      <c r="W126" s="0">
        <v>0</v>
      </c>
      <c r="X126" s="11">
        <f>'Annual and Quarterly'!AF126</f>
        <v>0</v>
      </c>
      <c r="Y126" s="11">
        <f>'Annual and Quarterly'!AG126</f>
        <v>0</v>
      </c>
      <c r="Z126" s="0">
        <v>0</v>
      </c>
      <c r="AA126" s="0">
        <v>0</v>
      </c>
      <c r="AB126" s="11">
        <f>'Annual and Quarterly'!AJ126</f>
        <v>0</v>
      </c>
      <c r="AC126" s="11">
        <f>'Annual and Quarterly'!AK126</f>
        <v>0</v>
      </c>
      <c r="AD126" s="0">
        <v>0</v>
      </c>
      <c r="AE126" s="0">
        <v>0</v>
      </c>
      <c r="AF126" s="11">
        <f>'Annual and Quarterly'!AN126</f>
        <v>0</v>
      </c>
    </row>
    <row customHeight="1" ht="15">
      <c r="A127" s="9" t="s">
        <v>158</v>
      </c>
      <c r="B127" s="0">
        <v>0</v>
      </c>
      <c r="F127" s="0">
        <v>0</v>
      </c>
      <c r="G127" s="0">
        <v>0</v>
      </c>
      <c r="H127" s="11">
        <f>'Annual and Quarterly'!P127</f>
        <v>0</v>
      </c>
      <c r="I127" s="11">
        <f>'Annual and Quarterly'!Q127</f>
        <v>0</v>
      </c>
      <c r="J127" s="0">
        <v>0</v>
      </c>
      <c r="K127" s="0">
        <v>0</v>
      </c>
      <c r="L127" s="11">
        <f>'Annual and Quarterly'!T127</f>
        <v>0</v>
      </c>
      <c r="M127" s="11">
        <f>'Annual and Quarterly'!U127</f>
        <v>0</v>
      </c>
      <c r="N127" s="0">
        <v>0</v>
      </c>
      <c r="O127" s="0">
        <v>0</v>
      </c>
      <c r="P127" s="11">
        <f>'Annual and Quarterly'!X127</f>
        <v>0</v>
      </c>
      <c r="Q127" s="11">
        <f>'Annual and Quarterly'!Y127</f>
        <v>0</v>
      </c>
      <c r="R127" s="0">
        <v>0</v>
      </c>
      <c r="S127" s="0">
        <v>0</v>
      </c>
      <c r="T127" s="11">
        <f>'Annual and Quarterly'!AB127</f>
        <v>0</v>
      </c>
      <c r="U127" s="11">
        <f>'Annual and Quarterly'!AC127</f>
        <v>0</v>
      </c>
      <c r="V127" s="0">
        <v>0</v>
      </c>
      <c r="W127" s="0">
        <v>0</v>
      </c>
      <c r="X127" s="11">
        <f>'Annual and Quarterly'!AF127</f>
        <v>0</v>
      </c>
      <c r="Y127" s="11">
        <f>'Annual and Quarterly'!AG127</f>
        <v>0</v>
      </c>
      <c r="Z127" s="0">
        <v>3.123</v>
      </c>
      <c r="AA127" s="0">
        <v>0</v>
      </c>
      <c r="AB127" s="11">
        <f>'Annual and Quarterly'!AJ127</f>
        <v>0</v>
      </c>
      <c r="AC127" s="11">
        <f>'Annual and Quarterly'!AK127</f>
        <v>0</v>
      </c>
      <c r="AD127" s="0">
        <v>2.553</v>
      </c>
      <c r="AE127" s="0">
        <v>3.996</v>
      </c>
      <c r="AF127" s="11">
        <f>'Annual and Quarterly'!AN127</f>
        <v>4.307</v>
      </c>
    </row>
    <row customHeight="1" ht="15">
      <c r="A128" s="9" t="s">
        <v>159</v>
      </c>
      <c r="B128" s="0">
        <v>0</v>
      </c>
      <c r="F128" s="0">
        <v>0</v>
      </c>
      <c r="G128" s="0">
        <v>0</v>
      </c>
      <c r="H128" s="11">
        <f>'Annual and Quarterly'!P128</f>
        <v>0</v>
      </c>
      <c r="I128" s="11">
        <f>'Annual and Quarterly'!Q128</f>
        <v>0</v>
      </c>
      <c r="J128" s="0">
        <v>0</v>
      </c>
      <c r="K128" s="0">
        <v>0</v>
      </c>
      <c r="L128" s="11">
        <f>'Annual and Quarterly'!T128</f>
        <v>0</v>
      </c>
      <c r="M128" s="11">
        <f>'Annual and Quarterly'!U128</f>
        <v>0</v>
      </c>
      <c r="N128" s="0">
        <v>225.083</v>
      </c>
      <c r="O128" s="0">
        <v>0</v>
      </c>
      <c r="P128" s="11">
        <f>'Annual and Quarterly'!X128</f>
        <v>0</v>
      </c>
      <c r="Q128" s="11">
        <f>'Annual and Quarterly'!Y128</f>
        <v>0</v>
      </c>
      <c r="R128" s="0">
        <v>1.504</v>
      </c>
      <c r="S128" s="0">
        <v>0.099</v>
      </c>
      <c r="T128" s="11">
        <f>'Annual and Quarterly'!AB128</f>
        <v>0.099</v>
      </c>
      <c r="U128" s="11">
        <f>'Annual and Quarterly'!AC128</f>
        <v>0.17</v>
      </c>
      <c r="V128" s="0">
        <v>2.944</v>
      </c>
      <c r="W128" s="0">
        <v>0.762</v>
      </c>
      <c r="X128" s="11">
        <f>'Annual and Quarterly'!AF128</f>
        <v>12.188</v>
      </c>
      <c r="Y128" s="11">
        <f>'Annual and Quarterly'!AG128</f>
        <v>21.145</v>
      </c>
      <c r="Z128" s="0">
        <v>3.616</v>
      </c>
      <c r="AA128" s="0">
        <v>0.924</v>
      </c>
      <c r="AB128" s="11">
        <f>'Annual and Quarterly'!AJ128</f>
        <v>1.1</v>
      </c>
      <c r="AC128" s="11">
        <f>'Annual and Quarterly'!AK128</f>
        <v>0.897</v>
      </c>
      <c r="AD128" s="0">
        <v>0.401</v>
      </c>
      <c r="AE128" s="0">
        <v>1.989</v>
      </c>
      <c r="AF128" s="11">
        <f>'Annual and Quarterly'!AN128</f>
        <v>5.716</v>
      </c>
    </row>
    <row customHeight="1" ht="15">
      <c r="A129" s="9" t="s">
        <v>160</v>
      </c>
      <c r="B129" s="0">
        <v>7.717</v>
      </c>
      <c r="F129" s="0">
        <v>217.252</v>
      </c>
      <c r="G129" s="0">
        <v>136.283</v>
      </c>
      <c r="H129" s="11">
        <f>'Annual and Quarterly'!P129</f>
        <v>220.991</v>
      </c>
      <c r="I129" s="11">
        <f>'Annual and Quarterly'!Q129</f>
        <v>215.279</v>
      </c>
      <c r="J129" s="0">
        <v>178.352</v>
      </c>
      <c r="K129" s="0">
        <v>150.808</v>
      </c>
      <c r="L129" s="11">
        <f>'Annual and Quarterly'!T129</f>
        <v>170.606</v>
      </c>
      <c r="M129" s="11">
        <f>'Annual and Quarterly'!U129</f>
        <v>165.53</v>
      </c>
      <c r="N129" s="0">
        <v>216.664</v>
      </c>
      <c r="O129" s="0">
        <v>319.405</v>
      </c>
      <c r="P129" s="11">
        <f>'Annual and Quarterly'!X129</f>
        <v>331.377</v>
      </c>
      <c r="Q129" s="11">
        <f>'Annual and Quarterly'!Y129</f>
        <v>293.28</v>
      </c>
      <c r="R129" s="0">
        <v>324.718</v>
      </c>
      <c r="S129" s="0">
        <v>285.348</v>
      </c>
      <c r="T129" s="11">
        <f>'Annual and Quarterly'!AB129</f>
        <v>259.666</v>
      </c>
      <c r="U129" s="11">
        <f>'Annual and Quarterly'!AC129</f>
        <v>283.627</v>
      </c>
      <c r="V129" s="0">
        <v>200.553</v>
      </c>
      <c r="W129" s="0">
        <v>186.973</v>
      </c>
      <c r="X129" s="11">
        <f>'Annual and Quarterly'!AF129</f>
        <v>298.691</v>
      </c>
      <c r="Y129" s="11">
        <f>'Annual and Quarterly'!AG129</f>
        <v>280.34</v>
      </c>
      <c r="Z129" s="0">
        <v>184.701</v>
      </c>
      <c r="AA129" s="0">
        <v>135.303</v>
      </c>
      <c r="AB129" s="11">
        <f>'Annual and Quarterly'!AJ129</f>
        <v>198.281</v>
      </c>
      <c r="AC129" s="11">
        <f>'Annual and Quarterly'!AK129</f>
        <v>245.324</v>
      </c>
      <c r="AD129" s="0">
        <v>124.02</v>
      </c>
      <c r="AE129" s="0">
        <v>104.673</v>
      </c>
      <c r="AF129" s="11">
        <f>'Annual and Quarterly'!AN129</f>
        <v>120.47</v>
      </c>
    </row>
    <row customHeight="1" ht="15">
      <c r="A130" s="4" t="s">
        <v>161</v>
      </c>
      <c r="B130" s="7">
        <f t="shared" si="35" ref="B130:G130">SUM(B119:B121)+B123+SUM(B125:B126)+B129</f>
        <v>104.08</v>
      </c>
      <c r="F130" s="7">
        <f t="shared" si="35"/>
        <v>548.869</v>
      </c>
      <c r="G130" s="7">
        <f t="shared" si="35"/>
        <v>545.226</v>
      </c>
      <c r="H130" s="7">
        <f>'Annual and Quarterly'!P130</f>
        <v>496.023</v>
      </c>
      <c r="I130" s="7">
        <f>'Annual and Quarterly'!Q130</f>
        <v>448.075</v>
      </c>
      <c r="J130" s="7">
        <f t="shared" si="36" ref="J130:O130">SUM(J119:J120)+SUM(J122:J123)+SUM(J125:J126)+J129</f>
        <v>371.498</v>
      </c>
      <c r="K130" s="7">
        <f>SUM(K119:K120)+K123+SUM(K125:K126)+K129</f>
        <v>381.078</v>
      </c>
      <c r="L130" s="7">
        <f>'Annual and Quarterly'!T130</f>
        <v>416.084</v>
      </c>
      <c r="M130" s="7">
        <f>'Annual and Quarterly'!U130</f>
        <v>467.692</v>
      </c>
      <c r="N130" s="7">
        <f t="shared" si="37" ref="N130:AA130">SUM(N119:N120)+SUM(N122:N123)+N125+SUM(N128:N129)</f>
        <v>785.119</v>
      </c>
      <c r="O130" s="7">
        <f t="shared" si="36"/>
        <v>798.604</v>
      </c>
      <c r="P130" s="7">
        <f>'Annual and Quarterly'!X130</f>
        <v>821.698</v>
      </c>
      <c r="Q130" s="7">
        <f>'Annual and Quarterly'!Y130</f>
        <v>892.853</v>
      </c>
      <c r="R130" s="7">
        <f t="shared" si="37"/>
        <v>704.828</v>
      </c>
      <c r="S130" s="7">
        <f t="shared" si="37"/>
        <v>711.688</v>
      </c>
      <c r="T130" s="7">
        <f>'Annual and Quarterly'!AB130</f>
        <v>738.603</v>
      </c>
      <c r="U130" s="7">
        <f>'Annual and Quarterly'!AC130</f>
        <v>791.244</v>
      </c>
      <c r="V130" s="7">
        <f t="shared" si="37"/>
        <v>696.687</v>
      </c>
      <c r="W130" s="7">
        <f t="shared" si="37"/>
        <v>754.292</v>
      </c>
      <c r="X130" s="7">
        <f>'Annual and Quarterly'!AF130</f>
        <v>910.699</v>
      </c>
      <c r="Y130" s="7">
        <f>'Annual and Quarterly'!AG130</f>
        <v>919.904</v>
      </c>
      <c r="Z130" s="7">
        <f t="shared" si="38" ref="Z130:AE130">SUM(Z119:Z120)+SUM(Z122:Z123)+SUM(Z127:Z129)</f>
        <v>817.73</v>
      </c>
      <c r="AA130" s="7">
        <f t="shared" si="37"/>
        <v>743.267</v>
      </c>
      <c r="AB130" s="7">
        <f>'Annual and Quarterly'!AJ130</f>
        <v>784.236</v>
      </c>
      <c r="AC130" s="7">
        <f>'Annual and Quarterly'!AK130</f>
        <v>810.975</v>
      </c>
      <c r="AD130" s="7">
        <f t="shared" si="38"/>
        <v>680.412</v>
      </c>
      <c r="AE130" s="7">
        <f t="shared" si="38"/>
        <v>711.095</v>
      </c>
      <c r="AF130" s="7">
        <f>'Annual and Quarterly'!AN130</f>
        <v>680.427</v>
      </c>
    </row>
    <row customHeight="1" ht="15">
      <c r="A131" s="9" t="s">
        <v>162</v>
      </c>
      <c r="B131" s="0">
        <v>0</v>
      </c>
      <c r="F131" s="0">
        <v>0</v>
      </c>
      <c r="G131" s="0">
        <v>0</v>
      </c>
      <c r="H131" s="11">
        <f>'Annual and Quarterly'!P131</f>
        <v>0</v>
      </c>
      <c r="I131" s="11">
        <f>'Annual and Quarterly'!Q131</f>
        <v>0</v>
      </c>
      <c r="J131" s="0">
        <v>0</v>
      </c>
      <c r="K131" s="0">
        <v>0</v>
      </c>
      <c r="L131" s="11">
        <f>'Annual and Quarterly'!T131</f>
        <v>0</v>
      </c>
      <c r="M131" s="11">
        <f>'Annual and Quarterly'!U131</f>
        <v>0</v>
      </c>
      <c r="N131" s="0">
        <v>0</v>
      </c>
      <c r="O131" s="0">
        <v>0</v>
      </c>
      <c r="P131" s="11">
        <f>'Annual and Quarterly'!X131</f>
        <v>0</v>
      </c>
      <c r="Q131" s="11">
        <f>'Annual and Quarterly'!Y131</f>
        <v>0</v>
      </c>
      <c r="R131" s="0">
        <v>14.162</v>
      </c>
      <c r="S131" s="0">
        <v>0</v>
      </c>
      <c r="T131" s="11">
        <f>'Annual and Quarterly'!AB131</f>
        <v>0</v>
      </c>
      <c r="U131" s="11">
        <f>'Annual and Quarterly'!AC131</f>
        <v>0</v>
      </c>
      <c r="V131" s="0">
        <v>0</v>
      </c>
      <c r="W131" s="0">
        <v>0</v>
      </c>
      <c r="X131" s="11">
        <f>'Annual and Quarterly'!AF131</f>
        <v>0</v>
      </c>
      <c r="Y131" s="11">
        <f>'Annual and Quarterly'!AG131</f>
        <v>0</v>
      </c>
      <c r="Z131" s="0">
        <v>15.399</v>
      </c>
      <c r="AA131" s="0">
        <v>1.83</v>
      </c>
      <c r="AB131" s="11">
        <f>'Annual and Quarterly'!AJ131</f>
        <v>0</v>
      </c>
      <c r="AC131" s="11">
        <f>'Annual and Quarterly'!AK131</f>
        <v>8.485</v>
      </c>
      <c r="AD131" s="0">
        <v>8.547</v>
      </c>
      <c r="AE131" s="0">
        <v>0</v>
      </c>
      <c r="AF131" s="11">
        <f>'Annual and Quarterly'!AN131</f>
        <v>0</v>
      </c>
    </row>
    <row customHeight="1" ht="15">
      <c r="A132" s="4" t="s">
        <v>163</v>
      </c>
      <c r="B132" s="7">
        <f t="shared" si="39" ref="B132:W132">B118+B130</f>
        <v>184.561</v>
      </c>
      <c r="F132" s="7">
        <f t="shared" si="39"/>
        <v>1100.032</v>
      </c>
      <c r="G132" s="7">
        <f t="shared" si="39"/>
        <v>1178.53</v>
      </c>
      <c r="H132" s="7">
        <f>'Annual and Quarterly'!P132</f>
        <v>1113.24</v>
      </c>
      <c r="I132" s="7">
        <f>'Annual and Quarterly'!Q132</f>
        <v>1058.94</v>
      </c>
      <c r="J132" s="7">
        <f t="shared" si="39"/>
        <v>946.29</v>
      </c>
      <c r="K132" s="7">
        <f t="shared" si="39"/>
        <v>984.225</v>
      </c>
      <c r="L132" s="7">
        <f>'Annual and Quarterly'!T132</f>
        <v>1033.927</v>
      </c>
      <c r="M132" s="7">
        <f>'Annual and Quarterly'!U132</f>
        <v>1117.426</v>
      </c>
      <c r="N132" s="7">
        <f t="shared" si="40" ref="N132:AE132">N118+SUM(N130:N131)</f>
        <v>1472.119</v>
      </c>
      <c r="O132" s="7">
        <f t="shared" si="39"/>
        <v>1542.027</v>
      </c>
      <c r="P132" s="7">
        <f>'Annual and Quarterly'!X132</f>
        <v>1685.827</v>
      </c>
      <c r="Q132" s="7">
        <f>'Annual and Quarterly'!Y132</f>
        <v>1978.13</v>
      </c>
      <c r="R132" s="7">
        <f t="shared" si="40"/>
        <v>1754.302</v>
      </c>
      <c r="S132" s="7">
        <f t="shared" si="40"/>
        <v>1944.66</v>
      </c>
      <c r="T132" s="7">
        <f>'Annual and Quarterly'!AB132</f>
        <v>2194.084</v>
      </c>
      <c r="U132" s="7">
        <f>'Annual and Quarterly'!AC132</f>
        <v>2419.563</v>
      </c>
      <c r="V132" s="7">
        <f t="shared" si="40"/>
        <v>2444.475</v>
      </c>
      <c r="W132" s="7">
        <f t="shared" si="39"/>
        <v>2733.378</v>
      </c>
      <c r="X132" s="7">
        <f>'Annual and Quarterly'!AF132</f>
        <v>2982.816</v>
      </c>
      <c r="Y132" s="7">
        <f>'Annual and Quarterly'!AG132</f>
        <v>2993.811</v>
      </c>
      <c r="Z132" s="7">
        <f t="shared" si="40"/>
        <v>2981.655</v>
      </c>
      <c r="AA132" s="7">
        <f t="shared" si="40"/>
        <v>2757.151</v>
      </c>
      <c r="AB132" s="7">
        <f>'Annual and Quarterly'!AJ132</f>
        <v>2562.525</v>
      </c>
      <c r="AC132" s="7">
        <f>'Annual and Quarterly'!AK132</f>
        <v>2519.113</v>
      </c>
      <c r="AD132" s="7">
        <f t="shared" si="40"/>
        <v>2108.602</v>
      </c>
      <c r="AE132" s="7">
        <f t="shared" si="40"/>
        <v>2171.168</v>
      </c>
      <c r="AF132" s="7">
        <f>'Annual and Quarterly'!AN132</f>
        <v>1969.398</v>
      </c>
    </row>
    <row customHeight="1" ht="15">
      <c r="A133" s="9" t="s">
        <v>164</v>
      </c>
      <c r="B133" s="0">
        <v>2.256</v>
      </c>
      <c r="F133" s="0">
        <v>22.556</v>
      </c>
      <c r="G133" s="0">
        <v>22.556</v>
      </c>
      <c r="H133" s="11">
        <f>'Annual and Quarterly'!P133</f>
        <v>22.556</v>
      </c>
      <c r="I133" s="11">
        <f>'Annual and Quarterly'!Q133</f>
        <v>22.556</v>
      </c>
      <c r="J133" s="0">
        <v>22.556</v>
      </c>
      <c r="K133" s="0">
        <v>22.556</v>
      </c>
      <c r="L133" s="11">
        <f>'Annual and Quarterly'!T133</f>
        <v>22.556</v>
      </c>
      <c r="M133" s="11">
        <f>'Annual and Quarterly'!U133</f>
        <v>22.556</v>
      </c>
      <c r="N133" s="0">
        <v>22.556</v>
      </c>
      <c r="O133" s="0">
        <v>22.556</v>
      </c>
      <c r="P133" s="11">
        <f>'Annual and Quarterly'!X133</f>
        <v>22.556</v>
      </c>
      <c r="Q133" s="11">
        <f>'Annual and Quarterly'!Y133</f>
        <v>22.556</v>
      </c>
      <c r="R133" s="0">
        <v>22.556</v>
      </c>
      <c r="S133" s="0">
        <v>22.556</v>
      </c>
      <c r="T133" s="11">
        <f>'Annual and Quarterly'!AB133</f>
        <v>22.556</v>
      </c>
      <c r="U133" s="11">
        <f>'Annual and Quarterly'!AC133</f>
        <v>22.556</v>
      </c>
      <c r="V133" s="0">
        <v>22.556</v>
      </c>
      <c r="W133" s="0">
        <v>22.556</v>
      </c>
      <c r="X133" s="11">
        <f>'Annual and Quarterly'!AF133</f>
        <v>28.194</v>
      </c>
      <c r="Y133" s="11">
        <f>'Annual and Quarterly'!AG133</f>
        <v>28.194</v>
      </c>
      <c r="Z133" s="0">
        <v>28.194</v>
      </c>
      <c r="AA133" s="0">
        <v>28.194</v>
      </c>
      <c r="AB133" s="11">
        <f>'Annual and Quarterly'!AJ133</f>
        <v>28.194</v>
      </c>
      <c r="AC133" s="11">
        <f>'Annual and Quarterly'!AK133</f>
        <v>28.194</v>
      </c>
      <c r="AD133" s="0">
        <v>28.194</v>
      </c>
      <c r="AE133" s="0">
        <v>28.194</v>
      </c>
      <c r="AF133" s="11">
        <f>'Annual and Quarterly'!AN133</f>
        <v>28.194</v>
      </c>
    </row>
    <row customHeight="1" ht="15">
      <c r="A134" s="9" t="s">
        <v>165</v>
      </c>
      <c r="B134" s="0">
        <v>33.133</v>
      </c>
      <c r="F134" s="0">
        <v>282.158</v>
      </c>
      <c r="G134" s="0">
        <v>282.158</v>
      </c>
      <c r="H134" s="11">
        <f>'Annual and Quarterly'!P134</f>
        <v>282.158</v>
      </c>
      <c r="I134" s="11">
        <f>'Annual and Quarterly'!Q134</f>
        <v>282.158</v>
      </c>
      <c r="J134" s="0">
        <v>282.158</v>
      </c>
      <c r="K134" s="0">
        <v>282.158</v>
      </c>
      <c r="L134" s="11">
        <f>'Annual and Quarterly'!T134</f>
        <v>282.158</v>
      </c>
      <c r="M134" s="11">
        <f>'Annual and Quarterly'!U134</f>
        <v>282.158</v>
      </c>
      <c r="N134" s="0">
        <v>282.158</v>
      </c>
      <c r="O134" s="0">
        <v>282.158</v>
      </c>
      <c r="P134" s="11">
        <f>'Annual and Quarterly'!X134</f>
        <v>282.158</v>
      </c>
      <c r="Q134" s="11">
        <f>'Annual and Quarterly'!Y134</f>
        <v>282.158</v>
      </c>
      <c r="R134" s="0">
        <v>282.158</v>
      </c>
      <c r="S134" s="0">
        <v>0</v>
      </c>
      <c r="T134" s="11">
        <f>'Annual and Quarterly'!AB134</f>
        <v>0</v>
      </c>
      <c r="U134" s="11">
        <f>'Annual and Quarterly'!AC134</f>
        <v>0</v>
      </c>
      <c r="V134" s="0">
        <v>10</v>
      </c>
      <c r="W134" s="0">
        <v>10</v>
      </c>
      <c r="X134" s="11">
        <f>'Annual and Quarterly'!AF134</f>
        <v>10</v>
      </c>
      <c r="Y134" s="11">
        <f>'Annual and Quarterly'!AG134</f>
        <v>10</v>
      </c>
      <c r="Z134" s="0">
        <v>10</v>
      </c>
      <c r="AA134" s="0">
        <v>10</v>
      </c>
      <c r="AB134" s="11">
        <f>'Annual and Quarterly'!AJ134</f>
        <v>10</v>
      </c>
      <c r="AC134" s="11">
        <f>'Annual and Quarterly'!AK134</f>
        <v>10</v>
      </c>
      <c r="AD134" s="0">
        <v>10</v>
      </c>
      <c r="AE134" s="0">
        <v>10</v>
      </c>
      <c r="AF134" s="11">
        <f>'Annual and Quarterly'!AN134</f>
        <v>10</v>
      </c>
    </row>
    <row customHeight="1" ht="15">
      <c r="A135" s="9" t="s">
        <v>166</v>
      </c>
      <c r="B135" s="0">
        <v>0.237</v>
      </c>
      <c r="F135" s="0">
        <v>0</v>
      </c>
      <c r="G135" s="0">
        <v>0</v>
      </c>
      <c r="H135" s="11">
        <f>'Annual and Quarterly'!P135</f>
        <v>0</v>
      </c>
      <c r="I135" s="11">
        <f>'Annual and Quarterly'!Q135</f>
        <v>0</v>
      </c>
      <c r="J135" s="0">
        <v>0</v>
      </c>
      <c r="K135" s="0">
        <v>0</v>
      </c>
      <c r="L135" s="11">
        <f>'Annual and Quarterly'!T135</f>
        <v>0</v>
      </c>
      <c r="M135" s="11">
        <f>'Annual and Quarterly'!U135</f>
        <v>0</v>
      </c>
      <c r="N135" s="0">
        <v>0</v>
      </c>
      <c r="O135" s="0">
        <v>0</v>
      </c>
      <c r="P135" s="11">
        <f>'Annual and Quarterly'!X135</f>
        <v>0</v>
      </c>
      <c r="Q135" s="11">
        <f>'Annual and Quarterly'!Y135</f>
        <v>0</v>
      </c>
      <c r="R135" s="0">
        <v>0</v>
      </c>
      <c r="S135" s="0">
        <v>0</v>
      </c>
      <c r="T135" s="11">
        <f>'Annual and Quarterly'!AB135</f>
        <v>0</v>
      </c>
      <c r="U135" s="11">
        <f>'Annual and Quarterly'!AC135</f>
        <v>0</v>
      </c>
      <c r="V135" s="0">
        <v>0</v>
      </c>
      <c r="W135" s="0">
        <v>0</v>
      </c>
      <c r="X135" s="11">
        <f>'Annual and Quarterly'!AF135</f>
        <v>0</v>
      </c>
      <c r="Y135" s="11">
        <f>'Annual and Quarterly'!AG135</f>
        <v>0</v>
      </c>
      <c r="Z135" s="0">
        <v>0</v>
      </c>
      <c r="AA135" s="0">
        <v>0</v>
      </c>
      <c r="AB135" s="11">
        <f>'Annual and Quarterly'!AJ135</f>
        <v>0</v>
      </c>
      <c r="AC135" s="11">
        <f>'Annual and Quarterly'!AK135</f>
        <v>0</v>
      </c>
      <c r="AD135" s="0">
        <v>0</v>
      </c>
      <c r="AE135" s="0">
        <v>0</v>
      </c>
      <c r="AF135" s="11">
        <f>'Annual and Quarterly'!AN135</f>
        <v>0</v>
      </c>
    </row>
    <row customHeight="1" ht="15">
      <c r="A136" s="9" t="s">
        <v>167</v>
      </c>
      <c r="B136" s="0">
        <v>0</v>
      </c>
      <c r="F136" s="0">
        <v>0.06</v>
      </c>
      <c r="G136" s="0">
        <v>0.132</v>
      </c>
      <c r="H136" s="11">
        <f>'Annual and Quarterly'!P136</f>
        <v>0.198</v>
      </c>
      <c r="I136" s="11">
        <f>'Annual and Quarterly'!Q136</f>
        <v>0.264</v>
      </c>
      <c r="J136" s="0">
        <v>0.331</v>
      </c>
      <c r="K136" s="0">
        <v>0.397</v>
      </c>
      <c r="L136" s="11">
        <f>'Annual and Quarterly'!T136</f>
        <v>0.463</v>
      </c>
      <c r="M136" s="11">
        <f>'Annual and Quarterly'!U136</f>
        <v>0.529</v>
      </c>
      <c r="N136" s="0">
        <v>0.596</v>
      </c>
      <c r="O136" s="0">
        <v>0.662</v>
      </c>
      <c r="P136" s="11">
        <f>'Annual and Quarterly'!X136</f>
        <v>0.728</v>
      </c>
      <c r="Q136" s="11">
        <f>'Annual and Quarterly'!Y136</f>
        <v>0.794</v>
      </c>
      <c r="R136" s="0">
        <v>0.86</v>
      </c>
      <c r="S136" s="0">
        <v>0</v>
      </c>
      <c r="T136" s="11">
        <f>'Annual and Quarterly'!AB136</f>
        <v>0</v>
      </c>
      <c r="U136" s="11">
        <f>'Annual and Quarterly'!AC136</f>
        <v>0</v>
      </c>
      <c r="V136" s="0">
        <v>1.994</v>
      </c>
      <c r="W136" s="0">
        <v>2.198</v>
      </c>
      <c r="X136" s="11">
        <f>'Annual and Quarterly'!AF136</f>
        <v>2.401</v>
      </c>
      <c r="Y136" s="11">
        <f>'Annual and Quarterly'!AG136</f>
        <v>2.605</v>
      </c>
      <c r="Z136" s="0">
        <v>1.994</v>
      </c>
      <c r="AA136" s="0">
        <v>1.994</v>
      </c>
      <c r="AB136" s="11">
        <f>'Annual and Quarterly'!AJ136</f>
        <v>1.994</v>
      </c>
      <c r="AC136" s="11">
        <f>'Annual and Quarterly'!AK136</f>
        <v>1.994</v>
      </c>
      <c r="AD136" s="0">
        <v>1.994</v>
      </c>
      <c r="AE136" s="0">
        <v>1.994</v>
      </c>
      <c r="AF136" s="11">
        <f>'Annual and Quarterly'!AN136</f>
        <v>1.994</v>
      </c>
    </row>
    <row customHeight="1" ht="15">
      <c r="A137" s="9" t="s">
        <v>168</v>
      </c>
      <c r="B137" s="0">
        <v>0</v>
      </c>
      <c r="F137" s="0">
        <v>-1.01</v>
      </c>
      <c r="G137" s="0">
        <v>-1.01</v>
      </c>
      <c r="H137" s="11">
        <f>'Annual and Quarterly'!P137</f>
        <v>-1.165</v>
      </c>
      <c r="I137" s="11">
        <f>'Annual and Quarterly'!Q137</f>
        <v>-1.165</v>
      </c>
      <c r="J137" s="0">
        <v>-1.165</v>
      </c>
      <c r="K137" s="0">
        <v>-0.791</v>
      </c>
      <c r="L137" s="11">
        <f>'Annual and Quarterly'!T137</f>
        <v>-0.324</v>
      </c>
      <c r="M137" s="11">
        <f>'Annual and Quarterly'!U137</f>
        <v>-0.212</v>
      </c>
      <c r="N137" s="0">
        <v>-0.012</v>
      </c>
      <c r="O137" s="0">
        <v>-0.012</v>
      </c>
      <c r="P137" s="11">
        <f>'Annual and Quarterly'!X137</f>
        <v>-0.012</v>
      </c>
      <c r="Q137" s="11">
        <f>'Annual and Quarterly'!Y137</f>
        <v>-1.627</v>
      </c>
      <c r="R137" s="0">
        <v>-1.644</v>
      </c>
      <c r="S137" s="0">
        <v>0</v>
      </c>
      <c r="T137" s="11">
        <f>'Annual and Quarterly'!AB137</f>
        <v>0</v>
      </c>
      <c r="U137" s="11">
        <f>'Annual and Quarterly'!AC137</f>
        <v>0</v>
      </c>
      <c r="V137" s="0">
        <v>0</v>
      </c>
      <c r="W137" s="0">
        <v>0</v>
      </c>
      <c r="X137" s="11">
        <f>'Annual and Quarterly'!AF137</f>
        <v>0</v>
      </c>
      <c r="Y137" s="11">
        <f>'Annual and Quarterly'!AG137</f>
        <v>0</v>
      </c>
      <c r="Z137" s="0">
        <v>0</v>
      </c>
      <c r="AA137" s="0">
        <v>0</v>
      </c>
      <c r="AB137" s="11">
        <f>'Annual and Quarterly'!AJ137</f>
        <v>0</v>
      </c>
      <c r="AC137" s="11">
        <f>'Annual and Quarterly'!AK137</f>
        <v>0</v>
      </c>
      <c r="AD137" s="0">
        <v>0</v>
      </c>
      <c r="AE137" s="0">
        <v>0</v>
      </c>
      <c r="AF137" s="11">
        <f>'Annual and Quarterly'!AN137</f>
        <v>0</v>
      </c>
    </row>
    <row customHeight="1" ht="15">
      <c r="A138" s="9" t="s">
        <v>169</v>
      </c>
      <c r="B138" s="0">
        <v>-0.457</v>
      </c>
      <c r="F138" s="0">
        <v>-0.456</v>
      </c>
      <c r="G138" s="0">
        <v>-0.456</v>
      </c>
      <c r="H138" s="11">
        <f>'Annual and Quarterly'!P138</f>
        <v>-0.456</v>
      </c>
      <c r="I138" s="11">
        <f>'Annual and Quarterly'!Q138</f>
        <v>-0.456</v>
      </c>
      <c r="J138" s="0">
        <v>-0.456</v>
      </c>
      <c r="K138" s="0">
        <v>-0.456</v>
      </c>
      <c r="L138" s="11">
        <f>'Annual and Quarterly'!T138</f>
        <v>-0.456</v>
      </c>
      <c r="M138" s="11">
        <f>'Annual and Quarterly'!U138</f>
        <v>-0.456</v>
      </c>
      <c r="N138" s="0">
        <v>-0.456</v>
      </c>
      <c r="O138" s="0">
        <v>-0.456</v>
      </c>
      <c r="P138" s="11">
        <f>'Annual and Quarterly'!X138</f>
        <v>-0.456</v>
      </c>
      <c r="Q138" s="11">
        <f>'Annual and Quarterly'!Y138</f>
        <v>-0.456</v>
      </c>
      <c r="R138" s="0">
        <v>-0.456</v>
      </c>
      <c r="S138" s="0">
        <v>0</v>
      </c>
      <c r="T138" s="11">
        <f>'Annual and Quarterly'!AB138</f>
        <v>0</v>
      </c>
      <c r="U138" s="11">
        <f>'Annual and Quarterly'!AC138</f>
        <v>0</v>
      </c>
      <c r="V138" s="0">
        <v>-0.456</v>
      </c>
      <c r="W138" s="0">
        <v>-0.456</v>
      </c>
      <c r="X138" s="11">
        <f>'Annual and Quarterly'!AF138</f>
        <v>-0.456</v>
      </c>
      <c r="Y138" s="11">
        <f>'Annual and Quarterly'!AG138</f>
        <v>-0.456</v>
      </c>
      <c r="Z138" s="0">
        <v>-0.456</v>
      </c>
      <c r="AA138" s="0">
        <v>-0.456</v>
      </c>
      <c r="AB138" s="11">
        <f>'Annual and Quarterly'!AJ138</f>
        <v>-0.456</v>
      </c>
      <c r="AC138" s="11">
        <f>'Annual and Quarterly'!AK138</f>
        <v>-0.456</v>
      </c>
      <c r="AD138" s="0">
        <v>-0.456</v>
      </c>
      <c r="AE138" s="0">
        <v>-0.456</v>
      </c>
      <c r="AF138" s="11">
        <f>'Annual and Quarterly'!AN138</f>
        <v>-0.456</v>
      </c>
    </row>
    <row customHeight="1" ht="15">
      <c r="A139" s="9" t="s">
        <v>170</v>
      </c>
      <c r="B139" s="0">
        <v>0.002</v>
      </c>
      <c r="F139" s="0">
        <v>-0.432</v>
      </c>
      <c r="G139" s="0">
        <v>2.785</v>
      </c>
      <c r="H139" s="11">
        <f>'Annual and Quarterly'!P139</f>
        <v>4.638</v>
      </c>
      <c r="I139" s="11">
        <f>'Annual and Quarterly'!Q139</f>
        <v>4.279</v>
      </c>
      <c r="J139" s="0">
        <v>1.496</v>
      </c>
      <c r="K139" s="0">
        <v>1.686</v>
      </c>
      <c r="L139" s="11">
        <f>'Annual and Quarterly'!T139</f>
        <v>1.474</v>
      </c>
      <c r="M139" s="11">
        <f>'Annual and Quarterly'!U139</f>
        <v>2.037</v>
      </c>
      <c r="N139" s="0">
        <v>2.042</v>
      </c>
      <c r="O139" s="0">
        <v>1.368</v>
      </c>
      <c r="P139" s="11">
        <f>'Annual and Quarterly'!X139</f>
        <v>2.327</v>
      </c>
      <c r="Q139" s="11">
        <f>'Annual and Quarterly'!Y139</f>
        <v>2.964</v>
      </c>
      <c r="R139" s="0">
        <v>3.886</v>
      </c>
      <c r="S139" s="0">
        <v>4.058</v>
      </c>
      <c r="T139" s="11">
        <f>'Annual and Quarterly'!AB139</f>
        <v>3.904</v>
      </c>
      <c r="U139" s="11">
        <f>'Annual and Quarterly'!AC139</f>
        <v>4.64</v>
      </c>
      <c r="V139" s="0">
        <v>3.496</v>
      </c>
      <c r="W139" s="0">
        <v>3.782</v>
      </c>
      <c r="X139" s="11">
        <f>'Annual and Quarterly'!AF139</f>
        <v>0.773</v>
      </c>
      <c r="Y139" s="11">
        <f>'Annual and Quarterly'!AG139</f>
        <v>1.852</v>
      </c>
      <c r="Z139" s="0">
        <v>-0.051</v>
      </c>
      <c r="AA139" s="0">
        <v>0.101</v>
      </c>
      <c r="AB139" s="11">
        <f>'Annual and Quarterly'!AJ139</f>
        <v>-1.147</v>
      </c>
      <c r="AC139" s="11">
        <f>'Annual and Quarterly'!AK139</f>
        <v>-0.13</v>
      </c>
      <c r="AD139" s="0">
        <v>0.112</v>
      </c>
      <c r="AE139" s="0">
        <v>0.474</v>
      </c>
      <c r="AF139" s="11">
        <f>'Annual and Quarterly'!AN139</f>
        <v>-0.06</v>
      </c>
    </row>
    <row customHeight="1" ht="15">
      <c r="A140" s="9" t="s">
        <v>171</v>
      </c>
      <c r="B140" s="0">
        <v>-0.21</v>
      </c>
      <c r="F140" s="0">
        <v>-2.956</v>
      </c>
      <c r="G140" s="0">
        <v>-2.971</v>
      </c>
      <c r="H140" s="11">
        <f>'Annual and Quarterly'!P140</f>
        <v>-7.432</v>
      </c>
      <c r="I140" s="11">
        <f>'Annual and Quarterly'!Q140</f>
        <v>-14.505</v>
      </c>
      <c r="J140" s="0">
        <v>-22.005</v>
      </c>
      <c r="K140" s="0">
        <v>-11.181</v>
      </c>
      <c r="L140" s="11">
        <f>'Annual and Quarterly'!T140</f>
        <v>-14.181</v>
      </c>
      <c r="M140" s="11">
        <f>'Annual and Quarterly'!U140</f>
        <v>-8.179</v>
      </c>
      <c r="N140" s="0">
        <v>-3.221</v>
      </c>
      <c r="O140" s="0">
        <v>-0.972</v>
      </c>
      <c r="P140" s="11">
        <f>'Annual and Quarterly'!X140</f>
        <v>11.047</v>
      </c>
      <c r="Q140" s="11">
        <f>'Annual and Quarterly'!Y140</f>
        <v>36.337</v>
      </c>
      <c r="R140" s="0">
        <v>2.353</v>
      </c>
      <c r="S140" s="0">
        <v>-4.513</v>
      </c>
      <c r="T140" s="11">
        <f>'Annual and Quarterly'!AB140</f>
        <v>-1.467</v>
      </c>
      <c r="U140" s="11">
        <f>'Annual and Quarterly'!AC140</f>
        <v>5.27</v>
      </c>
      <c r="V140" s="0">
        <v>-9.069</v>
      </c>
      <c r="W140" s="0">
        <v>-0.824</v>
      </c>
      <c r="X140" s="11">
        <f>'Annual and Quarterly'!AF140</f>
        <v>1.843</v>
      </c>
      <c r="Y140" s="11">
        <f>'Annual and Quarterly'!AG140</f>
        <v>-14.061</v>
      </c>
      <c r="Z140" s="0">
        <v>12.408</v>
      </c>
      <c r="AA140" s="0">
        <v>13.637</v>
      </c>
      <c r="AB140" s="11">
        <f>'Annual and Quarterly'!AJ140</f>
        <v>8.421</v>
      </c>
      <c r="AC140" s="11">
        <f>'Annual and Quarterly'!AK140</f>
        <v>3.916</v>
      </c>
      <c r="AD140" s="0">
        <v>3.725</v>
      </c>
      <c r="AE140" s="0">
        <v>8.223</v>
      </c>
      <c r="AF140" s="11">
        <f>'Annual and Quarterly'!AN140</f>
        <v>8.084</v>
      </c>
    </row>
    <row customHeight="1" ht="15">
      <c r="A141" s="9" t="s">
        <v>172</v>
      </c>
      <c r="B141" s="0">
        <v>30.456</v>
      </c>
      <c r="F141" s="0">
        <v>41.122</v>
      </c>
      <c r="G141" s="0">
        <v>33.116</v>
      </c>
      <c r="H141" s="11">
        <f>'Annual and Quarterly'!P141</f>
        <v>28.954</v>
      </c>
      <c r="I141" s="11">
        <f>'Annual and Quarterly'!Q141</f>
        <v>9.55</v>
      </c>
      <c r="J141" s="0">
        <v>-11.97</v>
      </c>
      <c r="K141" s="0">
        <v>-10.335</v>
      </c>
      <c r="L141" s="11">
        <f>'Annual and Quarterly'!T141</f>
        <v>2.281</v>
      </c>
      <c r="M141" s="11">
        <f>'Annual and Quarterly'!U141</f>
        <v>24.123</v>
      </c>
      <c r="N141" s="0">
        <v>21.449</v>
      </c>
      <c r="O141" s="0">
        <v>7.628</v>
      </c>
      <c r="P141" s="11">
        <f>'Annual and Quarterly'!X141</f>
        <v>-5.021</v>
      </c>
      <c r="Q141" s="11">
        <f>'Annual and Quarterly'!Y141</f>
        <v>45.2</v>
      </c>
      <c r="R141" s="0">
        <v>1.816</v>
      </c>
      <c r="S141" s="0">
        <v>250.369</v>
      </c>
      <c r="T141" s="11">
        <f>'Annual and Quarterly'!AB141</f>
        <v>280.233</v>
      </c>
      <c r="U141" s="11">
        <f>'Annual and Quarterly'!AC141</f>
        <v>353.96</v>
      </c>
      <c r="V141" s="0">
        <v>313.36</v>
      </c>
      <c r="W141" s="0">
        <v>214.724</v>
      </c>
      <c r="X141" s="11">
        <f>'Annual and Quarterly'!AF141</f>
        <v>604.76</v>
      </c>
      <c r="Y141" s="11">
        <f>'Annual and Quarterly'!AG141</f>
        <v>688.651</v>
      </c>
      <c r="Z141" s="0">
        <v>541.978</v>
      </c>
      <c r="AA141" s="0">
        <v>418.805</v>
      </c>
      <c r="AB141" s="11">
        <f>'Annual and Quarterly'!AJ141</f>
        <v>429.145</v>
      </c>
      <c r="AC141" s="11">
        <f>'Annual and Quarterly'!AK141</f>
        <v>499.651</v>
      </c>
      <c r="AD141" s="0">
        <v>474.649</v>
      </c>
      <c r="AE141" s="0">
        <v>415.035</v>
      </c>
      <c r="AF141" s="11">
        <f>'Annual and Quarterly'!AN141</f>
        <v>391.958</v>
      </c>
    </row>
    <row customHeight="1" ht="15">
      <c r="A142" s="9" t="s">
        <v>173</v>
      </c>
      <c r="B142" s="11">
        <f t="shared" si="0"/>
        <v>65.417</v>
      </c>
      <c r="F142" s="11">
        <f t="shared" si="41" ref="F142:W142">SUM(F133:F134)+SUM(F136:F141)</f>
        <v>341.042</v>
      </c>
      <c r="G142" s="11">
        <f t="shared" si="41"/>
        <v>336.31</v>
      </c>
      <c r="H142" s="11">
        <f>'Annual and Quarterly'!P142</f>
        <v>329.451</v>
      </c>
      <c r="I142" s="11">
        <f>'Annual and Quarterly'!Q142</f>
        <v>302.681</v>
      </c>
      <c r="J142" s="11">
        <f t="shared" si="41"/>
        <v>270.945</v>
      </c>
      <c r="K142" s="11">
        <f t="shared" si="41"/>
        <v>284.034</v>
      </c>
      <c r="L142" s="11">
        <f>'Annual and Quarterly'!T142</f>
        <v>293.971</v>
      </c>
      <c r="M142" s="11">
        <f>'Annual and Quarterly'!U142</f>
        <v>322.556</v>
      </c>
      <c r="N142" s="11">
        <f t="shared" si="41"/>
        <v>325.112</v>
      </c>
      <c r="O142" s="11">
        <f t="shared" si="41"/>
        <v>312.932</v>
      </c>
      <c r="P142" s="11">
        <f>'Annual and Quarterly'!X142</f>
        <v>313.327</v>
      </c>
      <c r="Q142" s="11">
        <f>'Annual and Quarterly'!Y142</f>
        <v>387.926</v>
      </c>
      <c r="R142" s="11">
        <f t="shared" si="41"/>
        <v>311.529</v>
      </c>
      <c r="S142" s="11">
        <f>S133+S137+SUM(S139:S141)</f>
        <v>272.47</v>
      </c>
      <c r="T142" s="11">
        <f>'Annual and Quarterly'!AB142</f>
        <v>305.226</v>
      </c>
      <c r="U142" s="11">
        <f>'Annual and Quarterly'!AC142</f>
        <v>386.426</v>
      </c>
      <c r="V142" s="11">
        <f t="shared" si="42" ref="V142:AE142">SUM(V133:V134)+V136+SUM(V138:V141)</f>
        <v>341.881</v>
      </c>
      <c r="W142" s="11">
        <f t="shared" si="41"/>
        <v>251.98</v>
      </c>
      <c r="X142" s="11">
        <f>'Annual and Quarterly'!AF142</f>
        <v>647.515</v>
      </c>
      <c r="Y142" s="11">
        <f>'Annual and Quarterly'!AG142</f>
        <v>716.785</v>
      </c>
      <c r="Z142" s="11">
        <f t="shared" si="42"/>
        <v>594.067</v>
      </c>
      <c r="AA142" s="11">
        <f t="shared" si="42"/>
        <v>472.275</v>
      </c>
      <c r="AB142" s="11">
        <f>'Annual and Quarterly'!AJ142</f>
        <v>476.151</v>
      </c>
      <c r="AC142" s="11">
        <f>'Annual and Quarterly'!AK142</f>
        <v>543.169</v>
      </c>
      <c r="AD142" s="11">
        <f t="shared" si="42"/>
        <v>518.218</v>
      </c>
      <c r="AE142" s="11">
        <f t="shared" si="42"/>
        <v>463.464</v>
      </c>
      <c r="AF142" s="11">
        <f>'Annual and Quarterly'!AN142</f>
        <v>439.714</v>
      </c>
    </row>
    <row customHeight="1" ht="15">
      <c r="A143" s="9" t="s">
        <v>174</v>
      </c>
      <c r="B143" s="0">
        <v>-0.662</v>
      </c>
      <c r="F143" s="0">
        <v>4.98</v>
      </c>
      <c r="G143" s="0">
        <v>5.726</v>
      </c>
      <c r="H143" s="11">
        <f>'Annual and Quarterly'!P143</f>
        <v>10.047</v>
      </c>
      <c r="I143" s="11">
        <f>'Annual and Quarterly'!Q143</f>
        <v>10.925</v>
      </c>
      <c r="J143" s="0">
        <v>2.425</v>
      </c>
      <c r="K143" s="0">
        <v>2.368</v>
      </c>
      <c r="L143" s="11">
        <f>'Annual and Quarterly'!T143</f>
        <v>2.565</v>
      </c>
      <c r="M143" s="11">
        <f>'Annual and Quarterly'!U143</f>
        <v>2.814</v>
      </c>
      <c r="N143" s="0">
        <v>3.267</v>
      </c>
      <c r="O143" s="0">
        <v>4.152</v>
      </c>
      <c r="P143" s="11">
        <f>'Annual and Quarterly'!X143</f>
        <v>4.707</v>
      </c>
      <c r="Q143" s="11">
        <f>'Annual and Quarterly'!Y143</f>
        <v>14.78</v>
      </c>
      <c r="R143" s="0">
        <v>4.088</v>
      </c>
      <c r="S143" s="0">
        <v>4.892</v>
      </c>
      <c r="T143" s="11">
        <f>'Annual and Quarterly'!AB143</f>
        <v>4.203</v>
      </c>
      <c r="U143" s="11">
        <f>'Annual and Quarterly'!AC143</f>
        <v>3.588</v>
      </c>
      <c r="V143" s="0">
        <v>6</v>
      </c>
      <c r="W143" s="0">
        <v>7.15</v>
      </c>
      <c r="X143" s="11">
        <f>'Annual and Quarterly'!AF143</f>
        <v>7.369</v>
      </c>
      <c r="Y143" s="11">
        <f>'Annual and Quarterly'!AG143</f>
        <v>7.65</v>
      </c>
      <c r="Z143" s="0">
        <v>11.401</v>
      </c>
      <c r="AA143" s="0">
        <v>12.234</v>
      </c>
      <c r="AB143" s="11">
        <f>'Annual and Quarterly'!AJ143</f>
        <v>11.974</v>
      </c>
      <c r="AC143" s="11">
        <f>'Annual and Quarterly'!AK143</f>
        <v>9.575</v>
      </c>
      <c r="AD143" s="0">
        <v>11.045</v>
      </c>
      <c r="AE143" s="0">
        <v>11.065</v>
      </c>
      <c r="AF143" s="11">
        <f>'Annual and Quarterly'!AN143</f>
        <v>12.591</v>
      </c>
    </row>
    <row customHeight="1" ht="15">
      <c r="A144" s="4" t="s">
        <v>175</v>
      </c>
      <c r="B144" s="7">
        <f t="shared" si="1"/>
        <v>64.755</v>
      </c>
      <c r="F144" s="7">
        <f t="shared" si="1"/>
        <v>346.022</v>
      </c>
      <c r="G144" s="7">
        <f t="shared" si="1"/>
        <v>342.036</v>
      </c>
      <c r="H144" s="7">
        <f>'Annual and Quarterly'!P144</f>
        <v>339.498</v>
      </c>
      <c r="I144" s="7">
        <f>'Annual and Quarterly'!Q144</f>
        <v>313.606</v>
      </c>
      <c r="J144" s="7">
        <f t="shared" si="1"/>
        <v>273.37</v>
      </c>
      <c r="K144" s="7">
        <f t="shared" si="1"/>
        <v>286.402</v>
      </c>
      <c r="L144" s="7">
        <f>'Annual and Quarterly'!T144</f>
        <v>296.536</v>
      </c>
      <c r="M144" s="7">
        <f>'Annual and Quarterly'!U144</f>
        <v>325.37</v>
      </c>
      <c r="N144" s="7">
        <f t="shared" si="1"/>
        <v>328.379</v>
      </c>
      <c r="O144" s="7">
        <f t="shared" si="1"/>
        <v>317.084</v>
      </c>
      <c r="P144" s="7">
        <f>'Annual and Quarterly'!X144</f>
        <v>318.034</v>
      </c>
      <c r="Q144" s="7">
        <f>'Annual and Quarterly'!Y144</f>
        <v>402.706</v>
      </c>
      <c r="R144" s="7">
        <f t="shared" si="1"/>
        <v>315.617</v>
      </c>
      <c r="S144" s="7">
        <f t="shared" si="1"/>
        <v>277.362</v>
      </c>
      <c r="T144" s="7">
        <f>'Annual and Quarterly'!AB144</f>
        <v>309.429</v>
      </c>
      <c r="U144" s="7">
        <f>'Annual and Quarterly'!AC144</f>
        <v>390.014</v>
      </c>
      <c r="V144" s="7">
        <f t="shared" si="1"/>
        <v>347.881</v>
      </c>
      <c r="W144" s="7">
        <f t="shared" si="1"/>
        <v>259.13</v>
      </c>
      <c r="X144" s="7">
        <f>'Annual and Quarterly'!AF144</f>
        <v>654.884</v>
      </c>
      <c r="Y144" s="7">
        <f>'Annual and Quarterly'!AG144</f>
        <v>724.435</v>
      </c>
      <c r="Z144" s="7">
        <f t="shared" si="1"/>
        <v>605.468</v>
      </c>
      <c r="AA144" s="7">
        <f t="shared" si="1"/>
        <v>484.509</v>
      </c>
      <c r="AB144" s="7">
        <f>'Annual and Quarterly'!AJ144</f>
        <v>488.125</v>
      </c>
      <c r="AC144" s="7">
        <f>'Annual and Quarterly'!AK144</f>
        <v>552.744</v>
      </c>
      <c r="AD144" s="7">
        <f t="shared" si="1"/>
        <v>529.263</v>
      </c>
      <c r="AE144" s="7">
        <f t="shared" si="1"/>
        <v>474.529</v>
      </c>
      <c r="AF144" s="7">
        <f>'Annual and Quarterly'!AN144</f>
        <v>452.305</v>
      </c>
    </row>
    <row customHeight="1" ht="15">
      <c r="A145" s="9" t="s">
        <v>176</v>
      </c>
      <c r="B145" s="0">
        <v>0</v>
      </c>
      <c r="F145" s="0">
        <v>0</v>
      </c>
      <c r="G145" s="0">
        <v>0</v>
      </c>
      <c r="H145" s="11">
        <f>'Annual and Quarterly'!P145</f>
        <v>0</v>
      </c>
      <c r="I145" s="11">
        <f>'Annual and Quarterly'!Q145</f>
        <v>0</v>
      </c>
      <c r="J145" s="0">
        <v>0</v>
      </c>
      <c r="K145" s="0">
        <v>0</v>
      </c>
      <c r="L145" s="11">
        <f>'Annual and Quarterly'!T145</f>
        <v>0</v>
      </c>
      <c r="M145" s="11">
        <f>'Annual and Quarterly'!U145</f>
        <v>0</v>
      </c>
      <c r="N145" s="0">
        <v>300.92</v>
      </c>
      <c r="O145" s="0">
        <v>306.856</v>
      </c>
      <c r="P145" s="11">
        <f>'Annual and Quarterly'!X145</f>
        <v>312.977</v>
      </c>
      <c r="Q145" s="11">
        <f>'Annual and Quarterly'!Y145</f>
        <v>319.288</v>
      </c>
      <c r="R145" s="0">
        <v>325.726</v>
      </c>
      <c r="S145" s="0">
        <v>332.151</v>
      </c>
      <c r="T145" s="11">
        <f>'Annual and Quarterly'!AB145</f>
        <v>338.776</v>
      </c>
      <c r="U145" s="11">
        <f>'Annual and Quarterly'!AC145</f>
        <v>345.607</v>
      </c>
      <c r="V145" s="0">
        <v>352.576</v>
      </c>
      <c r="W145" s="0">
        <v>359.608</v>
      </c>
      <c r="X145" s="11">
        <f>'Annual and Quarterly'!AF145</f>
        <v>0</v>
      </c>
      <c r="Y145" s="11">
        <f>'Annual and Quarterly'!AG145</f>
        <v>0</v>
      </c>
      <c r="Z145" s="0">
        <v>0</v>
      </c>
      <c r="AA145" s="0">
        <v>0</v>
      </c>
      <c r="AB145" s="11">
        <f>'Annual and Quarterly'!AJ145</f>
        <v>0</v>
      </c>
      <c r="AC145" s="11">
        <f>'Annual and Quarterly'!AK145</f>
        <v>0</v>
      </c>
      <c r="AD145" s="0">
        <v>0</v>
      </c>
      <c r="AE145" s="0">
        <v>0</v>
      </c>
      <c r="AF145" s="11">
        <f>'Annual and Quarterly'!AN145</f>
        <v>0</v>
      </c>
    </row>
    <row customHeight="1" ht="15">
      <c r="A146" s="9" t="s">
        <v>177</v>
      </c>
      <c r="B146" s="0">
        <v>0</v>
      </c>
      <c r="F146" s="0">
        <v>161.201</v>
      </c>
      <c r="G146" s="0">
        <v>176.956</v>
      </c>
      <c r="H146" s="11">
        <f>'Annual and Quarterly'!P146</f>
        <v>156.342</v>
      </c>
      <c r="I146" s="11">
        <f>'Annual and Quarterly'!Q146</f>
        <v>143.171</v>
      </c>
      <c r="J146" s="0">
        <v>115.846</v>
      </c>
      <c r="K146" s="0">
        <v>115.424</v>
      </c>
      <c r="L146" s="11">
        <f>'Annual and Quarterly'!T146</f>
        <v>126.875</v>
      </c>
      <c r="M146" s="11">
        <f>'Annual and Quarterly'!U146</f>
        <v>137.183</v>
      </c>
      <c r="N146" s="0">
        <v>126.529</v>
      </c>
      <c r="O146" s="0">
        <v>163.68</v>
      </c>
      <c r="P146" s="11">
        <f>'Annual and Quarterly'!X146</f>
        <v>240.265</v>
      </c>
      <c r="Q146" s="11">
        <f>'Annual and Quarterly'!Y146</f>
        <v>401.568</v>
      </c>
      <c r="R146" s="0">
        <v>363.171</v>
      </c>
      <c r="S146" s="0">
        <v>495.549</v>
      </c>
      <c r="T146" s="11">
        <f>'Annual and Quarterly'!AB146</f>
        <v>619.594</v>
      </c>
      <c r="U146" s="11">
        <f>'Annual and Quarterly'!AC146</f>
        <v>726.86</v>
      </c>
      <c r="V146" s="0">
        <v>786.959</v>
      </c>
      <c r="W146" s="0">
        <v>985.896</v>
      </c>
      <c r="X146" s="11">
        <f>'Annual and Quarterly'!AF146</f>
        <v>1036.177</v>
      </c>
      <c r="Y146" s="11">
        <f>'Annual and Quarterly'!AG146</f>
        <v>983.634</v>
      </c>
      <c r="Z146" s="0">
        <v>1032.356</v>
      </c>
      <c r="AA146" s="0">
        <v>910.105</v>
      </c>
      <c r="AB146" s="11">
        <f>'Annual and Quarterly'!AJ146</f>
        <v>739.863</v>
      </c>
      <c r="AC146" s="11">
        <f>'Annual and Quarterly'!AK146</f>
        <v>689.379</v>
      </c>
      <c r="AD146" s="0">
        <v>445.296</v>
      </c>
      <c r="AE146" s="0">
        <v>436.199</v>
      </c>
      <c r="AF146" s="11">
        <f>'Annual and Quarterly'!AN146</f>
        <v>282.202</v>
      </c>
    </row>
    <row customHeight="1" ht="15">
      <c r="A147" s="9" t="s">
        <v>178</v>
      </c>
      <c r="B147" s="0">
        <v>15.888</v>
      </c>
      <c r="F147" s="0">
        <v>270.317</v>
      </c>
      <c r="G147" s="0">
        <v>274.735</v>
      </c>
      <c r="H147" s="11">
        <f>'Annual and Quarterly'!P147</f>
        <v>260.38</v>
      </c>
      <c r="I147" s="11">
        <f>'Annual and Quarterly'!Q147</f>
        <v>248.659</v>
      </c>
      <c r="J147" s="0">
        <v>235.195</v>
      </c>
      <c r="K147" s="0">
        <v>245.667</v>
      </c>
      <c r="L147" s="11">
        <f>'Annual and Quarterly'!T147</f>
        <v>257.194</v>
      </c>
      <c r="M147" s="11">
        <f>'Annual and Quarterly'!U147</f>
        <v>269.863</v>
      </c>
      <c r="N147" s="0">
        <v>281.613</v>
      </c>
      <c r="O147" s="0">
        <v>290.701</v>
      </c>
      <c r="P147" s="11">
        <f>'Annual and Quarterly'!X147</f>
        <v>302.952</v>
      </c>
      <c r="Q147" s="11">
        <f>'Annual and Quarterly'!Y147</f>
        <v>259.431</v>
      </c>
      <c r="R147" s="0">
        <v>234.09</v>
      </c>
      <c r="S147" s="0">
        <v>228.704</v>
      </c>
      <c r="T147" s="11">
        <f>'Annual and Quarterly'!AB147</f>
        <v>202.715</v>
      </c>
      <c r="U147" s="11">
        <f>'Annual and Quarterly'!AC147</f>
        <v>199.731</v>
      </c>
      <c r="V147" s="0">
        <v>29.985</v>
      </c>
      <c r="W147" s="0">
        <v>30.187</v>
      </c>
      <c r="X147" s="11">
        <f>'Annual and Quarterly'!AF147</f>
        <v>316.706</v>
      </c>
      <c r="Y147" s="11">
        <f>'Annual and Quarterly'!AG147</f>
        <v>302.877</v>
      </c>
      <c r="Z147" s="0">
        <v>320.833</v>
      </c>
      <c r="AA147" s="0">
        <v>312.062</v>
      </c>
      <c r="AB147" s="11">
        <f>'Annual and Quarterly'!AJ147</f>
        <v>311.062</v>
      </c>
      <c r="AC147" s="11">
        <f>'Annual and Quarterly'!AK147</f>
        <v>308.647</v>
      </c>
      <c r="AD147" s="0">
        <v>338.77</v>
      </c>
      <c r="AE147" s="0">
        <v>356.723</v>
      </c>
      <c r="AF147" s="11">
        <f>'Annual and Quarterly'!AN147</f>
        <v>378.408</v>
      </c>
    </row>
    <row customHeight="1" ht="15">
      <c r="A148" s="9" t="s">
        <v>179</v>
      </c>
      <c r="B148" s="0">
        <v>1.016</v>
      </c>
      <c r="F148" s="0">
        <v>0.773</v>
      </c>
      <c r="G148" s="0">
        <v>0.713</v>
      </c>
      <c r="H148" s="11">
        <f>'Annual and Quarterly'!P148</f>
        <v>0.654</v>
      </c>
      <c r="I148" s="11">
        <f>'Annual and Quarterly'!Q148</f>
        <v>0.594</v>
      </c>
      <c r="J148" s="0">
        <v>0.535</v>
      </c>
      <c r="K148" s="0">
        <v>0.475</v>
      </c>
      <c r="L148" s="11">
        <f>'Annual and Quarterly'!T148</f>
        <v>0.416</v>
      </c>
      <c r="M148" s="11">
        <f>'Annual and Quarterly'!U148</f>
        <v>0.357</v>
      </c>
      <c r="N148" s="0">
        <v>0.298</v>
      </c>
      <c r="O148" s="0">
        <v>0.244</v>
      </c>
      <c r="P148" s="11">
        <f>'Annual and Quarterly'!X148</f>
        <v>0.197</v>
      </c>
      <c r="Q148" s="11">
        <f>'Annual and Quarterly'!Y148</f>
        <v>0.151</v>
      </c>
      <c r="R148" s="0">
        <v>0</v>
      </c>
      <c r="S148" s="0">
        <v>0.062</v>
      </c>
      <c r="T148" s="11">
        <f>'Annual and Quarterly'!AB148</f>
        <v>0.349</v>
      </c>
      <c r="U148" s="11">
        <f>'Annual and Quarterly'!AC148</f>
        <v>0.326</v>
      </c>
      <c r="V148" s="0">
        <v>0</v>
      </c>
      <c r="W148" s="0">
        <v>0</v>
      </c>
      <c r="X148" s="11">
        <f>'Annual and Quarterly'!AF148</f>
        <v>0</v>
      </c>
      <c r="Y148" s="11">
        <f>'Annual and Quarterly'!AG148</f>
        <v>0</v>
      </c>
      <c r="Z148" s="0">
        <v>0</v>
      </c>
      <c r="AA148" s="0">
        <v>0</v>
      </c>
      <c r="AB148" s="11">
        <f>'Annual and Quarterly'!AJ148</f>
        <v>0</v>
      </c>
      <c r="AC148" s="11">
        <f>'Annual and Quarterly'!AK148</f>
        <v>0</v>
      </c>
      <c r="AD148" s="0">
        <v>0</v>
      </c>
      <c r="AE148" s="0">
        <v>0</v>
      </c>
      <c r="AF148" s="11">
        <f>'Annual and Quarterly'!AN148</f>
        <v>0</v>
      </c>
    </row>
    <row customHeight="1" ht="15">
      <c r="A149" s="9" t="s">
        <v>91</v>
      </c>
      <c r="B149" s="0">
        <v>0.363</v>
      </c>
      <c r="F149" s="0">
        <v>1.097</v>
      </c>
      <c r="G149" s="0">
        <v>0.692</v>
      </c>
      <c r="H149" s="11">
        <f>'Annual and Quarterly'!P149</f>
        <v>0.743</v>
      </c>
      <c r="I149" s="11">
        <f>'Annual and Quarterly'!Q149</f>
        <v>0.687</v>
      </c>
      <c r="J149" s="0">
        <v>0.505</v>
      </c>
      <c r="K149" s="0">
        <v>0.535</v>
      </c>
      <c r="L149" s="11">
        <f>'Annual and Quarterly'!T149</f>
        <v>1.125</v>
      </c>
      <c r="M149" s="11">
        <f>'Annual and Quarterly'!U149</f>
        <v>1.154</v>
      </c>
      <c r="N149" s="0">
        <v>0.385</v>
      </c>
      <c r="O149" s="0">
        <v>0.295</v>
      </c>
      <c r="P149" s="11">
        <f>'Annual and Quarterly'!X149</f>
        <v>0.274</v>
      </c>
      <c r="Q149" s="11">
        <f>'Annual and Quarterly'!Y149</f>
        <v>1.068</v>
      </c>
      <c r="R149" s="0">
        <v>1.068</v>
      </c>
      <c r="S149" s="0">
        <v>2.054</v>
      </c>
      <c r="T149" s="11">
        <f>'Annual and Quarterly'!AB149</f>
        <v>2.326</v>
      </c>
      <c r="U149" s="11">
        <f>'Annual and Quarterly'!AC149</f>
        <v>2.051</v>
      </c>
      <c r="V149" s="0">
        <v>0.845</v>
      </c>
      <c r="W149" s="0">
        <v>0.9</v>
      </c>
      <c r="X149" s="11">
        <f>'Annual and Quarterly'!AF149</f>
        <v>1.915</v>
      </c>
      <c r="Y149" s="11">
        <f>'Annual and Quarterly'!AG149</f>
        <v>2.274</v>
      </c>
      <c r="Z149" s="0">
        <v>1.971</v>
      </c>
      <c r="AA149" s="0">
        <v>0.648</v>
      </c>
      <c r="AB149" s="11">
        <f>'Annual and Quarterly'!AJ149</f>
        <v>0.647</v>
      </c>
      <c r="AC149" s="11">
        <f>'Annual and Quarterly'!AK149</f>
        <v>0.653</v>
      </c>
      <c r="AD149" s="0">
        <v>0.429</v>
      </c>
      <c r="AE149" s="0">
        <v>0.465</v>
      </c>
      <c r="AF149" s="11">
        <f>'Annual and Quarterly'!AN149</f>
        <v>0.452</v>
      </c>
    </row>
    <row customHeight="1" ht="15">
      <c r="A150" s="9" t="s">
        <v>180</v>
      </c>
      <c r="B150" s="0">
        <v>0.432</v>
      </c>
      <c r="F150" s="0">
        <v>4.6</v>
      </c>
      <c r="G150" s="0">
        <v>4.142</v>
      </c>
      <c r="H150" s="11">
        <f>'Annual and Quarterly'!P150</f>
        <v>3.468</v>
      </c>
      <c r="I150" s="11">
        <f>'Annual and Quarterly'!Q150</f>
        <v>3.41</v>
      </c>
      <c r="J150" s="0">
        <v>2.45</v>
      </c>
      <c r="K150" s="0">
        <v>2.739</v>
      </c>
      <c r="L150" s="11">
        <f>'Annual and Quarterly'!T150</f>
        <v>5.838</v>
      </c>
      <c r="M150" s="11">
        <f>'Annual and Quarterly'!U150</f>
        <v>11.883</v>
      </c>
      <c r="N150" s="0">
        <v>18.537</v>
      </c>
      <c r="O150" s="0">
        <v>18.196</v>
      </c>
      <c r="P150" s="11">
        <f>'Annual and Quarterly'!X150</f>
        <v>20.674</v>
      </c>
      <c r="Q150" s="11">
        <f>'Annual and Quarterly'!Y150</f>
        <v>23.688</v>
      </c>
      <c r="R150" s="0">
        <v>12.387</v>
      </c>
      <c r="S150" s="0">
        <v>21.263</v>
      </c>
      <c r="T150" s="11">
        <f>'Annual and Quarterly'!AB150</f>
        <v>22.902</v>
      </c>
      <c r="U150" s="11">
        <f>'Annual and Quarterly'!AC150</f>
        <v>26.658</v>
      </c>
      <c r="V150" s="0">
        <v>7.705</v>
      </c>
      <c r="W150" s="0">
        <v>7.648</v>
      </c>
      <c r="X150" s="11">
        <f>'Annual and Quarterly'!AF150</f>
        <v>7.138</v>
      </c>
      <c r="Y150" s="11">
        <f>'Annual and Quarterly'!AG150</f>
        <v>5.95</v>
      </c>
      <c r="Z150" s="0">
        <v>3.883</v>
      </c>
      <c r="AA150" s="0">
        <v>3.643</v>
      </c>
      <c r="AB150" s="11">
        <f>'Annual and Quarterly'!AJ150</f>
        <v>2.942</v>
      </c>
      <c r="AC150" s="11">
        <f>'Annual and Quarterly'!AK150</f>
        <v>3.666</v>
      </c>
      <c r="AD150" s="0">
        <v>3.748</v>
      </c>
      <c r="AE150" s="0">
        <v>3.497</v>
      </c>
      <c r="AF150" s="11">
        <f>'Annual and Quarterly'!AN150</f>
        <v>3.591</v>
      </c>
    </row>
    <row customHeight="1" ht="15">
      <c r="A151" s="9" t="s">
        <v>181</v>
      </c>
      <c r="B151" s="0">
        <v>0</v>
      </c>
      <c r="F151" s="0">
        <v>0</v>
      </c>
      <c r="G151" s="0">
        <v>0</v>
      </c>
      <c r="H151" s="11">
        <f>'Annual and Quarterly'!P151</f>
        <v>0</v>
      </c>
      <c r="I151" s="11">
        <f>'Annual and Quarterly'!Q151</f>
        <v>0</v>
      </c>
      <c r="J151" s="0">
        <v>0</v>
      </c>
      <c r="K151" s="0">
        <v>0</v>
      </c>
      <c r="L151" s="11">
        <f>'Annual and Quarterly'!T151</f>
        <v>0</v>
      </c>
      <c r="M151" s="11">
        <f>'Annual and Quarterly'!U151</f>
        <v>0</v>
      </c>
      <c r="N151" s="0">
        <v>0</v>
      </c>
      <c r="O151" s="0">
        <v>0</v>
      </c>
      <c r="P151" s="11">
        <f>'Annual and Quarterly'!X151</f>
        <v>0</v>
      </c>
      <c r="Q151" s="11">
        <f>'Annual and Quarterly'!Y151</f>
        <v>0</v>
      </c>
      <c r="R151" s="0">
        <v>8.767</v>
      </c>
      <c r="S151" s="0">
        <v>0</v>
      </c>
      <c r="T151" s="11">
        <f>'Annual and Quarterly'!AB151</f>
        <v>0</v>
      </c>
      <c r="U151" s="11">
        <f>'Annual and Quarterly'!AC151</f>
        <v>0</v>
      </c>
      <c r="V151" s="0">
        <v>15.813</v>
      </c>
      <c r="W151" s="0">
        <v>16.832</v>
      </c>
      <c r="X151" s="11">
        <f>'Annual and Quarterly'!AF151</f>
        <v>15.567</v>
      </c>
      <c r="Y151" s="11">
        <f>'Annual and Quarterly'!AG151</f>
        <v>13.523</v>
      </c>
      <c r="Z151" s="0">
        <v>19.89</v>
      </c>
      <c r="AA151" s="0">
        <v>13.498</v>
      </c>
      <c r="AB151" s="11">
        <f>'Annual and Quarterly'!AJ151</f>
        <v>19.913</v>
      </c>
      <c r="AC151" s="11">
        <f>'Annual and Quarterly'!AK151</f>
        <v>22.214</v>
      </c>
      <c r="AD151" s="0">
        <v>22.792</v>
      </c>
      <c r="AE151" s="0">
        <v>16.695</v>
      </c>
      <c r="AF151" s="11">
        <f>'Annual and Quarterly'!AN151</f>
        <v>16.575</v>
      </c>
    </row>
    <row customHeight="1" ht="15">
      <c r="A152" s="9" t="s">
        <v>182</v>
      </c>
      <c r="B152" s="0">
        <v>1.606</v>
      </c>
      <c r="F152" s="0">
        <v>14.434</v>
      </c>
      <c r="G152" s="0">
        <v>21.279</v>
      </c>
      <c r="H152" s="11">
        <f>'Annual and Quarterly'!P152</f>
        <v>19.693</v>
      </c>
      <c r="I152" s="11">
        <f>'Annual and Quarterly'!Q152</f>
        <v>20.372</v>
      </c>
      <c r="J152" s="0">
        <v>18.275</v>
      </c>
      <c r="K152" s="0">
        <v>18.249</v>
      </c>
      <c r="L152" s="11">
        <f>'Annual and Quarterly'!T152</f>
        <v>9.143</v>
      </c>
      <c r="M152" s="11">
        <f>'Annual and Quarterly'!U152</f>
        <v>9.402</v>
      </c>
      <c r="N152" s="0">
        <v>11.626</v>
      </c>
      <c r="O152" s="0">
        <v>8.797</v>
      </c>
      <c r="P152" s="11">
        <f>'Annual and Quarterly'!X152</f>
        <v>10.105</v>
      </c>
      <c r="Q152" s="11">
        <f>'Annual and Quarterly'!Y152</f>
        <v>11.423</v>
      </c>
      <c r="R152" s="0">
        <v>11.151</v>
      </c>
      <c r="S152" s="0">
        <v>13.922</v>
      </c>
      <c r="T152" s="11">
        <f>'Annual and Quarterly'!AB152</f>
        <v>13.366</v>
      </c>
      <c r="U152" s="11">
        <f>'Annual and Quarterly'!AC152</f>
        <v>13.474</v>
      </c>
      <c r="V152" s="0">
        <v>17.161</v>
      </c>
      <c r="W152" s="0">
        <v>20.193</v>
      </c>
      <c r="X152" s="11">
        <f>'Annual and Quarterly'!AF152</f>
        <v>17.216</v>
      </c>
      <c r="Y152" s="11">
        <f>'Annual and Quarterly'!AG152</f>
        <v>18.026</v>
      </c>
      <c r="Z152" s="0">
        <v>23.879</v>
      </c>
      <c r="AA152" s="0">
        <v>18.78</v>
      </c>
      <c r="AB152" s="11">
        <f>'Annual and Quarterly'!AJ152</f>
        <v>19.705</v>
      </c>
      <c r="AC152" s="11">
        <f>'Annual and Quarterly'!AK152</f>
        <v>19.065</v>
      </c>
      <c r="AD152" s="0">
        <v>20.088</v>
      </c>
      <c r="AE152" s="0">
        <v>21.475</v>
      </c>
      <c r="AF152" s="11">
        <f>'Annual and Quarterly'!AN152</f>
        <v>22.529</v>
      </c>
    </row>
    <row customHeight="1" ht="15">
      <c r="A153" s="9" t="s">
        <v>150</v>
      </c>
      <c r="B153" s="0">
        <v>0</v>
      </c>
      <c r="F153" s="0">
        <v>4.686</v>
      </c>
      <c r="G153" s="0">
        <v>3.747</v>
      </c>
      <c r="H153" s="11">
        <f>'Annual and Quarterly'!P153</f>
        <v>4.893</v>
      </c>
      <c r="I153" s="11">
        <f>'Annual and Quarterly'!Q153</f>
        <v>8.25</v>
      </c>
      <c r="J153" s="0">
        <v>12.453</v>
      </c>
      <c r="K153" s="0">
        <v>9.132</v>
      </c>
      <c r="L153" s="11">
        <f>'Annual and Quarterly'!T153</f>
        <v>9.855</v>
      </c>
      <c r="M153" s="11">
        <f>'Annual and Quarterly'!U153</f>
        <v>7.13</v>
      </c>
      <c r="N153" s="0">
        <v>5.865</v>
      </c>
      <c r="O153" s="0">
        <v>5.003</v>
      </c>
      <c r="P153" s="11">
        <f>'Annual and Quarterly'!X153</f>
        <v>0</v>
      </c>
      <c r="Q153" s="11">
        <f>'Annual and Quarterly'!Y153</f>
        <v>0</v>
      </c>
      <c r="R153" s="0">
        <v>0.195</v>
      </c>
      <c r="S153" s="0">
        <v>0.691</v>
      </c>
      <c r="T153" s="11">
        <f>'Annual and Quarterly'!AB153</f>
        <v>0.701</v>
      </c>
      <c r="U153" s="11">
        <f>'Annual and Quarterly'!AC153</f>
        <v>0</v>
      </c>
      <c r="V153" s="0">
        <v>1.464</v>
      </c>
      <c r="W153" s="0">
        <v>0.054</v>
      </c>
      <c r="X153" s="11">
        <f>'Annual and Quarterly'!AF153</f>
        <v>0</v>
      </c>
      <c r="Y153" s="11">
        <f>'Annual and Quarterly'!AG153</f>
        <v>4.336</v>
      </c>
      <c r="Z153" s="0">
        <v>0</v>
      </c>
      <c r="AA153" s="0">
        <v>0.334</v>
      </c>
      <c r="AB153" s="11">
        <f>'Annual and Quarterly'!AJ153</f>
        <v>9.032</v>
      </c>
      <c r="AC153" s="11">
        <f>'Annual and Quarterly'!AK153</f>
        <v>7.825</v>
      </c>
      <c r="AD153" s="0">
        <v>7.515</v>
      </c>
      <c r="AE153" s="0">
        <v>5.191</v>
      </c>
      <c r="AF153" s="11">
        <f>'Annual and Quarterly'!AN153</f>
        <v>5.127</v>
      </c>
    </row>
    <row customHeight="1" ht="15">
      <c r="A154" s="4" t="s">
        <v>183</v>
      </c>
      <c r="B154" s="7">
        <f t="shared" si="43" ref="B154:K154">SUM(B146:B150)+SUM(B152:B153)</f>
        <v>19.305</v>
      </c>
      <c r="F154" s="7">
        <f t="shared" si="43"/>
        <v>457.108</v>
      </c>
      <c r="G154" s="7">
        <f t="shared" si="43"/>
        <v>482.264</v>
      </c>
      <c r="H154" s="7">
        <f>'Annual and Quarterly'!P154</f>
        <v>446.173</v>
      </c>
      <c r="I154" s="7">
        <f>'Annual and Quarterly'!Q154</f>
        <v>425.143</v>
      </c>
      <c r="J154" s="7">
        <f t="shared" si="44" ref="J154:AE164">SUM(J145:J150)+SUM(J152:J153)</f>
        <v>385.259</v>
      </c>
      <c r="K154" s="7">
        <f t="shared" si="43"/>
        <v>392.221</v>
      </c>
      <c r="L154" s="7">
        <f>'Annual and Quarterly'!T154</f>
        <v>410.446</v>
      </c>
      <c r="M154" s="7">
        <f>'Annual and Quarterly'!U154</f>
        <v>436.972</v>
      </c>
      <c r="N154" s="7">
        <f t="shared" si="44"/>
        <v>745.773</v>
      </c>
      <c r="O154" s="7">
        <f t="shared" si="44"/>
        <v>793.772</v>
      </c>
      <c r="P154" s="7">
        <f>'Annual and Quarterly'!X154</f>
        <v>887.444</v>
      </c>
      <c r="Q154" s="7">
        <f>'Annual and Quarterly'!Y154</f>
        <v>1016.617</v>
      </c>
      <c r="R154" s="7">
        <f t="shared" si="45" ref="R154:W154">SUM(R145:R147)+SUM(R149:R153)</f>
        <v>956.555</v>
      </c>
      <c r="S154" s="7">
        <f t="shared" si="44"/>
        <v>1094.396</v>
      </c>
      <c r="T154" s="7">
        <f>'Annual and Quarterly'!AB154</f>
        <v>1200.729</v>
      </c>
      <c r="U154" s="7">
        <f>'Annual and Quarterly'!AC154</f>
        <v>1314.707</v>
      </c>
      <c r="V154" s="7">
        <f t="shared" si="45"/>
        <v>1212.508</v>
      </c>
      <c r="W154" s="7">
        <f t="shared" si="45"/>
        <v>1421.318</v>
      </c>
      <c r="X154" s="7">
        <f>'Annual and Quarterly'!AF154</f>
        <v>1394.719</v>
      </c>
      <c r="Y154" s="7">
        <f>'Annual and Quarterly'!AG154</f>
        <v>1330.62</v>
      </c>
      <c r="Z154" s="7">
        <f t="shared" si="46" ref="Z154:AE154">SUM(Z146:Z147)+SUM(Z149:Z153)</f>
        <v>1402.812</v>
      </c>
      <c r="AA154" s="7">
        <f t="shared" si="46"/>
        <v>1259.07</v>
      </c>
      <c r="AB154" s="7">
        <f>'Annual and Quarterly'!AJ154</f>
        <v>1103.164</v>
      </c>
      <c r="AC154" s="7">
        <f>'Annual and Quarterly'!AK154</f>
        <v>1051.449</v>
      </c>
      <c r="AD154" s="7">
        <f t="shared" si="46"/>
        <v>838.638</v>
      </c>
      <c r="AE154" s="7">
        <f t="shared" si="46"/>
        <v>840.245</v>
      </c>
      <c r="AF154" s="7">
        <f>'Annual and Quarterly'!AN154</f>
        <v>708.884</v>
      </c>
    </row>
    <row customHeight="1" ht="15">
      <c r="A155" s="9" t="s">
        <v>180</v>
      </c>
      <c r="B155" s="0">
        <v>41.04</v>
      </c>
      <c r="F155" s="0">
        <v>121.769</v>
      </c>
      <c r="G155" s="0">
        <v>179.378</v>
      </c>
      <c r="H155" s="11">
        <f>'Annual and Quarterly'!P155</f>
        <v>175.883</v>
      </c>
      <c r="I155" s="11">
        <f>'Annual and Quarterly'!Q155</f>
        <v>180.75</v>
      </c>
      <c r="J155" s="0">
        <v>164.928</v>
      </c>
      <c r="K155" s="0">
        <v>180.752</v>
      </c>
      <c r="L155" s="11">
        <f>'Annual and Quarterly'!T155</f>
        <v>194.725</v>
      </c>
      <c r="M155" s="11">
        <f>'Annual and Quarterly'!U155</f>
        <v>209.582</v>
      </c>
      <c r="N155" s="0">
        <v>217.366</v>
      </c>
      <c r="O155" s="0">
        <v>252.499</v>
      </c>
      <c r="P155" s="11">
        <f>'Annual and Quarterly'!X155</f>
        <v>267.528</v>
      </c>
      <c r="Q155" s="11">
        <f>'Annual and Quarterly'!Y155</f>
        <v>274.368</v>
      </c>
      <c r="R155" s="0">
        <v>238.744</v>
      </c>
      <c r="S155" s="0">
        <v>286.91</v>
      </c>
      <c r="T155" s="11">
        <f>'Annual and Quarterly'!AB155</f>
        <v>306.421</v>
      </c>
      <c r="U155" s="11">
        <f>'Annual and Quarterly'!AC155</f>
        <v>331.729</v>
      </c>
      <c r="V155" s="0">
        <v>306.4</v>
      </c>
      <c r="W155" s="0">
        <v>364.416</v>
      </c>
      <c r="X155" s="11">
        <f>'Annual and Quarterly'!AF155</f>
        <v>372.439</v>
      </c>
      <c r="Y155" s="11">
        <f>'Annual and Quarterly'!AG155</f>
        <v>403.781</v>
      </c>
      <c r="Z155" s="0">
        <v>409.09</v>
      </c>
      <c r="AA155" s="0">
        <v>420.052</v>
      </c>
      <c r="AB155" s="11">
        <f>'Annual and Quarterly'!AJ155</f>
        <v>408.194</v>
      </c>
      <c r="AC155" s="11">
        <f>'Annual and Quarterly'!AK155</f>
        <v>373.426</v>
      </c>
      <c r="AD155" s="0">
        <v>307.056</v>
      </c>
      <c r="AE155" s="0">
        <v>358.296</v>
      </c>
      <c r="AF155" s="11">
        <f>'Annual and Quarterly'!AN155</f>
        <v>351.293</v>
      </c>
    </row>
    <row customHeight="1" ht="15">
      <c r="A156" s="9" t="s">
        <v>181</v>
      </c>
      <c r="B156" s="0">
        <v>0</v>
      </c>
      <c r="F156" s="0">
        <v>0</v>
      </c>
      <c r="G156" s="0">
        <v>0</v>
      </c>
      <c r="H156" s="11">
        <f>'Annual and Quarterly'!P156</f>
        <v>0</v>
      </c>
      <c r="I156" s="11">
        <f>'Annual and Quarterly'!Q156</f>
        <v>0</v>
      </c>
      <c r="J156" s="0">
        <v>0</v>
      </c>
      <c r="K156" s="0">
        <v>0</v>
      </c>
      <c r="L156" s="11">
        <f>'Annual and Quarterly'!T156</f>
        <v>0</v>
      </c>
      <c r="M156" s="11">
        <f>'Annual and Quarterly'!U156</f>
        <v>0</v>
      </c>
      <c r="N156" s="0">
        <v>0</v>
      </c>
      <c r="O156" s="0">
        <v>0</v>
      </c>
      <c r="P156" s="11">
        <f>'Annual and Quarterly'!X156</f>
        <v>0</v>
      </c>
      <c r="Q156" s="11">
        <f>'Annual and Quarterly'!Y156</f>
        <v>0</v>
      </c>
      <c r="R156" s="0">
        <v>19.309</v>
      </c>
      <c r="S156" s="0">
        <v>0</v>
      </c>
      <c r="T156" s="11">
        <f>'Annual and Quarterly'!AB156</f>
        <v>0</v>
      </c>
      <c r="U156" s="11">
        <f>'Annual and Quarterly'!AC156</f>
        <v>0</v>
      </c>
      <c r="V156" s="0">
        <v>38.944</v>
      </c>
      <c r="W156" s="0">
        <v>32.663</v>
      </c>
      <c r="X156" s="11">
        <f>'Annual and Quarterly'!AF156</f>
        <v>27.324</v>
      </c>
      <c r="Y156" s="11">
        <f>'Annual and Quarterly'!AG156</f>
        <v>26.309</v>
      </c>
      <c r="Z156" s="0">
        <v>50.496</v>
      </c>
      <c r="AA156" s="0">
        <v>47.306</v>
      </c>
      <c r="AB156" s="11">
        <f>'Annual and Quarterly'!AJ156</f>
        <v>32.963</v>
      </c>
      <c r="AC156" s="11">
        <f>'Annual and Quarterly'!AK156</f>
        <v>33.543</v>
      </c>
      <c r="AD156" s="0">
        <v>20.889</v>
      </c>
      <c r="AE156" s="0">
        <v>23.873</v>
      </c>
      <c r="AF156" s="11">
        <f>'Annual and Quarterly'!AN156</f>
        <v>21.3</v>
      </c>
    </row>
    <row customHeight="1" ht="15">
      <c r="A157" s="9" t="s">
        <v>177</v>
      </c>
      <c r="B157" s="0">
        <v>0</v>
      </c>
      <c r="F157" s="0">
        <v>75.992</v>
      </c>
      <c r="G157" s="0">
        <v>89.06</v>
      </c>
      <c r="H157" s="11">
        <f>'Annual and Quarterly'!P157</f>
        <v>70.236</v>
      </c>
      <c r="I157" s="11">
        <f>'Annual and Quarterly'!Q157</f>
        <v>63.361</v>
      </c>
      <c r="J157" s="0">
        <v>49.978</v>
      </c>
      <c r="K157" s="0">
        <v>39.767</v>
      </c>
      <c r="L157" s="11">
        <f>'Annual and Quarterly'!T157</f>
        <v>40.965</v>
      </c>
      <c r="M157" s="11">
        <f>'Annual and Quarterly'!U157</f>
        <v>44.755</v>
      </c>
      <c r="N157" s="0">
        <v>54.226</v>
      </c>
      <c r="O157" s="0">
        <v>60.611</v>
      </c>
      <c r="P157" s="11">
        <f>'Annual and Quarterly'!X157</f>
        <v>80.701</v>
      </c>
      <c r="Q157" s="11">
        <f>'Annual and Quarterly'!Y157</f>
        <v>114.411</v>
      </c>
      <c r="R157" s="0">
        <v>106.285</v>
      </c>
      <c r="S157" s="0">
        <v>134.131</v>
      </c>
      <c r="T157" s="11">
        <f>'Annual and Quarterly'!AB157</f>
        <v>153.455</v>
      </c>
      <c r="U157" s="11">
        <f>'Annual and Quarterly'!AC157</f>
        <v>192.188</v>
      </c>
      <c r="V157" s="0">
        <v>219.148</v>
      </c>
      <c r="W157" s="0">
        <v>243.337</v>
      </c>
      <c r="X157" s="11">
        <f>'Annual and Quarterly'!AF157</f>
        <v>260.72</v>
      </c>
      <c r="Y157" s="11">
        <f>'Annual and Quarterly'!AG157</f>
        <v>258.393</v>
      </c>
      <c r="Z157" s="0">
        <v>310.354</v>
      </c>
      <c r="AA157" s="0">
        <v>282.136</v>
      </c>
      <c r="AB157" s="11">
        <f>'Annual and Quarterly'!AJ157</f>
        <v>240.277</v>
      </c>
      <c r="AC157" s="11">
        <f>'Annual and Quarterly'!AK157</f>
        <v>230.835</v>
      </c>
      <c r="AD157" s="0">
        <v>192.583</v>
      </c>
      <c r="AE157" s="0">
        <v>191.612</v>
      </c>
      <c r="AF157" s="11">
        <f>'Annual and Quarterly'!AN157</f>
        <v>138.128</v>
      </c>
    </row>
    <row customHeight="1" ht="15">
      <c r="A158" s="9" t="s">
        <v>178</v>
      </c>
      <c r="B158" s="0">
        <v>35.21</v>
      </c>
      <c r="F158" s="0">
        <v>6.817</v>
      </c>
      <c r="G158" s="0">
        <v>6.749</v>
      </c>
      <c r="H158" s="11">
        <f>'Annual and Quarterly'!P158</f>
        <v>2.181</v>
      </c>
      <c r="I158" s="11">
        <f>'Annual and Quarterly'!Q158</f>
        <v>1.997</v>
      </c>
      <c r="J158" s="0">
        <v>5.565</v>
      </c>
      <c r="K158" s="0">
        <v>5.906</v>
      </c>
      <c r="L158" s="11">
        <f>'Annual and Quarterly'!T158</f>
        <v>6.393</v>
      </c>
      <c r="M158" s="11">
        <f>'Annual and Quarterly'!U158</f>
        <v>9.357</v>
      </c>
      <c r="N158" s="0">
        <v>17.301</v>
      </c>
      <c r="O158" s="0">
        <v>14.619</v>
      </c>
      <c r="P158" s="11">
        <f>'Annual and Quarterly'!X158</f>
        <v>15.224</v>
      </c>
      <c r="Q158" s="11">
        <f>'Annual and Quarterly'!Y158</f>
        <v>23.706</v>
      </c>
      <c r="R158" s="0">
        <v>14.307</v>
      </c>
      <c r="S158" s="0">
        <v>10.513</v>
      </c>
      <c r="T158" s="11">
        <f>'Annual and Quarterly'!AB158</f>
        <v>9.139</v>
      </c>
      <c r="U158" s="11">
        <f>'Annual and Quarterly'!AC158</f>
        <v>26.412</v>
      </c>
      <c r="V158" s="0">
        <v>184.749</v>
      </c>
      <c r="W158" s="0">
        <v>190.487</v>
      </c>
      <c r="X158" s="11">
        <f>'Annual and Quarterly'!AF158</f>
        <v>24.305</v>
      </c>
      <c r="Y158" s="11">
        <f>'Annual and Quarterly'!AG158</f>
        <v>32.635</v>
      </c>
      <c r="Z158" s="0">
        <v>35.866</v>
      </c>
      <c r="AA158" s="0">
        <v>69.749</v>
      </c>
      <c r="AB158" s="11">
        <f>'Annual and Quarterly'!AJ158</f>
        <v>64.278</v>
      </c>
      <c r="AC158" s="11">
        <f>'Annual and Quarterly'!AK158</f>
        <v>70.853</v>
      </c>
      <c r="AD158" s="0">
        <v>62.25</v>
      </c>
      <c r="AE158" s="0">
        <v>88.593</v>
      </c>
      <c r="AF158" s="11">
        <f>'Annual and Quarterly'!AN158</f>
        <v>134.658</v>
      </c>
    </row>
    <row customHeight="1" ht="15">
      <c r="A159" s="9" t="s">
        <v>184</v>
      </c>
      <c r="B159" s="0">
        <v>20.2</v>
      </c>
      <c r="F159" s="0">
        <v>66.098</v>
      </c>
      <c r="G159" s="0">
        <v>45.621</v>
      </c>
      <c r="H159" s="11">
        <f>'Annual and Quarterly'!P159</f>
        <v>44.099</v>
      </c>
      <c r="I159" s="11">
        <f>'Annual and Quarterly'!Q159</f>
        <v>37.077</v>
      </c>
      <c r="J159" s="0">
        <v>33.36</v>
      </c>
      <c r="K159" s="0">
        <v>45.299</v>
      </c>
      <c r="L159" s="11">
        <f>'Annual and Quarterly'!T159</f>
        <v>47.846</v>
      </c>
      <c r="M159" s="11">
        <f>'Annual and Quarterly'!U159</f>
        <v>61.557</v>
      </c>
      <c r="N159" s="0">
        <v>77.635</v>
      </c>
      <c r="O159" s="0">
        <v>67.262</v>
      </c>
      <c r="P159" s="11">
        <f>'Annual and Quarterly'!X159</f>
        <v>77.068</v>
      </c>
      <c r="Q159" s="11">
        <f>'Annual and Quarterly'!Y159</f>
        <v>95.052</v>
      </c>
      <c r="R159" s="0">
        <v>57.327</v>
      </c>
      <c r="S159" s="0">
        <v>98.228</v>
      </c>
      <c r="T159" s="11">
        <f>'Annual and Quarterly'!AB159</f>
        <v>164.798</v>
      </c>
      <c r="U159" s="11">
        <f>'Annual and Quarterly'!AC159</f>
        <v>116.265</v>
      </c>
      <c r="V159" s="0">
        <v>98.155</v>
      </c>
      <c r="W159" s="0">
        <v>164.075</v>
      </c>
      <c r="X159" s="11">
        <f>'Annual and Quarterly'!AF159</f>
        <v>207.462</v>
      </c>
      <c r="Y159" s="11">
        <f>'Annual and Quarterly'!AG159</f>
        <v>164.236</v>
      </c>
      <c r="Z159" s="0">
        <v>117.02</v>
      </c>
      <c r="AA159" s="0">
        <v>141.184</v>
      </c>
      <c r="AB159" s="11">
        <f>'Annual and Quarterly'!AJ159</f>
        <v>178.652</v>
      </c>
      <c r="AC159" s="11">
        <f>'Annual and Quarterly'!AK159</f>
        <v>154.295</v>
      </c>
      <c r="AD159" s="0">
        <v>121.769</v>
      </c>
      <c r="AE159" s="0">
        <v>147.679</v>
      </c>
      <c r="AF159" s="11">
        <f>'Annual and Quarterly'!AN159</f>
        <v>122.905</v>
      </c>
    </row>
    <row customHeight="1" ht="15">
      <c r="A160" s="9" t="s">
        <v>91</v>
      </c>
      <c r="B160" s="0">
        <v>0.35</v>
      </c>
      <c r="F160" s="0">
        <v>7.123</v>
      </c>
      <c r="G160" s="0">
        <v>8.891</v>
      </c>
      <c r="H160" s="11">
        <f>'Annual and Quarterly'!P160</f>
        <v>5.507</v>
      </c>
      <c r="I160" s="11">
        <f>'Annual and Quarterly'!Q160</f>
        <v>5.484</v>
      </c>
      <c r="J160" s="0">
        <v>3.914</v>
      </c>
      <c r="K160" s="0">
        <v>3.615</v>
      </c>
      <c r="L160" s="11">
        <f>'Annual and Quarterly'!T160</f>
        <v>5.039</v>
      </c>
      <c r="M160" s="11">
        <f>'Annual and Quarterly'!U160</f>
        <v>4.114</v>
      </c>
      <c r="N160" s="0">
        <v>6.309</v>
      </c>
      <c r="O160" s="0">
        <v>9.85</v>
      </c>
      <c r="P160" s="11">
        <f>'Annual and Quarterly'!X160</f>
        <v>12.998</v>
      </c>
      <c r="Q160" s="11">
        <f>'Annual and Quarterly'!Y160</f>
        <v>15.344</v>
      </c>
      <c r="R160" s="0">
        <v>11.282</v>
      </c>
      <c r="S160" s="0">
        <v>17.282</v>
      </c>
      <c r="T160" s="11">
        <f>'Annual and Quarterly'!AB160</f>
        <v>23.015</v>
      </c>
      <c r="U160" s="11">
        <f>'Annual and Quarterly'!AC160</f>
        <v>18.977</v>
      </c>
      <c r="V160" s="0">
        <v>17.632</v>
      </c>
      <c r="W160" s="0">
        <v>36.542</v>
      </c>
      <c r="X160" s="11">
        <f>'Annual and Quarterly'!AF160</f>
        <v>20.678</v>
      </c>
      <c r="Y160" s="11">
        <f>'Annual and Quarterly'!AG160</f>
        <v>20.606</v>
      </c>
      <c r="Z160" s="0">
        <v>19.718</v>
      </c>
      <c r="AA160" s="0">
        <v>21.062</v>
      </c>
      <c r="AB160" s="11">
        <f>'Annual and Quarterly'!AJ160</f>
        <v>21.091</v>
      </c>
      <c r="AC160" s="11">
        <f>'Annual and Quarterly'!AK160</f>
        <v>22.232</v>
      </c>
      <c r="AD160" s="0">
        <v>19.512</v>
      </c>
      <c r="AE160" s="0">
        <v>25.286</v>
      </c>
      <c r="AF160" s="11">
        <f>'Annual and Quarterly'!AN160</f>
        <v>19.353</v>
      </c>
    </row>
    <row customHeight="1" ht="15">
      <c r="A161" s="9" t="s">
        <v>150</v>
      </c>
      <c r="B161" s="0">
        <v>0</v>
      </c>
      <c r="F161" s="0">
        <v>0</v>
      </c>
      <c r="G161" s="0">
        <v>0</v>
      </c>
      <c r="H161" s="11">
        <f>'Annual and Quarterly'!P161</f>
        <v>0.084</v>
      </c>
      <c r="I161" s="11">
        <f>'Annual and Quarterly'!Q161</f>
        <v>0.037</v>
      </c>
      <c r="J161" s="0">
        <v>0.137</v>
      </c>
      <c r="K161" s="0">
        <v>0.235</v>
      </c>
      <c r="L161" s="11">
        <f>'Annual and Quarterly'!T161</f>
        <v>0</v>
      </c>
      <c r="M161" s="11">
        <f>'Annual and Quarterly'!U161</f>
        <v>0</v>
      </c>
      <c r="N161" s="0">
        <v>0</v>
      </c>
      <c r="O161" s="0">
        <v>0</v>
      </c>
      <c r="P161" s="11">
        <f>'Annual and Quarterly'!X161</f>
        <v>0</v>
      </c>
      <c r="Q161" s="11">
        <f>'Annual and Quarterly'!Y161</f>
        <v>0</v>
      </c>
      <c r="R161" s="0">
        <v>0</v>
      </c>
      <c r="S161" s="0">
        <v>0</v>
      </c>
      <c r="T161" s="11">
        <f>'Annual and Quarterly'!AB161</f>
        <v>0.501</v>
      </c>
      <c r="U161" s="11">
        <f>'Annual and Quarterly'!AC161</f>
        <v>0</v>
      </c>
      <c r="V161" s="0">
        <v>0.141</v>
      </c>
      <c r="W161" s="0">
        <v>0.198</v>
      </c>
      <c r="X161" s="11">
        <f>'Annual and Quarterly'!AF161</f>
        <v>0</v>
      </c>
      <c r="Y161" s="11">
        <f>'Annual and Quarterly'!AG161</f>
        <v>0</v>
      </c>
      <c r="Z161" s="0">
        <v>0</v>
      </c>
      <c r="AA161" s="0">
        <v>0</v>
      </c>
      <c r="AB161" s="11">
        <f>'Annual and Quarterly'!AJ161</f>
        <v>0.786</v>
      </c>
      <c r="AC161" s="11">
        <f>'Annual and Quarterly'!AK161</f>
        <v>0.353</v>
      </c>
      <c r="AD161" s="0">
        <v>0</v>
      </c>
      <c r="AE161" s="0">
        <v>0</v>
      </c>
      <c r="AF161" s="11">
        <f>'Annual and Quarterly'!AN161</f>
        <v>0</v>
      </c>
    </row>
    <row customHeight="1" ht="15">
      <c r="A162" s="9" t="s">
        <v>179</v>
      </c>
      <c r="B162" s="0">
        <v>0</v>
      </c>
      <c r="F162" s="0">
        <v>0</v>
      </c>
      <c r="G162" s="0">
        <v>0</v>
      </c>
      <c r="H162" s="11">
        <f>'Annual and Quarterly'!P162</f>
        <v>0</v>
      </c>
      <c r="I162" s="11">
        <f>'Annual and Quarterly'!Q162</f>
        <v>0</v>
      </c>
      <c r="J162" s="0">
        <v>0</v>
      </c>
      <c r="K162" s="0">
        <v>0</v>
      </c>
      <c r="L162" s="11">
        <f>'Annual and Quarterly'!T162</f>
        <v>0</v>
      </c>
      <c r="M162" s="11">
        <f>'Annual and Quarterly'!U162</f>
        <v>0</v>
      </c>
      <c r="N162" s="0">
        <v>0</v>
      </c>
      <c r="O162" s="0">
        <v>0</v>
      </c>
      <c r="P162" s="11">
        <f>'Annual and Quarterly'!X162</f>
        <v>0</v>
      </c>
      <c r="Q162" s="11">
        <f>'Annual and Quarterly'!Y162</f>
        <v>0</v>
      </c>
      <c r="R162" s="0">
        <v>0</v>
      </c>
      <c r="S162" s="0">
        <v>0</v>
      </c>
      <c r="T162" s="11">
        <f>'Annual and Quarterly'!AB162</f>
        <v>0</v>
      </c>
      <c r="U162" s="11">
        <f>'Annual and Quarterly'!AC162</f>
        <v>0</v>
      </c>
      <c r="V162" s="0">
        <v>0</v>
      </c>
      <c r="W162" s="0">
        <v>0</v>
      </c>
      <c r="X162" s="11">
        <f>'Annual and Quarterly'!AF162</f>
        <v>0</v>
      </c>
      <c r="Y162" s="11">
        <f>'Annual and Quarterly'!AG162</f>
        <v>0</v>
      </c>
      <c r="Z162" s="0">
        <v>0</v>
      </c>
      <c r="AA162" s="0">
        <v>0</v>
      </c>
      <c r="AB162" s="11">
        <f>'Annual and Quarterly'!AJ162</f>
        <v>0.651</v>
      </c>
      <c r="AC162" s="11">
        <f>'Annual and Quarterly'!AK162</f>
        <v>0.406</v>
      </c>
      <c r="AD162" s="0">
        <v>0.067</v>
      </c>
      <c r="AE162" s="0">
        <v>0.065</v>
      </c>
      <c r="AF162" s="11">
        <f>'Annual and Quarterly'!AN162</f>
        <v>0.115</v>
      </c>
    </row>
    <row customHeight="1" ht="15">
      <c r="A163" s="9" t="s">
        <v>185</v>
      </c>
      <c r="B163" s="0">
        <v>3.701</v>
      </c>
      <c r="F163" s="0">
        <v>19.103</v>
      </c>
      <c r="G163" s="0">
        <v>24.531</v>
      </c>
      <c r="H163" s="11">
        <f>'Annual and Quarterly'!P163</f>
        <v>29.579</v>
      </c>
      <c r="I163" s="11">
        <f>'Annual and Quarterly'!Q163</f>
        <v>31.485</v>
      </c>
      <c r="J163" s="0">
        <v>29.779</v>
      </c>
      <c r="K163" s="0">
        <v>30.028</v>
      </c>
      <c r="L163" s="11">
        <f>'Annual and Quarterly'!T163</f>
        <v>31.977</v>
      </c>
      <c r="M163" s="11">
        <f>'Annual and Quarterly'!U163</f>
        <v>25.719</v>
      </c>
      <c r="N163" s="0">
        <v>25.13</v>
      </c>
      <c r="O163" s="0">
        <v>26.33</v>
      </c>
      <c r="P163" s="11">
        <f>'Annual and Quarterly'!X163</f>
        <v>26.83</v>
      </c>
      <c r="Q163" s="11">
        <f>'Annual and Quarterly'!Y163</f>
        <v>35.926</v>
      </c>
      <c r="R163" s="0">
        <v>26.118</v>
      </c>
      <c r="S163" s="0">
        <v>25.838</v>
      </c>
      <c r="T163" s="11">
        <f>'Annual and Quarterly'!AB163</f>
        <v>26.597</v>
      </c>
      <c r="U163" s="11">
        <f>'Annual and Quarterly'!AC163</f>
        <v>29.271</v>
      </c>
      <c r="V163" s="0">
        <v>18.917</v>
      </c>
      <c r="W163" s="0">
        <v>21.212</v>
      </c>
      <c r="X163" s="11">
        <f>'Annual and Quarterly'!AF163</f>
        <v>20.285</v>
      </c>
      <c r="Y163" s="11">
        <f>'Annual and Quarterly'!AG163</f>
        <v>32.796</v>
      </c>
      <c r="Z163" s="0">
        <v>30.831</v>
      </c>
      <c r="AA163" s="0">
        <v>32.083</v>
      </c>
      <c r="AB163" s="11">
        <f>'Annual and Quarterly'!AJ163</f>
        <v>24.344</v>
      </c>
      <c r="AC163" s="11">
        <f>'Annual and Quarterly'!AK163</f>
        <v>28.977</v>
      </c>
      <c r="AD163" s="0">
        <v>16.575</v>
      </c>
      <c r="AE163" s="0">
        <v>20.99</v>
      </c>
      <c r="AF163" s="11">
        <f>'Annual and Quarterly'!AN163</f>
        <v>20.457</v>
      </c>
    </row>
    <row customHeight="1" ht="15">
      <c r="A164" s="4" t="s">
        <v>186</v>
      </c>
      <c r="B164" s="7">
        <f t="shared" si="47" ref="B164:S164">B155+SUM(B157:B160)+B163</f>
        <v>100.501</v>
      </c>
      <c r="F164" s="7">
        <f t="shared" si="48" ref="F164:O164">F155+SUM(F157:F161)+F163</f>
        <v>296.902</v>
      </c>
      <c r="G164" s="7">
        <f t="shared" si="47"/>
        <v>354.23</v>
      </c>
      <c r="H164" s="7">
        <f>'Annual and Quarterly'!P164</f>
        <v>327.569</v>
      </c>
      <c r="I164" s="7">
        <f>'Annual and Quarterly'!Q164</f>
        <v>320.191</v>
      </c>
      <c r="J164" s="7">
        <f t="shared" si="48"/>
        <v>287.661</v>
      </c>
      <c r="K164" s="7">
        <f t="shared" si="48"/>
        <v>305.602</v>
      </c>
      <c r="L164" s="7">
        <f>'Annual and Quarterly'!T164</f>
        <v>326.945</v>
      </c>
      <c r="M164" s="7">
        <f>'Annual and Quarterly'!U164</f>
        <v>355.084</v>
      </c>
      <c r="N164" s="7">
        <f t="shared" si="47"/>
        <v>397.967</v>
      </c>
      <c r="O164" s="7">
        <f t="shared" si="48"/>
        <v>431.171</v>
      </c>
      <c r="P164" s="7">
        <f>'Annual and Quarterly'!X164</f>
        <v>480.349</v>
      </c>
      <c r="Q164" s="7">
        <f>'Annual and Quarterly'!Y164</f>
        <v>558.807</v>
      </c>
      <c r="R164" s="7">
        <f>SUM(R155:R160)+R163</f>
        <v>473.372</v>
      </c>
      <c r="S164" s="7">
        <f t="shared" si="47"/>
        <v>572.902</v>
      </c>
      <c r="T164" s="7">
        <f>'Annual and Quarterly'!AB164</f>
        <v>683.926</v>
      </c>
      <c r="U164" s="7">
        <f>'Annual and Quarterly'!AC164</f>
        <v>714.842</v>
      </c>
      <c r="V164" s="7">
        <f t="shared" si="49" ref="V164:AA164">SUM(V155:V161)+V163</f>
        <v>884.086</v>
      </c>
      <c r="W164" s="7">
        <f t="shared" si="49"/>
        <v>1052.93</v>
      </c>
      <c r="X164" s="7">
        <f>'Annual and Quarterly'!AF164</f>
        <v>933.213</v>
      </c>
      <c r="Y164" s="7">
        <f>'Annual and Quarterly'!AG164</f>
        <v>938.756</v>
      </c>
      <c r="Z164" s="7">
        <f t="shared" si="44"/>
        <v>973.375</v>
      </c>
      <c r="AA164" s="7">
        <f t="shared" si="49"/>
        <v>1013.572</v>
      </c>
      <c r="AB164" s="7">
        <f>'Annual and Quarterly'!AJ164</f>
        <v>971.236</v>
      </c>
      <c r="AC164" s="7">
        <f>'Annual and Quarterly'!AK164</f>
        <v>914.92</v>
      </c>
      <c r="AD164" s="7">
        <f t="shared" si="44"/>
        <v>740.701</v>
      </c>
      <c r="AE164" s="7">
        <f t="shared" si="44"/>
        <v>856.394</v>
      </c>
      <c r="AF164" s="7">
        <f>'Annual and Quarterly'!AN164</f>
        <v>808.209</v>
      </c>
    </row>
    <row customHeight="1" ht="15">
      <c r="A165" s="4" t="s">
        <v>187</v>
      </c>
      <c r="B165" s="7">
        <f t="shared" si="50" ref="B165:AE165">B154+B164</f>
        <v>119.806</v>
      </c>
      <c r="F165" s="7">
        <f t="shared" si="50"/>
        <v>754.01</v>
      </c>
      <c r="G165" s="7">
        <f t="shared" si="50"/>
        <v>836.494</v>
      </c>
      <c r="H165" s="7">
        <f>'Annual and Quarterly'!P165</f>
        <v>773.742</v>
      </c>
      <c r="I165" s="7">
        <f>'Annual and Quarterly'!Q165</f>
        <v>745.334</v>
      </c>
      <c r="J165" s="7">
        <f t="shared" si="50"/>
        <v>672.92</v>
      </c>
      <c r="K165" s="7">
        <f t="shared" si="50"/>
        <v>697.823</v>
      </c>
      <c r="L165" s="7">
        <f>'Annual and Quarterly'!T165</f>
        <v>737.391</v>
      </c>
      <c r="M165" s="7">
        <f>'Annual and Quarterly'!U165</f>
        <v>792.056</v>
      </c>
      <c r="N165" s="7">
        <f t="shared" si="50"/>
        <v>1143.74</v>
      </c>
      <c r="O165" s="7">
        <f t="shared" si="50"/>
        <v>1224.943</v>
      </c>
      <c r="P165" s="7">
        <f>'Annual and Quarterly'!X165</f>
        <v>1367.793</v>
      </c>
      <c r="Q165" s="7">
        <f>'Annual and Quarterly'!Y165</f>
        <v>1575.424</v>
      </c>
      <c r="R165" s="7">
        <f t="shared" si="50"/>
        <v>1429.927</v>
      </c>
      <c r="S165" s="7">
        <f t="shared" si="50"/>
        <v>1667.298</v>
      </c>
      <c r="T165" s="7">
        <f>'Annual and Quarterly'!AB165</f>
        <v>1884.655</v>
      </c>
      <c r="U165" s="7">
        <f>'Annual and Quarterly'!AC165</f>
        <v>2029.549</v>
      </c>
      <c r="V165" s="7">
        <f t="shared" si="50"/>
        <v>2096.594</v>
      </c>
      <c r="W165" s="7">
        <f t="shared" si="50"/>
        <v>2474.248</v>
      </c>
      <c r="X165" s="7">
        <f>'Annual and Quarterly'!AF165</f>
        <v>2327.932</v>
      </c>
      <c r="Y165" s="7">
        <f>'Annual and Quarterly'!AG165</f>
        <v>2269.376</v>
      </c>
      <c r="Z165" s="7">
        <f t="shared" si="50"/>
        <v>2376.187</v>
      </c>
      <c r="AA165" s="7">
        <f t="shared" si="50"/>
        <v>2272.642</v>
      </c>
      <c r="AB165" s="7">
        <f>'Annual and Quarterly'!AJ165</f>
        <v>2074.4</v>
      </c>
      <c r="AC165" s="7">
        <f>'Annual and Quarterly'!AK165</f>
        <v>1966.369</v>
      </c>
      <c r="AD165" s="7">
        <f t="shared" si="50"/>
        <v>1579.339</v>
      </c>
      <c r="AE165" s="7">
        <f t="shared" si="50"/>
        <v>1696.639</v>
      </c>
      <c r="AF165" s="7">
        <f>'Annual and Quarterly'!AN165</f>
        <v>1517.093</v>
      </c>
    </row>
    <row customHeight="1" ht="15">
      <c r="A166" s="9" t="s">
        <v>188</v>
      </c>
      <c r="B166" s="0">
        <v>0</v>
      </c>
      <c r="F166" s="0">
        <v>0</v>
      </c>
      <c r="G166" s="0">
        <v>0</v>
      </c>
      <c r="H166" s="11">
        <f>'Annual and Quarterly'!P166</f>
        <v>0</v>
      </c>
      <c r="I166" s="11">
        <f>'Annual and Quarterly'!Q166</f>
        <v>0</v>
      </c>
      <c r="J166" s="0">
        <v>0</v>
      </c>
      <c r="K166" s="0">
        <v>0</v>
      </c>
      <c r="L166" s="11">
        <f>'Annual and Quarterly'!T166</f>
        <v>0</v>
      </c>
      <c r="M166" s="11">
        <f>'Annual and Quarterly'!U166</f>
        <v>0</v>
      </c>
      <c r="N166" s="0">
        <v>0</v>
      </c>
      <c r="O166" s="0">
        <v>0</v>
      </c>
      <c r="P166" s="11">
        <f>'Annual and Quarterly'!X166</f>
        <v>0</v>
      </c>
      <c r="Q166" s="11">
        <f>'Annual and Quarterly'!Y166</f>
        <v>0</v>
      </c>
      <c r="R166" s="0">
        <v>8.758</v>
      </c>
      <c r="S166" s="0">
        <v>0</v>
      </c>
      <c r="T166" s="11">
        <f>'Annual and Quarterly'!AB166</f>
        <v>0</v>
      </c>
      <c r="U166" s="11">
        <f>'Annual and Quarterly'!AC166</f>
        <v>0</v>
      </c>
      <c r="V166" s="0">
        <v>0</v>
      </c>
      <c r="W166" s="0">
        <v>0</v>
      </c>
      <c r="X166" s="11">
        <f>'Annual and Quarterly'!AF166</f>
        <v>0</v>
      </c>
      <c r="Y166" s="11">
        <f>'Annual and Quarterly'!AG166</f>
        <v>0</v>
      </c>
      <c r="Z166" s="0">
        <v>0</v>
      </c>
      <c r="AA166" s="0">
        <v>0</v>
      </c>
      <c r="AB166" s="11">
        <f>'Annual and Quarterly'!AJ166</f>
        <v>0</v>
      </c>
      <c r="AC166" s="11">
        <f>'Annual and Quarterly'!AK166</f>
        <v>0</v>
      </c>
      <c r="AD166" s="0">
        <v>0</v>
      </c>
      <c r="AE166" s="0">
        <v>0</v>
      </c>
      <c r="AF166" s="11">
        <f>'Annual and Quarterly'!AN166</f>
        <v>0</v>
      </c>
    </row>
    <row customHeight="1" ht="15">
      <c r="A167" s="4" t="s">
        <v>189</v>
      </c>
      <c r="B167" s="7">
        <f t="shared" si="51" ref="B167:AE167">B144+B165</f>
        <v>184.561</v>
      </c>
      <c r="F167" s="7">
        <f t="shared" si="51"/>
        <v>1100.032</v>
      </c>
      <c r="G167" s="7">
        <f t="shared" si="51"/>
        <v>1178.53</v>
      </c>
      <c r="H167" s="7">
        <f>'Annual and Quarterly'!P167</f>
        <v>1113.24</v>
      </c>
      <c r="I167" s="7">
        <f>'Annual and Quarterly'!Q167</f>
        <v>1058.94</v>
      </c>
      <c r="J167" s="7">
        <f t="shared" si="51"/>
        <v>946.29</v>
      </c>
      <c r="K167" s="7">
        <f t="shared" si="51"/>
        <v>984.225</v>
      </c>
      <c r="L167" s="7">
        <f>'Annual and Quarterly'!T167</f>
        <v>1033.927</v>
      </c>
      <c r="M167" s="7">
        <f>'Annual and Quarterly'!U167</f>
        <v>1117.426</v>
      </c>
      <c r="N167" s="7">
        <f t="shared" si="52" ref="N167:S167">N144+SUM(N165:N166)</f>
        <v>1472.119</v>
      </c>
      <c r="O167" s="7">
        <f t="shared" si="51"/>
        <v>1542.027</v>
      </c>
      <c r="P167" s="7">
        <f>'Annual and Quarterly'!X167</f>
        <v>1685.827</v>
      </c>
      <c r="Q167" s="7">
        <f>'Annual and Quarterly'!Y167</f>
        <v>1978.13</v>
      </c>
      <c r="R167" s="7">
        <f t="shared" si="52"/>
        <v>1754.302</v>
      </c>
      <c r="S167" s="7">
        <f t="shared" si="52"/>
        <v>1944.66</v>
      </c>
      <c r="T167" s="7">
        <f>'Annual and Quarterly'!AB167</f>
        <v>2194.084</v>
      </c>
      <c r="U167" s="7">
        <f>'Annual and Quarterly'!AC167</f>
        <v>2419.563</v>
      </c>
      <c r="V167" s="7">
        <f t="shared" si="51"/>
        <v>2444.475</v>
      </c>
      <c r="W167" s="7">
        <f t="shared" si="51"/>
        <v>2733.378</v>
      </c>
      <c r="X167" s="7">
        <f>'Annual and Quarterly'!AF167</f>
        <v>2982.816</v>
      </c>
      <c r="Y167" s="7">
        <f>'Annual and Quarterly'!AG167</f>
        <v>2993.811</v>
      </c>
      <c r="Z167" s="7">
        <f t="shared" si="51"/>
        <v>2981.655</v>
      </c>
      <c r="AA167" s="7">
        <f t="shared" si="51"/>
        <v>2757.151</v>
      </c>
      <c r="AB167" s="7">
        <f>'Annual and Quarterly'!AJ167</f>
        <v>2562.525</v>
      </c>
      <c r="AC167" s="7">
        <f>'Annual and Quarterly'!AK167</f>
        <v>2519.113</v>
      </c>
      <c r="AD167" s="7">
        <f t="shared" si="51"/>
        <v>2108.602</v>
      </c>
      <c r="AE167" s="7">
        <f t="shared" si="51"/>
        <v>2171.168</v>
      </c>
      <c r="AF167" s="7">
        <f>'Annual and Quarterly'!AN167</f>
        <v>1969.398</v>
      </c>
    </row>
    <row customHeight="1" ht="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customHeight="1" ht="15">
      <c r="A169" s="2" t="s">
        <v>190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customHeight="1" ht="15">
      <c r="A170" s="9" t="s">
        <v>191</v>
      </c>
      <c r="B170" s="0">
        <v>10.551</v>
      </c>
      <c r="F170" s="0">
        <v>10.417</v>
      </c>
      <c r="J170" s="0">
        <v>18.964</v>
      </c>
      <c r="N170" s="0">
        <v>35.787</v>
      </c>
      <c r="R170" s="0">
        <v>33.915</v>
      </c>
      <c r="V170" s="0">
        <v>32.902</v>
      </c>
      <c r="Z170" s="0">
        <v>52.284</v>
      </c>
      <c r="AD170" s="0">
        <v>126.892</v>
      </c>
    </row>
    <row customHeight="1" ht="15">
      <c r="A171" s="9" t="s">
        <v>177</v>
      </c>
      <c r="B171" s="0">
        <v>13.821</v>
      </c>
      <c r="F171" s="0">
        <v>237.193</v>
      </c>
      <c r="J171" s="0">
        <v>165.824</v>
      </c>
      <c r="N171" s="0">
        <v>180.755</v>
      </c>
      <c r="R171" s="0">
        <v>469.456</v>
      </c>
      <c r="V171" s="0">
        <v>1006.107</v>
      </c>
      <c r="Z171" s="0">
        <v>1342.71</v>
      </c>
      <c r="AD171" s="0">
        <v>637.879</v>
      </c>
    </row>
    <row customHeight="1" ht="15">
      <c r="A172" s="9" t="s">
        <v>192</v>
      </c>
      <c r="B172" s="0">
        <v>0</v>
      </c>
      <c r="F172" s="0">
        <v>261.411</v>
      </c>
      <c r="J172" s="0">
        <v>219.273</v>
      </c>
      <c r="N172" s="0">
        <v>238.204</v>
      </c>
      <c r="R172" s="0">
        <v>186.547</v>
      </c>
      <c r="V172" s="0">
        <v>162.767</v>
      </c>
      <c r="Z172" s="0">
        <v>285.525</v>
      </c>
      <c r="AD172" s="0">
        <v>253.591</v>
      </c>
    </row>
    <row customHeight="1" ht="15">
      <c r="A173" s="9" t="s">
        <v>193</v>
      </c>
      <c r="B173" s="0">
        <v>2.349</v>
      </c>
      <c r="F173" s="0">
        <v>0</v>
      </c>
      <c r="J173" s="0">
        <v>0</v>
      </c>
      <c r="N173" s="0">
        <v>0</v>
      </c>
      <c r="R173" s="0">
        <v>0</v>
      </c>
      <c r="V173" s="0">
        <v>0</v>
      </c>
      <c r="Z173" s="0">
        <v>0</v>
      </c>
      <c r="AD173" s="0">
        <v>0</v>
      </c>
    </row>
    <row customHeight="1" ht="15">
      <c r="A174" s="9" t="s">
        <v>194</v>
      </c>
      <c r="B174" s="0">
        <v>0.026</v>
      </c>
      <c r="F174" s="0">
        <v>0.143</v>
      </c>
      <c r="J174" s="0">
        <v>1.991</v>
      </c>
      <c r="N174" s="0">
        <v>12.378</v>
      </c>
      <c r="R174" s="0">
        <v>10.643</v>
      </c>
      <c r="V174" s="0">
        <v>0</v>
      </c>
      <c r="Z174" s="0">
        <v>0</v>
      </c>
      <c r="AD174" s="0">
        <v>0</v>
      </c>
    </row>
    <row customHeight="1" ht="15">
      <c r="A175" s="9" t="s">
        <v>195</v>
      </c>
      <c r="B175" s="0">
        <v>0</v>
      </c>
      <c r="F175" s="0">
        <v>0</v>
      </c>
      <c r="J175" s="0">
        <v>0.032</v>
      </c>
      <c r="N175" s="0">
        <v>11.746</v>
      </c>
      <c r="R175" s="0">
        <v>16.994</v>
      </c>
      <c r="V175" s="0">
        <v>19.065</v>
      </c>
      <c r="Z175" s="0">
        <v>18.89</v>
      </c>
      <c r="AD175" s="0">
        <v>19.172</v>
      </c>
    </row>
    <row customHeight="1" ht="15">
      <c r="A176" s="9" t="s">
        <v>196</v>
      </c>
      <c r="B176" s="0">
        <v>24.351</v>
      </c>
      <c r="F176" s="0">
        <v>5.163</v>
      </c>
      <c r="J176" s="0">
        <v>0.5</v>
      </c>
      <c r="N176" s="0">
        <v>0.799</v>
      </c>
      <c r="R176" s="0">
        <v>0.298</v>
      </c>
      <c r="V176" s="0">
        <v>0</v>
      </c>
      <c r="Z176" s="0">
        <v>0</v>
      </c>
      <c r="AD176" s="0">
        <v>1.365</v>
      </c>
    </row>
    <row customHeight="1" ht="15">
      <c r="A177" s="9" t="s">
        <v>197</v>
      </c>
      <c r="B177" s="11">
        <f>SUM(B170:B174)+B176</f>
        <v>51.098</v>
      </c>
      <c r="F177" s="11">
        <f t="shared" si="54" ref="F177:J177">SUM(F170:F176)</f>
        <v>514.327</v>
      </c>
      <c r="G177" s="11">
        <f t="shared" si="53" ref="G177:AF177">G146+G147+G157+G158</f>
        <v>547.5</v>
      </c>
      <c r="H177" s="11">
        <f t="shared" si="53"/>
        <v>489.139</v>
      </c>
      <c r="I177" s="11">
        <f t="shared" si="53"/>
        <v>457.188</v>
      </c>
      <c r="J177" s="11">
        <f t="shared" si="54"/>
        <v>406.584</v>
      </c>
      <c r="K177" s="11">
        <f t="shared" si="53"/>
        <v>406.764</v>
      </c>
      <c r="L177" s="11">
        <f t="shared" si="53"/>
        <v>431.427</v>
      </c>
      <c r="M177" s="11">
        <f t="shared" si="53"/>
        <v>461.158</v>
      </c>
      <c r="N177" s="11">
        <f t="shared" si="55" ref="N177:R177">SUM(N170:N172)+SUM(N174:N176)</f>
        <v>479.669</v>
      </c>
      <c r="O177" s="11">
        <f t="shared" si="53"/>
        <v>529.611</v>
      </c>
      <c r="P177" s="11">
        <f t="shared" si="53"/>
        <v>639.142</v>
      </c>
      <c r="Q177" s="11">
        <f t="shared" si="53"/>
        <v>799.116</v>
      </c>
      <c r="R177" s="11">
        <f t="shared" si="55"/>
        <v>717.853</v>
      </c>
      <c r="S177" s="11">
        <f t="shared" si="53"/>
        <v>868.897</v>
      </c>
      <c r="T177" s="11">
        <f t="shared" si="53"/>
        <v>984.903</v>
      </c>
      <c r="U177" s="11">
        <f t="shared" si="53"/>
        <v>1145.191</v>
      </c>
      <c r="V177" s="11">
        <f>SUM(V170:V172)+V175</f>
        <v>1220.841</v>
      </c>
      <c r="W177" s="11">
        <f t="shared" si="53"/>
        <v>1449.907</v>
      </c>
      <c r="X177" s="11">
        <f t="shared" si="53"/>
        <v>1637.908</v>
      </c>
      <c r="Y177" s="11">
        <f t="shared" si="53"/>
        <v>1577.539</v>
      </c>
      <c r="Z177" s="11">
        <f t="shared" si="56" ref="Z177:AD177">SUM(Z170:Z172)+SUM(Z175:Z176)</f>
        <v>1699.409</v>
      </c>
      <c r="AA177" s="11">
        <f t="shared" si="53"/>
        <v>1574.052</v>
      </c>
      <c r="AB177" s="11">
        <f t="shared" si="53"/>
        <v>1355.48</v>
      </c>
      <c r="AC177" s="11">
        <f t="shared" si="53"/>
        <v>1299.714</v>
      </c>
      <c r="AD177" s="11">
        <f t="shared" si="56"/>
        <v>1038.899</v>
      </c>
      <c r="AE177" s="11">
        <f t="shared" si="53"/>
        <v>1073.127</v>
      </c>
      <c r="AF177" s="11">
        <f t="shared" si="53"/>
        <v>933.396</v>
      </c>
    </row>
    <row customHeight="1" ht="15">
      <c r="A178" s="9" t="s">
        <v>198</v>
      </c>
      <c r="B178" s="15">
        <f>IF(B185&lt;=0,"NM",B177/B185)</f>
        <v>2.01856680097969</v>
      </c>
      <c r="F178" s="15">
        <f t="shared" si="57" ref="F178:AD178">IF(F186&lt;=0,"NM",F177/F186)</f>
        <v>2.39779487179487</v>
      </c>
      <c r="G178" s="15">
        <f>'Rolling LTM'!G178</f>
        <v>5.99251346263298</v>
      </c>
      <c r="H178" s="15">
        <f>'Rolling LTM'!H178</f>
        <v>2.42508180466039</v>
      </c>
      <c r="I178" s="15">
        <f>'Rolling LTM'!I178</f>
        <v>3.65458033573141</v>
      </c>
      <c r="J178" s="15">
        <f t="shared" si="57"/>
        <v>3.7232967032967</v>
      </c>
      <c r="K178" s="15">
        <f>'Rolling LTM'!K178</f>
        <v>4.19344329896907</v>
      </c>
      <c r="L178" s="15">
        <f>'Rolling LTM'!L178</f>
        <v>5.18542067307692</v>
      </c>
      <c r="M178" s="15">
        <f>'Rolling LTM'!M178</f>
        <v>3.87527731092437</v>
      </c>
      <c r="N178" s="15">
        <f t="shared" si="57"/>
        <v>3.09573719706993</v>
      </c>
      <c r="O178" s="15">
        <f>'Rolling LTM'!O178</f>
        <v>2.83285638636449</v>
      </c>
      <c r="P178" s="15">
        <f>'Rolling LTM'!P178</f>
        <v>2.85725397982038</v>
      </c>
      <c r="Q178" s="15">
        <f>'Rolling LTM'!Q178</f>
        <v>2.68798353134292</v>
      </c>
      <c r="R178" s="15">
        <f t="shared" si="57"/>
        <v>2.66467579325602</v>
      </c>
      <c r="S178" s="15">
        <f>'Rolling LTM'!S178</f>
        <v>3.09678879463968</v>
      </c>
      <c r="T178" s="15">
        <f>'Rolling LTM'!T178</f>
        <v>3.08317889833586</v>
      </c>
      <c r="U178" s="15">
        <f>'Rolling LTM'!U178</f>
        <v>3.06370370766708</v>
      </c>
      <c r="V178" s="15">
        <f t="shared" si="57"/>
        <v>2.93556779736414</v>
      </c>
      <c r="W178" s="15">
        <f>'Rolling LTM'!W178</f>
        <v>3.6999599357952</v>
      </c>
      <c r="X178" s="15">
        <f>'Rolling LTM'!X178</f>
        <v>3.64385237786958</v>
      </c>
      <c r="Y178" s="15">
        <f>'Rolling LTM'!Y178</f>
        <v>3.19142191274231</v>
      </c>
      <c r="Z178" s="15">
        <f t="shared" si="57"/>
        <v>5.31601898165961</v>
      </c>
      <c r="AA178" s="15">
        <f>'Rolling LTM'!AA178</f>
        <v>2.88274184745781</v>
      </c>
      <c r="AB178" s="15">
        <f>'Rolling LTM'!AB178</f>
        <v>2.53282632459148</v>
      </c>
      <c r="AC178" s="15">
        <f>'Rolling LTM'!AC178</f>
        <v>2.95379475699692</v>
      </c>
      <c r="AD178" s="15">
        <f t="shared" si="57"/>
        <v>3.1852922690132</v>
      </c>
      <c r="AE178" s="15">
        <f>'Rolling LTM'!AE178</f>
        <v>2.42687336748194</v>
      </c>
      <c r="AF178" s="15">
        <f>'Rolling LTM'!AF178</f>
        <v>2.55624782619412</v>
      </c>
    </row>
    <row customHeight="1" ht="15">
      <c r="A179" s="9" t="s">
        <v>199</v>
      </c>
      <c r="N179" s="15">
        <f t="shared" si="58" ref="N179:AD179">IF(N187&lt;=0,"NM",N177/N187)</f>
        <v>3.09296252353563</v>
      </c>
      <c r="R179" s="15">
        <f t="shared" si="58"/>
        <v>2.49103149128134</v>
      </c>
      <c r="V179" s="15">
        <f t="shared" si="58"/>
        <v>3.11350867483952</v>
      </c>
      <c r="Z179" s="15">
        <f t="shared" si="58"/>
        <v>5.26334877785899</v>
      </c>
      <c r="AD179" s="15">
        <f t="shared" si="58"/>
        <v>2.87977502862037</v>
      </c>
    </row>
    <row customHeight="1" ht="15">
      <c r="A180" s="9" t="s">
        <v>200</v>
      </c>
      <c r="B180" s="11">
        <f t="shared" si="59" ref="B180:AF180">B177-B129</f>
        <v>43.381</v>
      </c>
      <c r="F180" s="11">
        <f t="shared" si="59"/>
        <v>297.075</v>
      </c>
      <c r="G180" s="11">
        <f t="shared" si="59"/>
        <v>411.217</v>
      </c>
      <c r="H180" s="11">
        <f t="shared" si="59"/>
        <v>268.148</v>
      </c>
      <c r="I180" s="11">
        <f t="shared" si="59"/>
        <v>241.909</v>
      </c>
      <c r="J180" s="11">
        <f t="shared" si="59"/>
        <v>228.232</v>
      </c>
      <c r="K180" s="11">
        <f t="shared" si="59"/>
        <v>255.956</v>
      </c>
      <c r="L180" s="11">
        <f t="shared" si="59"/>
        <v>260.821</v>
      </c>
      <c r="M180" s="11">
        <f t="shared" si="59"/>
        <v>295.628</v>
      </c>
      <c r="N180" s="11">
        <f t="shared" si="59"/>
        <v>263.005</v>
      </c>
      <c r="O180" s="11">
        <f t="shared" si="59"/>
        <v>210.206</v>
      </c>
      <c r="P180" s="11">
        <f t="shared" si="59"/>
        <v>307.765</v>
      </c>
      <c r="Q180" s="11">
        <f t="shared" si="59"/>
        <v>505.836</v>
      </c>
      <c r="R180" s="11">
        <f t="shared" si="59"/>
        <v>393.135</v>
      </c>
      <c r="S180" s="11">
        <f t="shared" si="59"/>
        <v>583.549</v>
      </c>
      <c r="T180" s="11">
        <f t="shared" si="59"/>
        <v>725.237</v>
      </c>
      <c r="U180" s="11">
        <f t="shared" si="59"/>
        <v>861.564</v>
      </c>
      <c r="V180" s="11">
        <f t="shared" si="59"/>
        <v>1020.288</v>
      </c>
      <c r="W180" s="11">
        <f t="shared" si="59"/>
        <v>1262.934</v>
      </c>
      <c r="X180" s="11">
        <f t="shared" si="59"/>
        <v>1339.217</v>
      </c>
      <c r="Y180" s="11">
        <f t="shared" si="59"/>
        <v>1297.199</v>
      </c>
      <c r="Z180" s="11">
        <f t="shared" si="59"/>
        <v>1514.708</v>
      </c>
      <c r="AA180" s="11">
        <f t="shared" si="59"/>
        <v>1438.749</v>
      </c>
      <c r="AB180" s="11">
        <f t="shared" si="59"/>
        <v>1157.199</v>
      </c>
      <c r="AC180" s="11">
        <f t="shared" si="59"/>
        <v>1054.39</v>
      </c>
      <c r="AD180" s="11">
        <f t="shared" si="59"/>
        <v>914.879</v>
      </c>
      <c r="AE180" s="11">
        <f t="shared" si="59"/>
        <v>968.454</v>
      </c>
      <c r="AF180" s="11">
        <f t="shared" si="59"/>
        <v>812.926</v>
      </c>
    </row>
    <row customHeight="1" ht="15">
      <c r="A181" s="4" t="s">
        <v>201</v>
      </c>
      <c r="B181" s="17">
        <f>IF(B185&lt;=0,"NM",B180/B185)</f>
        <v>1.71371573042585</v>
      </c>
      <c r="F181" s="17">
        <f t="shared" si="60" ref="F181:AD181">IF(F186&lt;=0,"NM",F180/F186)</f>
        <v>1.38496503496503</v>
      </c>
      <c r="G181" s="17">
        <f>'Rolling LTM'!G181</f>
        <v>4.50086467317542</v>
      </c>
      <c r="H181" s="17">
        <f>'Rolling LTM'!H181</f>
        <v>1.32943976202281</v>
      </c>
      <c r="I181" s="17">
        <f>'Rolling LTM'!I181</f>
        <v>1.93372501998401</v>
      </c>
      <c r="J181" s="17">
        <f t="shared" si="60"/>
        <v>2.09003663003663</v>
      </c>
      <c r="K181" s="17">
        <f>'Rolling LTM'!K181</f>
        <v>2.63872164948454</v>
      </c>
      <c r="L181" s="17">
        <f>'Rolling LTM'!L181</f>
        <v>3.13486778846154</v>
      </c>
      <c r="M181" s="17">
        <f>'Rolling LTM'!M181</f>
        <v>2.48426890756302</v>
      </c>
      <c r="N181" s="17">
        <f t="shared" si="60"/>
        <v>1.69740875794637</v>
      </c>
      <c r="O181" s="17">
        <f>'Rolling LTM'!O181</f>
        <v>1.12437885457842</v>
      </c>
      <c r="P181" s="17">
        <f>'Rolling LTM'!P181</f>
        <v>1.37584882717678</v>
      </c>
      <c r="Q181" s="17">
        <f>'Rolling LTM'!Q181</f>
        <v>1.70147868089286</v>
      </c>
      <c r="R181" s="17">
        <f t="shared" si="60"/>
        <v>1.45932010868758</v>
      </c>
      <c r="S181" s="17">
        <f>'Rolling LTM'!S181</f>
        <v>2.07979542376506</v>
      </c>
      <c r="T181" s="17">
        <f>'Rolling LTM'!T181</f>
        <v>2.27031028912736</v>
      </c>
      <c r="U181" s="17">
        <f>'Rolling LTM'!U181</f>
        <v>2.30492277811516</v>
      </c>
      <c r="V181" s="17">
        <f t="shared" si="60"/>
        <v>2.45332897309073</v>
      </c>
      <c r="W181" s="17">
        <f>'Rolling LTM'!W181</f>
        <v>3.2228309826448</v>
      </c>
      <c r="X181" s="17">
        <f>'Rolling LTM'!X181</f>
        <v>2.97935479278041</v>
      </c>
      <c r="Y181" s="17">
        <f>'Rolling LTM'!Y181</f>
        <v>2.62428333866067</v>
      </c>
      <c r="Z181" s="17">
        <f t="shared" si="60"/>
        <v>4.73824516621465</v>
      </c>
      <c r="AA181" s="17">
        <f>'Rolling LTM'!AA181</f>
        <v>2.63494595495453</v>
      </c>
      <c r="AB181" s="17">
        <f>'Rolling LTM'!AB181</f>
        <v>2.16232190072221</v>
      </c>
      <c r="AC181" s="17">
        <f>'Rolling LTM'!AC181</f>
        <v>2.39625921843574</v>
      </c>
      <c r="AD181" s="17">
        <f t="shared" si="60"/>
        <v>2.8050436142325</v>
      </c>
      <c r="AE181" s="17">
        <f>'Rolling LTM'!AE181</f>
        <v>2.19015570406052</v>
      </c>
      <c r="AF181" s="17">
        <f>'Rolling LTM'!AF181</f>
        <v>2.22632229017125</v>
      </c>
    </row>
    <row customHeight="1" ht="15">
      <c r="A182" s="9" t="s">
        <v>202</v>
      </c>
      <c r="N182" s="15">
        <f t="shared" si="61" ref="N182:AD182">IF(N187&lt;=0,"NM",N180/N187)</f>
        <v>1.69588739005958</v>
      </c>
      <c r="R182" s="15">
        <f t="shared" si="61"/>
        <v>1.36422312830745</v>
      </c>
      <c r="V182" s="15">
        <f t="shared" si="61"/>
        <v>2.60203870842695</v>
      </c>
      <c r="Z182" s="15">
        <f t="shared" si="61"/>
        <v>4.69129944622703</v>
      </c>
      <c r="AD182" s="15">
        <f t="shared" si="61"/>
        <v>2.53599791549436</v>
      </c>
    </row>
    <row customHeight="1" ht="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customHeight="1" ht="15">
      <c r="A184" s="2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customHeight="1" ht="15">
      <c r="A185" s="9" t="s">
        <v>204</v>
      </c>
      <c r="B185" s="11">
        <f t="shared" si="62" ref="B185:AF185">B12+B273+B274</f>
        <v>25.314</v>
      </c>
      <c r="C185" s="11">
        <f t="shared" si="62"/>
        <v>5.76299999999999</v>
      </c>
      <c r="D185" s="11">
        <f t="shared" si="62"/>
        <v>14.038</v>
      </c>
      <c r="E185" s="11">
        <f t="shared" si="62"/>
        <v>21.908</v>
      </c>
      <c r="F185" s="11">
        <f t="shared" si="62"/>
        <v>65.424</v>
      </c>
      <c r="G185" s="11">
        <f t="shared" si="62"/>
        <v>31.703</v>
      </c>
      <c r="H185" s="11">
        <f t="shared" si="62"/>
        <v>76.387</v>
      </c>
      <c r="I185" s="11">
        <f t="shared" si="62"/>
        <v>93.304</v>
      </c>
      <c r="J185" s="11">
        <f t="shared" si="62"/>
        <v>110.214</v>
      </c>
      <c r="K185" s="11">
        <f t="shared" si="62"/>
        <v>30.933</v>
      </c>
      <c r="L185" s="11">
        <f t="shared" si="62"/>
        <v>66.28</v>
      </c>
      <c r="M185" s="11">
        <f t="shared" si="62"/>
        <v>123.187</v>
      </c>
      <c r="N185" s="11">
        <f t="shared" si="62"/>
        <v>172.46</v>
      </c>
      <c r="O185" s="11">
        <f t="shared" si="62"/>
        <v>45.426</v>
      </c>
      <c r="P185" s="11">
        <f t="shared" si="62"/>
        <v>117.511</v>
      </c>
      <c r="Q185" s="11">
        <f t="shared" si="62"/>
        <v>248.019</v>
      </c>
      <c r="R185" s="11">
        <f t="shared" si="62"/>
        <v>302.644</v>
      </c>
      <c r="S185" s="11">
        <f t="shared" si="62"/>
        <v>23.362</v>
      </c>
      <c r="T185" s="11">
        <f t="shared" si="62"/>
        <v>134.311</v>
      </c>
      <c r="U185" s="11">
        <f t="shared" si="62"/>
        <v>319.168</v>
      </c>
      <c r="V185" s="11">
        <f t="shared" si="62"/>
        <v>403.159</v>
      </c>
      <c r="W185" s="11">
        <f t="shared" si="62"/>
        <v>12.074</v>
      </c>
      <c r="X185" s="11">
        <f t="shared" si="62"/>
        <v>180.651</v>
      </c>
      <c r="Y185" s="11">
        <f t="shared" si="62"/>
        <v>410.315</v>
      </c>
      <c r="Z185" s="11">
        <f t="shared" si="62"/>
        <v>521.938</v>
      </c>
      <c r="AA185" s="11">
        <f t="shared" si="62"/>
        <v>36.162</v>
      </c>
      <c r="AB185" s="11">
        <f t="shared" si="62"/>
        <v>193.878</v>
      </c>
      <c r="AC185" s="11">
        <f t="shared" si="62"/>
        <v>328.392</v>
      </c>
      <c r="AD185" s="11">
        <f t="shared" si="62"/>
        <v>449.057</v>
      </c>
      <c r="AE185" s="11">
        <f t="shared" si="62"/>
        <v>29.29</v>
      </c>
      <c r="AF185" s="11">
        <f t="shared" si="62"/>
        <v>109.964</v>
      </c>
    </row>
    <row customHeight="1" ht="15">
      <c r="A186" s="4" t="s">
        <v>205</v>
      </c>
      <c r="D186" s="7">
        <f t="shared" si="63" ref="D186:AD186">D239</f>
        <v>81.7</v>
      </c>
      <c r="E186" s="7">
        <f t="shared" si="63"/>
        <v>174.1</v>
      </c>
      <c r="F186" s="7">
        <f t="shared" si="63"/>
        <v>214.5</v>
      </c>
      <c r="G186" s="7">
        <f t="shared" si="63"/>
        <v>31.6</v>
      </c>
      <c r="H186" s="7">
        <f t="shared" si="63"/>
        <v>68.9</v>
      </c>
      <c r="I186" s="7">
        <f t="shared" si="63"/>
        <v>84.7</v>
      </c>
      <c r="J186" s="7">
        <f t="shared" si="63"/>
        <v>109.2</v>
      </c>
      <c r="K186" s="7">
        <f t="shared" si="63"/>
        <v>19.4</v>
      </c>
      <c r="L186" s="7">
        <f t="shared" si="63"/>
        <v>42.9</v>
      </c>
      <c r="M186" s="7">
        <f t="shared" si="63"/>
        <v>94.5</v>
      </c>
      <c r="N186" s="7">
        <f t="shared" si="63"/>
        <v>154.945</v>
      </c>
      <c r="R186" s="7">
        <f t="shared" si="63"/>
        <v>269.396</v>
      </c>
      <c r="V186" s="7">
        <f t="shared" si="63"/>
        <v>415.879</v>
      </c>
      <c r="Z186" s="7">
        <f t="shared" si="63"/>
        <v>319.677</v>
      </c>
      <c r="AD186" s="7">
        <f t="shared" si="63"/>
        <v>326.155</v>
      </c>
    </row>
    <row customHeight="1" ht="15">
      <c r="A187" s="4" t="s">
        <v>206</v>
      </c>
      <c r="N187" s="5">
        <v>155.084</v>
      </c>
      <c r="R187" s="5">
        <v>288.175</v>
      </c>
      <c r="V187" s="5">
        <v>392.111</v>
      </c>
      <c r="Z187" s="5">
        <v>322.876</v>
      </c>
      <c r="AD187" s="5">
        <v>360.757</v>
      </c>
    </row>
    <row customHeight="1" ht="15">
      <c r="A188" s="9" t="s">
        <v>207</v>
      </c>
      <c r="N188" s="11">
        <f t="shared" si="64" ref="N188:AD188">N187-N185</f>
        <v>-17.376</v>
      </c>
      <c r="R188" s="11">
        <f t="shared" si="64"/>
        <v>-14.469</v>
      </c>
      <c r="V188" s="11">
        <f t="shared" si="64"/>
        <v>-11.048</v>
      </c>
      <c r="Z188" s="11">
        <f t="shared" si="64"/>
        <v>-199.062</v>
      </c>
      <c r="AD188" s="11">
        <f t="shared" si="64"/>
        <v>-88.3</v>
      </c>
    </row>
    <row customHeight="1" ht="15">
      <c r="A189" s="9" t="s">
        <v>208</v>
      </c>
      <c r="N189" s="19">
        <f t="shared" si="65" ref="N189:AD189">IF(N188=0,0,IF(N185&lt;=0,"NM",N188/N185))</f>
        <v>-0.100753797982141</v>
      </c>
      <c r="R189" s="19">
        <f t="shared" si="65"/>
        <v>-0.0478086464625104</v>
      </c>
      <c r="V189" s="19">
        <f t="shared" si="65"/>
        <v>-0.0274035802251717</v>
      </c>
      <c r="Z189" s="19">
        <f t="shared" si="65"/>
        <v>-0.381390126796669</v>
      </c>
      <c r="AD189" s="19">
        <f t="shared" si="65"/>
        <v>-0.196634280280677</v>
      </c>
    </row>
    <row customHeight="1" ht="15">
      <c r="A190" s="9" t="s">
        <v>209</v>
      </c>
      <c r="D190" s="19">
        <f t="shared" si="66" ref="D190:AD190">IF(OR(D186=0,D186="NM",D185="NM"),"NM",D185/D186)</f>
        <v>0.171823745410037</v>
      </c>
      <c r="E190" s="19">
        <f t="shared" si="66"/>
        <v>0.125835726593912</v>
      </c>
      <c r="F190" s="19">
        <f t="shared" si="66"/>
        <v>0.305006993006993</v>
      </c>
      <c r="G190" s="19">
        <f t="shared" si="66"/>
        <v>1.00325949367089</v>
      </c>
      <c r="H190" s="19">
        <f t="shared" si="66"/>
        <v>1.10866473149492</v>
      </c>
      <c r="I190" s="19">
        <f t="shared" si="66"/>
        <v>1.10158205430933</v>
      </c>
      <c r="J190" s="19">
        <f t="shared" si="66"/>
        <v>1.00928571428571</v>
      </c>
      <c r="K190" s="19">
        <f t="shared" si="66"/>
        <v>1.59448453608247</v>
      </c>
      <c r="L190" s="19">
        <f t="shared" si="66"/>
        <v>1.54498834498835</v>
      </c>
      <c r="M190" s="19">
        <f t="shared" si="66"/>
        <v>1.30356613756614</v>
      </c>
      <c r="N190" s="19">
        <f t="shared" si="66"/>
        <v>1.11304011100713</v>
      </c>
      <c r="R190" s="19">
        <f t="shared" si="66"/>
        <v>1.12341682875767</v>
      </c>
      <c r="V190" s="19">
        <f t="shared" si="66"/>
        <v>0.969414180566944</v>
      </c>
      <c r="Z190" s="19">
        <f t="shared" si="66"/>
        <v>1.63270426086331</v>
      </c>
      <c r="AD190" s="19">
        <f t="shared" si="66"/>
        <v>1.37682083671874</v>
      </c>
    </row>
    <row customHeight="1" ht="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customHeight="1" ht="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customHeight="1" ht="15">
      <c r="A193" s="9" t="s">
        <v>211</v>
      </c>
      <c r="B193" s="11">
        <f t="shared" si="68" ref="B193:B196">B198+B203+B222</f>
        <v>36.361</v>
      </c>
      <c r="C193" s="0">
        <v>5.48</v>
      </c>
      <c r="D193" s="0">
        <v>15.368</v>
      </c>
      <c r="E193" s="0">
        <v>26.54</v>
      </c>
      <c r="F193" s="11">
        <f t="shared" si="67" ref="F193:AD193">F198+F203+F208+F213+F218+F222</f>
        <v>143.311</v>
      </c>
      <c r="G193" s="0">
        <v>84.355</v>
      </c>
      <c r="H193" s="0">
        <v>180.812</v>
      </c>
      <c r="I193" s="0">
        <v>262.856</v>
      </c>
      <c r="J193" s="11">
        <f t="shared" si="67"/>
        <v>367.178</v>
      </c>
      <c r="K193" s="0">
        <v>103.612</v>
      </c>
      <c r="L193" s="0">
        <v>232.144</v>
      </c>
      <c r="M193" s="0">
        <v>440.665</v>
      </c>
      <c r="N193" s="11">
        <f t="shared" si="67"/>
        <v>653.797</v>
      </c>
      <c r="O193" s="0">
        <v>196.976</v>
      </c>
      <c r="P193" s="0">
        <v>520.21</v>
      </c>
      <c r="Q193" s="0">
        <v>928.388</v>
      </c>
      <c r="R193" s="11">
        <f t="shared" si="67"/>
        <v>1255.68</v>
      </c>
      <c r="S193" s="0">
        <v>246.169</v>
      </c>
      <c r="T193" s="0">
        <v>633.636</v>
      </c>
      <c r="U193" s="0">
        <v>1150.764</v>
      </c>
      <c r="V193" s="11">
        <f t="shared" si="67"/>
        <v>1562.148</v>
      </c>
      <c r="W193" s="0">
        <v>325.838</v>
      </c>
      <c r="X193" s="0">
        <v>835.682</v>
      </c>
      <c r="Y193" s="0">
        <v>1466.32</v>
      </c>
      <c r="Z193" s="11">
        <f t="shared" si="67"/>
        <v>1298.154</v>
      </c>
      <c r="AA193" s="0">
        <v>245.513</v>
      </c>
      <c r="AB193" s="0">
        <v>593.327</v>
      </c>
      <c r="AC193" s="0">
        <v>1277.887</v>
      </c>
      <c r="AD193" s="11">
        <f t="shared" si="67"/>
        <v>1312.196</v>
      </c>
      <c r="AE193" s="0">
        <v>278.355</v>
      </c>
      <c r="AF193" s="0">
        <v>560.419</v>
      </c>
    </row>
    <row customHeight="1" ht="15">
      <c r="A194" s="9" t="s">
        <v>212</v>
      </c>
      <c r="B194" s="11">
        <f t="shared" si="68"/>
        <v>0</v>
      </c>
      <c r="C194" s="0">
        <v>0</v>
      </c>
      <c r="D194" s="0">
        <v>0</v>
      </c>
      <c r="E194" s="0">
        <v>0</v>
      </c>
      <c r="F194" s="11">
        <f t="shared" si="69" ref="F194:AD194">F199+F204+F209+F214+F223</f>
        <v>69.784</v>
      </c>
      <c r="G194" s="0">
        <v>87.721</v>
      </c>
      <c r="H194" s="0">
        <v>89.449</v>
      </c>
      <c r="I194" s="0">
        <v>91.604</v>
      </c>
      <c r="J194" s="11">
        <f t="shared" si="69"/>
        <v>88.308</v>
      </c>
      <c r="K194" s="0">
        <v>3.082</v>
      </c>
      <c r="L194" s="0">
        <v>5.5</v>
      </c>
      <c r="M194" s="0">
        <v>8.971</v>
      </c>
      <c r="N194" s="11">
        <f t="shared" si="69"/>
        <v>0.576</v>
      </c>
      <c r="O194" s="0">
        <v>0</v>
      </c>
      <c r="P194" s="0">
        <v>0</v>
      </c>
      <c r="Q194" s="0">
        <v>0</v>
      </c>
      <c r="R194" s="11">
        <f t="shared" si="69"/>
        <v>0</v>
      </c>
      <c r="S194" s="0">
        <v>0</v>
      </c>
      <c r="T194" s="0">
        <v>0</v>
      </c>
      <c r="U194" s="0">
        <v>0</v>
      </c>
      <c r="V194" s="11">
        <f t="shared" si="69"/>
        <v>0</v>
      </c>
      <c r="W194" s="0">
        <v>0</v>
      </c>
      <c r="X194" s="0">
        <v>0</v>
      </c>
      <c r="Y194" s="0">
        <v>0</v>
      </c>
      <c r="Z194" s="11">
        <f t="shared" si="69"/>
        <v>0</v>
      </c>
      <c r="AA194" s="0">
        <v>0</v>
      </c>
      <c r="AB194" s="0">
        <v>0</v>
      </c>
      <c r="AC194" s="0">
        <v>0</v>
      </c>
      <c r="AD194" s="11">
        <f t="shared" si="69"/>
        <v>0</v>
      </c>
      <c r="AE194" s="0">
        <v>0</v>
      </c>
      <c r="AF194" s="0">
        <v>0</v>
      </c>
    </row>
    <row customHeight="1" ht="15">
      <c r="A195" s="9" t="s">
        <v>213</v>
      </c>
      <c r="B195" s="11">
        <f t="shared" si="68"/>
        <v>394.523</v>
      </c>
      <c r="C195" s="0">
        <v>92.801</v>
      </c>
      <c r="D195" s="0">
        <v>199.138</v>
      </c>
      <c r="E195" s="0">
        <v>314.625</v>
      </c>
      <c r="F195" s="11">
        <f t="shared" si="70" ref="F195:AD196">F200+F205+F210+F215+F219+F224</f>
        <v>393.253</v>
      </c>
      <c r="G195" s="0">
        <v>97.696</v>
      </c>
      <c r="H195" s="0">
        <v>135.142</v>
      </c>
      <c r="I195" s="0">
        <v>188.292</v>
      </c>
      <c r="J195" s="11">
        <f t="shared" si="70"/>
        <v>228.601</v>
      </c>
      <c r="K195" s="0">
        <v>58.107</v>
      </c>
      <c r="L195" s="0">
        <v>134.514</v>
      </c>
      <c r="M195" s="0">
        <v>231.046</v>
      </c>
      <c r="N195" s="11">
        <f t="shared" si="70"/>
        <v>327.27</v>
      </c>
      <c r="O195" s="0">
        <v>117.239</v>
      </c>
      <c r="P195" s="0">
        <v>269.608</v>
      </c>
      <c r="Q195" s="0">
        <v>428.972</v>
      </c>
      <c r="R195" s="11">
        <f t="shared" si="70"/>
        <v>562.023</v>
      </c>
      <c r="S195" s="0">
        <v>155.527</v>
      </c>
      <c r="T195" s="0">
        <v>319.788</v>
      </c>
      <c r="U195" s="0">
        <v>497.847</v>
      </c>
      <c r="V195" s="11">
        <f t="shared" si="70"/>
        <v>660.367</v>
      </c>
      <c r="W195" s="0">
        <v>177.894</v>
      </c>
      <c r="X195" s="0">
        <v>384.506</v>
      </c>
      <c r="Y195" s="0">
        <v>593.512</v>
      </c>
      <c r="Z195" s="11">
        <f t="shared" si="70"/>
        <v>740.442</v>
      </c>
      <c r="AA195" s="0">
        <v>208.18</v>
      </c>
      <c r="AB195" s="0">
        <v>427.584</v>
      </c>
      <c r="AC195" s="0">
        <v>645.976</v>
      </c>
      <c r="AD195" s="11">
        <f t="shared" si="70"/>
        <v>829.329</v>
      </c>
      <c r="AE195" s="0">
        <v>239.653</v>
      </c>
      <c r="AF195" s="0">
        <v>544.417</v>
      </c>
    </row>
    <row customHeight="1" ht="15">
      <c r="A196" s="9" t="s">
        <v>214</v>
      </c>
      <c r="B196" s="11">
        <f t="shared" si="68"/>
        <v>1.59</v>
      </c>
      <c r="C196" s="0">
        <v>1.09</v>
      </c>
      <c r="D196" s="0">
        <v>2.292</v>
      </c>
      <c r="E196" s="0">
        <v>3.462</v>
      </c>
      <c r="F196" s="11">
        <f t="shared" si="70"/>
        <v>0.948</v>
      </c>
      <c r="G196" s="0">
        <v>3.748</v>
      </c>
      <c r="H196" s="0">
        <v>6.008</v>
      </c>
      <c r="I196" s="0">
        <v>9.772</v>
      </c>
      <c r="J196" s="11">
        <f t="shared" si="70"/>
        <v>11.585</v>
      </c>
      <c r="K196" s="0">
        <v>5.857</v>
      </c>
      <c r="L196" s="0">
        <v>14.313</v>
      </c>
      <c r="M196" s="0">
        <v>22.994</v>
      </c>
      <c r="N196" s="11">
        <f t="shared" si="70"/>
        <v>33.248</v>
      </c>
      <c r="O196" s="0">
        <v>14.337</v>
      </c>
      <c r="P196" s="0">
        <v>21.035</v>
      </c>
      <c r="Q196" s="0">
        <v>32.071</v>
      </c>
      <c r="R196" s="11">
        <f t="shared" si="70"/>
        <v>34.983</v>
      </c>
      <c r="S196" s="0">
        <v>15.635</v>
      </c>
      <c r="T196" s="0">
        <v>29.19</v>
      </c>
      <c r="U196" s="0">
        <v>38.621</v>
      </c>
      <c r="V196" s="11">
        <f t="shared" si="70"/>
        <v>40.258</v>
      </c>
      <c r="W196" s="0">
        <v>23.898</v>
      </c>
      <c r="X196" s="0">
        <v>48.752</v>
      </c>
      <c r="Y196" s="0">
        <v>71.416</v>
      </c>
      <c r="Z196" s="11">
        <f t="shared" si="70"/>
        <v>64.676</v>
      </c>
      <c r="AA196" s="0">
        <v>26.06</v>
      </c>
      <c r="AB196" s="0">
        <v>45.155</v>
      </c>
      <c r="AC196" s="0">
        <v>62.979</v>
      </c>
      <c r="AD196" s="11">
        <f t="shared" si="70"/>
        <v>47.787</v>
      </c>
      <c r="AE196" s="0">
        <v>22.9</v>
      </c>
      <c r="AF196" s="0">
        <v>44.43</v>
      </c>
    </row>
    <row customHeight="1" ht="15">
      <c r="A197" s="4" t="s">
        <v>215</v>
      </c>
      <c r="B197" s="7">
        <f t="shared" si="73" ref="B197:AD226">B193+SUM(B195:B196)</f>
        <v>432.474</v>
      </c>
      <c r="C197" s="7">
        <f t="shared" si="71" ref="C197:AF197">C193+SUM(C195:C196)+C228</f>
        <v>93.496</v>
      </c>
      <c r="D197" s="7">
        <f t="shared" si="71"/>
        <v>205.02</v>
      </c>
      <c r="E197" s="7">
        <f t="shared" si="71"/>
        <v>320.448</v>
      </c>
      <c r="F197" s="7">
        <f t="shared" si="72" ref="F197:M197">SUM(F193:F196)+F228</f>
        <v>607.296</v>
      </c>
      <c r="G197" s="7">
        <f t="shared" si="72"/>
        <v>267.869</v>
      </c>
      <c r="H197" s="7">
        <f t="shared" si="72"/>
        <v>400.847</v>
      </c>
      <c r="I197" s="7">
        <f t="shared" si="72"/>
        <v>534.639</v>
      </c>
      <c r="J197" s="7">
        <f t="shared" si="12"/>
        <v>695.672</v>
      </c>
      <c r="K197" s="7">
        <f t="shared" si="72"/>
        <v>162.144</v>
      </c>
      <c r="L197" s="7">
        <f t="shared" si="72"/>
        <v>368.571</v>
      </c>
      <c r="M197" s="7">
        <f t="shared" si="72"/>
        <v>668.286</v>
      </c>
      <c r="N197" s="7">
        <f t="shared" si="12"/>
        <v>1014.891</v>
      </c>
      <c r="O197" s="7">
        <f t="shared" si="71"/>
        <v>317.129</v>
      </c>
      <c r="P197" s="7">
        <f t="shared" si="71"/>
        <v>780.635</v>
      </c>
      <c r="Q197" s="7">
        <f t="shared" si="71"/>
        <v>1344.539</v>
      </c>
      <c r="R197" s="7">
        <f t="shared" si="73"/>
        <v>1852.686</v>
      </c>
      <c r="S197" s="7">
        <f t="shared" si="71"/>
        <v>404.776</v>
      </c>
      <c r="T197" s="7">
        <f t="shared" si="71"/>
        <v>954.678</v>
      </c>
      <c r="U197" s="7">
        <f t="shared" si="71"/>
        <v>1642.213</v>
      </c>
      <c r="V197" s="7">
        <f t="shared" si="73"/>
        <v>2262.773</v>
      </c>
      <c r="W197" s="7">
        <f t="shared" si="71"/>
        <v>508.778</v>
      </c>
      <c r="X197" s="7">
        <f t="shared" si="71"/>
        <v>1228.894</v>
      </c>
      <c r="Y197" s="7">
        <f t="shared" si="71"/>
        <v>2057.399</v>
      </c>
      <c r="Z197" s="7">
        <f t="shared" si="73"/>
        <v>2103.272</v>
      </c>
      <c r="AA197" s="7">
        <f t="shared" si="71"/>
        <v>457.491</v>
      </c>
      <c r="AB197" s="7">
        <f t="shared" si="71"/>
        <v>1018.442</v>
      </c>
      <c r="AC197" s="7">
        <f t="shared" si="71"/>
        <v>1913.128</v>
      </c>
      <c r="AD197" s="7">
        <f t="shared" si="73"/>
        <v>2189.312</v>
      </c>
      <c r="AE197" s="7">
        <f t="shared" si="71"/>
        <v>522.848</v>
      </c>
      <c r="AF197" s="7">
        <f t="shared" si="71"/>
        <v>1114.52</v>
      </c>
    </row>
    <row customHeight="1" ht="15">
      <c r="A198" s="9" t="s">
        <v>216</v>
      </c>
      <c r="B198" s="0">
        <v>36.36</v>
      </c>
      <c r="F198" s="0">
        <v>108.266</v>
      </c>
      <c r="J198" s="0">
        <v>278.514</v>
      </c>
      <c r="N198" s="0">
        <v>547.494</v>
      </c>
      <c r="R198" s="0">
        <v>1022.234</v>
      </c>
      <c r="V198" s="0">
        <v>993.109</v>
      </c>
      <c r="Z198" s="0">
        <v>650.066</v>
      </c>
      <c r="AD198" s="0">
        <v>562.365</v>
      </c>
    </row>
    <row customHeight="1" ht="15">
      <c r="A199" s="9" t="s">
        <v>217</v>
      </c>
      <c r="B199" s="0">
        <v>0</v>
      </c>
      <c r="F199" s="0">
        <v>67.102</v>
      </c>
      <c r="J199" s="0">
        <v>86.004</v>
      </c>
      <c r="N199" s="0">
        <v>0.43</v>
      </c>
      <c r="R199" s="0">
        <v>0</v>
      </c>
      <c r="V199" s="0">
        <v>0</v>
      </c>
      <c r="Z199" s="0">
        <v>0</v>
      </c>
      <c r="AD199" s="0">
        <v>0</v>
      </c>
    </row>
    <row customHeight="1" ht="15">
      <c r="A200" s="9" t="s">
        <v>218</v>
      </c>
      <c r="B200" s="0">
        <v>381.931</v>
      </c>
      <c r="F200" s="0">
        <v>263.858</v>
      </c>
      <c r="J200" s="0">
        <v>150.951</v>
      </c>
      <c r="N200" s="0">
        <v>225.551</v>
      </c>
      <c r="R200" s="0">
        <v>438.339</v>
      </c>
      <c r="V200" s="0">
        <v>495.443</v>
      </c>
      <c r="Z200" s="0">
        <v>582.346</v>
      </c>
      <c r="AD200" s="0">
        <v>629.038</v>
      </c>
    </row>
    <row customHeight="1" ht="15">
      <c r="A201" s="9" t="s">
        <v>219</v>
      </c>
      <c r="B201" s="0">
        <v>1.59</v>
      </c>
      <c r="F201" s="0">
        <v>0.905</v>
      </c>
      <c r="J201" s="0">
        <v>11.517</v>
      </c>
      <c r="N201" s="0">
        <v>33.179</v>
      </c>
      <c r="R201" s="0">
        <v>34.117</v>
      </c>
      <c r="V201" s="0">
        <v>37.469</v>
      </c>
      <c r="Z201" s="0">
        <v>49.909</v>
      </c>
      <c r="AD201" s="0">
        <v>40.017</v>
      </c>
    </row>
    <row customHeight="1" ht="15">
      <c r="A202" s="9" t="s">
        <v>220</v>
      </c>
      <c r="B202" s="11">
        <f t="shared" si="73"/>
        <v>419.881</v>
      </c>
      <c r="F202" s="11">
        <f t="shared" si="12"/>
        <v>440.131</v>
      </c>
      <c r="J202" s="11">
        <f t="shared" si="12"/>
        <v>526.986</v>
      </c>
      <c r="N202" s="11">
        <f t="shared" si="12"/>
        <v>806.654</v>
      </c>
      <c r="R202" s="11">
        <f t="shared" si="73"/>
        <v>1494.69</v>
      </c>
      <c r="V202" s="11">
        <f t="shared" si="73"/>
        <v>1526.021</v>
      </c>
      <c r="Z202" s="11">
        <f t="shared" si="73"/>
        <v>1282.321</v>
      </c>
      <c r="AD202" s="11">
        <f t="shared" si="73"/>
        <v>1231.42</v>
      </c>
    </row>
    <row customHeight="1" ht="15">
      <c r="A203" s="9" t="s">
        <v>221</v>
      </c>
      <c r="B203" s="0">
        <v>0</v>
      </c>
      <c r="F203" s="0">
        <v>24.303</v>
      </c>
      <c r="J203" s="0">
        <v>41.587</v>
      </c>
      <c r="N203" s="0">
        <v>36.185</v>
      </c>
      <c r="R203" s="0">
        <v>105.755</v>
      </c>
      <c r="V203" s="0">
        <v>350.006</v>
      </c>
      <c r="Z203" s="0">
        <v>290.903</v>
      </c>
      <c r="AD203" s="0">
        <v>435.915</v>
      </c>
    </row>
    <row customHeight="1" ht="15">
      <c r="A204" s="9" t="s">
        <v>222</v>
      </c>
      <c r="B204" s="0">
        <v>0</v>
      </c>
      <c r="F204" s="0">
        <v>0</v>
      </c>
      <c r="J204" s="0">
        <v>0.021</v>
      </c>
      <c r="N204" s="0">
        <v>0.031</v>
      </c>
      <c r="R204" s="0">
        <v>0</v>
      </c>
      <c r="V204" s="0">
        <v>0</v>
      </c>
      <c r="Z204" s="0">
        <v>0</v>
      </c>
      <c r="AD204" s="0">
        <v>0</v>
      </c>
    </row>
    <row customHeight="1" ht="15">
      <c r="A205" s="9" t="s">
        <v>223</v>
      </c>
      <c r="B205" s="0">
        <v>3.77</v>
      </c>
      <c r="F205" s="0">
        <v>46.652</v>
      </c>
      <c r="J205" s="0">
        <v>30.389</v>
      </c>
      <c r="N205" s="0">
        <v>43.609</v>
      </c>
      <c r="R205" s="0">
        <v>76.425</v>
      </c>
      <c r="V205" s="0">
        <v>95.769</v>
      </c>
      <c r="Z205" s="0">
        <v>98.18</v>
      </c>
      <c r="AD205" s="0">
        <v>133.068</v>
      </c>
    </row>
    <row customHeight="1" ht="15">
      <c r="A206" s="9" t="s">
        <v>224</v>
      </c>
      <c r="B206" s="0">
        <v>0</v>
      </c>
      <c r="F206" s="0">
        <v>0.009</v>
      </c>
      <c r="J206" s="0">
        <v>0.012</v>
      </c>
      <c r="N206" s="0">
        <v>0.011</v>
      </c>
      <c r="R206" s="0">
        <v>0.399</v>
      </c>
      <c r="V206" s="0">
        <v>1.362</v>
      </c>
      <c r="Z206" s="0">
        <v>9.584</v>
      </c>
      <c r="AD206" s="0">
        <v>3.687</v>
      </c>
    </row>
    <row customHeight="1" ht="15">
      <c r="A207" s="9" t="s">
        <v>225</v>
      </c>
      <c r="B207" s="11">
        <f t="shared" si="73"/>
        <v>3.77</v>
      </c>
      <c r="F207" s="11">
        <f t="shared" si="12"/>
        <v>70.964</v>
      </c>
      <c r="J207" s="11">
        <f t="shared" si="12"/>
        <v>72.009</v>
      </c>
      <c r="N207" s="11">
        <f t="shared" si="12"/>
        <v>79.836</v>
      </c>
      <c r="R207" s="11">
        <f t="shared" si="73"/>
        <v>182.579</v>
      </c>
      <c r="V207" s="11">
        <f t="shared" si="73"/>
        <v>447.137</v>
      </c>
      <c r="Z207" s="11">
        <f t="shared" si="73"/>
        <v>398.667</v>
      </c>
      <c r="AD207" s="11">
        <f t="shared" si="73"/>
        <v>572.67</v>
      </c>
    </row>
    <row customHeight="1" ht="15">
      <c r="A208" s="9" t="s">
        <v>226</v>
      </c>
      <c r="B208" s="0">
        <v>0</v>
      </c>
      <c r="F208" s="0">
        <v>4.057</v>
      </c>
      <c r="J208" s="0">
        <v>22.214</v>
      </c>
      <c r="N208" s="0">
        <v>35.634</v>
      </c>
      <c r="R208" s="0">
        <v>68.323</v>
      </c>
      <c r="V208" s="0">
        <v>97.761</v>
      </c>
      <c r="Z208" s="0">
        <v>266.351</v>
      </c>
      <c r="AD208" s="0">
        <v>189.297</v>
      </c>
    </row>
    <row customHeight="1" ht="15">
      <c r="A209" s="9" t="s">
        <v>227</v>
      </c>
      <c r="F209" s="0">
        <v>0</v>
      </c>
      <c r="J209" s="0">
        <v>0</v>
      </c>
      <c r="N209" s="0">
        <v>0</v>
      </c>
      <c r="R209" s="0">
        <v>0</v>
      </c>
      <c r="V209" s="0">
        <v>0</v>
      </c>
      <c r="Z209" s="0">
        <v>0</v>
      </c>
      <c r="AD209" s="0">
        <v>0</v>
      </c>
    </row>
    <row customHeight="1" ht="15">
      <c r="A210" s="9" t="s">
        <v>228</v>
      </c>
      <c r="B210" s="0">
        <v>0</v>
      </c>
      <c r="F210" s="0">
        <v>6.912</v>
      </c>
      <c r="J210" s="0">
        <v>5.186</v>
      </c>
      <c r="N210" s="0">
        <v>9.588</v>
      </c>
      <c r="R210" s="0">
        <v>24.031</v>
      </c>
      <c r="V210" s="0">
        <v>30.278</v>
      </c>
      <c r="Z210" s="0">
        <v>36.287</v>
      </c>
      <c r="AD210" s="0">
        <v>28.15</v>
      </c>
    </row>
    <row customHeight="1" ht="15">
      <c r="A211" s="9" t="s">
        <v>229</v>
      </c>
      <c r="F211" s="0">
        <v>0</v>
      </c>
      <c r="J211" s="0">
        <v>0</v>
      </c>
      <c r="N211" s="0">
        <v>0</v>
      </c>
      <c r="R211" s="0">
        <v>0.135</v>
      </c>
      <c r="V211" s="0">
        <v>0.549</v>
      </c>
      <c r="Z211" s="0">
        <v>2.635</v>
      </c>
      <c r="AD211" s="0">
        <v>1.819</v>
      </c>
    </row>
    <row customHeight="1" ht="15">
      <c r="A212" s="9" t="s">
        <v>230</v>
      </c>
      <c r="B212" s="11">
        <f t="shared" si="74" ref="B212:B217">B208+B210</f>
        <v>0</v>
      </c>
      <c r="F212" s="11">
        <f t="shared" si="12"/>
        <v>10.969</v>
      </c>
      <c r="J212" s="11">
        <f t="shared" si="12"/>
        <v>27.4</v>
      </c>
      <c r="N212" s="11">
        <f t="shared" si="12"/>
        <v>45.222</v>
      </c>
      <c r="R212" s="11">
        <f t="shared" si="73"/>
        <v>92.489</v>
      </c>
      <c r="V212" s="11">
        <f t="shared" si="73"/>
        <v>128.588</v>
      </c>
      <c r="Z212" s="11">
        <f t="shared" si="73"/>
        <v>305.273</v>
      </c>
      <c r="AD212" s="11">
        <f t="shared" si="73"/>
        <v>219.266</v>
      </c>
    </row>
    <row customHeight="1" ht="15">
      <c r="A213" s="9" t="s">
        <v>231</v>
      </c>
      <c r="B213" s="0">
        <v>0</v>
      </c>
      <c r="F213" s="0">
        <v>5.321</v>
      </c>
      <c r="J213" s="0">
        <v>23.765</v>
      </c>
      <c r="N213" s="0">
        <v>33.236</v>
      </c>
      <c r="R213" s="0">
        <v>59.079</v>
      </c>
      <c r="V213" s="0">
        <v>65.574</v>
      </c>
      <c r="Z213" s="0">
        <v>54.864</v>
      </c>
      <c r="AD213" s="0">
        <v>70.458</v>
      </c>
    </row>
    <row customHeight="1" ht="15">
      <c r="A214" s="9" t="s">
        <v>232</v>
      </c>
      <c r="F214" s="0">
        <v>0.361</v>
      </c>
      <c r="J214" s="0">
        <v>0</v>
      </c>
      <c r="N214" s="0">
        <v>0</v>
      </c>
      <c r="R214" s="0">
        <v>0</v>
      </c>
      <c r="V214" s="0">
        <v>0</v>
      </c>
      <c r="Z214" s="0">
        <v>0</v>
      </c>
      <c r="AD214" s="0">
        <v>0</v>
      </c>
    </row>
    <row customHeight="1" ht="15">
      <c r="A215" s="9" t="s">
        <v>233</v>
      </c>
      <c r="B215" s="0">
        <v>0</v>
      </c>
      <c r="F215" s="0">
        <v>16.157</v>
      </c>
      <c r="J215" s="0">
        <v>7.343</v>
      </c>
      <c r="N215" s="0">
        <v>9.294</v>
      </c>
      <c r="R215" s="0">
        <v>7.456</v>
      </c>
      <c r="V215" s="0">
        <v>18.937</v>
      </c>
      <c r="Z215" s="0">
        <v>15.046</v>
      </c>
      <c r="AD215" s="0">
        <v>25.793</v>
      </c>
    </row>
    <row customHeight="1" ht="15">
      <c r="A216" s="9" t="s">
        <v>234</v>
      </c>
      <c r="F216" s="0">
        <v>0</v>
      </c>
      <c r="J216" s="0">
        <v>0</v>
      </c>
      <c r="N216" s="0">
        <v>0</v>
      </c>
      <c r="R216" s="0">
        <v>0.033</v>
      </c>
      <c r="V216" s="0">
        <v>0.085</v>
      </c>
      <c r="Z216" s="0">
        <v>0.764</v>
      </c>
      <c r="AD216" s="0">
        <v>0.68</v>
      </c>
    </row>
    <row customHeight="1" ht="15">
      <c r="A217" s="9" t="s">
        <v>235</v>
      </c>
      <c r="B217" s="11">
        <f t="shared" si="74"/>
        <v>0</v>
      </c>
      <c r="F217" s="11">
        <f t="shared" si="12"/>
        <v>21.839</v>
      </c>
      <c r="J217" s="11">
        <f t="shared" si="12"/>
        <v>31.108</v>
      </c>
      <c r="N217" s="11">
        <f t="shared" si="12"/>
        <v>42.53</v>
      </c>
      <c r="R217" s="11">
        <f t="shared" si="73"/>
        <v>66.568</v>
      </c>
      <c r="V217" s="11">
        <f t="shared" si="73"/>
        <v>84.596</v>
      </c>
      <c r="Z217" s="11">
        <f t="shared" si="73"/>
        <v>70.674</v>
      </c>
      <c r="AD217" s="11">
        <f t="shared" si="73"/>
        <v>96.931</v>
      </c>
    </row>
    <row customHeight="1" ht="15">
      <c r="A218" s="9" t="s">
        <v>236</v>
      </c>
      <c r="B218" s="0">
        <v>0</v>
      </c>
      <c r="F218" s="0">
        <v>0.728</v>
      </c>
      <c r="J218" s="0">
        <v>0.677</v>
      </c>
      <c r="N218" s="0">
        <v>0.782</v>
      </c>
      <c r="R218" s="0">
        <v>0.128</v>
      </c>
      <c r="V218" s="0">
        <v>42.064</v>
      </c>
      <c r="Z218" s="0">
        <v>35.56</v>
      </c>
      <c r="AD218" s="0">
        <v>46.812</v>
      </c>
    </row>
    <row customHeight="1" ht="15">
      <c r="A219" s="9" t="s">
        <v>237</v>
      </c>
      <c r="B219" s="0">
        <v>0</v>
      </c>
      <c r="F219" s="0">
        <v>0.127</v>
      </c>
      <c r="J219" s="0">
        <v>0.07</v>
      </c>
      <c r="N219" s="0">
        <v>0.466</v>
      </c>
      <c r="R219" s="0">
        <v>3.294</v>
      </c>
      <c r="V219" s="0">
        <v>5.265</v>
      </c>
      <c r="Z219" s="0">
        <v>0.458</v>
      </c>
      <c r="AD219" s="0">
        <v>0.915</v>
      </c>
    </row>
    <row customHeight="1" ht="15">
      <c r="A220" s="9" t="s">
        <v>238</v>
      </c>
      <c r="F220" s="0">
        <v>0</v>
      </c>
      <c r="J220" s="0">
        <v>0</v>
      </c>
      <c r="N220" s="0">
        <v>0</v>
      </c>
      <c r="R220" s="0">
        <v>0.003</v>
      </c>
      <c r="V220" s="0">
        <v>0.008</v>
      </c>
      <c r="Z220" s="0">
        <v>0.333</v>
      </c>
      <c r="AD220" s="0">
        <v>0.125</v>
      </c>
    </row>
    <row customHeight="1" ht="15">
      <c r="A221" s="9" t="s">
        <v>239</v>
      </c>
      <c r="B221" s="11">
        <f>SUM(B218:B219)</f>
        <v>0</v>
      </c>
      <c r="F221" s="11">
        <f t="shared" si="75" ref="F221:AD221">SUM(F218:F220)</f>
        <v>0.855</v>
      </c>
      <c r="J221" s="11">
        <f t="shared" si="75"/>
        <v>0.747</v>
      </c>
      <c r="N221" s="11">
        <f t="shared" si="75"/>
        <v>1.248</v>
      </c>
      <c r="R221" s="11">
        <f t="shared" si="75"/>
        <v>3.425</v>
      </c>
      <c r="V221" s="11">
        <f t="shared" si="75"/>
        <v>47.337</v>
      </c>
      <c r="Z221" s="11">
        <f t="shared" si="75"/>
        <v>36.351</v>
      </c>
      <c r="AD221" s="11">
        <f t="shared" si="75"/>
        <v>47.852</v>
      </c>
    </row>
    <row customHeight="1" ht="15">
      <c r="A222" s="9" t="s">
        <v>240</v>
      </c>
      <c r="B222" s="0">
        <v>0.001</v>
      </c>
      <c r="F222" s="0">
        <v>0.636</v>
      </c>
      <c r="J222" s="0">
        <v>0.421</v>
      </c>
      <c r="N222" s="0">
        <v>0.466</v>
      </c>
      <c r="R222" s="0">
        <v>0.161</v>
      </c>
      <c r="V222" s="0">
        <v>13.634</v>
      </c>
      <c r="Z222" s="0">
        <v>0.41</v>
      </c>
      <c r="AD222" s="0">
        <v>7.349</v>
      </c>
    </row>
    <row customHeight="1" ht="15">
      <c r="A223" s="9" t="s">
        <v>241</v>
      </c>
      <c r="B223" s="0">
        <v>0</v>
      </c>
      <c r="F223" s="0">
        <v>2.321</v>
      </c>
      <c r="J223" s="0">
        <v>2.283</v>
      </c>
      <c r="N223" s="0">
        <v>0.115</v>
      </c>
      <c r="R223" s="0">
        <v>0</v>
      </c>
      <c r="V223" s="0">
        <v>0</v>
      </c>
      <c r="Z223" s="0">
        <v>0</v>
      </c>
      <c r="AD223" s="0">
        <v>0</v>
      </c>
    </row>
    <row customHeight="1" ht="15">
      <c r="A224" s="9" t="s">
        <v>242</v>
      </c>
      <c r="B224" s="0">
        <v>8.822</v>
      </c>
      <c r="F224" s="0">
        <v>59.547</v>
      </c>
      <c r="J224" s="0">
        <v>34.662</v>
      </c>
      <c r="N224" s="0">
        <v>38.762</v>
      </c>
      <c r="R224" s="0">
        <v>12.478</v>
      </c>
      <c r="V224" s="0">
        <v>14.675</v>
      </c>
      <c r="Z224" s="0">
        <v>8.125</v>
      </c>
      <c r="AD224" s="0">
        <v>12.365</v>
      </c>
    </row>
    <row customHeight="1" ht="15">
      <c r="A225" s="9" t="s">
        <v>243</v>
      </c>
      <c r="B225" s="0">
        <v>0</v>
      </c>
      <c r="F225" s="0">
        <v>0.034</v>
      </c>
      <c r="J225" s="0">
        <v>0.056</v>
      </c>
      <c r="N225" s="0">
        <v>0.058</v>
      </c>
      <c r="R225" s="0">
        <v>0.296</v>
      </c>
      <c r="V225" s="0">
        <v>0.785</v>
      </c>
      <c r="Z225" s="0">
        <v>1.451</v>
      </c>
      <c r="AD225" s="0">
        <v>1.459</v>
      </c>
    </row>
    <row customHeight="1" ht="15">
      <c r="A226" s="9" t="s">
        <v>244</v>
      </c>
      <c r="B226" s="11">
        <f t="shared" si="73"/>
        <v>8.823</v>
      </c>
      <c r="F226" s="11">
        <f t="shared" si="12"/>
        <v>62.538</v>
      </c>
      <c r="J226" s="11">
        <f t="shared" si="12"/>
        <v>37.422</v>
      </c>
      <c r="N226" s="11">
        <f t="shared" si="12"/>
        <v>39.401</v>
      </c>
      <c r="R226" s="11">
        <f t="shared" si="73"/>
        <v>12.935</v>
      </c>
      <c r="V226" s="11">
        <f t="shared" si="73"/>
        <v>29.094</v>
      </c>
      <c r="Z226" s="11">
        <f t="shared" si="73"/>
        <v>9.986</v>
      </c>
      <c r="AD226" s="11">
        <f t="shared" si="73"/>
        <v>21.173</v>
      </c>
    </row>
    <row customHeight="1" ht="15">
      <c r="A227" s="4" t="s">
        <v>245</v>
      </c>
      <c r="B227" s="7">
        <f>B202+B207+B226</f>
        <v>432.474</v>
      </c>
      <c r="F227" s="7">
        <f t="shared" si="76" ref="F227:AD227">F202+F207+F212+F217+F221+F226</f>
        <v>607.296</v>
      </c>
      <c r="J227" s="7">
        <f t="shared" si="76"/>
        <v>695.672</v>
      </c>
      <c r="N227" s="7">
        <f t="shared" si="76"/>
        <v>1014.891</v>
      </c>
      <c r="R227" s="7">
        <f t="shared" si="76"/>
        <v>1852.686</v>
      </c>
      <c r="V227" s="7">
        <f t="shared" si="76"/>
        <v>2262.773</v>
      </c>
      <c r="Z227" s="7">
        <f t="shared" si="76"/>
        <v>2103.272</v>
      </c>
      <c r="AD227" s="7">
        <f t="shared" si="76"/>
        <v>2189.312</v>
      </c>
    </row>
    <row customHeight="1" ht="15">
      <c r="A228" s="9" t="s">
        <v>246</v>
      </c>
      <c r="B228" s="0">
        <v>0</v>
      </c>
      <c r="C228" s="0">
        <v>-5.875</v>
      </c>
      <c r="D228" s="0">
        <v>-11.778</v>
      </c>
      <c r="E228" s="0">
        <v>-24.179</v>
      </c>
      <c r="F228" s="0">
        <v>0</v>
      </c>
      <c r="G228" s="0">
        <v>-5.651</v>
      </c>
      <c r="H228" s="0">
        <v>-10.564</v>
      </c>
      <c r="I228" s="0">
        <v>-17.885</v>
      </c>
      <c r="J228" s="0">
        <v>0</v>
      </c>
      <c r="K228" s="0">
        <v>-8.514</v>
      </c>
      <c r="L228" s="0">
        <v>-17.9</v>
      </c>
      <c r="M228" s="0">
        <v>-35.39</v>
      </c>
      <c r="N228" s="0">
        <v>0</v>
      </c>
      <c r="O228" s="0">
        <v>-11.423</v>
      </c>
      <c r="P228" s="0">
        <v>-30.218</v>
      </c>
      <c r="Q228" s="0">
        <v>-44.892</v>
      </c>
      <c r="R228" s="0">
        <v>0</v>
      </c>
      <c r="S228" s="0">
        <v>-12.555</v>
      </c>
      <c r="T228" s="0">
        <v>-27.936</v>
      </c>
      <c r="U228" s="0">
        <v>-45.019</v>
      </c>
      <c r="V228" s="0">
        <v>0</v>
      </c>
      <c r="W228" s="0">
        <v>-18.852</v>
      </c>
      <c r="X228" s="0">
        <v>-40.046</v>
      </c>
      <c r="Y228" s="0">
        <v>-73.849</v>
      </c>
      <c r="Z228" s="0">
        <v>0</v>
      </c>
      <c r="AA228" s="0">
        <v>-22.262</v>
      </c>
      <c r="AB228" s="0">
        <v>-47.624</v>
      </c>
      <c r="AC228" s="0">
        <v>-73.714</v>
      </c>
      <c r="AD228" s="0">
        <v>0</v>
      </c>
      <c r="AE228" s="0">
        <v>-18.06</v>
      </c>
      <c r="AF228" s="0">
        <v>-34.746</v>
      </c>
    </row>
    <row customHeight="1" ht="15">
      <c r="A229" s="9" t="s">
        <v>247</v>
      </c>
      <c r="D229" s="0">
        <v>16.6</v>
      </c>
      <c r="E229" s="0">
        <v>25</v>
      </c>
      <c r="F229" s="0">
        <v>31.7</v>
      </c>
      <c r="G229" s="0">
        <v>8.9</v>
      </c>
      <c r="H229" s="0">
        <v>1.7</v>
      </c>
      <c r="I229" s="0">
        <v>0</v>
      </c>
      <c r="J229" s="0">
        <v>11.9</v>
      </c>
      <c r="K229" s="0">
        <v>-0.6</v>
      </c>
      <c r="L229" s="0">
        <v>3.2</v>
      </c>
      <c r="M229" s="0">
        <v>9.5</v>
      </c>
      <c r="N229" s="0">
        <v>0</v>
      </c>
      <c r="R229" s="0">
        <v>0</v>
      </c>
      <c r="V229" s="0">
        <v>0</v>
      </c>
      <c r="Z229" s="0">
        <v>0</v>
      </c>
      <c r="AD229" s="0">
        <v>0</v>
      </c>
    </row>
    <row customHeight="1" ht="15">
      <c r="A230" s="9" t="s">
        <v>248</v>
      </c>
      <c r="D230" s="0">
        <v>51</v>
      </c>
      <c r="E230" s="0">
        <v>134.6</v>
      </c>
      <c r="F230" s="0">
        <v>149.2</v>
      </c>
      <c r="G230" s="0">
        <v>2.3</v>
      </c>
      <c r="H230" s="0">
        <v>49.5</v>
      </c>
      <c r="I230" s="0">
        <v>64.1</v>
      </c>
      <c r="J230" s="0">
        <v>81.3</v>
      </c>
      <c r="K230" s="0">
        <v>17.8</v>
      </c>
      <c r="L230" s="0">
        <v>36.5</v>
      </c>
      <c r="M230" s="0">
        <v>76.2</v>
      </c>
      <c r="N230" s="0">
        <v>0</v>
      </c>
      <c r="R230" s="0">
        <v>0</v>
      </c>
      <c r="V230" s="0">
        <v>0</v>
      </c>
      <c r="Z230" s="0">
        <v>0</v>
      </c>
      <c r="AD230" s="0">
        <v>0</v>
      </c>
    </row>
    <row customHeight="1" ht="15">
      <c r="A231" s="9" t="s">
        <v>249</v>
      </c>
      <c r="D231" s="0">
        <v>16.4</v>
      </c>
      <c r="E231" s="0">
        <v>18.8</v>
      </c>
      <c r="F231" s="0">
        <v>33</v>
      </c>
      <c r="G231" s="0">
        <v>23.5</v>
      </c>
      <c r="H231" s="0">
        <v>22</v>
      </c>
      <c r="I231" s="0">
        <v>23</v>
      </c>
      <c r="J231" s="0">
        <v>22.4</v>
      </c>
      <c r="K231" s="0">
        <v>3.2</v>
      </c>
      <c r="L231" s="0">
        <v>4.6</v>
      </c>
      <c r="M231" s="0">
        <v>6.8</v>
      </c>
      <c r="N231" s="0">
        <v>0</v>
      </c>
      <c r="R231" s="0">
        <v>0</v>
      </c>
      <c r="V231" s="0">
        <v>0</v>
      </c>
      <c r="Z231" s="0">
        <v>0</v>
      </c>
      <c r="AD231" s="0">
        <v>0</v>
      </c>
    </row>
    <row customHeight="1" ht="15">
      <c r="A232" s="9" t="s">
        <v>214</v>
      </c>
      <c r="D232" s="0">
        <v>-0.1</v>
      </c>
      <c r="E232" s="0">
        <v>-1.1</v>
      </c>
      <c r="F232" s="0">
        <v>-1.6</v>
      </c>
      <c r="G232" s="0">
        <v>-1.1</v>
      </c>
      <c r="H232" s="0">
        <v>-2.4</v>
      </c>
      <c r="I232" s="0">
        <v>-1.5</v>
      </c>
      <c r="J232" s="0">
        <v>14.7</v>
      </c>
      <c r="K232" s="0">
        <v>1.8</v>
      </c>
      <c r="L232" s="0">
        <v>2.3</v>
      </c>
      <c r="M232" s="0">
        <v>6.9</v>
      </c>
      <c r="N232" s="0">
        <v>0</v>
      </c>
      <c r="R232" s="0">
        <v>0</v>
      </c>
      <c r="V232" s="0">
        <v>0</v>
      </c>
      <c r="Z232" s="0">
        <v>0</v>
      </c>
      <c r="AD232" s="0">
        <v>0</v>
      </c>
    </row>
    <row customHeight="1" ht="15">
      <c r="A233" s="9" t="s">
        <v>250</v>
      </c>
      <c r="D233" s="0">
        <v>-2.2</v>
      </c>
      <c r="E233" s="0">
        <v>-3.2</v>
      </c>
      <c r="F233" s="0">
        <v>2.2</v>
      </c>
      <c r="G233" s="0">
        <v>-2</v>
      </c>
      <c r="H233" s="0">
        <v>-1.9</v>
      </c>
      <c r="I233" s="0">
        <v>-0.9</v>
      </c>
      <c r="J233" s="0">
        <v>-21.1</v>
      </c>
      <c r="K233" s="0">
        <v>-2.8</v>
      </c>
      <c r="L233" s="0">
        <v>-3.7</v>
      </c>
      <c r="M233" s="0">
        <v>-4.9</v>
      </c>
      <c r="N233" s="0">
        <v>0</v>
      </c>
      <c r="R233" s="0">
        <v>0</v>
      </c>
      <c r="V233" s="0">
        <v>0</v>
      </c>
      <c r="Z233" s="0">
        <v>0</v>
      </c>
      <c r="AD233" s="0">
        <v>0</v>
      </c>
    </row>
    <row customHeight="1" ht="15">
      <c r="A234" s="9" t="s">
        <v>251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133.785</v>
      </c>
      <c r="R234" s="0">
        <v>233.488</v>
      </c>
      <c r="V234" s="0">
        <v>336.296</v>
      </c>
      <c r="Z234" s="0">
        <v>219.564</v>
      </c>
      <c r="AD234" s="0">
        <v>237.609</v>
      </c>
    </row>
    <row customHeight="1" ht="15">
      <c r="A235" s="9" t="s">
        <v>252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21.16</v>
      </c>
      <c r="R235" s="0">
        <v>35.908</v>
      </c>
      <c r="V235" s="0">
        <v>79.583</v>
      </c>
      <c r="Z235" s="0">
        <v>100.113</v>
      </c>
      <c r="AD235" s="0">
        <v>88.546</v>
      </c>
    </row>
    <row customHeight="1" ht="15">
      <c r="A236" s="9" t="s">
        <v>253</v>
      </c>
      <c r="N236" s="0">
        <v>127.998</v>
      </c>
      <c r="R236" s="0">
        <v>232.063</v>
      </c>
      <c r="V236" s="0">
        <v>330.076</v>
      </c>
      <c r="Z236" s="0">
        <v>228.78</v>
      </c>
      <c r="AD236" s="0">
        <v>266.88</v>
      </c>
    </row>
    <row customHeight="1" ht="15">
      <c r="A237" s="9" t="s">
        <v>254</v>
      </c>
      <c r="N237" s="0">
        <v>18.858</v>
      </c>
      <c r="R237" s="0">
        <v>42.531</v>
      </c>
      <c r="V237" s="0">
        <v>77.596</v>
      </c>
      <c r="Z237" s="0">
        <v>99.306</v>
      </c>
      <c r="AD237" s="0">
        <v>95.697</v>
      </c>
    </row>
    <row customHeight="1" ht="15">
      <c r="A238" s="4" t="s">
        <v>255</v>
      </c>
      <c r="N238" s="7">
        <f t="shared" si="1"/>
        <v>146.856</v>
      </c>
      <c r="R238" s="7">
        <f t="shared" si="1"/>
        <v>274.594</v>
      </c>
      <c r="V238" s="7">
        <f t="shared" si="1"/>
        <v>407.672</v>
      </c>
      <c r="Z238" s="7">
        <f t="shared" si="1"/>
        <v>328.086</v>
      </c>
      <c r="AD238" s="7">
        <f t="shared" si="1"/>
        <v>362.577</v>
      </c>
    </row>
    <row customHeight="1" ht="15">
      <c r="A239" s="4" t="s">
        <v>256</v>
      </c>
      <c r="D239" s="7">
        <f t="shared" si="77" ref="D239:L239">SUM(D229:D235)</f>
        <v>81.7</v>
      </c>
      <c r="E239" s="7">
        <f t="shared" si="77"/>
        <v>174.1</v>
      </c>
      <c r="F239" s="7">
        <f t="shared" si="78" ref="F239:M239">SUM(F229:F233)</f>
        <v>214.5</v>
      </c>
      <c r="G239" s="7">
        <f t="shared" si="78"/>
        <v>31.6</v>
      </c>
      <c r="H239" s="7">
        <f t="shared" si="78"/>
        <v>68.9</v>
      </c>
      <c r="I239" s="7">
        <f t="shared" si="78"/>
        <v>84.7</v>
      </c>
      <c r="J239" s="7">
        <f t="shared" si="77"/>
        <v>109.2</v>
      </c>
      <c r="K239" s="7">
        <f t="shared" si="77"/>
        <v>19.4</v>
      </c>
      <c r="L239" s="7">
        <f t="shared" si="77"/>
        <v>42.9</v>
      </c>
      <c r="M239" s="7">
        <f t="shared" si="78"/>
        <v>94.5</v>
      </c>
      <c r="N239" s="7">
        <f t="shared" si="79" ref="N239:AD239">SUM(N234:N235)</f>
        <v>154.945</v>
      </c>
      <c r="R239" s="7">
        <f t="shared" si="79"/>
        <v>269.396</v>
      </c>
      <c r="V239" s="7">
        <f t="shared" si="79"/>
        <v>415.879</v>
      </c>
      <c r="Z239" s="7">
        <f t="shared" si="79"/>
        <v>319.677</v>
      </c>
      <c r="AD239" s="7">
        <f t="shared" si="79"/>
        <v>326.155</v>
      </c>
    </row>
    <row customHeight="1" ht="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customHeight="1" ht="15">
      <c r="A241" s="2" t="s">
        <v>257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customHeight="1" ht="15">
      <c r="A242" s="9" t="s">
        <v>258</v>
      </c>
      <c r="J242" s="20">
        <v>10682</v>
      </c>
      <c r="N242" s="20">
        <v>35796</v>
      </c>
      <c r="R242" s="20">
        <v>143810</v>
      </c>
      <c r="V242" s="20">
        <v>260966</v>
      </c>
      <c r="Z242" s="20">
        <v>235827</v>
      </c>
      <c r="AD242" s="20">
        <v>264542</v>
      </c>
    </row>
    <row customHeight="1" ht="15">
      <c r="A243" s="9" t="s">
        <v>259</v>
      </c>
      <c r="J243" s="20">
        <v>30813</v>
      </c>
      <c r="N243" s="20">
        <v>35596</v>
      </c>
      <c r="R243" s="20">
        <v>39937</v>
      </c>
      <c r="V243" s="20">
        <v>35337</v>
      </c>
      <c r="Z243" s="20">
        <v>28827</v>
      </c>
      <c r="AD243" s="20">
        <v>23932</v>
      </c>
    </row>
    <row customHeight="1" ht="15">
      <c r="A244" s="9" t="s">
        <v>260</v>
      </c>
      <c r="Z244" s="20">
        <v>161134</v>
      </c>
      <c r="AD244" s="20">
        <v>69208</v>
      </c>
    </row>
    <row customHeight="1" ht="15">
      <c r="A245" s="9" t="s">
        <v>261</v>
      </c>
      <c r="B245" s="0">
        <v>7</v>
      </c>
      <c r="F245" s="0">
        <v>54</v>
      </c>
      <c r="J245" s="0">
        <v>54</v>
      </c>
      <c r="N245" s="0">
        <v>93</v>
      </c>
      <c r="R245" s="0">
        <v>173</v>
      </c>
      <c r="V245" s="0">
        <v>200</v>
      </c>
      <c r="Z245" s="0">
        <v>220</v>
      </c>
      <c r="AD245" s="0">
        <v>142</v>
      </c>
    </row>
    <row customHeight="1" ht="15">
      <c r="A246" s="9" t="s">
        <v>262</v>
      </c>
      <c r="B246" s="20">
        <v>2006</v>
      </c>
      <c r="F246" s="20">
        <v>22158</v>
      </c>
      <c r="J246" s="20">
        <v>41495</v>
      </c>
    </row>
    <row customHeight="1" ht="15">
      <c r="A247" s="9" t="s">
        <v>263</v>
      </c>
      <c r="B247" s="0">
        <v>497.855</v>
      </c>
      <c r="F247" s="0">
        <v>692.785</v>
      </c>
      <c r="J247" s="0">
        <v>547.629</v>
      </c>
    </row>
    <row customHeight="1" ht="15">
      <c r="A248" s="9" t="s">
        <v>264</v>
      </c>
      <c r="B248" s="0">
        <v>80.201</v>
      </c>
      <c r="F248" s="0">
        <v>77.862</v>
      </c>
      <c r="J248" s="0">
        <v>62.203</v>
      </c>
    </row>
    <row customHeight="1" ht="15">
      <c r="A249" s="9" t="s">
        <v>265</v>
      </c>
      <c r="B249" s="0">
        <v>14.268</v>
      </c>
      <c r="F249" s="0">
        <v>17.228</v>
      </c>
      <c r="J249" s="0">
        <v>13.932</v>
      </c>
    </row>
    <row customHeight="1" ht="15">
      <c r="A250" s="9" t="s">
        <v>266</v>
      </c>
      <c r="B250" s="20">
        <v>31</v>
      </c>
      <c r="F250" s="20">
        <v>33</v>
      </c>
      <c r="J250" s="20">
        <v>64</v>
      </c>
    </row>
    <row customHeight="1" ht="15">
      <c r="A251" s="9" t="s">
        <v>267</v>
      </c>
      <c r="B251" s="0">
        <v>18.645</v>
      </c>
      <c r="F251" s="0">
        <v>18.103</v>
      </c>
      <c r="J251" s="0">
        <v>39.3</v>
      </c>
      <c r="N251" s="0">
        <v>85</v>
      </c>
      <c r="R251" s="0">
        <v>161</v>
      </c>
      <c r="V251" s="0">
        <v>174</v>
      </c>
      <c r="Z251" s="0">
        <v>194</v>
      </c>
      <c r="AD251" s="0">
        <v>197</v>
      </c>
    </row>
    <row customHeight="1" ht="15">
      <c r="A252" s="9" t="s">
        <v>268</v>
      </c>
      <c r="B252" s="0">
        <v>2160.809</v>
      </c>
      <c r="F252" s="0">
        <v>1893.76</v>
      </c>
      <c r="J252" s="0">
        <v>4300</v>
      </c>
      <c r="N252" s="0">
        <v>6300</v>
      </c>
    </row>
    <row customHeight="1" ht="15">
      <c r="A253" s="9" t="s">
        <v>269</v>
      </c>
      <c r="B253" s="0">
        <v>253394</v>
      </c>
      <c r="F253" s="0">
        <v>225603</v>
      </c>
      <c r="J253" s="0">
        <v>69175</v>
      </c>
    </row>
    <row customHeight="1" ht="15">
      <c r="A254" s="9" t="s">
        <v>270</v>
      </c>
      <c r="B254" s="0">
        <v>9238.521</v>
      </c>
      <c r="F254" s="0">
        <v>9887.853</v>
      </c>
      <c r="J254" s="0">
        <v>8589.15</v>
      </c>
    </row>
    <row customHeight="1" ht="15">
      <c r="A255" s="9" t="s">
        <v>271</v>
      </c>
      <c r="B255" s="0">
        <v>66881</v>
      </c>
      <c r="F255" s="0">
        <v>221500</v>
      </c>
      <c r="J255" s="0">
        <v>623329</v>
      </c>
    </row>
    <row customHeight="1" ht="15">
      <c r="A256" s="9" t="s">
        <v>272</v>
      </c>
      <c r="J256" s="22">
        <v>623</v>
      </c>
      <c r="N256" s="22">
        <v>799</v>
      </c>
    </row>
    <row customHeight="1" ht="15">
      <c r="A257" s="9" t="s">
        <v>273</v>
      </c>
      <c r="B257" s="0">
        <v>394</v>
      </c>
      <c r="F257" s="0">
        <v>1199</v>
      </c>
      <c r="J257" s="0">
        <v>2295</v>
      </c>
      <c r="N257" s="0">
        <v>2390</v>
      </c>
    </row>
    <row customHeight="1" ht="15">
      <c r="A258" s="9" t="s">
        <v>274</v>
      </c>
      <c r="B258" s="0">
        <v>15.152</v>
      </c>
      <c r="F258" s="0">
        <v>14.368</v>
      </c>
      <c r="J258" s="0">
        <v>6.242</v>
      </c>
    </row>
    <row customHeight="1" ht="15">
      <c r="A259" s="9" t="s">
        <v>275</v>
      </c>
      <c r="B259" s="0">
        <v>17.911</v>
      </c>
      <c r="F259" s="0">
        <v>31.046</v>
      </c>
      <c r="J259" s="0">
        <v>13.741</v>
      </c>
    </row>
    <row customHeight="1" ht="15">
      <c r="A260" s="9" t="s">
        <v>276</v>
      </c>
      <c r="B260" s="0">
        <v>11.504</v>
      </c>
      <c r="F260" s="0">
        <v>14.866</v>
      </c>
      <c r="J260" s="0">
        <v>12.313</v>
      </c>
    </row>
    <row customHeight="1" ht="15">
      <c r="A261" s="9" t="s">
        <v>277</v>
      </c>
      <c r="B261" s="0">
        <v>3.024</v>
      </c>
      <c r="F261" s="0">
        <v>3.064</v>
      </c>
      <c r="J261" s="0">
        <v>3.661</v>
      </c>
    </row>
    <row customHeight="1" ht="15">
      <c r="A262" s="9" t="s">
        <v>278</v>
      </c>
      <c r="J262" s="0">
        <v>35.9</v>
      </c>
      <c r="N262" s="0">
        <v>39</v>
      </c>
      <c r="R262" s="0">
        <v>73</v>
      </c>
      <c r="V262" s="0">
        <v>60</v>
      </c>
      <c r="Z262" s="0">
        <v>63</v>
      </c>
      <c r="AD262" s="0">
        <v>42</v>
      </c>
    </row>
    <row customHeight="1" ht="15">
      <c r="A263" s="9" t="s">
        <v>279</v>
      </c>
      <c r="B263" s="0">
        <v>4</v>
      </c>
      <c r="F263" s="0">
        <v>5</v>
      </c>
      <c r="J263" s="0">
        <v>6</v>
      </c>
      <c r="N263" s="0">
        <v>8</v>
      </c>
      <c r="R263" s="0">
        <v>10</v>
      </c>
      <c r="V263" s="0">
        <v>13</v>
      </c>
      <c r="Z263" s="0">
        <v>17</v>
      </c>
      <c r="AD263" s="0">
        <v>17</v>
      </c>
    </row>
    <row customHeight="1" ht="15">
      <c r="A264" s="9" t="s">
        <v>280</v>
      </c>
      <c r="J264" s="0">
        <v>624</v>
      </c>
      <c r="N264" s="0">
        <v>744</v>
      </c>
      <c r="R264" s="0">
        <v>810</v>
      </c>
      <c r="V264" s="0">
        <v>1334</v>
      </c>
      <c r="Z264" s="0">
        <v>1381</v>
      </c>
      <c r="AD264" s="0">
        <v>1590</v>
      </c>
    </row>
    <row customHeight="1" ht="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customHeight="1" ht="15">
      <c r="A266" s="2" t="s">
        <v>281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customHeight="1" ht="15">
      <c r="A267" s="9" t="s">
        <v>282</v>
      </c>
      <c r="B267" s="19">
        <f t="shared" si="80" ref="B267:AF267">IF(B3&lt;0.05,"NM",(B3+B5)/B3)</f>
        <v>0.277230538714466</v>
      </c>
      <c r="C267" s="19">
        <f t="shared" si="80"/>
        <v>0.332292290579276</v>
      </c>
      <c r="D267" s="19">
        <f t="shared" si="80"/>
        <v>0.326416934933177</v>
      </c>
      <c r="E267" s="19">
        <f t="shared" si="80"/>
        <v>0.316666042540443</v>
      </c>
      <c r="F267" s="19">
        <f t="shared" si="80"/>
        <v>0.320596081014326</v>
      </c>
      <c r="G267" s="19">
        <f t="shared" si="80"/>
        <v>0.308348483773785</v>
      </c>
      <c r="H267" s="19">
        <f t="shared" si="80"/>
        <v>0.378887705284061</v>
      </c>
      <c r="I267" s="19">
        <f t="shared" si="80"/>
        <v>0.394273519140953</v>
      </c>
      <c r="J267" s="19">
        <f t="shared" si="80"/>
        <v>0.398614576984556</v>
      </c>
      <c r="K267" s="19">
        <f t="shared" si="80"/>
        <v>0.413743339253996</v>
      </c>
      <c r="L267" s="19">
        <f t="shared" si="80"/>
        <v>0.395009374041908</v>
      </c>
      <c r="M267" s="19">
        <f t="shared" si="80"/>
        <v>0.390697994571187</v>
      </c>
      <c r="N267" s="19">
        <f t="shared" si="80"/>
        <v>0.393742776317851</v>
      </c>
      <c r="O267" s="19">
        <f t="shared" si="80"/>
        <v>0.341665379072869</v>
      </c>
      <c r="P267" s="19">
        <f t="shared" si="80"/>
        <v>0.338986850448673</v>
      </c>
      <c r="Q267" s="19">
        <f t="shared" si="80"/>
        <v>0.357825990915845</v>
      </c>
      <c r="R267" s="19">
        <f t="shared" si="80"/>
        <v>0.355850370758995</v>
      </c>
      <c r="S267" s="19">
        <f t="shared" si="80"/>
        <v>0.313064509753543</v>
      </c>
      <c r="T267" s="19">
        <f t="shared" si="80"/>
        <v>0.365888812772474</v>
      </c>
      <c r="U267" s="19">
        <f t="shared" si="80"/>
        <v>0.39505045934967</v>
      </c>
      <c r="V267" s="19">
        <f t="shared" si="80"/>
        <v>0.378391027292618</v>
      </c>
      <c r="W267" s="19">
        <f t="shared" si="80"/>
        <v>0.291435557355074</v>
      </c>
      <c r="X267" s="19">
        <f t="shared" si="80"/>
        <v>0.379042456062118</v>
      </c>
      <c r="Y267" s="19">
        <f t="shared" si="80"/>
        <v>0.413267917404451</v>
      </c>
      <c r="Z267" s="19">
        <f t="shared" si="80"/>
        <v>0.435428228018059</v>
      </c>
      <c r="AA267" s="19">
        <f t="shared" si="80"/>
        <v>0.363930656559364</v>
      </c>
      <c r="AB267" s="19">
        <f t="shared" si="80"/>
        <v>0.429314580506303</v>
      </c>
      <c r="AC267" s="19">
        <f t="shared" si="80"/>
        <v>0.427982863666205</v>
      </c>
      <c r="AD267" s="19">
        <f t="shared" si="80"/>
        <v>0.450607770843078</v>
      </c>
      <c r="AE267" s="19">
        <f t="shared" si="80"/>
        <v>0.372773731562519</v>
      </c>
      <c r="AF267" s="19">
        <f t="shared" si="80"/>
        <v>0.372147651006711</v>
      </c>
    </row>
    <row customHeight="1" ht="15">
      <c r="A268" s="9" t="s">
        <v>283</v>
      </c>
      <c r="B268" s="19">
        <f t="shared" si="81" ref="B268:AF268">IF(B3&lt;0.05,"NM",B185/B3)</f>
        <v>0.0585329985155177</v>
      </c>
      <c r="C268" s="19">
        <f t="shared" si="81"/>
        <v>0.061639000598956</v>
      </c>
      <c r="D268" s="19">
        <f t="shared" si="82" ref="D268:AD268">IF(D3&lt;0.05,"NM",D186/D3)</f>
        <v>0.398497707540728</v>
      </c>
      <c r="E268" s="19">
        <f t="shared" si="82"/>
        <v>0.54330187737168</v>
      </c>
      <c r="F268" s="19">
        <f t="shared" si="82"/>
        <v>0.353202700477524</v>
      </c>
      <c r="G268" s="19">
        <f t="shared" si="82"/>
        <v>0.117968111278274</v>
      </c>
      <c r="H268" s="19">
        <f t="shared" si="82"/>
        <v>0.171886031328662</v>
      </c>
      <c r="I268" s="19">
        <f t="shared" si="82"/>
        <v>0.158424656637469</v>
      </c>
      <c r="J268" s="19">
        <f t="shared" si="82"/>
        <v>0.156970526339999</v>
      </c>
      <c r="K268" s="19">
        <f t="shared" si="82"/>
        <v>0.119646733767515</v>
      </c>
      <c r="L268" s="19">
        <f t="shared" si="82"/>
        <v>0.116395484180796</v>
      </c>
      <c r="M268" s="19">
        <f t="shared" si="82"/>
        <v>0.141406523554287</v>
      </c>
      <c r="N268" s="19">
        <f t="shared" si="82"/>
        <v>0.152671567685594</v>
      </c>
      <c r="O268" s="19">
        <f t="shared" si="81"/>
        <v>0.143241393880724</v>
      </c>
      <c r="P268" s="19">
        <f t="shared" si="81"/>
        <v>0.150532579246383</v>
      </c>
      <c r="Q268" s="19">
        <f t="shared" si="81"/>
        <v>0.184463968691128</v>
      </c>
      <c r="R268" s="19">
        <f t="shared" si="82"/>
        <v>0.14540834226631</v>
      </c>
      <c r="S268" s="19">
        <f t="shared" si="81"/>
        <v>0.0577158724825583</v>
      </c>
      <c r="T268" s="19">
        <f t="shared" si="81"/>
        <v>0.140687226478457</v>
      </c>
      <c r="U268" s="19">
        <f t="shared" si="81"/>
        <v>0.194352376945013</v>
      </c>
      <c r="V268" s="19">
        <f t="shared" si="82"/>
        <v>0.183791745791558</v>
      </c>
      <c r="W268" s="19">
        <f t="shared" si="81"/>
        <v>0.0237313720325957</v>
      </c>
      <c r="X268" s="19">
        <f t="shared" si="81"/>
        <v>0.147002914816087</v>
      </c>
      <c r="Y268" s="19">
        <f t="shared" si="81"/>
        <v>0.199433848271531</v>
      </c>
      <c r="Z268" s="19">
        <f t="shared" si="82"/>
        <v>0.151990327451704</v>
      </c>
      <c r="AA268" s="19">
        <f t="shared" si="81"/>
        <v>0.0790441779182541</v>
      </c>
      <c r="AB268" s="19">
        <f t="shared" si="81"/>
        <v>0.190367247226646</v>
      </c>
      <c r="AC268" s="19">
        <f t="shared" si="81"/>
        <v>0.171651870653715</v>
      </c>
      <c r="AD268" s="19">
        <f t="shared" si="82"/>
        <v>0.148976025344949</v>
      </c>
      <c r="AE268" s="19">
        <f t="shared" si="81"/>
        <v>0.0560201052696003</v>
      </c>
      <c r="AF268" s="19">
        <f t="shared" si="81"/>
        <v>0.098664896098769</v>
      </c>
    </row>
    <row customHeight="1" ht="15">
      <c r="A269" s="9" t="s">
        <v>284</v>
      </c>
      <c r="N269" s="19">
        <f t="shared" si="83" ref="N269:AD269">IF(N3&lt;0.05,"NM",N187/N3)</f>
        <v>0.152808528206477</v>
      </c>
      <c r="R269" s="19">
        <f t="shared" si="83"/>
        <v>0.155544436563994</v>
      </c>
      <c r="V269" s="19">
        <f t="shared" si="83"/>
        <v>0.173287819856433</v>
      </c>
      <c r="Z269" s="19">
        <f t="shared" si="83"/>
        <v>0.153511290979008</v>
      </c>
      <c r="AD269" s="19">
        <f t="shared" si="83"/>
        <v>0.164780990557764</v>
      </c>
    </row>
    <row customHeight="1" ht="15">
      <c r="A270" s="9" t="s">
        <v>285</v>
      </c>
      <c r="B270" s="19">
        <f t="shared" si="84" ref="B270:AF270">IF(B3&lt;0.05,"NM",B12/B3)</f>
        <v>0.0336158936722208</v>
      </c>
      <c r="C270" s="19">
        <f t="shared" si="84"/>
        <v>0.0235411140583553</v>
      </c>
      <c r="D270" s="19">
        <f t="shared" si="84"/>
        <v>0.0337625597502683</v>
      </c>
      <c r="E270" s="19">
        <f t="shared" si="84"/>
        <v>0.0326917315757939</v>
      </c>
      <c r="F270" s="19">
        <f t="shared" si="84"/>
        <v>0.0424287831384818</v>
      </c>
      <c r="G270" s="19">
        <f t="shared" si="84"/>
        <v>0.0128346318536301</v>
      </c>
      <c r="H270" s="19">
        <f t="shared" si="84"/>
        <v>0.0325535678201408</v>
      </c>
      <c r="I270" s="19">
        <f t="shared" si="84"/>
        <v>0.00630705952988835</v>
      </c>
      <c r="J270" s="19">
        <f t="shared" si="84"/>
        <v>-0.0262120654561345</v>
      </c>
      <c r="K270" s="19">
        <f t="shared" si="84"/>
        <v>0.0741624728636274</v>
      </c>
      <c r="L270" s="19">
        <f t="shared" si="84"/>
        <v>0.0763082282653817</v>
      </c>
      <c r="M270" s="19">
        <f t="shared" si="84"/>
        <v>0.0972487827068052</v>
      </c>
      <c r="N270" s="19">
        <f t="shared" si="84"/>
        <v>0.0787966392450027</v>
      </c>
      <c r="O270" s="19">
        <f t="shared" si="84"/>
        <v>0.0262637601733049</v>
      </c>
      <c r="P270" s="19">
        <f t="shared" si="84"/>
        <v>0.0710396023749896</v>
      </c>
      <c r="Q270" s="19">
        <f t="shared" si="84"/>
        <v>0.11158620166466</v>
      </c>
      <c r="R270" s="19">
        <f t="shared" si="84"/>
        <v>0.0874281988421136</v>
      </c>
      <c r="S270" s="19">
        <f t="shared" si="84"/>
        <v>-0.0462675652706682</v>
      </c>
      <c r="T270" s="19">
        <f t="shared" si="84"/>
        <v>0.0447732114912045</v>
      </c>
      <c r="U270" s="19">
        <f t="shared" si="84"/>
        <v>0.0979020382861419</v>
      </c>
      <c r="V270" s="19">
        <f t="shared" si="84"/>
        <v>0.0705581160814629</v>
      </c>
      <c r="W270" s="19">
        <f t="shared" si="84"/>
        <v>-0.136303063418623</v>
      </c>
      <c r="X270" s="19">
        <f t="shared" si="84"/>
        <v>0.00629020891956501</v>
      </c>
      <c r="Y270" s="19">
        <f t="shared" si="84"/>
        <v>0.0688704524499137</v>
      </c>
      <c r="Z270" s="19">
        <f t="shared" si="84"/>
        <v>0.0442667424850423</v>
      </c>
      <c r="AA270" s="19">
        <f t="shared" si="84"/>
        <v>-0.136188471467198</v>
      </c>
      <c r="AB270" s="19">
        <f t="shared" si="84"/>
        <v>0.0149542143784329</v>
      </c>
      <c r="AC270" s="19">
        <f t="shared" si="84"/>
        <v>0.0270295557850807</v>
      </c>
      <c r="AD270" s="19">
        <f t="shared" si="84"/>
        <v>-0.0303730121608981</v>
      </c>
      <c r="AE270" s="19">
        <f t="shared" si="84"/>
        <v>-0.0865490544096946</v>
      </c>
      <c r="AF270" s="19">
        <f t="shared" si="84"/>
        <v>-0.0640625560779528</v>
      </c>
    </row>
    <row customHeight="1" ht="15">
      <c r="A271" s="9" t="s">
        <v>286</v>
      </c>
      <c r="B271" s="19">
        <f t="shared" si="85" ref="B271:AF271">IF(B3&lt;0.05,"NM",B17/B3)</f>
        <v>0.0292341273695066</v>
      </c>
      <c r="C271" s="19">
        <f t="shared" si="85"/>
        <v>0.0106421665097971</v>
      </c>
      <c r="D271" s="19">
        <f t="shared" si="85"/>
        <v>0.0236269632231002</v>
      </c>
      <c r="E271" s="19">
        <f t="shared" si="85"/>
        <v>0.0203558767725185</v>
      </c>
      <c r="F271" s="19">
        <f t="shared" si="85"/>
        <v>0.0293792194961304</v>
      </c>
      <c r="G271" s="19">
        <f t="shared" si="85"/>
        <v>-0.0209281402476582</v>
      </c>
      <c r="H271" s="19">
        <f t="shared" si="85"/>
        <v>-0.00172883918302993</v>
      </c>
      <c r="I271" s="19">
        <f t="shared" si="85"/>
        <v>-0.0363198345051521</v>
      </c>
      <c r="J271" s="19">
        <f t="shared" si="85"/>
        <v>-0.0658485608160167</v>
      </c>
      <c r="K271" s="19">
        <f t="shared" si="85"/>
        <v>0.0367327807381093</v>
      </c>
      <c r="L271" s="19">
        <f t="shared" si="85"/>
        <v>0.0406163262980538</v>
      </c>
      <c r="M271" s="19">
        <f t="shared" si="85"/>
        <v>0.0609993326210634</v>
      </c>
      <c r="N271" s="19">
        <f t="shared" si="85"/>
        <v>0.0439731951510064</v>
      </c>
      <c r="O271" s="19">
        <f t="shared" si="85"/>
        <v>-0.0309432439165134</v>
      </c>
      <c r="P271" s="19">
        <f t="shared" si="85"/>
        <v>0.0190793392558622</v>
      </c>
      <c r="Q271" s="19">
        <f t="shared" si="85"/>
        <v>0.0563196753682861</v>
      </c>
      <c r="R271" s="19">
        <f t="shared" si="85"/>
        <v>0.0148141671065685</v>
      </c>
      <c r="S271" s="19">
        <f t="shared" si="85"/>
        <v>-0.0902746210249619</v>
      </c>
      <c r="T271" s="19">
        <f t="shared" si="85"/>
        <v>0.00124858852932622</v>
      </c>
      <c r="U271" s="19">
        <f t="shared" si="85"/>
        <v>0.0503546129521566</v>
      </c>
      <c r="V271" s="19">
        <f t="shared" si="85"/>
        <v>0.0318772585672535</v>
      </c>
      <c r="W271" s="19">
        <f t="shared" si="85"/>
        <v>-0.21717723643711</v>
      </c>
      <c r="X271" s="19">
        <f t="shared" si="85"/>
        <v>-0.00528768144363963</v>
      </c>
      <c r="Y271" s="19">
        <f t="shared" si="85"/>
        <v>0.0489375177104684</v>
      </c>
      <c r="Z271" s="19">
        <f t="shared" si="85"/>
        <v>0.0280443993929458</v>
      </c>
      <c r="AA271" s="19">
        <f t="shared" si="85"/>
        <v>-0.173083186335906</v>
      </c>
      <c r="AB271" s="19">
        <f t="shared" si="85"/>
        <v>-0.00622519495464641</v>
      </c>
      <c r="AC271" s="19">
        <f t="shared" si="85"/>
        <v>-0.010998218624159</v>
      </c>
      <c r="AD271" s="19">
        <f t="shared" si="85"/>
        <v>-0.0661509186447615</v>
      </c>
      <c r="AE271" s="19">
        <f t="shared" si="85"/>
        <v>-0.130814309321256</v>
      </c>
      <c r="AF271" s="19">
        <f t="shared" si="85"/>
        <v>-0.102602914259053</v>
      </c>
    </row>
    <row customHeight="1" ht="15">
      <c r="A272" s="9" t="s">
        <v>287</v>
      </c>
      <c r="B272" s="19">
        <f t="shared" si="86" ref="B272:AF272">IF(B3&lt;0.05,"NM",B21/B3)</f>
        <v>0.0224082835037482</v>
      </c>
      <c r="C272" s="19">
        <f t="shared" si="86"/>
        <v>0.00627834345854357</v>
      </c>
      <c r="D272" s="19">
        <f t="shared" si="86"/>
        <v>0.017739732709004</v>
      </c>
      <c r="E272" s="19">
        <f t="shared" si="86"/>
        <v>0.0149384611543839</v>
      </c>
      <c r="F272" s="19">
        <f t="shared" si="86"/>
        <v>0.0199736538778199</v>
      </c>
      <c r="G272" s="19">
        <f t="shared" si="86"/>
        <v>-0.0276291769484336</v>
      </c>
      <c r="H272" s="19">
        <f t="shared" si="86"/>
        <v>-0.0168318585395425</v>
      </c>
      <c r="I272" s="19">
        <f t="shared" si="86"/>
        <v>-0.0459562433716957</v>
      </c>
      <c r="J272" s="19">
        <f t="shared" si="86"/>
        <v>-0.074180073367909</v>
      </c>
      <c r="K272" s="19">
        <f t="shared" si="86"/>
        <v>0.0108175448983619</v>
      </c>
      <c r="L272" s="19">
        <f t="shared" si="86"/>
        <v>0.0395771778029199</v>
      </c>
      <c r="M272" s="19">
        <f t="shared" si="86"/>
        <v>0.0548298183711764</v>
      </c>
      <c r="N272" s="19">
        <f t="shared" si="86"/>
        <v>0.0338637351203233</v>
      </c>
      <c r="O272" s="19">
        <f t="shared" si="86"/>
        <v>-0.0408887235162978</v>
      </c>
      <c r="P272" s="19">
        <f t="shared" si="86"/>
        <v>0.00651392776393577</v>
      </c>
      <c r="Q272" s="19">
        <f t="shared" si="86"/>
        <v>0.0410914075381971</v>
      </c>
      <c r="R272" s="19">
        <f t="shared" si="86"/>
        <v>0.00629734342462781</v>
      </c>
      <c r="S272" s="19">
        <f t="shared" si="86"/>
        <v>-0.082863114413898</v>
      </c>
      <c r="T272" s="19">
        <f t="shared" si="86"/>
        <v>-0.00307014511699222</v>
      </c>
      <c r="U272" s="19">
        <f t="shared" si="86"/>
        <v>0.043105857766319</v>
      </c>
      <c r="V272" s="19">
        <f t="shared" si="86"/>
        <v>0.0301338225266078</v>
      </c>
      <c r="W272" s="19">
        <f t="shared" si="86"/>
        <v>-0.191743746781504</v>
      </c>
      <c r="X272" s="19">
        <f t="shared" si="86"/>
        <v>-0.000837338289551483</v>
      </c>
      <c r="Y272" s="19">
        <f t="shared" si="86"/>
        <v>0.0405006515508173</v>
      </c>
      <c r="Z272" s="19">
        <f t="shared" si="86"/>
        <v>-0.0297550673426928</v>
      </c>
      <c r="AA272" s="19">
        <f t="shared" si="86"/>
        <v>-0.266886124535783</v>
      </c>
      <c r="AB272" s="19">
        <f t="shared" si="86"/>
        <v>-0.109014553602463</v>
      </c>
      <c r="AC272" s="19">
        <f t="shared" si="86"/>
        <v>-0.0209301207237572</v>
      </c>
      <c r="AD272" s="19">
        <f t="shared" si="86"/>
        <v>-0.029035148941768</v>
      </c>
      <c r="AE272" s="19">
        <f t="shared" si="86"/>
        <v>-0.114591621274252</v>
      </c>
      <c r="AF272" s="19">
        <f t="shared" si="86"/>
        <v>-0.0734244338369881</v>
      </c>
    </row>
    <row customHeight="1" ht="15">
      <c r="A273" s="9" t="s">
        <v>288</v>
      </c>
      <c r="B273" s="11">
        <f t="shared" si="87" ref="B273:AF274">B26</f>
        <v>6.853</v>
      </c>
      <c r="C273" s="11">
        <f t="shared" si="87"/>
        <v>2.936</v>
      </c>
      <c r="D273" s="11">
        <f t="shared" si="87"/>
        <v>6.166</v>
      </c>
      <c r="E273" s="11">
        <f t="shared" si="87"/>
        <v>9.593</v>
      </c>
      <c r="F273" s="11">
        <f t="shared" si="87"/>
        <v>34.732</v>
      </c>
      <c r="G273" s="11">
        <f t="shared" si="87"/>
        <v>26.639</v>
      </c>
      <c r="H273" s="11">
        <f t="shared" si="87"/>
        <v>53.231</v>
      </c>
      <c r="I273" s="11">
        <f t="shared" si="87"/>
        <v>77.619</v>
      </c>
      <c r="J273" s="11">
        <f t="shared" si="87"/>
        <v>99.205</v>
      </c>
      <c r="K273" s="11">
        <f t="shared" si="87"/>
        <v>18.04</v>
      </c>
      <c r="L273" s="11">
        <f t="shared" si="87"/>
        <v>35.1</v>
      </c>
      <c r="M273" s="11">
        <f t="shared" si="87"/>
        <v>54.207</v>
      </c>
      <c r="N273" s="11">
        <f t="shared" si="87"/>
        <v>74.338</v>
      </c>
      <c r="O273" s="11">
        <f t="shared" si="87"/>
        <v>21.68</v>
      </c>
      <c r="P273" s="11">
        <f t="shared" si="87"/>
        <v>48.19</v>
      </c>
      <c r="Q273" s="11">
        <f t="shared" si="87"/>
        <v>84.391</v>
      </c>
      <c r="R273" s="11">
        <f t="shared" si="87"/>
        <v>114.781</v>
      </c>
      <c r="S273" s="11">
        <f t="shared" si="87"/>
        <v>41.974</v>
      </c>
      <c r="T273" s="11">
        <f t="shared" si="87"/>
        <v>92.017</v>
      </c>
      <c r="U273" s="11">
        <f t="shared" si="87"/>
        <v>156.588</v>
      </c>
      <c r="V273" s="11">
        <f t="shared" si="87"/>
        <v>239.28</v>
      </c>
      <c r="W273" s="11">
        <f t="shared" si="87"/>
        <v>81.707</v>
      </c>
      <c r="X273" s="11">
        <f t="shared" si="87"/>
        <v>171.318</v>
      </c>
      <c r="Y273" s="11">
        <f t="shared" si="87"/>
        <v>265.277</v>
      </c>
      <c r="Z273" s="11">
        <f t="shared" si="87"/>
        <v>364.599</v>
      </c>
      <c r="AA273" s="11">
        <f t="shared" si="87"/>
        <v>102.318</v>
      </c>
      <c r="AB273" s="11">
        <f t="shared" si="87"/>
        <v>192.833</v>
      </c>
      <c r="AC273" s="11">
        <f t="shared" si="87"/>
        <v>284.197</v>
      </c>
      <c r="AD273" s="11">
        <f t="shared" si="87"/>
        <v>353.946</v>
      </c>
      <c r="AE273" s="11">
        <f t="shared" si="87"/>
        <v>72.539</v>
      </c>
      <c r="AF273" s="11">
        <f t="shared" si="87"/>
        <v>131.744</v>
      </c>
    </row>
    <row customHeight="1" ht="15">
      <c r="A274" s="9" t="s">
        <v>289</v>
      </c>
      <c r="B274" s="11">
        <f t="shared" si="87"/>
        <v>3.923</v>
      </c>
      <c r="C274" s="11">
        <f t="shared" si="87"/>
        <v>0.626</v>
      </c>
      <c r="D274" s="11">
        <f t="shared" si="87"/>
        <v>0.95</v>
      </c>
      <c r="E274" s="11">
        <f t="shared" si="87"/>
        <v>1.839</v>
      </c>
      <c r="F274" s="11">
        <f t="shared" si="87"/>
        <v>4.925</v>
      </c>
      <c r="G274" s="11">
        <f t="shared" si="87"/>
        <v>1.626</v>
      </c>
      <c r="H274" s="11">
        <f t="shared" si="87"/>
        <v>10.107</v>
      </c>
      <c r="I274" s="11">
        <f t="shared" si="87"/>
        <v>12.313</v>
      </c>
      <c r="J274" s="11">
        <f t="shared" si="87"/>
        <v>29.244</v>
      </c>
      <c r="K274" s="11">
        <f t="shared" si="87"/>
        <v>0.868</v>
      </c>
      <c r="L274" s="11">
        <f t="shared" si="87"/>
        <v>3.055</v>
      </c>
      <c r="M274" s="11">
        <f t="shared" si="87"/>
        <v>3.99</v>
      </c>
      <c r="N274" s="11">
        <f t="shared" si="87"/>
        <v>18.152</v>
      </c>
      <c r="O274" s="11">
        <f t="shared" si="87"/>
        <v>15.417</v>
      </c>
      <c r="P274" s="11">
        <f t="shared" si="87"/>
        <v>13.865</v>
      </c>
      <c r="Q274" s="11">
        <f t="shared" si="87"/>
        <v>13.596</v>
      </c>
      <c r="R274" s="11">
        <f t="shared" si="87"/>
        <v>25.886</v>
      </c>
      <c r="S274" s="11">
        <f t="shared" si="87"/>
        <v>0.116</v>
      </c>
      <c r="T274" s="11">
        <f t="shared" si="87"/>
        <v>-0.45</v>
      </c>
      <c r="U274" s="11">
        <f t="shared" si="87"/>
        <v>1.804</v>
      </c>
      <c r="V274" s="11">
        <f t="shared" si="87"/>
        <v>4.222</v>
      </c>
      <c r="W274" s="11">
        <f t="shared" si="87"/>
        <v>-0.285</v>
      </c>
      <c r="X274" s="11">
        <f t="shared" si="87"/>
        <v>1.603</v>
      </c>
      <c r="Y274" s="11">
        <f t="shared" si="87"/>
        <v>3.344</v>
      </c>
      <c r="Z274" s="11">
        <f t="shared" si="87"/>
        <v>64.234</v>
      </c>
      <c r="AA274" s="11">
        <f t="shared" si="87"/>
        <v>-3.851</v>
      </c>
      <c r="AB274" s="11">
        <f t="shared" si="87"/>
        <v>-14.185</v>
      </c>
      <c r="AC274" s="11">
        <f t="shared" si="87"/>
        <v>-7.516</v>
      </c>
      <c r="AD274" s="11">
        <f t="shared" si="87"/>
        <v>161.607</v>
      </c>
      <c r="AE274" s="11">
        <f t="shared" si="87"/>
        <v>2.003</v>
      </c>
      <c r="AF274" s="11">
        <f t="shared" si="87"/>
        <v>49.619</v>
      </c>
    </row>
    <row customHeight="1" ht="15">
      <c r="A275" s="9" t="s">
        <v>290</v>
      </c>
      <c r="F275" s="19">
        <f t="shared" si="88" ref="F275:AD275">F273/(((B108+B110)+(F108+F110))/2)</f>
        <v>0.136980142375422</v>
      </c>
      <c r="G275" s="19">
        <f t="shared" si="89" ref="G275:AE275">G273/(((F108+F110)+(G108+G110))/2)</f>
        <v>0.0568076889449026</v>
      </c>
      <c r="H275" s="19">
        <f t="shared" si="90" ref="H275:AF275">H273/(((F108+F110)+(H108+H110))/2)</f>
        <v>0.115579236948184</v>
      </c>
      <c r="I275" s="19">
        <f t="shared" si="91" ref="I275:AC275">I273/(((F108+F110)+(I108+I110))/2)</f>
        <v>0.170094570030143</v>
      </c>
      <c r="J275" s="19">
        <f t="shared" si="88"/>
        <v>0.22208268133413</v>
      </c>
      <c r="K275" s="19">
        <f t="shared" si="89"/>
        <v>0.0388864339372514</v>
      </c>
      <c r="L275" s="19">
        <f t="shared" si="90"/>
        <v>0.0744061814366117</v>
      </c>
      <c r="M275" s="19">
        <f t="shared" si="91"/>
        <v>0.112782752708933</v>
      </c>
      <c r="N275" s="19">
        <f t="shared" si="88"/>
        <v>0.151134197726014</v>
      </c>
      <c r="O275" s="19">
        <f t="shared" si="89"/>
        <v>0.0390993444367296</v>
      </c>
      <c r="P275" s="19">
        <f t="shared" si="90"/>
        <v>0.0790550145141988</v>
      </c>
      <c r="Q275" s="19">
        <f t="shared" si="91"/>
        <v>0.120852848113728</v>
      </c>
      <c r="R275" s="19">
        <f t="shared" si="88"/>
        <v>0.162284748010516</v>
      </c>
      <c r="S275" s="19">
        <f t="shared" si="89"/>
        <v>0.0430384925556245</v>
      </c>
      <c r="T275" s="19">
        <f t="shared" si="90"/>
        <v>0.0851468025185843</v>
      </c>
      <c r="U275" s="19">
        <f t="shared" si="91"/>
        <v>0.134857529670284</v>
      </c>
      <c r="V275" s="19">
        <f t="shared" si="88"/>
        <v>0.196389270652041</v>
      </c>
      <c r="W275" s="19">
        <f t="shared" si="89"/>
        <v>0.049813975677377</v>
      </c>
      <c r="X275" s="19">
        <f t="shared" si="90"/>
        <v>0.101725077228417</v>
      </c>
      <c r="Y275" s="19">
        <f t="shared" si="91"/>
        <v>0.157422509572718</v>
      </c>
      <c r="Z275" s="19">
        <f t="shared" si="88"/>
        <v>0.212856858040842</v>
      </c>
      <c r="AA275" s="19">
        <f t="shared" si="89"/>
        <v>0.0563751844061605</v>
      </c>
      <c r="AB275" s="19">
        <f t="shared" si="90"/>
        <v>0.112622349257596</v>
      </c>
      <c r="AC275" s="19">
        <f t="shared" si="91"/>
        <v>0.169150835391942</v>
      </c>
      <c r="AD275" s="19">
        <f t="shared" si="88"/>
        <v>0.228848564160274</v>
      </c>
      <c r="AE275" s="19">
        <f t="shared" si="89"/>
        <v>0.0590232389916765</v>
      </c>
      <c r="AF275" s="19">
        <f t="shared" si="90"/>
        <v>0.115070864608049</v>
      </c>
    </row>
    <row customHeight="1" ht="15">
      <c r="A276" s="9" t="s">
        <v>291</v>
      </c>
      <c r="B276" s="11">
        <f t="shared" si="92" ref="B276:AF276">SUM(B61:B62)</f>
        <v>-25.222</v>
      </c>
      <c r="C276" s="11">
        <f t="shared" si="92"/>
        <v>-3.532</v>
      </c>
      <c r="D276" s="11">
        <f t="shared" si="92"/>
        <v>-16.729</v>
      </c>
      <c r="E276" s="11">
        <f t="shared" si="92"/>
        <v>-4.022</v>
      </c>
      <c r="F276" s="11">
        <f t="shared" si="92"/>
        <v>-39.674</v>
      </c>
      <c r="G276" s="11">
        <f t="shared" si="92"/>
        <v>-18.545</v>
      </c>
      <c r="H276" s="11">
        <f t="shared" si="92"/>
        <v>-49.481</v>
      </c>
      <c r="I276" s="11">
        <f t="shared" si="92"/>
        <v>-69.275</v>
      </c>
      <c r="J276" s="11">
        <f t="shared" si="92"/>
        <v>-93.132</v>
      </c>
      <c r="K276" s="11">
        <f t="shared" si="92"/>
        <v>-26.252</v>
      </c>
      <c r="L276" s="11">
        <f t="shared" si="92"/>
        <v>-38.347</v>
      </c>
      <c r="M276" s="11">
        <f t="shared" si="92"/>
        <v>-49.615</v>
      </c>
      <c r="N276" s="11">
        <f t="shared" si="92"/>
        <v>-70.253</v>
      </c>
      <c r="O276" s="11">
        <f t="shared" si="92"/>
        <v>-21.649</v>
      </c>
      <c r="P276" s="11">
        <f t="shared" si="92"/>
        <v>-39.75</v>
      </c>
      <c r="Q276" s="11">
        <f t="shared" si="92"/>
        <v>-60.481</v>
      </c>
      <c r="R276" s="11">
        <f t="shared" si="92"/>
        <v>-159.07</v>
      </c>
      <c r="S276" s="11">
        <f t="shared" si="92"/>
        <v>-36.566</v>
      </c>
      <c r="T276" s="11">
        <f t="shared" si="92"/>
        <v>-94.786</v>
      </c>
      <c r="U276" s="11">
        <f t="shared" si="92"/>
        <v>-129.157</v>
      </c>
      <c r="V276" s="11">
        <f t="shared" si="92"/>
        <v>-213.784</v>
      </c>
      <c r="W276" s="11">
        <f t="shared" si="92"/>
        <v>-44.892</v>
      </c>
      <c r="X276" s="11">
        <f t="shared" si="92"/>
        <v>-87.307</v>
      </c>
      <c r="Y276" s="11">
        <f t="shared" si="92"/>
        <v>-162.691</v>
      </c>
      <c r="Z276" s="11">
        <f t="shared" si="92"/>
        <v>-240.345</v>
      </c>
      <c r="AA276" s="11">
        <f t="shared" si="92"/>
        <v>-48.741</v>
      </c>
      <c r="AB276" s="11">
        <f t="shared" si="92"/>
        <v>-79.31</v>
      </c>
      <c r="AC276" s="11">
        <f t="shared" si="92"/>
        <v>-116.146</v>
      </c>
      <c r="AD276" s="11">
        <f t="shared" si="92"/>
        <v>-169.115</v>
      </c>
      <c r="AE276" s="11">
        <f t="shared" si="92"/>
        <v>-13.501</v>
      </c>
      <c r="AF276" s="11">
        <f t="shared" si="92"/>
        <v>-72.742</v>
      </c>
    </row>
    <row customHeight="1" ht="15">
      <c r="A277" s="9" t="s">
        <v>292</v>
      </c>
      <c r="B277" s="11">
        <f t="shared" si="93" ref="B277:AF277">SUM(B61:B63)</f>
        <v>-25.007</v>
      </c>
      <c r="C277" s="11">
        <f t="shared" si="93"/>
        <v>-3.204</v>
      </c>
      <c r="D277" s="11">
        <f t="shared" si="93"/>
        <v>-16.231</v>
      </c>
      <c r="E277" s="11">
        <f t="shared" si="93"/>
        <v>-3.494</v>
      </c>
      <c r="F277" s="11">
        <f t="shared" si="93"/>
        <v>-36.252</v>
      </c>
      <c r="G277" s="11">
        <f t="shared" si="93"/>
        <v>-18.112</v>
      </c>
      <c r="H277" s="11">
        <f t="shared" si="93"/>
        <v>-48.783</v>
      </c>
      <c r="I277" s="11">
        <f t="shared" si="93"/>
        <v>-68.61</v>
      </c>
      <c r="J277" s="11">
        <f t="shared" si="93"/>
        <v>-83.987</v>
      </c>
      <c r="K277" s="11">
        <f t="shared" si="93"/>
        <v>-26.202</v>
      </c>
      <c r="L277" s="11">
        <f t="shared" si="93"/>
        <v>-37.95</v>
      </c>
      <c r="M277" s="11">
        <f t="shared" si="93"/>
        <v>-49.028</v>
      </c>
      <c r="N277" s="11">
        <f t="shared" si="93"/>
        <v>-66.124</v>
      </c>
      <c r="O277" s="11">
        <f t="shared" si="93"/>
        <v>-19.673</v>
      </c>
      <c r="P277" s="11">
        <f t="shared" si="93"/>
        <v>-37.726</v>
      </c>
      <c r="Q277" s="11">
        <f t="shared" si="93"/>
        <v>-37.195</v>
      </c>
      <c r="R277" s="11">
        <f t="shared" si="93"/>
        <v>-155.17</v>
      </c>
      <c r="S277" s="11">
        <f t="shared" si="93"/>
        <v>-36.513</v>
      </c>
      <c r="T277" s="11">
        <f t="shared" si="93"/>
        <v>-94.785</v>
      </c>
      <c r="U277" s="11">
        <f t="shared" si="93"/>
        <v>-129.053</v>
      </c>
      <c r="V277" s="11">
        <f t="shared" si="93"/>
        <v>-192.632</v>
      </c>
      <c r="W277" s="11">
        <f t="shared" si="93"/>
        <v>-44.851</v>
      </c>
      <c r="X277" s="11">
        <f t="shared" si="93"/>
        <v>-85.952</v>
      </c>
      <c r="Y277" s="11">
        <f t="shared" si="93"/>
        <v>-157.357</v>
      </c>
      <c r="Z277" s="11">
        <f t="shared" si="93"/>
        <v>-233.826</v>
      </c>
      <c r="AA277" s="11">
        <f t="shared" si="93"/>
        <v>-39.476</v>
      </c>
      <c r="AB277" s="11">
        <f t="shared" si="93"/>
        <v>-63.66</v>
      </c>
      <c r="AC277" s="11">
        <f t="shared" si="93"/>
        <v>-104.654</v>
      </c>
      <c r="AD277" s="11">
        <f t="shared" si="93"/>
        <v>-150.212</v>
      </c>
      <c r="AE277" s="11">
        <f t="shared" si="93"/>
        <v>-13.204</v>
      </c>
      <c r="AF277" s="11">
        <f t="shared" si="93"/>
        <v>-70.162</v>
      </c>
    </row>
    <row customHeight="1" ht="15">
      <c r="A278" s="9" t="s">
        <v>293</v>
      </c>
      <c r="B278" s="19">
        <f t="shared" si="94" ref="B278:AF278">IF(B3=0,"NM",-B276/B3)</f>
        <v>0.0583202689641458</v>
      </c>
      <c r="C278" s="19">
        <f t="shared" si="94"/>
        <v>0.0377770171985967</v>
      </c>
      <c r="D278" s="19">
        <f t="shared" si="94"/>
        <v>0.0815969173739147</v>
      </c>
      <c r="E278" s="19">
        <f t="shared" si="94"/>
        <v>0.0125511783503096</v>
      </c>
      <c r="F278" s="19">
        <f t="shared" si="94"/>
        <v>0.0653285032109336</v>
      </c>
      <c r="G278" s="19">
        <f t="shared" si="94"/>
        <v>0.0692316020144175</v>
      </c>
      <c r="H278" s="19">
        <f t="shared" si="94"/>
        <v>0.123441113442286</v>
      </c>
      <c r="I278" s="19">
        <f t="shared" si="94"/>
        <v>0.129573413088084</v>
      </c>
      <c r="J278" s="19">
        <f t="shared" si="94"/>
        <v>0.133873434607114</v>
      </c>
      <c r="K278" s="19">
        <f t="shared" si="94"/>
        <v>0.161905466745609</v>
      </c>
      <c r="L278" s="19">
        <f t="shared" si="94"/>
        <v>0.104042369041514</v>
      </c>
      <c r="M278" s="19">
        <f t="shared" si="94"/>
        <v>0.074242165779322</v>
      </c>
      <c r="N278" s="19">
        <f t="shared" si="94"/>
        <v>0.0692222120405048</v>
      </c>
      <c r="O278" s="19">
        <f t="shared" si="94"/>
        <v>0.0682655953886273</v>
      </c>
      <c r="P278" s="19">
        <f t="shared" si="94"/>
        <v>0.0509200842903534</v>
      </c>
      <c r="Q278" s="19">
        <f t="shared" si="94"/>
        <v>0.044982704108992</v>
      </c>
      <c r="R278" s="19">
        <f t="shared" si="94"/>
        <v>0.0858591256154578</v>
      </c>
      <c r="S278" s="19">
        <f t="shared" si="94"/>
        <v>0.0903363835800542</v>
      </c>
      <c r="T278" s="19">
        <f t="shared" si="94"/>
        <v>0.0992858325005918</v>
      </c>
      <c r="U278" s="19">
        <f t="shared" si="94"/>
        <v>0.0786481412581681</v>
      </c>
      <c r="V278" s="19">
        <f t="shared" si="94"/>
        <v>0.0944787656561219</v>
      </c>
      <c r="W278" s="19">
        <f t="shared" si="94"/>
        <v>0.0882349472658016</v>
      </c>
      <c r="X278" s="19">
        <f t="shared" si="94"/>
        <v>0.0710451837180424</v>
      </c>
      <c r="Y278" s="19">
        <f t="shared" si="94"/>
        <v>0.0790760567104388</v>
      </c>
      <c r="Z278" s="19">
        <f t="shared" si="94"/>
        <v>0.114271953413539</v>
      </c>
      <c r="AA278" s="19">
        <f t="shared" si="94"/>
        <v>0.106539800782966</v>
      </c>
      <c r="AB278" s="19">
        <f t="shared" si="94"/>
        <v>0.0778738504500011</v>
      </c>
      <c r="AC278" s="19">
        <f t="shared" si="94"/>
        <v>0.0607099995400203</v>
      </c>
      <c r="AD278" s="19">
        <f t="shared" si="94"/>
        <v>0.0772457283384004</v>
      </c>
      <c r="AE278" s="19">
        <f t="shared" si="94"/>
        <v>0.0258220362323276</v>
      </c>
      <c r="AF278" s="19">
        <f t="shared" si="94"/>
        <v>0.0652675591285935</v>
      </c>
    </row>
    <row customHeight="1" ht="15">
      <c r="A279" s="9" t="s">
        <v>294</v>
      </c>
      <c r="C279" s="19">
        <f t="shared" si="95" ref="C279:AE279">IF(B108=0,"NM",-(C61+C63)/B108)</f>
        <v>0.0513058655863184</v>
      </c>
      <c r="D279" s="19">
        <f t="shared" si="96" ref="D279:AF279">IF(B108=0,"NM",-(D61+D63)/B108)</f>
        <v>0.259908084997358</v>
      </c>
      <c r="E279" s="19">
        <f t="shared" si="97" ref="E279:AC279">IF(B108=0,"NM",-(E61+E63)/B108)</f>
        <v>0.0559496549184134</v>
      </c>
      <c r="F279" s="19">
        <f t="shared" si="98" ref="F279:AD279">IF(B108=0,"NM",-(F61+F63)/B108)</f>
        <v>0.580505692645199</v>
      </c>
      <c r="G279" s="19">
        <f t="shared" si="95"/>
        <v>0.0498560362909663</v>
      </c>
      <c r="H279" s="19">
        <f t="shared" si="96"/>
        <v>0.134282631315272</v>
      </c>
      <c r="I279" s="19">
        <f t="shared" si="97"/>
        <v>0.188859466095583</v>
      </c>
      <c r="J279" s="19">
        <f t="shared" si="98"/>
        <v>0.231186998673222</v>
      </c>
      <c r="K279" s="19">
        <f t="shared" si="95"/>
        <v>0.0742411406195545</v>
      </c>
      <c r="L279" s="19">
        <f t="shared" si="96"/>
        <v>0.107528100393561</v>
      </c>
      <c r="M279" s="19">
        <f t="shared" si="97"/>
        <v>0.138916672097379</v>
      </c>
      <c r="N279" s="19">
        <f t="shared" si="98"/>
        <v>0.187356735452539</v>
      </c>
      <c r="O279" s="19">
        <f t="shared" si="95"/>
        <v>0.0474685300511771</v>
      </c>
      <c r="P279" s="19">
        <f t="shared" si="96"/>
        <v>0.0910281992939922</v>
      </c>
      <c r="Q279" s="19">
        <f t="shared" si="97"/>
        <v>0.0897469615845846</v>
      </c>
      <c r="R279" s="19">
        <f t="shared" si="98"/>
        <v>0.363914941258508</v>
      </c>
      <c r="S279" s="19">
        <f t="shared" si="95"/>
        <v>0.0442265506150162</v>
      </c>
      <c r="T279" s="19">
        <f t="shared" si="96"/>
        <v>0.116214813202271</v>
      </c>
      <c r="U279" s="19">
        <f t="shared" si="97"/>
        <v>0.158036430806329</v>
      </c>
      <c r="V279" s="19">
        <f t="shared" si="98"/>
        <v>0.236590276444924</v>
      </c>
      <c r="W279" s="19">
        <f t="shared" si="95"/>
        <v>0.0304075824008337</v>
      </c>
      <c r="X279" s="19">
        <f t="shared" si="96"/>
        <v>0.0578498335855838</v>
      </c>
      <c r="Y279" s="19">
        <f t="shared" si="97"/>
        <v>0.106559102815399</v>
      </c>
      <c r="Z279" s="19">
        <f t="shared" si="98"/>
        <v>0.159016329525356</v>
      </c>
      <c r="AA279" s="19">
        <f t="shared" si="95"/>
        <v>0.0221470334671183</v>
      </c>
      <c r="AB279" s="19">
        <f t="shared" si="96"/>
        <v>0.0355417709504532</v>
      </c>
      <c r="AC279" s="19">
        <f t="shared" si="97"/>
        <v>0.0585108913464473</v>
      </c>
      <c r="AD279" s="19">
        <f t="shared" si="98"/>
        <v>0.0833133178082478</v>
      </c>
      <c r="AE279" s="19">
        <f t="shared" si="95"/>
        <v>0.0108100980313505</v>
      </c>
      <c r="AF279" s="19">
        <f t="shared" si="96"/>
        <v>0.0617271997115586</v>
      </c>
    </row>
    <row customHeight="1" ht="15">
      <c r="A280" s="9" t="s">
        <v>295</v>
      </c>
      <c r="B280" s="19">
        <f t="shared" si="99" ref="B280:AF280">IF(B273=0,"NM",-B276/B273)</f>
        <v>3.68043192762294</v>
      </c>
      <c r="C280" s="19">
        <f t="shared" si="99"/>
        <v>1.20299727520436</v>
      </c>
      <c r="D280" s="19">
        <f t="shared" si="99"/>
        <v>2.71310411936426</v>
      </c>
      <c r="E280" s="19">
        <f t="shared" si="99"/>
        <v>0.419264046700719</v>
      </c>
      <c r="F280" s="19">
        <f t="shared" si="99"/>
        <v>1.142289531268</v>
      </c>
      <c r="G280" s="19">
        <f t="shared" si="99"/>
        <v>0.696159765756973</v>
      </c>
      <c r="H280" s="19">
        <f t="shared" si="99"/>
        <v>0.929552328530368</v>
      </c>
      <c r="I280" s="19">
        <f t="shared" si="99"/>
        <v>0.892500547546348</v>
      </c>
      <c r="J280" s="19">
        <f t="shared" si="99"/>
        <v>0.938783327453253</v>
      </c>
      <c r="K280" s="19">
        <f t="shared" si="99"/>
        <v>1.45521064301552</v>
      </c>
      <c r="L280" s="19">
        <f t="shared" si="99"/>
        <v>1.09250712250712</v>
      </c>
      <c r="M280" s="19">
        <f t="shared" si="99"/>
        <v>0.915287693471323</v>
      </c>
      <c r="N280" s="19">
        <f t="shared" si="99"/>
        <v>0.945048292932282</v>
      </c>
      <c r="O280" s="19">
        <f t="shared" si="99"/>
        <v>0.998570110701107</v>
      </c>
      <c r="P280" s="19">
        <f t="shared" si="99"/>
        <v>0.824859929445943</v>
      </c>
      <c r="Q280" s="19">
        <f t="shared" si="99"/>
        <v>0.716675948857106</v>
      </c>
      <c r="R280" s="19">
        <f t="shared" si="99"/>
        <v>1.38585654420157</v>
      </c>
      <c r="S280" s="19">
        <f t="shared" si="99"/>
        <v>0.871158336112832</v>
      </c>
      <c r="T280" s="19">
        <f t="shared" si="99"/>
        <v>1.03009226555962</v>
      </c>
      <c r="U280" s="19">
        <f t="shared" si="99"/>
        <v>0.824820548190155</v>
      </c>
      <c r="V280" s="19">
        <f t="shared" si="99"/>
        <v>0.893447007689736</v>
      </c>
      <c r="W280" s="19">
        <f t="shared" si="99"/>
        <v>0.549426609715202</v>
      </c>
      <c r="X280" s="19">
        <f t="shared" si="99"/>
        <v>0.509619537935302</v>
      </c>
      <c r="Y280" s="19">
        <f t="shared" si="99"/>
        <v>0.613287243145844</v>
      </c>
      <c r="Z280" s="19">
        <f t="shared" si="99"/>
        <v>0.659203673076448</v>
      </c>
      <c r="AA280" s="19">
        <f t="shared" si="99"/>
        <v>0.476367794522958</v>
      </c>
      <c r="AB280" s="19">
        <f t="shared" si="99"/>
        <v>0.411288524267112</v>
      </c>
      <c r="AC280" s="19">
        <f t="shared" si="99"/>
        <v>0.408681302054561</v>
      </c>
      <c r="AD280" s="19">
        <f t="shared" si="99"/>
        <v>0.477798873274454</v>
      </c>
      <c r="AE280" s="19">
        <f t="shared" si="99"/>
        <v>0.186120569624616</v>
      </c>
      <c r="AF280" s="19">
        <f t="shared" si="99"/>
        <v>0.552146587320865</v>
      </c>
    </row>
    <row customHeight="1" ht="15">
      <c r="A281" s="9" t="s">
        <v>296</v>
      </c>
      <c r="C281" s="19">
        <f t="shared" si="100" ref="C281:AE281">-C62/B110</f>
        <v>0</v>
      </c>
      <c r="D281" s="19">
        <f t="shared" si="101" ref="D281:AF281">-D62/B110</f>
        <v>0</v>
      </c>
      <c r="E281" s="19">
        <f t="shared" si="102" ref="E281:AC281">-E62/B110</f>
        <v>0</v>
      </c>
      <c r="F281" s="19">
        <f t="shared" si="103" ref="F281:AD281">-F62/B110</f>
        <v>0</v>
      </c>
      <c r="G281" s="19">
        <f t="shared" si="100"/>
        <v>0</v>
      </c>
      <c r="H281" s="19">
        <f t="shared" si="101"/>
        <v>0</v>
      </c>
      <c r="I281" s="19">
        <f t="shared" si="102"/>
        <v>0</v>
      </c>
      <c r="J281" s="19">
        <f t="shared" si="103"/>
        <v>0</v>
      </c>
      <c r="K281" s="19">
        <f t="shared" si="100"/>
        <v>0</v>
      </c>
      <c r="L281" s="19">
        <f t="shared" si="101"/>
        <v>0</v>
      </c>
      <c r="M281" s="19">
        <f t="shared" si="102"/>
        <v>0</v>
      </c>
      <c r="N281" s="19">
        <f t="shared" si="103"/>
        <v>0</v>
      </c>
      <c r="O281" s="19">
        <f t="shared" si="100"/>
        <v>0</v>
      </c>
      <c r="P281" s="19">
        <f t="shared" si="101"/>
        <v>0</v>
      </c>
      <c r="Q281" s="19">
        <f t="shared" si="102"/>
        <v>0</v>
      </c>
      <c r="R281" s="19">
        <f t="shared" si="103"/>
        <v>0.038280039442175</v>
      </c>
      <c r="S281" s="19">
        <f t="shared" si="100"/>
        <v>0.0197704486685115</v>
      </c>
      <c r="T281" s="19">
        <f t="shared" si="101"/>
        <v>0.0414190445946559</v>
      </c>
      <c r="U281" s="19">
        <f t="shared" si="102"/>
        <v>0.0577598330535771</v>
      </c>
      <c r="V281" s="19">
        <f t="shared" si="103"/>
        <v>0.0813137957628272</v>
      </c>
      <c r="W281" s="19">
        <f t="shared" si="100"/>
        <v>0.0140164157510994</v>
      </c>
      <c r="X281" s="19">
        <f t="shared" si="101"/>
        <v>0.0311340619673117</v>
      </c>
      <c r="Y281" s="19">
        <f t="shared" si="102"/>
        <v>0.0504290154846657</v>
      </c>
      <c r="Z281" s="19">
        <f t="shared" si="103"/>
        <v>0.0681267995015112</v>
      </c>
      <c r="AA281" s="19">
        <f t="shared" si="100"/>
        <v>0.00857436383752173</v>
      </c>
      <c r="AB281" s="19">
        <f t="shared" si="101"/>
        <v>0.0157921078973711</v>
      </c>
      <c r="AC281" s="19">
        <f t="shared" si="102"/>
        <v>0.0250316105579263</v>
      </c>
      <c r="AD281" s="19">
        <f t="shared" si="103"/>
        <v>0.0435172014119382</v>
      </c>
      <c r="AE281" s="19">
        <f t="shared" si="100"/>
        <v>0.0111087775094136</v>
      </c>
      <c r="AF281" s="19">
        <f t="shared" si="101"/>
        <v>0.0241677792946189</v>
      </c>
    </row>
    <row customHeight="1" ht="15">
      <c r="A282" s="9" t="s">
        <v>297</v>
      </c>
      <c r="B282" s="11">
        <f t="shared" si="105" ref="B282:AC282">B60-(SUM(B49:B54))</f>
        <v>22.069</v>
      </c>
      <c r="C282" s="11">
        <f t="shared" si="104" ref="C282:E282">C60-(C49+C50+SUM(C52:C54))</f>
        <v>4.581</v>
      </c>
      <c r="D282" s="11">
        <f t="shared" si="104"/>
        <v>10.475</v>
      </c>
      <c r="E282" s="11">
        <f t="shared" si="104"/>
        <v>17.709</v>
      </c>
      <c r="F282" s="11">
        <f t="shared" si="105"/>
        <v>52.562</v>
      </c>
      <c r="G282" s="11">
        <f t="shared" si="105"/>
        <v>29.594</v>
      </c>
      <c r="H282" s="11">
        <f t="shared" si="105"/>
        <v>55.44</v>
      </c>
      <c r="I282" s="11">
        <f t="shared" si="105"/>
        <v>58.845</v>
      </c>
      <c r="J282" s="11">
        <f t="shared" si="105"/>
        <v>46.713</v>
      </c>
      <c r="K282" s="11">
        <f t="shared" si="105"/>
        <v>23.495</v>
      </c>
      <c r="L282" s="11">
        <f t="shared" si="105"/>
        <v>39.134</v>
      </c>
      <c r="M282" s="11">
        <f t="shared" si="105"/>
        <v>82.746</v>
      </c>
      <c r="N282" s="11">
        <f t="shared" si="105"/>
        <v>115.108</v>
      </c>
      <c r="O282" s="11">
        <f t="shared" si="105"/>
        <v>19.804</v>
      </c>
      <c r="P282" s="11">
        <f t="shared" si="105"/>
        <v>83.038</v>
      </c>
      <c r="Q282" s="11">
        <f t="shared" si="105"/>
        <v>199.299</v>
      </c>
      <c r="R282" s="11">
        <f t="shared" si="105"/>
        <v>216.244</v>
      </c>
      <c r="S282" s="11">
        <f t="shared" si="105"/>
        <v>-7.31</v>
      </c>
      <c r="T282" s="11">
        <f t="shared" si="105"/>
        <v>88.906</v>
      </c>
      <c r="U282" s="11">
        <f t="shared" si="105"/>
        <v>247.999</v>
      </c>
      <c r="V282" s="11">
        <f t="shared" si="105"/>
        <v>282.883</v>
      </c>
      <c r="W282" s="11">
        <f t="shared" si="106" ref="W282:AF282">W60-(SUM(W49:W51)+W53+W54)</f>
        <v>-24.047</v>
      </c>
      <c r="X282" s="11">
        <f t="shared" si="105"/>
        <v>107.87</v>
      </c>
      <c r="Y282" s="11">
        <f t="shared" si="105"/>
        <v>295.959</v>
      </c>
      <c r="Z282" s="11">
        <f t="shared" si="106"/>
        <v>295.274</v>
      </c>
      <c r="AA282" s="11">
        <f t="shared" si="106"/>
        <v>-28.301</v>
      </c>
      <c r="AB282" s="11">
        <f t="shared" si="106"/>
        <v>39.818</v>
      </c>
      <c r="AC282" s="11">
        <f t="shared" si="105"/>
        <v>227.33</v>
      </c>
      <c r="AD282" s="11">
        <f t="shared" si="106"/>
        <v>216.205</v>
      </c>
      <c r="AE282" s="11">
        <f t="shared" si="106"/>
        <v>14.733</v>
      </c>
      <c r="AF282" s="11">
        <f t="shared" si="106"/>
        <v>29.482</v>
      </c>
    </row>
    <row customHeight="1" ht="15">
      <c r="A283" s="4" t="s">
        <v>298</v>
      </c>
      <c r="B283" s="7">
        <f t="shared" si="107" ref="B283:AF283">B60+B276+B99</f>
        <v>-6.823</v>
      </c>
      <c r="C283" s="7">
        <f t="shared" si="107"/>
        <v>1.103</v>
      </c>
      <c r="D283" s="7">
        <f t="shared" si="107"/>
        <v>-9.271</v>
      </c>
      <c r="E283" s="7">
        <f t="shared" si="107"/>
        <v>-1.189</v>
      </c>
      <c r="F283" s="7">
        <f t="shared" si="107"/>
        <v>-31.352</v>
      </c>
      <c r="G283" s="7">
        <f t="shared" si="107"/>
        <v>21.401</v>
      </c>
      <c r="H283" s="7">
        <f t="shared" si="107"/>
        <v>23.714</v>
      </c>
      <c r="I283" s="7">
        <f t="shared" si="107"/>
        <v>-24.629</v>
      </c>
      <c r="J283" s="7">
        <f t="shared" si="107"/>
        <v>-33.562</v>
      </c>
      <c r="K283" s="7">
        <f t="shared" si="107"/>
        <v>-21.582</v>
      </c>
      <c r="L283" s="7">
        <f t="shared" si="107"/>
        <v>-39.903</v>
      </c>
      <c r="M283" s="7">
        <f t="shared" si="107"/>
        <v>-47.794</v>
      </c>
      <c r="N283" s="7">
        <f t="shared" si="107"/>
        <v>-65.511</v>
      </c>
      <c r="O283" s="7">
        <f t="shared" si="107"/>
        <v>9.549</v>
      </c>
      <c r="P283" s="7">
        <f t="shared" si="107"/>
        <v>11.057</v>
      </c>
      <c r="Q283" s="7">
        <f t="shared" si="107"/>
        <v>61.575</v>
      </c>
      <c r="R283" s="7">
        <f t="shared" si="107"/>
        <v>-49.413</v>
      </c>
      <c r="S283" s="7">
        <f t="shared" si="107"/>
        <v>-53.745</v>
      </c>
      <c r="T283" s="7">
        <f t="shared" si="107"/>
        <v>-42.398</v>
      </c>
      <c r="U283" s="7">
        <f t="shared" si="107"/>
        <v>-18.473</v>
      </c>
      <c r="V283" s="7">
        <f t="shared" si="107"/>
        <v>-97.012</v>
      </c>
      <c r="W283" s="7">
        <f t="shared" si="107"/>
        <v>-36.52</v>
      </c>
      <c r="X283" s="7">
        <f t="shared" si="107"/>
        <v>-44.916</v>
      </c>
      <c r="Y283" s="7">
        <f t="shared" si="107"/>
        <v>-47.283</v>
      </c>
      <c r="Z283" s="7">
        <f t="shared" si="107"/>
        <v>-189.247</v>
      </c>
      <c r="AA283" s="7">
        <f t="shared" si="107"/>
        <v>-100.666</v>
      </c>
      <c r="AB283" s="7">
        <f t="shared" si="107"/>
        <v>-80.984</v>
      </c>
      <c r="AC283" s="7">
        <f t="shared" si="107"/>
        <v>-26.405</v>
      </c>
      <c r="AD283" s="7">
        <f t="shared" si="107"/>
        <v>-177.455</v>
      </c>
      <c r="AE283" s="7">
        <f t="shared" si="107"/>
        <v>-17.294</v>
      </c>
      <c r="AF283" s="7">
        <f t="shared" si="107"/>
        <v>-67.769</v>
      </c>
    </row>
    <row customHeight="1" ht="15">
      <c r="A284" s="9" t="s">
        <v>299</v>
      </c>
      <c r="B284" s="11">
        <f t="shared" si="108" ref="B284:AF284">B283-B294-B99</f>
        <v>-3.296</v>
      </c>
      <c r="C284" s="11">
        <f t="shared" si="108"/>
        <v>3.372</v>
      </c>
      <c r="D284" s="11">
        <f t="shared" si="108"/>
        <v>-5.138</v>
      </c>
      <c r="E284" s="11">
        <f t="shared" si="108"/>
        <v>5.359</v>
      </c>
      <c r="F284" s="11">
        <f t="shared" si="108"/>
        <v>7.237</v>
      </c>
      <c r="G284" s="11">
        <f t="shared" si="108"/>
        <v>42.808</v>
      </c>
      <c r="H284" s="11">
        <f t="shared" si="108"/>
        <v>83.355</v>
      </c>
      <c r="I284" s="11">
        <f t="shared" si="108"/>
        <v>22.991</v>
      </c>
      <c r="J284" s="11">
        <f t="shared" si="108"/>
        <v>32.871</v>
      </c>
      <c r="K284" s="11">
        <f t="shared" si="108"/>
        <v>-12.766</v>
      </c>
      <c r="L284" s="11">
        <f t="shared" si="108"/>
        <v>-11.917</v>
      </c>
      <c r="M284" s="11">
        <f t="shared" si="108"/>
        <v>-5.579</v>
      </c>
      <c r="N284" s="11">
        <f t="shared" si="108"/>
        <v>-1.71599999999999</v>
      </c>
      <c r="O284" s="11">
        <f t="shared" si="108"/>
        <v>24.687</v>
      </c>
      <c r="P284" s="11">
        <f t="shared" si="108"/>
        <v>48.414</v>
      </c>
      <c r="Q284" s="11">
        <f t="shared" si="108"/>
        <v>125.604</v>
      </c>
      <c r="R284" s="11">
        <f t="shared" si="108"/>
        <v>56.302</v>
      </c>
      <c r="S284" s="11">
        <f t="shared" si="108"/>
        <v>-23.056</v>
      </c>
      <c r="T284" s="11">
        <f t="shared" si="108"/>
        <v>39.218</v>
      </c>
      <c r="U284" s="11">
        <f t="shared" si="108"/>
        <v>122.867</v>
      </c>
      <c r="V284" s="11">
        <f t="shared" si="108"/>
        <v>128.991</v>
      </c>
      <c r="W284" s="11">
        <f t="shared" si="108"/>
        <v>38.079</v>
      </c>
      <c r="X284" s="11">
        <f t="shared" si="108"/>
        <v>126.335</v>
      </c>
      <c r="Y284" s="11">
        <f t="shared" si="108"/>
        <v>223.201</v>
      </c>
      <c r="Z284" s="11">
        <f t="shared" si="108"/>
        <v>177.412</v>
      </c>
      <c r="AA284" s="11">
        <f t="shared" si="108"/>
        <v>1.821</v>
      </c>
      <c r="AB284" s="11">
        <f t="shared" si="108"/>
        <v>120.682</v>
      </c>
      <c r="AC284" s="11">
        <f t="shared" si="108"/>
        <v>261.393</v>
      </c>
      <c r="AD284" s="11">
        <f t="shared" si="108"/>
        <v>183.387</v>
      </c>
      <c r="AE284" s="11">
        <f t="shared" si="108"/>
        <v>36.879</v>
      </c>
      <c r="AF284" s="11">
        <f t="shared" si="108"/>
        <v>53.357</v>
      </c>
    </row>
    <row customHeight="1" ht="15">
      <c r="A285" s="9" t="s">
        <v>300</v>
      </c>
      <c r="B285" s="19">
        <f t="shared" si="109" ref="B285:AD285">IF(B180&lt;=0,"NM",B282/B180)</f>
        <v>0.508725017864964</v>
      </c>
      <c r="F285" s="19">
        <f t="shared" si="109"/>
        <v>0.176931751241269</v>
      </c>
      <c r="G285" s="19">
        <f>'Rolling LTM'!G285</f>
        <v>0.188647356505203</v>
      </c>
      <c r="H285" s="19">
        <f>'Rolling LTM'!H285</f>
        <v>0.363705863925892</v>
      </c>
      <c r="I285" s="19">
        <f>'Rolling LTM'!I285</f>
        <v>0.38732746611329</v>
      </c>
      <c r="J285" s="19">
        <f t="shared" si="109"/>
        <v>0.204673314872586</v>
      </c>
      <c r="K285" s="19">
        <f>'Rolling LTM'!K285</f>
        <v>0.158675709887637</v>
      </c>
      <c r="L285" s="19">
        <f>'Rolling LTM'!L285</f>
        <v>0.116581870324859</v>
      </c>
      <c r="M285" s="19">
        <f>'Rolling LTM'!M285</f>
        <v>0.238861000987728</v>
      </c>
      <c r="N285" s="19">
        <f t="shared" si="109"/>
        <v>0.437664683180928</v>
      </c>
      <c r="O285" s="19">
        <f>'Rolling LTM'!O285</f>
        <v>0.530037201602238</v>
      </c>
      <c r="P285" s="19">
        <f>'Rolling LTM'!P285</f>
        <v>0.516666937436031</v>
      </c>
      <c r="Q285" s="19">
        <f>'Rolling LTM'!Q285</f>
        <v>0.457976498311706</v>
      </c>
      <c r="R285" s="19">
        <f t="shared" si="109"/>
        <v>0.550050237195874</v>
      </c>
      <c r="S285" s="19">
        <f>'Rolling LTM'!S285</f>
        <v>0.324103031622023</v>
      </c>
      <c r="T285" s="19">
        <f>'Rolling LTM'!T285</f>
        <v>0.306261263559361</v>
      </c>
      <c r="U285" s="19">
        <f>'Rolling LTM'!U285</f>
        <v>0.30751517008603</v>
      </c>
      <c r="V285" s="19">
        <f t="shared" si="109"/>
        <v>0.277257989900891</v>
      </c>
      <c r="W285" s="19">
        <f>'Rolling LTM'!W285</f>
        <v>0.210736269670466</v>
      </c>
      <c r="X285" s="19">
        <f>'Rolling LTM'!X285</f>
        <v>0.225390657376661</v>
      </c>
      <c r="Y285" s="19">
        <f>'Rolling LTM'!Y285</f>
        <v>0.255044137406828</v>
      </c>
      <c r="Z285" s="19">
        <f t="shared" si="109"/>
        <v>0.194937902222739</v>
      </c>
      <c r="AA285" s="19">
        <f>'Rolling LTM'!AA285</f>
        <v>0.202272946844794</v>
      </c>
      <c r="AB285" s="19">
        <f>'Rolling LTM'!AB285</f>
        <v>0.19635516449634</v>
      </c>
      <c r="AC285" s="19">
        <f>'Rolling LTM'!AC285</f>
        <v>0.214953669894441</v>
      </c>
      <c r="AD285" s="19">
        <f t="shared" si="109"/>
        <v>0.23632086866132</v>
      </c>
      <c r="AE285" s="19">
        <f>'Rolling LTM'!AE285</f>
        <v>0.267683338599459</v>
      </c>
      <c r="AF285" s="19">
        <f>'Rolling LTM'!AF285</f>
        <v>0.253244452754617</v>
      </c>
    </row>
    <row customHeight="1" ht="15">
      <c r="A286" s="9" t="s">
        <v>301</v>
      </c>
      <c r="B286" s="19">
        <f t="shared" si="110" ref="B286:AD286">IF(B180&lt;=0,"NM",B283/B180)</f>
        <v>-0.15728083723289</v>
      </c>
      <c r="F286" s="19">
        <f t="shared" si="110"/>
        <v>-0.105535639148363</v>
      </c>
      <c r="G286" s="19">
        <f>'Rolling LTM'!G286</f>
        <v>-0.0268811843868323</v>
      </c>
      <c r="H286" s="19">
        <f>'Rolling LTM'!H286</f>
        <v>0.00608992049166882</v>
      </c>
      <c r="I286" s="19">
        <f>'Rolling LTM'!I286</f>
        <v>-0.226498394024199</v>
      </c>
      <c r="J286" s="19">
        <f t="shared" si="110"/>
        <v>-0.147052122401767</v>
      </c>
      <c r="K286" s="19">
        <f>'Rolling LTM'!K286</f>
        <v>-0.299055306380784</v>
      </c>
      <c r="L286" s="19">
        <f>'Rolling LTM'!L286</f>
        <v>-0.372588863626779</v>
      </c>
      <c r="M286" s="19">
        <f>'Rolling LTM'!M286</f>
        <v>-0.191886424831207</v>
      </c>
      <c r="N286" s="19">
        <f t="shared" si="110"/>
        <v>-0.249086519267695</v>
      </c>
      <c r="O286" s="19">
        <f>'Rolling LTM'!O286</f>
        <v>-0.163553847178482</v>
      </c>
      <c r="P286" s="19">
        <f>'Rolling LTM'!P286</f>
        <v>-0.0472795801991779</v>
      </c>
      <c r="Q286" s="19">
        <f>'Rolling LTM'!Q286</f>
        <v>0.0867039910168513</v>
      </c>
      <c r="R286" s="19">
        <f t="shared" si="110"/>
        <v>-0.125689648593994</v>
      </c>
      <c r="S286" s="19">
        <f>'Rolling LTM'!S286</f>
        <v>-0.193140593163556</v>
      </c>
      <c r="T286" s="19">
        <f>'Rolling LTM'!T286</f>
        <v>-0.141840529371778</v>
      </c>
      <c r="U286" s="19">
        <f>'Rolling LTM'!U286</f>
        <v>-0.150262777924797</v>
      </c>
      <c r="V286" s="19">
        <f t="shared" si="110"/>
        <v>-0.0950829569690127</v>
      </c>
      <c r="W286" s="19">
        <f>'Rolling LTM'!W286</f>
        <v>-0.0631759062627184</v>
      </c>
      <c r="X286" s="19">
        <f>'Rolling LTM'!X286</f>
        <v>-0.0743195464215284</v>
      </c>
      <c r="Y286" s="19">
        <f>'Rolling LTM'!Y286</f>
        <v>-0.0969951410693348</v>
      </c>
      <c r="Z286" s="19">
        <f t="shared" si="110"/>
        <v>-0.124939592317463</v>
      </c>
      <c r="AA286" s="19">
        <f>'Rolling LTM'!AA286</f>
        <v>-0.176120365678795</v>
      </c>
      <c r="AB286" s="19">
        <f>'Rolling LTM'!AB286</f>
        <v>-0.194707219760819</v>
      </c>
      <c r="AC286" s="19">
        <f>'Rolling LTM'!AC286</f>
        <v>-0.159683798215082</v>
      </c>
      <c r="AD286" s="19">
        <f t="shared" si="110"/>
        <v>-0.193965540798291</v>
      </c>
      <c r="AE286" s="19">
        <f>'Rolling LTM'!AE286</f>
        <v>-0.0971476187821001</v>
      </c>
      <c r="AF286" s="19">
        <f>'Rolling LTM'!AF286</f>
        <v>-0.202035609637286</v>
      </c>
    </row>
    <row customHeight="1" ht="15">
      <c r="A287" s="9" t="s">
        <v>302</v>
      </c>
      <c r="B287" s="19">
        <f t="shared" si="111" ref="B287:AD287">IF(B180&lt;=0,"NM",B284/B180)</f>
        <v>-0.0759779627025656</v>
      </c>
      <c r="F287" s="19">
        <f t="shared" si="111"/>
        <v>0.0243608516367921</v>
      </c>
      <c r="G287" s="19">
        <f>'Rolling LTM'!G287</f>
        <v>0.113499685081113</v>
      </c>
      <c r="H287" s="19">
        <f>'Rolling LTM'!H287</f>
        <v>0.357004340886376</v>
      </c>
      <c r="I287" s="19">
        <f>'Rolling LTM'!I287</f>
        <v>0.102803120181556</v>
      </c>
      <c r="J287" s="19">
        <f t="shared" si="111"/>
        <v>0.144024501384556</v>
      </c>
      <c r="K287" s="19">
        <f>'Rolling LTM'!K287</f>
        <v>-0.0886988388629296</v>
      </c>
      <c r="L287" s="19">
        <f>'Rolling LTM'!L287</f>
        <v>-0.239248373405516</v>
      </c>
      <c r="M287" s="19">
        <f>'Rolling LTM'!M287</f>
        <v>0.0145486895693236</v>
      </c>
      <c r="N287" s="19">
        <f t="shared" si="111"/>
        <v>-0.00652459078724735</v>
      </c>
      <c r="O287" s="19">
        <f>'Rolling LTM'!O287</f>
        <v>0.170009419331513</v>
      </c>
      <c r="P287" s="19">
        <f>'Rolling LTM'!P287</f>
        <v>0.19045375530031</v>
      </c>
      <c r="Q287" s="19">
        <f>'Rolling LTM'!Q287</f>
        <v>0.25594659138535</v>
      </c>
      <c r="R287" s="19">
        <f t="shared" si="111"/>
        <v>0.14321289124601</v>
      </c>
      <c r="S287" s="19">
        <f>'Rolling LTM'!S287</f>
        <v>0.014667148774139</v>
      </c>
      <c r="T287" s="19">
        <f>'Rolling LTM'!T287</f>
        <v>0.064952560335449</v>
      </c>
      <c r="U287" s="19">
        <f>'Rolling LTM'!U287</f>
        <v>0.0621718177639734</v>
      </c>
      <c r="V287" s="19">
        <f t="shared" si="111"/>
        <v>0.12642606793376</v>
      </c>
      <c r="W287" s="19">
        <f>'Rolling LTM'!W287</f>
        <v>0.150543100431218</v>
      </c>
      <c r="X287" s="19">
        <f>'Rolling LTM'!X287</f>
        <v>0.161368919301353</v>
      </c>
      <c r="Y287" s="19">
        <f>'Rolling LTM'!Y287</f>
        <v>0.176784749294441</v>
      </c>
      <c r="Z287" s="19">
        <f t="shared" si="111"/>
        <v>0.117126205182781</v>
      </c>
      <c r="AA287" s="19">
        <f>'Rolling LTM'!AA287</f>
        <v>0.0981088431686138</v>
      </c>
      <c r="AB287" s="19">
        <f>'Rolling LTM'!AB287</f>
        <v>0.148426502269705</v>
      </c>
      <c r="AC287" s="19">
        <f>'Rolling LTM'!AC287</f>
        <v>0.204482212464079</v>
      </c>
      <c r="AD287" s="19">
        <f t="shared" si="111"/>
        <v>0.200449458343672</v>
      </c>
      <c r="AE287" s="19">
        <f>'Rolling LTM'!AE287</f>
        <v>0.225560532560142</v>
      </c>
      <c r="AF287" s="19">
        <f>'Rolling LTM'!AF287</f>
        <v>0.142770682694366</v>
      </c>
    </row>
    <row customHeight="1" ht="15">
      <c r="A288" s="9" t="s">
        <v>303</v>
      </c>
      <c r="B288" s="22">
        <v>365</v>
      </c>
      <c r="C288" s="22">
        <v>90</v>
      </c>
      <c r="D288" s="22">
        <v>181</v>
      </c>
      <c r="E288" s="22">
        <v>273</v>
      </c>
      <c r="F288" s="22">
        <v>365</v>
      </c>
      <c r="G288" s="22">
        <v>91</v>
      </c>
      <c r="H288" s="22">
        <v>182</v>
      </c>
      <c r="I288" s="22">
        <v>274</v>
      </c>
      <c r="J288" s="22">
        <v>366</v>
      </c>
      <c r="K288" s="22">
        <v>90</v>
      </c>
      <c r="L288" s="22">
        <v>181</v>
      </c>
      <c r="M288" s="22">
        <v>273</v>
      </c>
      <c r="N288" s="22">
        <v>365</v>
      </c>
      <c r="O288" s="22">
        <v>90</v>
      </c>
      <c r="P288" s="22">
        <v>181</v>
      </c>
      <c r="Q288" s="22">
        <v>273</v>
      </c>
      <c r="R288" s="22">
        <v>365</v>
      </c>
      <c r="S288" s="22">
        <v>90</v>
      </c>
      <c r="T288" s="22">
        <v>181</v>
      </c>
      <c r="U288" s="22">
        <v>273</v>
      </c>
      <c r="V288" s="22">
        <v>365</v>
      </c>
      <c r="W288" s="22">
        <v>91</v>
      </c>
      <c r="X288" s="22">
        <v>182</v>
      </c>
      <c r="Y288" s="22">
        <v>274</v>
      </c>
      <c r="Z288" s="22">
        <v>366</v>
      </c>
      <c r="AA288" s="22">
        <v>90</v>
      </c>
      <c r="AB288" s="22">
        <v>181</v>
      </c>
      <c r="AC288" s="22">
        <v>273</v>
      </c>
      <c r="AD288" s="22">
        <v>365</v>
      </c>
      <c r="AE288" s="22">
        <v>90</v>
      </c>
      <c r="AF288" s="22">
        <v>181</v>
      </c>
    </row>
    <row customHeight="1" ht="15">
      <c r="A289" s="9" t="s">
        <v>304</v>
      </c>
      <c r="F289" s="26">
        <f t="shared" si="112" ref="F289:AD289">IF(F3&lt;0.05,"NM",(B120+F120)/2/F3*F288)</f>
        <v>62.636896920797</v>
      </c>
      <c r="G289" s="26">
        <f t="shared" si="113" ref="G289:AE289">IF(G3&lt;0.05,"NM",(F120+G120)/2/G3*G288)</f>
        <v>55.4873781587268</v>
      </c>
      <c r="H289" s="26">
        <f t="shared" si="114" ref="H289:AF289">IF(H3&lt;0.05,"NM",(F120+H120)/2/H3*H288)</f>
        <v>66.535039553745</v>
      </c>
      <c r="I289" s="26">
        <f t="shared" si="115" ref="I289:AC289">IF(I3&lt;0.05,"NM",(F120+I120)/2/I3*I288)</f>
        <v>75.6607131167012</v>
      </c>
      <c r="J289" s="26">
        <f t="shared" si="112"/>
        <v>68.3085448314723</v>
      </c>
      <c r="K289" s="26">
        <f t="shared" si="113"/>
        <v>71.317440053286</v>
      </c>
      <c r="L289" s="26">
        <f t="shared" si="114"/>
        <v>67.783596647593</v>
      </c>
      <c r="M289" s="26">
        <f t="shared" si="115"/>
        <v>65.3986160117076</v>
      </c>
      <c r="N289" s="26">
        <f t="shared" si="112"/>
        <v>65.4403798043337</v>
      </c>
      <c r="O289" s="26">
        <f t="shared" si="113"/>
        <v>69.4637986434542</v>
      </c>
      <c r="P289" s="26">
        <f t="shared" si="114"/>
        <v>59.8698015077469</v>
      </c>
      <c r="Q289" s="26">
        <f t="shared" si="115"/>
        <v>54.5164881792198</v>
      </c>
      <c r="R289" s="26">
        <f t="shared" si="112"/>
        <v>49.8569495856287</v>
      </c>
      <c r="S289" s="26">
        <f t="shared" si="113"/>
        <v>62.764603138526</v>
      </c>
      <c r="T289" s="26">
        <f t="shared" si="114"/>
        <v>56.5994942797467</v>
      </c>
      <c r="U289" s="26">
        <f t="shared" si="115"/>
        <v>49.8552702968494</v>
      </c>
      <c r="V289" s="26">
        <f t="shared" si="112"/>
        <v>47.2949860635601</v>
      </c>
      <c r="W289" s="26">
        <f t="shared" si="113"/>
        <v>62.5401648656192</v>
      </c>
      <c r="X289" s="26">
        <f t="shared" si="114"/>
        <v>53.7394315539013</v>
      </c>
      <c r="Y289" s="26">
        <f t="shared" si="115"/>
        <v>47.303511375285</v>
      </c>
      <c r="Z289" s="26">
        <f t="shared" si="112"/>
        <v>57.6720001026971</v>
      </c>
      <c r="AA289" s="26">
        <f t="shared" si="113"/>
        <v>67.9032374407365</v>
      </c>
      <c r="AB289" s="26">
        <f t="shared" si="114"/>
        <v>60.8814885874699</v>
      </c>
      <c r="AC289" s="26">
        <f t="shared" si="115"/>
        <v>48.0534185375992</v>
      </c>
      <c r="AD289" s="26">
        <f t="shared" si="112"/>
        <v>54.4128440806975</v>
      </c>
      <c r="AE289" s="26">
        <f t="shared" si="113"/>
        <v>59.0891807944183</v>
      </c>
      <c r="AF289" s="26">
        <f t="shared" si="114"/>
        <v>52.9710664680759</v>
      </c>
    </row>
    <row customHeight="1" ht="15">
      <c r="A290" s="9" t="s">
        <v>305</v>
      </c>
      <c r="F290" s="26">
        <f t="shared" si="116" ref="F290:AD290">IF(F5&gt;-0.05,"NM",(B119+F119)/2/-F5*F288)</f>
        <v>54.2083412101735</v>
      </c>
      <c r="G290" s="26">
        <f t="shared" si="117" ref="G290:AE290">IF(G5&gt;-0.05,"NM",(F119+G119)/2/-G5*G288)</f>
        <v>33.1436428602271</v>
      </c>
      <c r="H290" s="26">
        <f t="shared" si="118" ref="H290:AF290">IF(H5&gt;-0.05,"NM",(F119+H119)/2/-H5*H288)</f>
        <v>49.4490924645842</v>
      </c>
      <c r="I290" s="26">
        <f t="shared" si="119" ref="I290:AC290">IF(I5&gt;-0.05,"NM",(F119+I119)/2/-I5*I288)</f>
        <v>57.9791597832296</v>
      </c>
      <c r="J290" s="26">
        <f t="shared" si="116"/>
        <v>58.9736021244505</v>
      </c>
      <c r="K290" s="26">
        <f t="shared" si="117"/>
        <v>39.4167771255444</v>
      </c>
      <c r="L290" s="26">
        <f t="shared" si="118"/>
        <v>41.3415455059153</v>
      </c>
      <c r="M290" s="26">
        <f t="shared" si="119"/>
        <v>38.9472258514495</v>
      </c>
      <c r="N290" s="26">
        <f t="shared" si="116"/>
        <v>33.3766912894025</v>
      </c>
      <c r="O290" s="26">
        <f t="shared" si="117"/>
        <v>32.3464509979548</v>
      </c>
      <c r="P290" s="26">
        <f t="shared" si="118"/>
        <v>32.2428063409624</v>
      </c>
      <c r="Q290" s="26">
        <f t="shared" si="119"/>
        <v>31.5991837188509</v>
      </c>
      <c r="R290" s="26">
        <f t="shared" si="116"/>
        <v>24.98862081419</v>
      </c>
      <c r="S290" s="26">
        <f t="shared" si="117"/>
        <v>29.8399417381453</v>
      </c>
      <c r="T290" s="26">
        <f t="shared" si="118"/>
        <v>29.7970157192602</v>
      </c>
      <c r="U290" s="26">
        <f t="shared" si="119"/>
        <v>30.7448437575494</v>
      </c>
      <c r="V290" s="26">
        <f t="shared" si="116"/>
        <v>27.9739221931521</v>
      </c>
      <c r="W290" s="26">
        <f t="shared" si="117"/>
        <v>35.0245823878924</v>
      </c>
      <c r="X290" s="26">
        <f t="shared" si="118"/>
        <v>34.0390045223964</v>
      </c>
      <c r="Y290" s="26">
        <f t="shared" si="119"/>
        <v>36.9698734697326</v>
      </c>
      <c r="Z290" s="26">
        <f t="shared" si="116"/>
        <v>57.7272773207753</v>
      </c>
      <c r="AA290" s="26">
        <f t="shared" si="117"/>
        <v>73.098015092991</v>
      </c>
      <c r="AB290" s="26">
        <f t="shared" si="118"/>
        <v>71.3006899399528</v>
      </c>
      <c r="AC290" s="26">
        <f t="shared" si="119"/>
        <v>56.2191773686836</v>
      </c>
      <c r="AD290" s="26">
        <f t="shared" si="116"/>
        <v>71.2953996163922</v>
      </c>
      <c r="AE290" s="26">
        <f t="shared" si="117"/>
        <v>57.6918925182348</v>
      </c>
      <c r="AF290" s="26">
        <f t="shared" si="118"/>
        <v>53.2368460916265</v>
      </c>
    </row>
    <row customHeight="1" ht="15">
      <c r="A291" s="9" t="s">
        <v>306</v>
      </c>
      <c r="F291" s="26">
        <f t="shared" si="120" ref="F291:AD291">IF((F3-F185+F11)&lt;0.05,"NM",(B155+F155)/2/(F3-F185+F11)*F288)</f>
        <v>54.7026921788183</v>
      </c>
      <c r="G291" s="26">
        <f t="shared" si="121" ref="G291:AE291">IF((G3-G185+G11)&lt;0.05,"NM",(F155+G155)/2/(G3-G185+G11)*G288)</f>
        <v>57.9268399403068</v>
      </c>
      <c r="H291" s="26">
        <f t="shared" si="122" ref="H291:AF291">IF((H3-H185+H11)&lt;0.05,"NM",(F155+H155)/2/(H3-H185+H11)*H288)</f>
        <v>81.6689742507387</v>
      </c>
      <c r="I291" s="26">
        <f t="shared" si="123" ref="I291:AC291">IF((I3-I185+I11)&lt;0.05,"NM",(F155+I155)/2/(I3-I185+I11)*I288)</f>
        <v>91.6979804148026</v>
      </c>
      <c r="J291" s="26">
        <f t="shared" si="120"/>
        <v>87.8115398198096</v>
      </c>
      <c r="K291" s="26">
        <f t="shared" si="121"/>
        <v>107.514307041553</v>
      </c>
      <c r="L291" s="26">
        <f t="shared" si="122"/>
        <v>99.6634765834316</v>
      </c>
      <c r="M291" s="26">
        <f t="shared" si="123"/>
        <v>88.8417603386791</v>
      </c>
      <c r="N291" s="26">
        <f t="shared" si="120"/>
        <v>79.2258439980469</v>
      </c>
      <c r="O291" s="26">
        <f t="shared" si="121"/>
        <v>72.5510834319831</v>
      </c>
      <c r="P291" s="26">
        <f t="shared" si="122"/>
        <v>63.5394807714584</v>
      </c>
      <c r="Q291" s="26">
        <f t="shared" si="123"/>
        <v>58.9530398871559</v>
      </c>
      <c r="R291" s="26">
        <f t="shared" si="120"/>
        <v>52.7809023852203</v>
      </c>
      <c r="S291" s="26">
        <f t="shared" si="121"/>
        <v>61.4597131031472</v>
      </c>
      <c r="T291" s="26">
        <f t="shared" si="122"/>
        <v>59.5990834986265</v>
      </c>
      <c r="U291" s="26">
        <f t="shared" si="123"/>
        <v>58.2042208199912</v>
      </c>
      <c r="V291" s="26">
        <f t="shared" si="120"/>
        <v>52.4669803086883</v>
      </c>
      <c r="W291" s="26">
        <f t="shared" si="121"/>
        <v>60.1833927501025</v>
      </c>
      <c r="X291" s="26">
        <f t="shared" si="122"/>
        <v>58.0264223785683</v>
      </c>
      <c r="Y291" s="26">
        <f t="shared" si="123"/>
        <v>58.4131761476582</v>
      </c>
      <c r="Z291" s="26">
        <f t="shared" si="120"/>
        <v>82.6319283734908</v>
      </c>
      <c r="AA291" s="26">
        <f t="shared" si="121"/>
        <v>88.9035321813555</v>
      </c>
      <c r="AB291" s="26">
        <f t="shared" si="122"/>
        <v>89.4719230652917</v>
      </c>
      <c r="AC291" s="26">
        <f t="shared" si="123"/>
        <v>66.9789663585896</v>
      </c>
      <c r="AD291" s="26">
        <f t="shared" si="120"/>
        <v>74.3537091620116</v>
      </c>
      <c r="AE291" s="26">
        <f t="shared" si="121"/>
        <v>60.4482005354179</v>
      </c>
      <c r="AF291" s="26">
        <f t="shared" si="122"/>
        <v>58.688750251183</v>
      </c>
    </row>
    <row customHeight="1" ht="15">
      <c r="A292" s="9" t="s">
        <v>307</v>
      </c>
      <c r="B292" s="11">
        <f t="shared" si="124" ref="B292:AF292">B119+B120-B155</f>
        <v>51.254</v>
      </c>
      <c r="F292" s="11">
        <f t="shared" si="124"/>
        <v>116.928</v>
      </c>
      <c r="G292" s="11">
        <f t="shared" si="124"/>
        <v>43.55</v>
      </c>
      <c r="H292" s="11">
        <f t="shared" si="124"/>
        <v>13.791</v>
      </c>
      <c r="I292" s="11">
        <f t="shared" si="124"/>
        <v>12.87</v>
      </c>
      <c r="J292" s="11">
        <f t="shared" si="124"/>
        <v>-9.12799999999999</v>
      </c>
      <c r="K292" s="11">
        <f t="shared" si="124"/>
        <v>3.68299999999999</v>
      </c>
      <c r="L292" s="11">
        <f t="shared" si="124"/>
        <v>27.392</v>
      </c>
      <c r="M292" s="11">
        <f t="shared" si="124"/>
        <v>70.983</v>
      </c>
      <c r="N292" s="11">
        <f t="shared" si="124"/>
        <v>103.278</v>
      </c>
      <c r="O292" s="11">
        <f t="shared" si="124"/>
        <v>66.461</v>
      </c>
      <c r="P292" s="11">
        <f t="shared" si="124"/>
        <v>112.094</v>
      </c>
      <c r="Q292" s="11">
        <f t="shared" si="124"/>
        <v>141.861</v>
      </c>
      <c r="R292" s="11">
        <f t="shared" si="124"/>
        <v>110.151</v>
      </c>
      <c r="S292" s="11">
        <f t="shared" si="124"/>
        <v>113.145</v>
      </c>
      <c r="T292" s="11">
        <f t="shared" si="124"/>
        <v>141.066</v>
      </c>
      <c r="U292" s="11">
        <f t="shared" si="124"/>
        <v>142.941</v>
      </c>
      <c r="V292" s="11">
        <f t="shared" si="124"/>
        <v>146.704</v>
      </c>
      <c r="W292" s="11">
        <f t="shared" si="124"/>
        <v>159.304</v>
      </c>
      <c r="X292" s="11">
        <f t="shared" si="124"/>
        <v>185.61</v>
      </c>
      <c r="Y292" s="11">
        <f t="shared" si="124"/>
        <v>179.247</v>
      </c>
      <c r="Z292" s="11">
        <f t="shared" si="124"/>
        <v>175.227</v>
      </c>
      <c r="AA292" s="11">
        <f t="shared" si="124"/>
        <v>158.661</v>
      </c>
      <c r="AB292" s="11">
        <f t="shared" si="124"/>
        <v>150.527</v>
      </c>
      <c r="AC292" s="11">
        <f t="shared" si="124"/>
        <v>166.472</v>
      </c>
      <c r="AD292" s="11">
        <f t="shared" si="124"/>
        <v>231.258</v>
      </c>
      <c r="AE292" s="11">
        <f t="shared" si="124"/>
        <v>210.376</v>
      </c>
      <c r="AF292" s="11">
        <f t="shared" si="124"/>
        <v>174.371</v>
      </c>
    </row>
    <row customHeight="1" ht="15">
      <c r="A293" s="9" t="s">
        <v>308</v>
      </c>
      <c r="B293" s="11">
        <f t="shared" si="125" ref="B293:AF293">SUM(B49:B50)+B53</f>
        <v>-1.954</v>
      </c>
      <c r="C293" s="11">
        <f t="shared" si="125"/>
        <v>1.662</v>
      </c>
      <c r="D293" s="11">
        <f t="shared" si="125"/>
        <v>-0.317</v>
      </c>
      <c r="E293" s="11">
        <f t="shared" si="125"/>
        <v>-11.116</v>
      </c>
      <c r="F293" s="11">
        <f t="shared" si="125"/>
        <v>-14.834</v>
      </c>
      <c r="G293" s="11">
        <f t="shared" si="125"/>
        <v>25.787</v>
      </c>
      <c r="H293" s="11">
        <f t="shared" si="125"/>
        <v>56.504</v>
      </c>
      <c r="I293" s="11">
        <f t="shared" si="125"/>
        <v>16.832</v>
      </c>
      <c r="J293" s="11">
        <f t="shared" si="125"/>
        <v>48.988</v>
      </c>
      <c r="K293" s="11">
        <f t="shared" si="125"/>
        <v>-12.444</v>
      </c>
      <c r="L293" s="11">
        <f t="shared" si="125"/>
        <v>-26.275</v>
      </c>
      <c r="M293" s="11">
        <f t="shared" si="125"/>
        <v>-49.473</v>
      </c>
      <c r="N293" s="11">
        <f t="shared" si="125"/>
        <v>-60.524</v>
      </c>
      <c r="O293" s="11">
        <f t="shared" si="125"/>
        <v>24.521</v>
      </c>
      <c r="P293" s="11">
        <f t="shared" si="125"/>
        <v>-10.244</v>
      </c>
      <c r="Q293" s="11">
        <f t="shared" si="125"/>
        <v>-32.24</v>
      </c>
      <c r="R293" s="11">
        <f t="shared" si="125"/>
        <v>-22.413</v>
      </c>
      <c r="S293" s="11">
        <f t="shared" si="125"/>
        <v>20.382</v>
      </c>
      <c r="T293" s="11">
        <f t="shared" si="125"/>
        <v>22.725</v>
      </c>
      <c r="U293" s="11">
        <f t="shared" si="125"/>
        <v>-26.609</v>
      </c>
      <c r="V293" s="11">
        <f t="shared" si="125"/>
        <v>10.797</v>
      </c>
      <c r="W293" s="11">
        <f t="shared" si="125"/>
        <v>68.728</v>
      </c>
      <c r="X293" s="11">
        <f t="shared" si="125"/>
        <v>49.194</v>
      </c>
      <c r="Y293" s="11">
        <f t="shared" si="125"/>
        <v>16.553</v>
      </c>
      <c r="Z293" s="11">
        <f t="shared" si="125"/>
        <v>-0.302999999999997</v>
      </c>
      <c r="AA293" s="11">
        <f t="shared" si="125"/>
        <v>54.663</v>
      </c>
      <c r="AB293" s="11">
        <f t="shared" si="125"/>
        <v>91.504</v>
      </c>
      <c r="AC293" s="11">
        <f t="shared" si="125"/>
        <v>61.058</v>
      </c>
      <c r="AD293" s="11">
        <f t="shared" si="125"/>
        <v>14.494</v>
      </c>
      <c r="AE293" s="11">
        <f t="shared" si="125"/>
        <v>18.568</v>
      </c>
      <c r="AF293" s="11">
        <f t="shared" si="125"/>
        <v>49.581</v>
      </c>
    </row>
    <row customHeight="1" ht="15">
      <c r="A294" s="9" t="s">
        <v>309</v>
      </c>
      <c r="B294" s="11">
        <f t="shared" si="126" ref="B294:AF294">B56+B57</f>
        <v>-1.455</v>
      </c>
      <c r="C294" s="11">
        <f t="shared" si="126"/>
        <v>-0.726</v>
      </c>
      <c r="D294" s="11">
        <f t="shared" si="126"/>
        <v>-1.113</v>
      </c>
      <c r="E294" s="11">
        <f t="shared" si="126"/>
        <v>-1.817</v>
      </c>
      <c r="F294" s="11">
        <f t="shared" si="126"/>
        <v>-7.716</v>
      </c>
      <c r="G294" s="11">
        <f t="shared" si="126"/>
        <v>-4.566</v>
      </c>
      <c r="H294" s="11">
        <f t="shared" si="126"/>
        <v>-19.068</v>
      </c>
      <c r="I294" s="11">
        <f t="shared" si="126"/>
        <v>-15.282</v>
      </c>
      <c r="J294" s="11">
        <f t="shared" si="126"/>
        <v>-28.632</v>
      </c>
      <c r="K294" s="11">
        <f t="shared" si="126"/>
        <v>-2.067</v>
      </c>
      <c r="L294" s="11">
        <f t="shared" si="126"/>
        <v>-12.578</v>
      </c>
      <c r="M294" s="11">
        <f t="shared" si="126"/>
        <v>-15.629</v>
      </c>
      <c r="N294" s="11">
        <f t="shared" si="126"/>
        <v>-25.856</v>
      </c>
      <c r="O294" s="11">
        <f t="shared" si="126"/>
        <v>-3.18</v>
      </c>
      <c r="P294" s="11">
        <f t="shared" si="126"/>
        <v>-17.576</v>
      </c>
      <c r="Q294" s="11">
        <f t="shared" si="126"/>
        <v>-24.872</v>
      </c>
      <c r="R294" s="11">
        <f t="shared" si="126"/>
        <v>-41.851</v>
      </c>
      <c r="S294" s="11">
        <f t="shared" si="126"/>
        <v>-9.592</v>
      </c>
      <c r="T294" s="11">
        <f t="shared" si="126"/>
        <v>-31.76</v>
      </c>
      <c r="U294" s="11">
        <f t="shared" si="126"/>
        <v>-47.957</v>
      </c>
      <c r="V294" s="11">
        <f t="shared" si="126"/>
        <v>-74.561</v>
      </c>
      <c r="W294" s="11">
        <f t="shared" si="126"/>
        <v>-23.686</v>
      </c>
      <c r="X294" s="11">
        <f t="shared" si="126"/>
        <v>-54.69</v>
      </c>
      <c r="Y294" s="11">
        <f t="shared" si="126"/>
        <v>-82.754</v>
      </c>
      <c r="Z294" s="11">
        <f t="shared" si="126"/>
        <v>-124.063</v>
      </c>
      <c r="AA294" s="11">
        <f t="shared" si="126"/>
        <v>-24.404</v>
      </c>
      <c r="AB294" s="11">
        <f t="shared" si="126"/>
        <v>-61.232</v>
      </c>
      <c r="AC294" s="11">
        <f t="shared" si="126"/>
        <v>-81.344</v>
      </c>
      <c r="AD294" s="11">
        <f t="shared" si="126"/>
        <v>-108.454</v>
      </c>
      <c r="AE294" s="11">
        <f t="shared" si="126"/>
        <v>-12.835</v>
      </c>
      <c r="AF294" s="11">
        <f t="shared" si="126"/>
        <v>-40.637</v>
      </c>
    </row>
    <row customHeight="1" ht="15">
      <c r="A295" s="9" t="s">
        <v>310</v>
      </c>
      <c r="F295" s="27">
        <f t="shared" si="127" ref="F295:AD295">IF((B177+F177)=0,"NM",-F294/((B177+F177)/2))</f>
        <v>0.0272927443958085</v>
      </c>
      <c r="G295" s="27">
        <f t="shared" si="128" ref="G295:AE295">IF((F177+G177)=0,"NM",-G294/((F177+G177)/2))</f>
        <v>0.0086002710422696</v>
      </c>
      <c r="H295" s="27">
        <f t="shared" si="129" ref="H295:AF295">IF((F177+H177)=0,"NM",-H294/((F177+H177)/2))</f>
        <v>0.0380042771753104</v>
      </c>
      <c r="I295" s="27">
        <f t="shared" si="130" ref="I295:AC295">IF((F177+I177)=0,"NM",-I294/((F177+I177)/2))</f>
        <v>0.0314601421491176</v>
      </c>
      <c r="J295" s="27">
        <f t="shared" si="127"/>
        <v>0.0621819046574533</v>
      </c>
      <c r="K295" s="27">
        <f t="shared" si="128"/>
        <v>0.00508269523008602</v>
      </c>
      <c r="L295" s="27">
        <f t="shared" si="129"/>
        <v>0.0300186990385568</v>
      </c>
      <c r="M295" s="27">
        <f t="shared" si="130"/>
        <v>0.0360222278050388</v>
      </c>
      <c r="N295" s="27">
        <f t="shared" si="127"/>
        <v>0.0583490267451845</v>
      </c>
      <c r="O295" s="27">
        <f t="shared" si="128"/>
        <v>0.00630152187698161</v>
      </c>
      <c r="P295" s="27">
        <f t="shared" si="129"/>
        <v>0.03141906899378</v>
      </c>
      <c r="Q295" s="27">
        <f t="shared" si="130"/>
        <v>0.0388994240626845</v>
      </c>
      <c r="R295" s="27">
        <f t="shared" si="127"/>
        <v>0.0698960019106121</v>
      </c>
      <c r="S295" s="27">
        <f t="shared" si="128"/>
        <v>0.0120901213171577</v>
      </c>
      <c r="T295" s="27">
        <f t="shared" si="129"/>
        <v>0.0373042291438116</v>
      </c>
      <c r="U295" s="27">
        <f t="shared" si="130"/>
        <v>0.0514824126537001</v>
      </c>
      <c r="V295" s="27">
        <f t="shared" si="127"/>
        <v>0.0769187917226752</v>
      </c>
      <c r="W295" s="27">
        <f t="shared" si="128"/>
        <v>0.0177373529812622</v>
      </c>
      <c r="X295" s="27">
        <f t="shared" si="129"/>
        <v>0.0382614913026642</v>
      </c>
      <c r="Y295" s="27">
        <f t="shared" si="130"/>
        <v>0.0591442191553685</v>
      </c>
      <c r="Z295" s="27">
        <f t="shared" si="127"/>
        <v>0.0849673829295437</v>
      </c>
      <c r="AA295" s="27">
        <f t="shared" si="128"/>
        <v>0.0149102127686873</v>
      </c>
      <c r="AB295" s="27">
        <f t="shared" si="129"/>
        <v>0.0400878722598432</v>
      </c>
      <c r="AC295" s="27">
        <f t="shared" si="130"/>
        <v>0.0542451910108388</v>
      </c>
      <c r="AD295" s="27">
        <f t="shared" si="127"/>
        <v>0.0792124187637037</v>
      </c>
      <c r="AE295" s="27">
        <f t="shared" si="128"/>
        <v>0.0121542064349587</v>
      </c>
      <c r="AF295" s="27">
        <f t="shared" si="129"/>
        <v>0.041207831485655</v>
      </c>
    </row>
    <row customHeight="1" ht="15">
      <c r="A296" s="9" t="s">
        <v>311</v>
      </c>
      <c r="B296" s="15">
        <f>IF(OR(B185&lt;=0,B294=0),"NM",-B185/B294)</f>
        <v>17.3979381443299</v>
      </c>
      <c r="F296" s="15">
        <f t="shared" si="131" ref="F296:AD296">IF(OR(F186&lt;=0,F294=0),"NM",-F186/F294)</f>
        <v>27.7993779160187</v>
      </c>
      <c r="G296" s="15">
        <f>'Rolling LTM'!G296</f>
        <v>7.90619591554172</v>
      </c>
      <c r="H296" s="15">
        <f>'Rolling LTM'!H296</f>
        <v>7.85711503252698</v>
      </c>
      <c r="I296" s="15">
        <f>'Rolling LTM'!I296</f>
        <v>5.9062367215901</v>
      </c>
      <c r="J296" s="15">
        <f t="shared" si="131"/>
        <v>3.81391450125733</v>
      </c>
      <c r="K296" s="15">
        <f>'Rolling LTM'!K296</f>
        <v>3.7117820380362</v>
      </c>
      <c r="L296" s="15">
        <f>'Rolling LTM'!L296</f>
        <v>3.75756480896035</v>
      </c>
      <c r="M296" s="15">
        <f>'Rolling LTM'!M296</f>
        <v>4.10642189171469</v>
      </c>
      <c r="N296" s="15">
        <f t="shared" si="131"/>
        <v>5.99261293316832</v>
      </c>
      <c r="O296" s="15">
        <f>'Rolling LTM'!O296</f>
        <v>6.93214431384182</v>
      </c>
      <c r="P296" s="15">
        <f>'Rolling LTM'!P296</f>
        <v>7.24998379464575</v>
      </c>
      <c r="Q296" s="15">
        <f>'Rolling LTM'!Q296</f>
        <v>8.47009886321548</v>
      </c>
      <c r="R296" s="15">
        <f t="shared" si="131"/>
        <v>6.43702659434661</v>
      </c>
      <c r="S296" s="15">
        <f>'Rolling LTM'!S296</f>
        <v>5.81356318504859</v>
      </c>
      <c r="T296" s="15">
        <f>'Rolling LTM'!T296</f>
        <v>5.70079414651557</v>
      </c>
      <c r="U296" s="15">
        <f>'Rolling LTM'!U296</f>
        <v>5.75632930885795</v>
      </c>
      <c r="V296" s="15">
        <f t="shared" si="131"/>
        <v>5.57770147932565</v>
      </c>
      <c r="W296" s="15">
        <f>'Rolling LTM'!W296</f>
        <v>4.42017934690655</v>
      </c>
      <c r="X296" s="15">
        <f>'Rolling LTM'!X296</f>
        <v>4.61067175431578</v>
      </c>
      <c r="Y296" s="15">
        <f>'Rolling LTM'!Y296</f>
        <v>4.52007169114285</v>
      </c>
      <c r="Z296" s="15">
        <f t="shared" si="131"/>
        <v>2.57673117690206</v>
      </c>
      <c r="AA296" s="15">
        <f>'Rolling LTM'!AA296</f>
        <v>4.37587453218038</v>
      </c>
      <c r="AB296" s="15">
        <f>'Rolling LTM'!AB296</f>
        <v>4.0975843191302</v>
      </c>
      <c r="AC296" s="15">
        <f>'Rolling LTM'!AC296</f>
        <v>3.58747849624551</v>
      </c>
      <c r="AD296" s="15">
        <f t="shared" si="131"/>
        <v>3.00731185571763</v>
      </c>
      <c r="AE296" s="15">
        <f>'Rolling LTM'!AE296</f>
        <v>4.56401919801827</v>
      </c>
      <c r="AF296" s="15">
        <f>'Rolling LTM'!AF296</f>
        <v>4.15601133634574</v>
      </c>
    </row>
    <row customHeight="1" ht="15">
      <c r="A297" s="9" t="s">
        <v>312</v>
      </c>
      <c r="N297" s="15">
        <f t="shared" si="132" ref="N297:AD297">IF(OR(N187&lt;=0,N294=0),"NM",-N187/N294)</f>
        <v>5.99798886138614</v>
      </c>
      <c r="R297" s="15">
        <f t="shared" si="132"/>
        <v>6.88573749731189</v>
      </c>
      <c r="V297" s="15">
        <f t="shared" si="132"/>
        <v>5.25892893067421</v>
      </c>
      <c r="Z297" s="15">
        <f t="shared" si="132"/>
        <v>2.60251646340972</v>
      </c>
      <c r="AD297" s="15">
        <f t="shared" si="132"/>
        <v>3.32635956257953</v>
      </c>
    </row>
    <row customHeight="1" ht="15">
      <c r="A298" s="9" t="s">
        <v>313</v>
      </c>
      <c r="B298" s="11">
        <f t="shared" si="133" ref="B298:AF298">B58</f>
        <v>-0.931</v>
      </c>
      <c r="C298" s="11">
        <f t="shared" si="133"/>
        <v>-0.067</v>
      </c>
      <c r="D298" s="11">
        <f t="shared" si="133"/>
        <v>-1.677</v>
      </c>
      <c r="E298" s="11">
        <f t="shared" si="133"/>
        <v>-1.567</v>
      </c>
      <c r="F298" s="11">
        <f t="shared" si="133"/>
        <v>-3.536</v>
      </c>
      <c r="G298" s="11">
        <f t="shared" si="133"/>
        <v>-0.16</v>
      </c>
      <c r="H298" s="11">
        <f t="shared" si="133"/>
        <v>-0.974</v>
      </c>
      <c r="I298" s="11">
        <f t="shared" si="133"/>
        <v>-1.328</v>
      </c>
      <c r="J298" s="11">
        <f t="shared" si="133"/>
        <v>-6.885</v>
      </c>
      <c r="K298" s="11">
        <f t="shared" si="133"/>
        <v>-4.986</v>
      </c>
      <c r="L298" s="11">
        <f t="shared" si="133"/>
        <v>-6.925</v>
      </c>
      <c r="M298" s="11">
        <f t="shared" si="133"/>
        <v>-17.001</v>
      </c>
      <c r="N298" s="11">
        <f t="shared" si="133"/>
        <v>-16.208</v>
      </c>
      <c r="O298" s="11">
        <f t="shared" si="133"/>
        <v>-3.411</v>
      </c>
      <c r="P298" s="11">
        <f t="shared" si="133"/>
        <v>-10.238</v>
      </c>
      <c r="Q298" s="11">
        <f t="shared" si="133"/>
        <v>-14.67</v>
      </c>
      <c r="R298" s="11">
        <f t="shared" si="133"/>
        <v>-20.421</v>
      </c>
      <c r="S298" s="11">
        <f t="shared" si="133"/>
        <v>-11.307</v>
      </c>
      <c r="T298" s="11">
        <f t="shared" si="133"/>
        <v>-7.513</v>
      </c>
      <c r="U298" s="11">
        <f t="shared" si="133"/>
        <v>-19.706</v>
      </c>
      <c r="V298" s="11">
        <f t="shared" si="133"/>
        <v>-24.529</v>
      </c>
      <c r="W298" s="11">
        <f t="shared" si="133"/>
        <v>-2.367</v>
      </c>
      <c r="X298" s="11">
        <f t="shared" si="133"/>
        <v>-4.836</v>
      </c>
      <c r="Y298" s="11">
        <f t="shared" si="133"/>
        <v>-9.43</v>
      </c>
      <c r="Z298" s="11">
        <f t="shared" si="133"/>
        <v>-14.017</v>
      </c>
      <c r="AA298" s="11">
        <f t="shared" si="133"/>
        <v>-1.631</v>
      </c>
      <c r="AB298" s="11">
        <f t="shared" si="133"/>
        <v>-9.288</v>
      </c>
      <c r="AC298" s="11">
        <f t="shared" si="133"/>
        <v>-13.732</v>
      </c>
      <c r="AD298" s="11">
        <f t="shared" si="133"/>
        <v>-17.702</v>
      </c>
      <c r="AE298" s="11">
        <f t="shared" si="133"/>
        <v>-1.405</v>
      </c>
      <c r="AF298" s="11">
        <f t="shared" si="133"/>
        <v>-5.193</v>
      </c>
    </row>
    <row customHeight="1" ht="15">
      <c r="A299" s="9" t="s">
        <v>314</v>
      </c>
      <c r="B299" s="11">
        <f t="shared" si="134" ref="B299:AD299">B294+B298+B276-(0.1*B177)</f>
        <v>-32.7178</v>
      </c>
      <c r="F299" s="11">
        <f t="shared" si="134"/>
        <v>-102.3587</v>
      </c>
      <c r="G299" s="11">
        <f>'Rolling LTM'!G299</f>
        <v>-124.622</v>
      </c>
      <c r="H299" s="11">
        <f>'Rolling LTM'!H299</f>
        <v>-149.8439</v>
      </c>
      <c r="I299" s="11">
        <f>'Rolling LTM'!I299</f>
        <v>-175.1238</v>
      </c>
      <c r="J299" s="11">
        <f t="shared" si="134"/>
        <v>-169.3074</v>
      </c>
      <c r="K299" s="11">
        <f>'Rolling LTM'!K299</f>
        <v>-179.3594</v>
      </c>
      <c r="L299" s="11">
        <f>'Rolling LTM'!L299</f>
        <v>-160.1187</v>
      </c>
      <c r="M299" s="11">
        <f>'Rolling LTM'!M299</f>
        <v>-171.1248</v>
      </c>
      <c r="N299" s="11">
        <f t="shared" si="134"/>
        <v>-160.2839</v>
      </c>
      <c r="O299" s="11">
        <f>'Rolling LTM'!O299</f>
        <v>-160.2131</v>
      </c>
      <c r="P299" s="11">
        <f>'Rolling LTM'!P299</f>
        <v>-185.9452</v>
      </c>
      <c r="Q299" s="11">
        <f>'Rolling LTM'!Q299</f>
        <v>-210.0066</v>
      </c>
      <c r="R299" s="11">
        <f t="shared" si="134"/>
        <v>-293.1273</v>
      </c>
      <c r="S299" s="11">
        <f>'Rolling LTM'!S299</f>
        <v>-337.4567</v>
      </c>
      <c r="T299" s="11">
        <f>'Rolling LTM'!T299</f>
        <v>-386.3273</v>
      </c>
      <c r="U299" s="11">
        <f>'Rolling LTM'!U299</f>
        <v>-432.6581</v>
      </c>
      <c r="V299" s="11">
        <f t="shared" si="134"/>
        <v>-434.9581</v>
      </c>
      <c r="W299" s="11">
        <f>'Rolling LTM'!W299</f>
        <v>-471.3447</v>
      </c>
      <c r="X299" s="11">
        <f>'Rolling LTM'!X299</f>
        <v>-489.4388</v>
      </c>
      <c r="Y299" s="11">
        <f>'Rolling LTM'!Y299</f>
        <v>-528.6829</v>
      </c>
      <c r="Z299" s="11">
        <f t="shared" si="134"/>
        <v>-548.3659</v>
      </c>
      <c r="AA299" s="11">
        <f>'Rolling LTM'!AA299</f>
        <v>-539.6612</v>
      </c>
      <c r="AB299" s="11">
        <f>'Rolling LTM'!AB299</f>
        <v>-516.97</v>
      </c>
      <c r="AC299" s="11">
        <f>'Rolling LTM'!AC299</f>
        <v>-464.7434</v>
      </c>
      <c r="AD299" s="11">
        <f t="shared" si="134"/>
        <v>-399.1609</v>
      </c>
      <c r="AE299" s="11">
        <f>'Rolling LTM'!AE299</f>
        <v>-355.5487</v>
      </c>
      <c r="AF299" s="11">
        <f>'Rolling LTM'!AF299</f>
        <v>-357.3526</v>
      </c>
    </row>
    <row customHeight="1" ht="15">
      <c r="A300" s="9" t="s">
        <v>315</v>
      </c>
      <c r="B300" s="15">
        <f>IF(OR(B185&lt;=0,B299=0),"NM",-B185/B299)</f>
        <v>0.773707278606752</v>
      </c>
      <c r="F300" s="15">
        <f t="shared" si="135" ref="F300:AD300">IF(OR(F186&lt;=0,F299=0),"NM",-F186/F299)</f>
        <v>2.09557174915273</v>
      </c>
      <c r="G300" s="15">
        <f>'Rolling LTM'!G300</f>
        <v>0.733128982041695</v>
      </c>
      <c r="H300" s="15">
        <f>'Rolling LTM'!H300</f>
        <v>1.34606747421817</v>
      </c>
      <c r="I300" s="15">
        <f>'Rolling LTM'!I300</f>
        <v>0.714351789990852</v>
      </c>
      <c r="J300" s="15">
        <f t="shared" si="135"/>
        <v>0.6449806682992</v>
      </c>
      <c r="K300" s="15">
        <f>'Rolling LTM'!K300</f>
        <v>0.540813584345175</v>
      </c>
      <c r="L300" s="15">
        <f>'Rolling LTM'!L300</f>
        <v>0.519614510984663</v>
      </c>
      <c r="M300" s="15">
        <f>'Rolling LTM'!M300</f>
        <v>0.695398913541462</v>
      </c>
      <c r="N300" s="15">
        <f t="shared" si="135"/>
        <v>0.96669097769645</v>
      </c>
      <c r="O300" s="15">
        <f>'Rolling LTM'!O300</f>
        <v>1.16690208228915</v>
      </c>
      <c r="P300" s="15">
        <f>'Rolling LTM'!P300</f>
        <v>1.20299421550005</v>
      </c>
      <c r="Q300" s="15">
        <f>'Rolling LTM'!Q300</f>
        <v>1.41563169919422</v>
      </c>
      <c r="R300" s="15">
        <f t="shared" si="135"/>
        <v>0.919040976394897</v>
      </c>
      <c r="S300" s="15">
        <f>'Rolling LTM'!S300</f>
        <v>0.831454820722184</v>
      </c>
      <c r="T300" s="15">
        <f>'Rolling LTM'!T300</f>
        <v>0.826874000361869</v>
      </c>
      <c r="U300" s="15">
        <f>'Rolling LTM'!U300</f>
        <v>0.86394545716352</v>
      </c>
      <c r="V300" s="15">
        <f t="shared" si="135"/>
        <v>0.95613577491717</v>
      </c>
      <c r="W300" s="15">
        <f>'Rolling LTM'!W300</f>
        <v>0.831389426888644</v>
      </c>
      <c r="X300" s="15">
        <f>'Rolling LTM'!X300</f>
        <v>0.918396743372205</v>
      </c>
      <c r="Y300" s="15">
        <f>'Rolling LTM'!Y300</f>
        <v>0.934976334585439</v>
      </c>
      <c r="Z300" s="15">
        <f t="shared" si="135"/>
        <v>0.582962944997127</v>
      </c>
      <c r="AA300" s="15">
        <f>'Rolling LTM'!AA300</f>
        <v>1.01179406635126</v>
      </c>
      <c r="AB300" s="15">
        <f>'Rolling LTM'!AB300</f>
        <v>1.03519546588777</v>
      </c>
      <c r="AC300" s="15">
        <f>'Rolling LTM'!AC300</f>
        <v>0.946791283103751</v>
      </c>
      <c r="AD300" s="15">
        <f t="shared" si="135"/>
        <v>0.817101574828597</v>
      </c>
      <c r="AE300" s="15">
        <f>'Rolling LTM'!AE300</f>
        <v>1.24366929199854</v>
      </c>
      <c r="AF300" s="15">
        <f>'Rolling LTM'!AF300</f>
        <v>1.02180031710977</v>
      </c>
    </row>
    <row customHeight="1" ht="15">
      <c r="A301" s="9" t="s">
        <v>316</v>
      </c>
      <c r="N301" s="15">
        <f t="shared" si="136" ref="N301:AD301">IF(OR(N187&lt;=0,N299=0),"NM",-N187/N299)</f>
        <v>0.967558188938502</v>
      </c>
      <c r="R301" s="15">
        <f t="shared" si="136"/>
        <v>0.983105292478729</v>
      </c>
      <c r="V301" s="15">
        <f t="shared" si="136"/>
        <v>0.9014914310137</v>
      </c>
      <c r="Z301" s="15">
        <f t="shared" si="136"/>
        <v>0.588796641074874</v>
      </c>
      <c r="AD301" s="15">
        <f t="shared" si="136"/>
        <v>0.903788422162591</v>
      </c>
    </row>
    <row customHeight="1" ht="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customHeight="1" ht="15">
      <c r="A303" s="2" t="s">
        <v>317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customHeight="1" ht="15">
      <c r="A304" s="9" t="s">
        <v>318</v>
      </c>
      <c r="F304" s="19">
        <f t="shared" si="137" ref="F304:AF304">IF(AND(F3=0,B3=0),0,IF(OR(B3=0,B3="NM",F3="NM"),"NM",IF(B3&lt;0,-(F3/B3-1),F3/B3-1)))</f>
        <v>0.404246266827601</v>
      </c>
      <c r="G304" s="19">
        <f t="shared" si="137"/>
        <v>1.86503165910841</v>
      </c>
      <c r="H304" s="19">
        <f t="shared" si="137"/>
        <v>0.955160472149059</v>
      </c>
      <c r="I304" s="19">
        <f t="shared" si="137"/>
        <v>0.668411099460755</v>
      </c>
      <c r="J304" s="19">
        <f t="shared" si="137"/>
        <v>0.145516219331467</v>
      </c>
      <c r="K304" s="19">
        <f t="shared" si="137"/>
        <v>-0.394689195091631</v>
      </c>
      <c r="L304" s="19">
        <f t="shared" si="137"/>
        <v>-0.080519499958837</v>
      </c>
      <c r="M304" s="19">
        <f t="shared" si="137"/>
        <v>0.24997615213256</v>
      </c>
      <c r="N304" s="19">
        <f t="shared" si="137"/>
        <v>0.458864234869306</v>
      </c>
      <c r="O304" s="19">
        <f t="shared" si="137"/>
        <v>0.955847888296823</v>
      </c>
      <c r="P304" s="19">
        <f t="shared" si="137"/>
        <v>1.11800440078031</v>
      </c>
      <c r="Q304" s="19">
        <f t="shared" si="137"/>
        <v>1.01192154257309</v>
      </c>
      <c r="R304" s="19">
        <f t="shared" si="137"/>
        <v>0.825502443119507</v>
      </c>
      <c r="S304" s="19">
        <f t="shared" si="137"/>
        <v>0.276376490324127</v>
      </c>
      <c r="T304" s="19">
        <f t="shared" si="137"/>
        <v>0.222950546670339</v>
      </c>
      <c r="U304" s="19">
        <f t="shared" si="137"/>
        <v>0.221394842395795</v>
      </c>
      <c r="V304" s="19">
        <f t="shared" si="137"/>
        <v>0.221347276332849</v>
      </c>
      <c r="W304" s="19">
        <f t="shared" si="137"/>
        <v>0.256937170187956</v>
      </c>
      <c r="X304" s="19">
        <f t="shared" si="137"/>
        <v>0.287234020266519</v>
      </c>
      <c r="Y304" s="19">
        <f t="shared" si="137"/>
        <v>0.25282104087594</v>
      </c>
      <c r="Z304" s="19">
        <f t="shared" si="137"/>
        <v>-0.0704891741239622</v>
      </c>
      <c r="AA304" s="19">
        <f t="shared" si="137"/>
        <v>-0.100804280059279</v>
      </c>
      <c r="AB304" s="19">
        <f t="shared" si="137"/>
        <v>-0.171253175619704</v>
      </c>
      <c r="AC304" s="19">
        <f t="shared" si="137"/>
        <v>-0.07012300482308</v>
      </c>
      <c r="AD304" s="19">
        <f t="shared" si="137"/>
        <v>0.0409076904936689</v>
      </c>
      <c r="AE304" s="19">
        <f t="shared" si="137"/>
        <v>0.142859640954685</v>
      </c>
      <c r="AF304" s="19">
        <f t="shared" si="137"/>
        <v>0.0943382146455076</v>
      </c>
    </row>
    <row customHeight="1" ht="15">
      <c r="A305" s="9" t="s">
        <v>319</v>
      </c>
      <c r="F305" s="19">
        <f t="shared" si="138" ref="F305:AF305">IF(AND((F3+F5)=0,(B3+B5)=0),0,IF(OR((B3+B5)=0,(B3+B5)="NM",(F3+F5)="NM"),"NM",IF((B3+B5)&lt;0,-((F3+F5)/(B3+B5)-1),(F3+F5)/(B3+B5)-1)))</f>
        <v>0.623904249551691</v>
      </c>
      <c r="G305" s="19">
        <f t="shared" si="138"/>
        <v>1.65858761426548</v>
      </c>
      <c r="H305" s="19">
        <f t="shared" si="138"/>
        <v>1.26944801410597</v>
      </c>
      <c r="I305" s="19">
        <f t="shared" si="138"/>
        <v>1.07729982754373</v>
      </c>
      <c r="J305" s="19">
        <f t="shared" si="138"/>
        <v>0.424282735313152</v>
      </c>
      <c r="K305" s="19">
        <f t="shared" si="138"/>
        <v>-0.187791324140102</v>
      </c>
      <c r="L305" s="19">
        <f t="shared" si="138"/>
        <v>-0.0413956122099605</v>
      </c>
      <c r="M305" s="19">
        <f t="shared" si="138"/>
        <v>0.23864056851713</v>
      </c>
      <c r="N305" s="19">
        <f t="shared" si="138"/>
        <v>0.441034240276951</v>
      </c>
      <c r="O305" s="19">
        <f t="shared" si="138"/>
        <v>0.615120889604389</v>
      </c>
      <c r="P305" s="19">
        <f t="shared" si="138"/>
        <v>0.817616715548565</v>
      </c>
      <c r="Q305" s="19">
        <f t="shared" si="138"/>
        <v>0.84264529027415</v>
      </c>
      <c r="R305" s="19">
        <f t="shared" si="138"/>
        <v>0.649822575236608</v>
      </c>
      <c r="S305" s="19">
        <f t="shared" si="138"/>
        <v>0.169530788541051</v>
      </c>
      <c r="T305" s="19">
        <f t="shared" si="138"/>
        <v>0.320003778932452</v>
      </c>
      <c r="U305" s="19">
        <f t="shared" si="138"/>
        <v>0.348455969620316</v>
      </c>
      <c r="V305" s="19">
        <f t="shared" si="138"/>
        <v>0.298711167806043</v>
      </c>
      <c r="W305" s="19">
        <f t="shared" si="138"/>
        <v>0.170098089503713</v>
      </c>
      <c r="X305" s="19">
        <f t="shared" si="138"/>
        <v>0.333509873864176</v>
      </c>
      <c r="Y305" s="19">
        <f t="shared" si="138"/>
        <v>0.310593951202068</v>
      </c>
      <c r="Z305" s="19">
        <f t="shared" si="138"/>
        <v>0.0696216946016932</v>
      </c>
      <c r="AA305" s="19">
        <f t="shared" si="138"/>
        <v>0.122872211281664</v>
      </c>
      <c r="AB305" s="19">
        <f t="shared" si="138"/>
        <v>-0.0613370888551599</v>
      </c>
      <c r="AC305" s="19">
        <f t="shared" si="138"/>
        <v>-0.0370135147373089</v>
      </c>
      <c r="AD305" s="19">
        <f t="shared" si="138"/>
        <v>0.0771949632243751</v>
      </c>
      <c r="AE305" s="19">
        <f t="shared" si="138"/>
        <v>0.1706297486411</v>
      </c>
      <c r="AF305" s="19">
        <f t="shared" si="138"/>
        <v>-0.0513823324916749</v>
      </c>
    </row>
    <row customHeight="1" ht="15">
      <c r="A306" s="9" t="s">
        <v>320</v>
      </c>
      <c r="F306" s="19">
        <f t="shared" si="139" ref="F306:G306">IF(AND(F186=0,B185=0),0,IF(OR(B185=0,B185="NM",F186="NM"),"NM",IF(B185&lt;0,-(F186/B185-1),F186/B185-1)))</f>
        <v>7.47357193647784</v>
      </c>
      <c r="G306" s="19">
        <f t="shared" si="139"/>
        <v>4.48325524900227</v>
      </c>
      <c r="H306" s="19">
        <f t="shared" si="140" ref="H306:AD307">IF(AND(H186=0,D186=0),0,IF(OR(D186=0,D186="NM",H186="NM"),"NM",IF(D186&lt;0,-(H186/D186-1),H186/D186-1)))</f>
        <v>-0.156670746634027</v>
      </c>
      <c r="I306" s="19">
        <f t="shared" si="140"/>
        <v>-0.513497989661114</v>
      </c>
      <c r="J306" s="19">
        <f t="shared" si="140"/>
        <v>-0.490909090909091</v>
      </c>
      <c r="K306" s="19">
        <f t="shared" si="140"/>
        <v>-0.386075949367089</v>
      </c>
      <c r="L306" s="19">
        <f t="shared" si="140"/>
        <v>-0.377358490566038</v>
      </c>
      <c r="M306" s="19">
        <f t="shared" si="140"/>
        <v>0.115702479338843</v>
      </c>
      <c r="N306" s="19">
        <f t="shared" si="140"/>
        <v>0.418910256410256</v>
      </c>
      <c r="O306" s="19">
        <f t="shared" si="141" ref="O306:Q306">IF(AND(O185=0,K186=0),0,IF(OR(K186=0,K186="NM",O185="NM"),"NM",IF(K186&lt;0,-(O185/K186-1),O185/K186-1)))</f>
        <v>1.34154639175258</v>
      </c>
      <c r="P306" s="19">
        <f t="shared" si="141"/>
        <v>1.73918414918415</v>
      </c>
      <c r="Q306" s="19">
        <f t="shared" si="141"/>
        <v>1.62453968253968</v>
      </c>
      <c r="R306" s="19">
        <f t="shared" si="140"/>
        <v>0.738655652005551</v>
      </c>
      <c r="S306" s="19">
        <f t="shared" si="142" ref="S306:AF306">IF(AND(S185=0,O185=0),0,IF(OR(O185=0,O185="NM",S185="NM"),"NM",IF(O185&lt;0,-(S185/O185-1),S185/O185-1)))</f>
        <v>-0.485713027781447</v>
      </c>
      <c r="T306" s="19">
        <f t="shared" si="142"/>
        <v>0.142965339415034</v>
      </c>
      <c r="U306" s="19">
        <f t="shared" si="142"/>
        <v>0.286869151153742</v>
      </c>
      <c r="V306" s="19">
        <f t="shared" si="140"/>
        <v>0.543746009591828</v>
      </c>
      <c r="W306" s="19">
        <f t="shared" si="142"/>
        <v>-0.483177810118997</v>
      </c>
      <c r="X306" s="19">
        <f t="shared" si="142"/>
        <v>0.345020139824735</v>
      </c>
      <c r="Y306" s="19">
        <f t="shared" si="142"/>
        <v>0.285576874874674</v>
      </c>
      <c r="Z306" s="19">
        <f t="shared" si="140"/>
        <v>-0.231322091281358</v>
      </c>
      <c r="AA306" s="19">
        <f t="shared" si="142"/>
        <v>1.99503064435978</v>
      </c>
      <c r="AB306" s="19">
        <f t="shared" si="142"/>
        <v>0.0732185263297738</v>
      </c>
      <c r="AC306" s="19">
        <f t="shared" si="142"/>
        <v>-0.199658798727807</v>
      </c>
      <c r="AD306" s="19">
        <f t="shared" si="140"/>
        <v>0.0202642041810952</v>
      </c>
      <c r="AE306" s="19">
        <f t="shared" si="142"/>
        <v>-0.190033737072065</v>
      </c>
      <c r="AF306" s="19">
        <f t="shared" si="142"/>
        <v>-0.432818576630665</v>
      </c>
    </row>
    <row customHeight="1" ht="15">
      <c r="A307" s="9" t="s">
        <v>321</v>
      </c>
      <c r="R307" s="19">
        <f t="shared" si="140"/>
        <v>0.858186531170205</v>
      </c>
      <c r="V307" s="19">
        <f t="shared" si="140"/>
        <v>0.360669731933721</v>
      </c>
      <c r="Z307" s="19">
        <f t="shared" si="140"/>
        <v>-0.176569899849787</v>
      </c>
      <c r="AD307" s="19">
        <f t="shared" si="140"/>
        <v>0.11732367844002</v>
      </c>
    </row>
    <row customHeight="1" ht="15">
      <c r="A308" s="9" t="s">
        <v>322</v>
      </c>
      <c r="F308" s="19">
        <f t="shared" si="143" ref="F308:AF308">IF(AND(F12=0,B12=0),0,IF(OR(B12=0,B12="NM",F12="NM"),"NM",IF(B12&lt;0,-(F12/B12-1),F12/B12-1)))</f>
        <v>0.772389599669831</v>
      </c>
      <c r="G308" s="19">
        <f t="shared" si="143"/>
        <v>0.562017264879626</v>
      </c>
      <c r="H308" s="19">
        <f t="shared" si="143"/>
        <v>0.885148800924588</v>
      </c>
      <c r="I308" s="19">
        <f t="shared" si="143"/>
        <v>-0.678121420389464</v>
      </c>
      <c r="J308" s="19">
        <f t="shared" si="143"/>
        <v>-1.70768812822603</v>
      </c>
      <c r="K308" s="19">
        <f t="shared" si="143"/>
        <v>2.49767306573585</v>
      </c>
      <c r="L308" s="19">
        <f t="shared" si="143"/>
        <v>1.15533757376044</v>
      </c>
      <c r="M308" s="19">
        <f t="shared" si="143"/>
        <v>18.2734282325031</v>
      </c>
      <c r="N308" s="19">
        <f t="shared" si="143"/>
        <v>5.38552234713463</v>
      </c>
      <c r="O308" s="19">
        <f t="shared" si="143"/>
        <v>-0.307359667359667</v>
      </c>
      <c r="P308" s="19">
        <f t="shared" si="143"/>
        <v>0.971768888888889</v>
      </c>
      <c r="Q308" s="19">
        <f t="shared" si="143"/>
        <v>1.30853977535005</v>
      </c>
      <c r="R308" s="19">
        <f t="shared" si="143"/>
        <v>1.02547205201951</v>
      </c>
      <c r="S308" s="19">
        <f t="shared" si="143"/>
        <v>-3.2485292352023</v>
      </c>
      <c r="T308" s="19">
        <f t="shared" si="143"/>
        <v>-0.229226774379687</v>
      </c>
      <c r="U308" s="19">
        <f t="shared" si="143"/>
        <v>0.0716113895702251</v>
      </c>
      <c r="V308" s="19">
        <f t="shared" si="143"/>
        <v>-0.0143230211696722</v>
      </c>
      <c r="W308" s="19">
        <f t="shared" si="143"/>
        <v>-2.70290474156343</v>
      </c>
      <c r="X308" s="19">
        <f t="shared" si="143"/>
        <v>-0.819155904922331</v>
      </c>
      <c r="Y308" s="19">
        <f t="shared" si="143"/>
        <v>-0.118686868686869</v>
      </c>
      <c r="Z308" s="19">
        <f t="shared" si="143"/>
        <v>-0.416843608485692</v>
      </c>
      <c r="AA308" s="19">
        <f t="shared" si="143"/>
        <v>0.101560246870854</v>
      </c>
      <c r="AB308" s="19">
        <f t="shared" si="143"/>
        <v>0.970245795601573</v>
      </c>
      <c r="AC308" s="19">
        <f t="shared" si="143"/>
        <v>-0.635051590046156</v>
      </c>
      <c r="AD308" s="19">
        <f t="shared" si="143"/>
        <v>-1.71420439288975</v>
      </c>
      <c r="AE308" s="19">
        <f t="shared" si="143"/>
        <v>0.273701950084263</v>
      </c>
      <c r="AF308" s="19">
        <f t="shared" si="143"/>
        <v>-5.68804990151018</v>
      </c>
    </row>
    <row customHeight="1" ht="15">
      <c r="A309" s="9" t="s">
        <v>323</v>
      </c>
      <c r="F309" s="19">
        <f t="shared" si="144" ref="F309:AF309">IF(AND(F17=0,B17=0),0,IF(OR(B17=0,B17="NM",F17="NM"),"NM",IF(B17&lt;0,-(F17/B17-1),F17/B17-1)))</f>
        <v>0.411215692478051</v>
      </c>
      <c r="G309" s="19">
        <f t="shared" si="144"/>
        <v>-6.63417085427137</v>
      </c>
      <c r="H309" s="19">
        <f t="shared" si="144"/>
        <v>-1.14306358381503</v>
      </c>
      <c r="I309" s="19">
        <f t="shared" si="144"/>
        <v>-3.97685114211252</v>
      </c>
      <c r="J309" s="19">
        <f t="shared" si="144"/>
        <v>-3.56748122407802</v>
      </c>
      <c r="K309" s="19">
        <f t="shared" si="144"/>
        <v>2.06243310738495</v>
      </c>
      <c r="L309" s="19">
        <f t="shared" si="144"/>
        <v>22.6017316017316</v>
      </c>
      <c r="M309" s="19">
        <f t="shared" si="144"/>
        <v>3.09934081779792</v>
      </c>
      <c r="N309" s="19">
        <f t="shared" si="144"/>
        <v>1.97421903992665</v>
      </c>
      <c r="O309" s="19">
        <f t="shared" si="144"/>
        <v>-2.64758226997985</v>
      </c>
      <c r="P309" s="19">
        <f t="shared" si="144"/>
        <v>-0.00507682030728129</v>
      </c>
      <c r="Q309" s="19">
        <f t="shared" si="144"/>
        <v>0.857573899178217</v>
      </c>
      <c r="R309" s="19">
        <f t="shared" si="144"/>
        <v>-0.385004929640584</v>
      </c>
      <c r="S309" s="19">
        <f t="shared" si="144"/>
        <v>-2.72373382248039</v>
      </c>
      <c r="T309" s="19">
        <f t="shared" si="144"/>
        <v>-0.919967772257278</v>
      </c>
      <c r="U309" s="19">
        <f t="shared" si="144"/>
        <v>0.0920315883999787</v>
      </c>
      <c r="V309" s="19">
        <f t="shared" si="144"/>
        <v>1.62810609924944</v>
      </c>
      <c r="W309" s="19">
        <f t="shared" si="144"/>
        <v>-2.02386360526532</v>
      </c>
      <c r="X309" s="19">
        <f t="shared" si="144"/>
        <v>-6.4513422818788</v>
      </c>
      <c r="Y309" s="19">
        <f t="shared" si="144"/>
        <v>0.217563759931312</v>
      </c>
      <c r="Z309" s="19">
        <f t="shared" si="144"/>
        <v>-0.182251736424009</v>
      </c>
      <c r="AA309" s="19">
        <f t="shared" si="144"/>
        <v>0.283370288248337</v>
      </c>
      <c r="AB309" s="19">
        <f t="shared" si="144"/>
        <v>0.0243151738996735</v>
      </c>
      <c r="AC309" s="19">
        <f t="shared" si="144"/>
        <v>-1.20898057288149</v>
      </c>
      <c r="AD309" s="19">
        <f t="shared" si="144"/>
        <v>-3.45528524201069</v>
      </c>
      <c r="AE309" s="19">
        <f t="shared" si="144"/>
        <v>0.1362396443726</v>
      </c>
      <c r="AF309" s="19">
        <f t="shared" si="144"/>
        <v>-17.0367507886435</v>
      </c>
    </row>
    <row customHeight="1" ht="15">
      <c r="A310" s="9" t="s">
        <v>324</v>
      </c>
      <c r="F310" s="19">
        <f t="shared" si="145" ref="F310:AF310">IF(AND(F21=0,B21=0),0,IF(OR(B21=0,B21="NM",F21="NM"),"NM",IF(B21&lt;0,-(F21/B21-1),F21/B21-1)))</f>
        <v>0.251676813538334</v>
      </c>
      <c r="G310" s="19">
        <f t="shared" si="145"/>
        <v>-13.6081771720615</v>
      </c>
      <c r="H310" s="19">
        <f t="shared" si="145"/>
        <v>-2.85510035743745</v>
      </c>
      <c r="I310" s="19">
        <f t="shared" si="145"/>
        <v>-6.132650929601</v>
      </c>
      <c r="J310" s="19">
        <f t="shared" si="145"/>
        <v>-5.25432811211871</v>
      </c>
      <c r="K310" s="19">
        <f t="shared" si="145"/>
        <v>1.23699500067559</v>
      </c>
      <c r="L310" s="19">
        <f t="shared" si="145"/>
        <v>3.16199792500371</v>
      </c>
      <c r="M310" s="19">
        <f t="shared" si="145"/>
        <v>2.49133089133089</v>
      </c>
      <c r="N310" s="19">
        <f t="shared" si="145"/>
        <v>1.66598197849046</v>
      </c>
      <c r="O310" s="19">
        <f t="shared" si="145"/>
        <v>-8.39281641961232</v>
      </c>
      <c r="P310" s="19">
        <f t="shared" si="145"/>
        <v>-0.651401933228217</v>
      </c>
      <c r="Q310" s="19">
        <f t="shared" si="145"/>
        <v>0.507805250805087</v>
      </c>
      <c r="R310" s="19">
        <f t="shared" si="145"/>
        <v>-0.660527234636872</v>
      </c>
      <c r="S310" s="19">
        <f t="shared" si="145"/>
        <v>-1.58664301688903</v>
      </c>
      <c r="T310" s="19">
        <f t="shared" si="145"/>
        <v>-1.57640117994098</v>
      </c>
      <c r="U310" s="19">
        <f t="shared" si="145"/>
        <v>0.281272059222791</v>
      </c>
      <c r="V310" s="19">
        <f t="shared" si="145"/>
        <v>4.84434730436273</v>
      </c>
      <c r="W310" s="19">
        <f t="shared" si="145"/>
        <v>-1.90852985897856</v>
      </c>
      <c r="X310" s="19">
        <f t="shared" si="145"/>
        <v>0.64892528147386</v>
      </c>
      <c r="Y310" s="19">
        <f t="shared" si="145"/>
        <v>0.177103787311588</v>
      </c>
      <c r="Z310" s="19">
        <f t="shared" si="145"/>
        <v>-1.91782770656733</v>
      </c>
      <c r="AA310" s="19">
        <f t="shared" si="145"/>
        <v>-0.25158115934601</v>
      </c>
      <c r="AB310" s="19">
        <f t="shared" si="145"/>
        <v>-106.896015549068</v>
      </c>
      <c r="AC310" s="19">
        <f t="shared" si="145"/>
        <v>-1.48054628807335</v>
      </c>
      <c r="AD310" s="19">
        <f t="shared" si="145"/>
        <v>-0.0157231196970391</v>
      </c>
      <c r="AE310" s="19">
        <f t="shared" si="145"/>
        <v>0.509295811561205</v>
      </c>
      <c r="AF310" s="19">
        <f t="shared" si="145"/>
        <v>0.262931772123396</v>
      </c>
    </row>
    <row customHeight="1" ht="15">
      <c r="A311" s="9" t="s">
        <v>325</v>
      </c>
      <c r="F311" s="19">
        <f t="shared" si="146" ref="F311:AF311">IF(AND(F60=0,B60=0),0,IF(OR(B60=0,B60="NM",F60="NM"),"NM",IF(B60&lt;0,-(F60/B60-1),F60/B60-1)))</f>
        <v>0.914659762590982</v>
      </c>
      <c r="G311" s="19">
        <f t="shared" si="146"/>
        <v>8.191809647135</v>
      </c>
      <c r="H311" s="19">
        <f t="shared" si="146"/>
        <v>9.85779728955908</v>
      </c>
      <c r="I311" s="19">
        <f t="shared" si="146"/>
        <v>9.17768376520359</v>
      </c>
      <c r="J311" s="19">
        <f t="shared" si="146"/>
        <v>1.48427095292767</v>
      </c>
      <c r="K311" s="19">
        <f t="shared" si="146"/>
        <v>-0.798915244686284</v>
      </c>
      <c r="L311" s="19">
        <f t="shared" si="146"/>
        <v>-0.878243442795865</v>
      </c>
      <c r="M311" s="19">
        <f t="shared" si="146"/>
        <v>-0.631001247012366</v>
      </c>
      <c r="N311" s="19">
        <f t="shared" si="146"/>
        <v>-0.561666204516745</v>
      </c>
      <c r="O311" s="19">
        <f t="shared" si="146"/>
        <v>2.77931517646029</v>
      </c>
      <c r="P311" s="19">
        <f t="shared" si="146"/>
        <v>4.09587063239965</v>
      </c>
      <c r="Q311" s="19">
        <f t="shared" si="146"/>
        <v>4.67511528848523</v>
      </c>
      <c r="R311" s="19">
        <f t="shared" si="146"/>
        <v>3.06553267261779</v>
      </c>
      <c r="S311" s="19">
        <f t="shared" si="146"/>
        <v>-0.909213087403837</v>
      </c>
      <c r="T311" s="19">
        <f t="shared" si="146"/>
        <v>0.44846149487165</v>
      </c>
      <c r="U311" s="19">
        <f t="shared" si="146"/>
        <v>0.265822235179545</v>
      </c>
      <c r="V311" s="19">
        <f t="shared" si="146"/>
        <v>0.545714927876165</v>
      </c>
      <c r="W311" s="19">
        <f t="shared" si="146"/>
        <v>14.1314446145993</v>
      </c>
      <c r="X311" s="19">
        <f t="shared" si="146"/>
        <v>0.554634012753805</v>
      </c>
      <c r="Y311" s="19">
        <f t="shared" si="146"/>
        <v>0.485482709110243</v>
      </c>
      <c r="Z311" s="19">
        <f t="shared" si="146"/>
        <v>0.0949987696391688</v>
      </c>
      <c r="AA311" s="19">
        <f t="shared" si="146"/>
        <v>-0.558775406932614</v>
      </c>
      <c r="AB311" s="19">
        <f t="shared" si="146"/>
        <v>-0.127032059992954</v>
      </c>
      <c r="AC311" s="19">
        <f t="shared" si="146"/>
        <v>-0.0229037600036947</v>
      </c>
      <c r="AD311" s="19">
        <f t="shared" si="146"/>
        <v>-0.169039885050427</v>
      </c>
      <c r="AE311" s="19">
        <f t="shared" si="146"/>
        <v>0.435316155669394</v>
      </c>
      <c r="AF311" s="19">
        <f t="shared" si="146"/>
        <v>-0.384102046699337</v>
      </c>
    </row>
    <row customHeight="1" ht="15">
      <c r="A312" s="9" t="s">
        <v>326</v>
      </c>
      <c r="F312" s="19">
        <f t="shared" si="147" ref="F312:AF312">IF(AND(F276=0,B276=0),0,IF(OR(B276=0,B276="NM",F276="NM"),"NM",IF(B276&lt;0,(F276/B276-1),-(F276/B276-1))))</f>
        <v>0.572991832527159</v>
      </c>
      <c r="G312" s="19">
        <f t="shared" si="147"/>
        <v>4.25056625141563</v>
      </c>
      <c r="H312" s="19">
        <f t="shared" si="147"/>
        <v>1.95779783609301</v>
      </c>
      <c r="I312" s="19">
        <f t="shared" si="147"/>
        <v>16.2240179015415</v>
      </c>
      <c r="J312" s="19">
        <f t="shared" si="147"/>
        <v>1.34743156727328</v>
      </c>
      <c r="K312" s="19">
        <f t="shared" si="147"/>
        <v>0.415583715287139</v>
      </c>
      <c r="L312" s="19">
        <f t="shared" si="147"/>
        <v>-0.225015662577555</v>
      </c>
      <c r="M312" s="19">
        <f t="shared" si="147"/>
        <v>-0.283796463370624</v>
      </c>
      <c r="N312" s="19">
        <f t="shared" si="147"/>
        <v>-0.245662071038956</v>
      </c>
      <c r="O312" s="19">
        <f t="shared" si="147"/>
        <v>-0.175339021788816</v>
      </c>
      <c r="P312" s="19">
        <f t="shared" si="147"/>
        <v>0.0365869559548335</v>
      </c>
      <c r="Q312" s="19">
        <f t="shared" si="147"/>
        <v>0.219006348886426</v>
      </c>
      <c r="R312" s="19">
        <f t="shared" si="147"/>
        <v>1.26424494327644</v>
      </c>
      <c r="S312" s="19">
        <f t="shared" si="147"/>
        <v>0.68903875467689</v>
      </c>
      <c r="T312" s="19">
        <f t="shared" si="147"/>
        <v>1.3845534591195</v>
      </c>
      <c r="U312" s="19">
        <f t="shared" si="147"/>
        <v>1.13549709826226</v>
      </c>
      <c r="V312" s="19">
        <f t="shared" si="147"/>
        <v>0.343961777833658</v>
      </c>
      <c r="W312" s="19">
        <f t="shared" si="147"/>
        <v>0.227697861401302</v>
      </c>
      <c r="X312" s="19">
        <f t="shared" si="147"/>
        <v>-0.0789040575612432</v>
      </c>
      <c r="Y312" s="19">
        <f t="shared" si="147"/>
        <v>0.259637495451272</v>
      </c>
      <c r="Z312" s="19">
        <f t="shared" si="147"/>
        <v>0.124242225798002</v>
      </c>
      <c r="AA312" s="19">
        <f t="shared" si="147"/>
        <v>0.0857391071905906</v>
      </c>
      <c r="AB312" s="19">
        <f t="shared" si="147"/>
        <v>-0.0915963210280962</v>
      </c>
      <c r="AC312" s="19">
        <f t="shared" si="147"/>
        <v>-0.286094498159087</v>
      </c>
      <c r="AD312" s="19">
        <f t="shared" si="147"/>
        <v>-0.296365641057646</v>
      </c>
      <c r="AE312" s="19">
        <f t="shared" si="147"/>
        <v>-0.723005272768306</v>
      </c>
      <c r="AF312" s="19">
        <f t="shared" si="147"/>
        <v>-0.0828142731055352</v>
      </c>
    </row>
    <row customHeight="1" ht="15">
      <c r="A313" s="9" t="s">
        <v>327</v>
      </c>
      <c r="F313" s="19">
        <f t="shared" si="148" ref="F313:AF315">IF(AND(F282=0,B282=0),0,IF(OR(B282=0,B282="NM",F282="NM"),"NM",IF(B282&lt;0,-(F282/B282-1),F282/B282-1)))</f>
        <v>1.38171190357515</v>
      </c>
      <c r="G313" s="19">
        <f t="shared" si="148"/>
        <v>5.46016153678236</v>
      </c>
      <c r="H313" s="19">
        <f t="shared" si="148"/>
        <v>4.29260143198091</v>
      </c>
      <c r="I313" s="19">
        <f t="shared" si="148"/>
        <v>2.32288666779604</v>
      </c>
      <c r="J313" s="19">
        <f t="shared" si="148"/>
        <v>-0.111278109660972</v>
      </c>
      <c r="K313" s="19">
        <f t="shared" si="148"/>
        <v>-0.206089072109211</v>
      </c>
      <c r="L313" s="19">
        <f t="shared" si="148"/>
        <v>-0.294119769119769</v>
      </c>
      <c r="M313" s="19">
        <f t="shared" si="148"/>
        <v>0.406168748406831</v>
      </c>
      <c r="N313" s="19">
        <f t="shared" si="148"/>
        <v>1.46415344764841</v>
      </c>
      <c r="O313" s="19">
        <f t="shared" si="148"/>
        <v>-0.15709725473505</v>
      </c>
      <c r="P313" s="19">
        <f t="shared" si="148"/>
        <v>1.12188889456738</v>
      </c>
      <c r="Q313" s="19">
        <f t="shared" si="148"/>
        <v>1.40856355594228</v>
      </c>
      <c r="R313" s="19">
        <f t="shared" si="148"/>
        <v>0.878618341036244</v>
      </c>
      <c r="S313" s="19">
        <f t="shared" si="148"/>
        <v>-1.3691173500303</v>
      </c>
      <c r="T313" s="19">
        <f t="shared" si="148"/>
        <v>0.0706664418699874</v>
      </c>
      <c r="U313" s="19">
        <f t="shared" si="148"/>
        <v>0.244356469425336</v>
      </c>
      <c r="V313" s="19">
        <f t="shared" si="148"/>
        <v>0.308165775697823</v>
      </c>
      <c r="W313" s="19">
        <f t="shared" si="148"/>
        <v>-2.28960328317373</v>
      </c>
      <c r="X313" s="19">
        <f t="shared" si="148"/>
        <v>0.213303938991744</v>
      </c>
      <c r="Y313" s="19">
        <f t="shared" si="148"/>
        <v>0.193387876564018</v>
      </c>
      <c r="Z313" s="19">
        <f t="shared" si="148"/>
        <v>0.043802561483016</v>
      </c>
      <c r="AA313" s="19">
        <f t="shared" si="148"/>
        <v>-0.176903563854119</v>
      </c>
      <c r="AB313" s="19">
        <f t="shared" si="148"/>
        <v>-0.630870492259201</v>
      </c>
      <c r="AC313" s="19">
        <f t="shared" si="148"/>
        <v>-0.231886849191949</v>
      </c>
      <c r="AD313" s="19">
        <f t="shared" si="148"/>
        <v>-0.267781789117904</v>
      </c>
      <c r="AE313" s="19">
        <f t="shared" si="148"/>
        <v>1.5205823115791</v>
      </c>
      <c r="AF313" s="19">
        <f t="shared" si="148"/>
        <v>-0.259581093977598</v>
      </c>
    </row>
    <row customHeight="1" ht="15">
      <c r="A314" s="9" t="s">
        <v>328</v>
      </c>
      <c r="F314" s="19">
        <f t="shared" si="148"/>
        <v>-3.59504616737506</v>
      </c>
      <c r="G314" s="19">
        <f t="shared" si="148"/>
        <v>18.4025385312783</v>
      </c>
      <c r="H314" s="19">
        <f t="shared" si="148"/>
        <v>3.55786862258656</v>
      </c>
      <c r="I314" s="19">
        <f t="shared" si="148"/>
        <v>-19.7140454163162</v>
      </c>
      <c r="J314" s="19">
        <f t="shared" si="148"/>
        <v>-0.0704899208981882</v>
      </c>
      <c r="K314" s="19">
        <f t="shared" si="148"/>
        <v>-2.00845754871268</v>
      </c>
      <c r="L314" s="19">
        <f t="shared" si="148"/>
        <v>-2.68267689972168</v>
      </c>
      <c r="M314" s="19">
        <f t="shared" si="148"/>
        <v>-0.94055787892322</v>
      </c>
      <c r="N314" s="19">
        <f t="shared" si="148"/>
        <v>-0.95193969370121</v>
      </c>
      <c r="O314" s="19">
        <f t="shared" si="148"/>
        <v>1.44245204336947</v>
      </c>
      <c r="P314" s="19">
        <f t="shared" si="148"/>
        <v>1.27709696012831</v>
      </c>
      <c r="Q314" s="19">
        <f t="shared" si="148"/>
        <v>2.28834163284094</v>
      </c>
      <c r="R314" s="19">
        <f t="shared" si="148"/>
        <v>0.245729724779045</v>
      </c>
      <c r="S314" s="19">
        <f t="shared" si="148"/>
        <v>-6.62833804586868</v>
      </c>
      <c r="T314" s="19">
        <f t="shared" si="148"/>
        <v>-4.83449398571041</v>
      </c>
      <c r="U314" s="19">
        <f t="shared" si="148"/>
        <v>-1.30000812017864</v>
      </c>
      <c r="V314" s="19">
        <f t="shared" si="148"/>
        <v>-0.96328901301277</v>
      </c>
      <c r="W314" s="19">
        <f t="shared" si="148"/>
        <v>0.320494929760908</v>
      </c>
      <c r="X314" s="19">
        <f t="shared" si="148"/>
        <v>-0.0593895938487663</v>
      </c>
      <c r="Y314" s="19">
        <f t="shared" si="148"/>
        <v>-1.55957343149461</v>
      </c>
      <c r="Z314" s="19">
        <f t="shared" si="148"/>
        <v>-0.950758669030636</v>
      </c>
      <c r="AA314" s="19">
        <f t="shared" si="148"/>
        <v>-1.75646221248631</v>
      </c>
      <c r="AB314" s="19">
        <f t="shared" si="148"/>
        <v>-0.803010063229139</v>
      </c>
      <c r="AC314" s="19">
        <f t="shared" si="148"/>
        <v>0.441554046909037</v>
      </c>
      <c r="AD314" s="19">
        <f t="shared" si="148"/>
        <v>0.0623101026700555</v>
      </c>
      <c r="AE314" s="19">
        <f t="shared" si="148"/>
        <v>0.828204160292452</v>
      </c>
      <c r="AF314" s="19">
        <f t="shared" si="148"/>
        <v>0.163180381309888</v>
      </c>
    </row>
    <row customHeight="1" ht="15">
      <c r="A315" s="9" t="s">
        <v>329</v>
      </c>
      <c r="F315" s="19">
        <f t="shared" si="148"/>
        <v>3.19569174757282</v>
      </c>
      <c r="G315" s="19">
        <f t="shared" si="148"/>
        <v>11.6951364175563</v>
      </c>
      <c r="H315" s="19">
        <f t="shared" si="148"/>
        <v>17.2232386142468</v>
      </c>
      <c r="I315" s="19">
        <f t="shared" si="148"/>
        <v>3.2901660757604</v>
      </c>
      <c r="J315" s="19">
        <f t="shared" si="148"/>
        <v>3.54207544562664</v>
      </c>
      <c r="K315" s="19">
        <f t="shared" si="148"/>
        <v>-1.29821528686227</v>
      </c>
      <c r="L315" s="19">
        <f t="shared" si="148"/>
        <v>-1.14296682862456</v>
      </c>
      <c r="M315" s="19">
        <f t="shared" si="148"/>
        <v>-1.24266017137141</v>
      </c>
      <c r="N315" s="19">
        <f t="shared" si="148"/>
        <v>-1.05220407045724</v>
      </c>
      <c r="O315" s="19">
        <f t="shared" si="148"/>
        <v>2.93380855397149</v>
      </c>
      <c r="P315" s="19">
        <f t="shared" si="148"/>
        <v>5.06259964756231</v>
      </c>
      <c r="Q315" s="19">
        <f t="shared" si="148"/>
        <v>23.5137121347912</v>
      </c>
      <c r="R315" s="19">
        <f t="shared" si="148"/>
        <v>33.8100233100235</v>
      </c>
      <c r="S315" s="19">
        <f t="shared" si="148"/>
        <v>-1.93393283914611</v>
      </c>
      <c r="T315" s="19">
        <f t="shared" si="148"/>
        <v>-0.189945057214855</v>
      </c>
      <c r="U315" s="19">
        <f t="shared" si="148"/>
        <v>-0.0217907073023151</v>
      </c>
      <c r="V315" s="19">
        <f t="shared" si="148"/>
        <v>1.29105537991546</v>
      </c>
      <c r="W315" s="19">
        <f t="shared" si="148"/>
        <v>2.65158743927828</v>
      </c>
      <c r="X315" s="19">
        <f t="shared" si="148"/>
        <v>2.22135244020603</v>
      </c>
      <c r="Y315" s="19">
        <f t="shared" si="148"/>
        <v>0.816606574588783</v>
      </c>
      <c r="Z315" s="19">
        <f t="shared" si="148"/>
        <v>0.375382778643471</v>
      </c>
      <c r="AA315" s="19">
        <f t="shared" si="148"/>
        <v>-0.95217836602852</v>
      </c>
      <c r="AB315" s="19">
        <f t="shared" si="148"/>
        <v>-0.0447461115288715</v>
      </c>
      <c r="AC315" s="19">
        <f t="shared" si="148"/>
        <v>0.171110344487704</v>
      </c>
      <c r="AD315" s="19">
        <f t="shared" si="148"/>
        <v>0.0336786688611819</v>
      </c>
      <c r="AE315" s="19">
        <f t="shared" si="148"/>
        <v>19.2520593080725</v>
      </c>
      <c r="AF315" s="19">
        <f t="shared" si="148"/>
        <v>-0.557871099252581</v>
      </c>
    </row>
    <row customHeight="1" ht="15">
      <c r="A316" s="9" t="s">
        <v>330</v>
      </c>
      <c r="F316" s="19">
        <f t="shared" si="149" ref="F316:AF316">IF(AND(F104=0,B104=0),0,IF(OR(B104=0,B104="NM",F104="NM"),"NM",IF(B104&lt;0,-(F104/B104-1),F104/B104-1)))</f>
        <v>45.689917936694</v>
      </c>
      <c r="G316" s="19">
        <f t="shared" si="149"/>
        <v>-78.6404715127701</v>
      </c>
      <c r="H316" s="19">
        <f t="shared" si="149"/>
        <v>3.88861298332742</v>
      </c>
      <c r="I316" s="19">
        <f t="shared" si="149"/>
        <v>4.20326223337514</v>
      </c>
      <c r="J316" s="19">
        <f t="shared" si="149"/>
        <v>-1.14968761340136</v>
      </c>
      <c r="K316" s="19">
        <f t="shared" si="149"/>
        <v>0.666428201396255</v>
      </c>
      <c r="L316" s="19">
        <f t="shared" si="149"/>
        <v>-1.89622989070367</v>
      </c>
      <c r="M316" s="19">
        <f t="shared" si="149"/>
        <v>-5.86956521739132</v>
      </c>
      <c r="N316" s="19">
        <f t="shared" si="149"/>
        <v>2.11029003709437</v>
      </c>
      <c r="O316" s="19">
        <f t="shared" si="149"/>
        <v>4.77322141695016</v>
      </c>
      <c r="P316" s="19">
        <f t="shared" si="149"/>
        <v>16.8280350781036</v>
      </c>
      <c r="Q316" s="19">
        <f t="shared" si="149"/>
        <v>7.22707528957529</v>
      </c>
      <c r="R316" s="19">
        <f t="shared" si="149"/>
        <v>1.8606529345224</v>
      </c>
      <c r="S316" s="19">
        <f t="shared" si="149"/>
        <v>-1.38289740599551</v>
      </c>
      <c r="T316" s="19">
        <f t="shared" si="149"/>
        <v>-1.56057759732671</v>
      </c>
      <c r="U316" s="19">
        <f t="shared" si="149"/>
        <v>-1.52935477620616</v>
      </c>
      <c r="V316" s="19">
        <f t="shared" si="149"/>
        <v>-2.14081035846315</v>
      </c>
      <c r="W316" s="19">
        <f t="shared" si="149"/>
        <v>0.652436527436527</v>
      </c>
      <c r="X316" s="19">
        <f t="shared" si="149"/>
        <v>2.51555116286253</v>
      </c>
      <c r="Y316" s="19">
        <f t="shared" si="149"/>
        <v>2.90780868716447</v>
      </c>
      <c r="Z316" s="19">
        <f t="shared" si="149"/>
        <v>0.872216937785158</v>
      </c>
      <c r="AA316" s="19">
        <f t="shared" si="149"/>
        <v>-2.98291605301915</v>
      </c>
      <c r="AB316" s="19">
        <f t="shared" si="149"/>
        <v>-0.887770282663189</v>
      </c>
      <c r="AC316" s="19">
        <f t="shared" si="149"/>
        <v>-0.265393568852166</v>
      </c>
      <c r="AD316" s="19">
        <f t="shared" si="149"/>
        <v>-2.91408024224073</v>
      </c>
      <c r="AE316" s="19">
        <f t="shared" si="149"/>
        <v>0.657539565153084</v>
      </c>
      <c r="AF316" s="19">
        <f t="shared" si="149"/>
        <v>-1.42682041038678</v>
      </c>
    </row>
    <row customHeight="1" ht="15">
      <c r="A317" s="9" t="s">
        <v>331</v>
      </c>
      <c r="F317" s="19">
        <f t="shared" si="150" ref="F317:AF320">IF(AND(F177=0,B177=0),0,IF(OR(B177=0,B177="NM",F177="NM"),"NM",IF(B177&lt;0,-(F177/B177-1),F177/B177-1)))</f>
        <v>9.06550158518924</v>
      </c>
      <c r="J317" s="19">
        <f t="shared" si="150"/>
        <v>-0.209483460911055</v>
      </c>
      <c r="K317" s="19">
        <f t="shared" si="150"/>
        <v>-0.257052054794521</v>
      </c>
      <c r="L317" s="19">
        <f t="shared" si="150"/>
        <v>-0.117986911695857</v>
      </c>
      <c r="M317" s="19">
        <f t="shared" si="150"/>
        <v>0.00868351750264673</v>
      </c>
      <c r="N317" s="19">
        <f t="shared" si="150"/>
        <v>0.179753753221966</v>
      </c>
      <c r="O317" s="19">
        <f t="shared" si="150"/>
        <v>0.302010502404342</v>
      </c>
      <c r="P317" s="19">
        <f t="shared" si="150"/>
        <v>0.481460362935097</v>
      </c>
      <c r="Q317" s="19">
        <f t="shared" si="150"/>
        <v>0.732846443084583</v>
      </c>
      <c r="R317" s="19">
        <f t="shared" si="150"/>
        <v>0.496559085536068</v>
      </c>
      <c r="S317" s="19">
        <f t="shared" si="150"/>
        <v>0.64063246420486</v>
      </c>
      <c r="T317" s="19">
        <f t="shared" si="150"/>
        <v>0.540976809535283</v>
      </c>
      <c r="U317" s="19">
        <f t="shared" si="150"/>
        <v>0.433072294885849</v>
      </c>
      <c r="V317" s="19">
        <f t="shared" si="150"/>
        <v>0.700683844742586</v>
      </c>
      <c r="W317" s="19">
        <f t="shared" si="150"/>
        <v>0.668675343567764</v>
      </c>
      <c r="X317" s="19">
        <f t="shared" si="150"/>
        <v>0.663014530364919</v>
      </c>
      <c r="Y317" s="19">
        <f t="shared" si="150"/>
        <v>0.377533529341394</v>
      </c>
      <c r="Z317" s="19">
        <f t="shared" si="150"/>
        <v>0.391998630452287</v>
      </c>
      <c r="AA317" s="19">
        <f t="shared" si="150"/>
        <v>0.0856227330442574</v>
      </c>
      <c r="AB317" s="19">
        <f t="shared" si="150"/>
        <v>-0.172432151256359</v>
      </c>
      <c r="AC317" s="19">
        <f t="shared" si="150"/>
        <v>-0.17611292018771</v>
      </c>
      <c r="AD317" s="19">
        <f t="shared" si="150"/>
        <v>-0.388670414244011</v>
      </c>
      <c r="AE317" s="19">
        <f t="shared" si="150"/>
        <v>-0.318239168718695</v>
      </c>
      <c r="AF317" s="19">
        <f t="shared" si="150"/>
        <v>-0.31139079883141</v>
      </c>
    </row>
    <row customHeight="1" ht="15">
      <c r="A318" s="9" t="s">
        <v>332</v>
      </c>
      <c r="F318" s="15">
        <f t="shared" si="151" ref="F318:AF322">IF(OR(B178=0,B178="NM",F178="NM"),"NM",F178-B178)</f>
        <v>0.37922807081518</v>
      </c>
      <c r="J318" s="15">
        <f t="shared" si="151"/>
        <v>1.32550183150183</v>
      </c>
      <c r="K318" s="15">
        <f t="shared" si="151"/>
        <v>-1.79907016366391</v>
      </c>
      <c r="L318" s="15">
        <f t="shared" si="151"/>
        <v>2.76033886841653</v>
      </c>
      <c r="M318" s="15">
        <f t="shared" si="151"/>
        <v>0.22069697519296</v>
      </c>
      <c r="N318" s="15">
        <f t="shared" si="151"/>
        <v>-0.62755950622677</v>
      </c>
      <c r="O318" s="15">
        <f t="shared" si="151"/>
        <v>-1.36058691260458</v>
      </c>
      <c r="P318" s="15">
        <f t="shared" si="151"/>
        <v>-2.32816669325654</v>
      </c>
      <c r="Q318" s="15">
        <f t="shared" si="151"/>
        <v>-1.18729377958145</v>
      </c>
      <c r="R318" s="15">
        <f t="shared" si="151"/>
        <v>-0.43106140381391</v>
      </c>
      <c r="S318" s="15">
        <f t="shared" si="151"/>
        <v>0.26393240827519</v>
      </c>
      <c r="T318" s="15">
        <f t="shared" si="151"/>
        <v>0.22592491851548</v>
      </c>
      <c r="U318" s="15">
        <f t="shared" si="151"/>
        <v>0.37572017632416</v>
      </c>
      <c r="V318" s="15">
        <f t="shared" si="151"/>
        <v>0.27089200410812</v>
      </c>
      <c r="W318" s="15">
        <f t="shared" si="151"/>
        <v>0.60317114115552</v>
      </c>
      <c r="X318" s="15">
        <f t="shared" si="151"/>
        <v>0.56067347953372</v>
      </c>
      <c r="Y318" s="15">
        <f t="shared" si="151"/>
        <v>0.12771820507523</v>
      </c>
      <c r="Z318" s="15">
        <f t="shared" si="151"/>
        <v>2.38045118429547</v>
      </c>
      <c r="AA318" s="15">
        <f t="shared" si="151"/>
        <v>-0.81721808833739</v>
      </c>
      <c r="AB318" s="15">
        <f t="shared" si="151"/>
        <v>-1.1110260532781</v>
      </c>
      <c r="AC318" s="15">
        <f t="shared" si="151"/>
        <v>-0.23762715574539</v>
      </c>
      <c r="AD318" s="15">
        <f t="shared" si="151"/>
        <v>-2.13072671264641</v>
      </c>
      <c r="AE318" s="15">
        <f t="shared" si="151"/>
        <v>-0.45586847997587</v>
      </c>
      <c r="AF318" s="15">
        <f t="shared" si="151"/>
        <v>0.0234215016026402</v>
      </c>
    </row>
    <row customHeight="1" ht="15">
      <c r="A319" s="9" t="s">
        <v>333</v>
      </c>
      <c r="R319" s="15">
        <f t="shared" si="151"/>
        <v>-0.60193103225429</v>
      </c>
      <c r="V319" s="15">
        <f t="shared" si="151"/>
        <v>0.62247718355818</v>
      </c>
      <c r="Z319" s="15">
        <f t="shared" si="151"/>
        <v>2.14984010301947</v>
      </c>
      <c r="AD319" s="15">
        <f t="shared" si="151"/>
        <v>-2.38357374923862</v>
      </c>
    </row>
    <row customHeight="1" ht="15">
      <c r="A320" s="9" t="s">
        <v>334</v>
      </c>
      <c r="F320" s="19">
        <f t="shared" si="150"/>
        <v>5.84804407459487</v>
      </c>
      <c r="J320" s="19">
        <f t="shared" si="150"/>
        <v>-0.231736093579063</v>
      </c>
      <c r="K320" s="19">
        <f t="shared" si="150"/>
        <v>-0.37756464348507</v>
      </c>
      <c r="L320" s="19">
        <f t="shared" si="150"/>
        <v>-0.0273244626102003</v>
      </c>
      <c r="M320" s="19">
        <f t="shared" si="150"/>
        <v>0.222062841812417</v>
      </c>
      <c r="N320" s="19">
        <f t="shared" si="150"/>
        <v>0.152358126818325</v>
      </c>
      <c r="O320" s="19">
        <f t="shared" si="150"/>
        <v>-0.178741658722593</v>
      </c>
      <c r="P320" s="19">
        <f t="shared" si="150"/>
        <v>0.179985507301943</v>
      </c>
      <c r="Q320" s="19">
        <f t="shared" si="150"/>
        <v>0.711055786326058</v>
      </c>
      <c r="R320" s="19">
        <f t="shared" si="150"/>
        <v>0.494781468032927</v>
      </c>
      <c r="S320" s="19">
        <f t="shared" si="150"/>
        <v>1.77608155809064</v>
      </c>
      <c r="T320" s="19">
        <f t="shared" si="150"/>
        <v>1.35646353548974</v>
      </c>
      <c r="U320" s="19">
        <f t="shared" si="150"/>
        <v>0.703247692928143</v>
      </c>
      <c r="V320" s="19">
        <f t="shared" si="150"/>
        <v>1.59526116982716</v>
      </c>
      <c r="W320" s="19">
        <f t="shared" si="150"/>
        <v>1.16422956769697</v>
      </c>
      <c r="X320" s="19">
        <f t="shared" si="150"/>
        <v>0.846592217440644</v>
      </c>
      <c r="Y320" s="19">
        <f t="shared" si="150"/>
        <v>0.505632779456895</v>
      </c>
      <c r="Z320" s="19">
        <f t="shared" si="150"/>
        <v>0.484588665161209</v>
      </c>
      <c r="AA320" s="19">
        <f t="shared" si="150"/>
        <v>0.139211550247281</v>
      </c>
      <c r="AB320" s="19">
        <f t="shared" si="150"/>
        <v>-0.135913746614626</v>
      </c>
      <c r="AC320" s="19">
        <f t="shared" si="150"/>
        <v>-0.187179453576514</v>
      </c>
      <c r="AD320" s="19">
        <f t="shared" si="150"/>
        <v>-0.396003058015142</v>
      </c>
      <c r="AE320" s="19">
        <f t="shared" si="150"/>
        <v>-0.326877725023614</v>
      </c>
      <c r="AF320" s="19">
        <f t="shared" si="150"/>
        <v>-0.297505442019912</v>
      </c>
    </row>
    <row customHeight="1" ht="15">
      <c r="A321" s="9" t="s">
        <v>335</v>
      </c>
      <c r="F321" s="15">
        <f t="shared" si="151"/>
        <v>-0.32875069546082</v>
      </c>
      <c r="J321" s="15">
        <f t="shared" si="151"/>
        <v>0.7050715950716</v>
      </c>
      <c r="K321" s="15">
        <f t="shared" si="151"/>
        <v>-1.86214302369088</v>
      </c>
      <c r="L321" s="15">
        <f t="shared" si="151"/>
        <v>1.80542802643873</v>
      </c>
      <c r="M321" s="15">
        <f t="shared" si="151"/>
        <v>0.55054388757901</v>
      </c>
      <c r="N321" s="15">
        <f t="shared" si="151"/>
        <v>-0.39262787209026</v>
      </c>
      <c r="O321" s="15">
        <f t="shared" si="151"/>
        <v>-1.51434279490612</v>
      </c>
      <c r="P321" s="15">
        <f t="shared" si="151"/>
        <v>-1.75901896128476</v>
      </c>
      <c r="Q321" s="15">
        <f t="shared" si="151"/>
        <v>-0.78279022667016</v>
      </c>
      <c r="R321" s="15">
        <f t="shared" si="151"/>
        <v>-0.23808864925879</v>
      </c>
      <c r="S321" s="15">
        <f t="shared" si="151"/>
        <v>0.95541656918664</v>
      </c>
      <c r="T321" s="15">
        <f t="shared" si="151"/>
        <v>0.89446146195058</v>
      </c>
      <c r="U321" s="15">
        <f t="shared" si="151"/>
        <v>0.6034440972223</v>
      </c>
      <c r="V321" s="15">
        <f t="shared" si="151"/>
        <v>0.99400886440315</v>
      </c>
      <c r="W321" s="15">
        <f t="shared" si="151"/>
        <v>1.14303555887974</v>
      </c>
      <c r="X321" s="15">
        <f t="shared" si="151"/>
        <v>0.70904450365305</v>
      </c>
      <c r="Y321" s="15">
        <f t="shared" si="151"/>
        <v>0.31936056054551</v>
      </c>
      <c r="Z321" s="15">
        <f t="shared" si="151"/>
        <v>2.28491619312392</v>
      </c>
      <c r="AA321" s="15">
        <f t="shared" si="151"/>
        <v>-0.58788502769027</v>
      </c>
      <c r="AB321" s="15">
        <f t="shared" si="151"/>
        <v>-0.8170328920582</v>
      </c>
      <c r="AC321" s="15">
        <f t="shared" si="151"/>
        <v>-0.22802412022493</v>
      </c>
      <c r="AD321" s="15">
        <f t="shared" si="151"/>
        <v>-1.93320155198215</v>
      </c>
      <c r="AE321" s="15">
        <f t="shared" si="151"/>
        <v>-0.44479025089401</v>
      </c>
      <c r="AF321" s="15">
        <f t="shared" si="151"/>
        <v>0.0640003894490397</v>
      </c>
    </row>
    <row customHeight="1" ht="15">
      <c r="A322" s="9" t="s">
        <v>336</v>
      </c>
      <c r="R322" s="15">
        <f t="shared" si="151"/>
        <v>-0.33166426175213</v>
      </c>
      <c r="V322" s="15">
        <f t="shared" si="151"/>
        <v>1.2378155801195</v>
      </c>
      <c r="Z322" s="15">
        <f t="shared" si="151"/>
        <v>2.08926073780008</v>
      </c>
      <c r="AD322" s="15">
        <f t="shared" si="151"/>
        <v>-2.15530153073267</v>
      </c>
    </row>
    <row customHeight="1" ht="15">
      <c r="A323" s="9" t="s">
        <v>337</v>
      </c>
      <c r="F323" s="30">
        <f t="shared" si="152" ref="F323:AF326">IF(OR(B267=0,B267="NM",F267="NM"),"NM",10000*(F267-B267))</f>
        <v>433.6554229986</v>
      </c>
      <c r="G323" s="30">
        <f t="shared" si="152"/>
        <v>-239.43806805491</v>
      </c>
      <c r="H323" s="30">
        <f t="shared" si="152"/>
        <v>524.70770350884</v>
      </c>
      <c r="I323" s="30">
        <f t="shared" si="152"/>
        <v>776.0747660051</v>
      </c>
      <c r="J323" s="30">
        <f t="shared" si="152"/>
        <v>780.1849597023</v>
      </c>
      <c r="K323" s="30">
        <f t="shared" si="152"/>
        <v>1053.94855480211</v>
      </c>
      <c r="L323" s="30">
        <f t="shared" si="152"/>
        <v>161.21668757847</v>
      </c>
      <c r="M323" s="30">
        <f t="shared" si="152"/>
        <v>-35.7552456976601</v>
      </c>
      <c r="N323" s="30">
        <f t="shared" si="152"/>
        <v>-48.7180066670501</v>
      </c>
      <c r="O323" s="30">
        <f t="shared" si="152"/>
        <v>-720.77960181127</v>
      </c>
      <c r="P323" s="30">
        <f t="shared" si="152"/>
        <v>-560.22523593235</v>
      </c>
      <c r="Q323" s="30">
        <f t="shared" si="152"/>
        <v>-328.72003655342</v>
      </c>
      <c r="R323" s="30">
        <f t="shared" si="152"/>
        <v>-378.92405558856</v>
      </c>
      <c r="S323" s="30">
        <f t="shared" si="152"/>
        <v>-286.00869319326</v>
      </c>
      <c r="T323" s="30">
        <f t="shared" si="152"/>
        <v>269.01962323801</v>
      </c>
      <c r="U323" s="30">
        <f t="shared" si="152"/>
        <v>372.24468433825</v>
      </c>
      <c r="V323" s="30">
        <f t="shared" si="152"/>
        <v>225.40656533623</v>
      </c>
      <c r="W323" s="30">
        <f t="shared" si="152"/>
        <v>-216.28952398469</v>
      </c>
      <c r="X323" s="30">
        <f t="shared" si="152"/>
        <v>131.53643289644</v>
      </c>
      <c r="Y323" s="30">
        <f t="shared" si="152"/>
        <v>182.17458054781</v>
      </c>
      <c r="Z323" s="30">
        <f t="shared" si="152"/>
        <v>570.372007254411</v>
      </c>
      <c r="AA323" s="30">
        <f t="shared" si="152"/>
        <v>724.9509920429</v>
      </c>
      <c r="AB323" s="30">
        <f t="shared" si="152"/>
        <v>502.72124444185</v>
      </c>
      <c r="AC323" s="30">
        <f t="shared" si="152"/>
        <v>147.14946261754</v>
      </c>
      <c r="AD323" s="30">
        <f t="shared" si="152"/>
        <v>151.79542825019</v>
      </c>
      <c r="AE323" s="30">
        <f t="shared" si="152"/>
        <v>88.4307500315495</v>
      </c>
      <c r="AF323" s="30">
        <f t="shared" si="152"/>
        <v>-571.66929499592</v>
      </c>
    </row>
    <row customHeight="1" ht="15">
      <c r="A324" s="9" t="s">
        <v>338</v>
      </c>
      <c r="F324" s="30">
        <f t="shared" si="152"/>
        <v>2946.69701962006</v>
      </c>
      <c r="G324" s="30">
        <f t="shared" si="152"/>
        <v>563.29110679318</v>
      </c>
      <c r="H324" s="30">
        <f t="shared" si="152"/>
        <v>-2266.11676212066</v>
      </c>
      <c r="I324" s="30">
        <f t="shared" si="152"/>
        <v>-3848.77220734211</v>
      </c>
      <c r="J324" s="30">
        <f t="shared" si="152"/>
        <v>-1962.32174137525</v>
      </c>
      <c r="K324" s="30">
        <f t="shared" si="152"/>
        <v>16.78622489241</v>
      </c>
      <c r="L324" s="30">
        <f t="shared" si="152"/>
        <v>-554.90547147866</v>
      </c>
      <c r="M324" s="30">
        <f t="shared" si="152"/>
        <v>-170.18133083182</v>
      </c>
      <c r="N324" s="30">
        <f t="shared" si="152"/>
        <v>-42.9895865440499</v>
      </c>
      <c r="O324" s="30">
        <f t="shared" si="152"/>
        <v>235.94660113209</v>
      </c>
      <c r="P324" s="30">
        <f t="shared" si="152"/>
        <v>341.37095065587</v>
      </c>
      <c r="Q324" s="30">
        <f t="shared" si="152"/>
        <v>430.57445136841</v>
      </c>
      <c r="R324" s="30">
        <f t="shared" si="152"/>
        <v>-72.6322541928401</v>
      </c>
      <c r="S324" s="30">
        <f t="shared" si="152"/>
        <v>-855.255213981657</v>
      </c>
      <c r="T324" s="30">
        <f t="shared" si="152"/>
        <v>-98.45352767926</v>
      </c>
      <c r="U324" s="30">
        <f t="shared" si="152"/>
        <v>98.8840825388501</v>
      </c>
      <c r="V324" s="30">
        <f t="shared" si="152"/>
        <v>383.83403525248</v>
      </c>
      <c r="W324" s="30">
        <f t="shared" si="152"/>
        <v>-339.845004499626</v>
      </c>
      <c r="X324" s="30">
        <f t="shared" si="152"/>
        <v>63.1568833762999</v>
      </c>
      <c r="Y324" s="30">
        <f t="shared" si="152"/>
        <v>50.8147132651798</v>
      </c>
      <c r="Z324" s="30">
        <f t="shared" si="152"/>
        <v>-318.01418339854</v>
      </c>
      <c r="AA324" s="30">
        <f t="shared" si="152"/>
        <v>553.128058856584</v>
      </c>
      <c r="AB324" s="30">
        <f t="shared" si="152"/>
        <v>433.64332410559</v>
      </c>
      <c r="AC324" s="30">
        <f t="shared" si="152"/>
        <v>-277.81977617816</v>
      </c>
      <c r="AD324" s="30">
        <f t="shared" si="152"/>
        <v>-30.1430210675499</v>
      </c>
      <c r="AE324" s="30">
        <f t="shared" si="152"/>
        <v>-230.240726486538</v>
      </c>
      <c r="AF324" s="30">
        <f t="shared" si="152"/>
        <v>-917.02351127877</v>
      </c>
    </row>
    <row customHeight="1" ht="15">
      <c r="A325" s="9" t="s">
        <v>339</v>
      </c>
      <c r="R325" s="30">
        <f t="shared" si="152"/>
        <v>27.35908357517</v>
      </c>
      <c r="V325" s="30">
        <f t="shared" si="152"/>
        <v>177.43383292439</v>
      </c>
      <c r="Z325" s="30">
        <f t="shared" si="152"/>
        <v>-197.76528877425</v>
      </c>
      <c r="AD325" s="30">
        <f t="shared" si="152"/>
        <v>112.69699578756</v>
      </c>
    </row>
    <row customHeight="1" ht="15">
      <c r="A326" s="9" t="s">
        <v>340</v>
      </c>
      <c r="F326" s="30">
        <f t="shared" si="152"/>
        <v>88.12889466261</v>
      </c>
      <c r="G326" s="30">
        <f t="shared" si="152"/>
        <v>-107.064822047252</v>
      </c>
      <c r="H326" s="30">
        <f t="shared" si="152"/>
        <v>-12.089919301275</v>
      </c>
      <c r="I326" s="30">
        <f t="shared" si="152"/>
        <v>-263.846720459056</v>
      </c>
      <c r="J326" s="30">
        <f t="shared" si="152"/>
        <v>-686.408485946163</v>
      </c>
      <c r="K326" s="30">
        <f t="shared" si="152"/>
        <v>613.278410099973</v>
      </c>
      <c r="L326" s="30">
        <f t="shared" si="152"/>
        <v>437.546604452409</v>
      </c>
      <c r="M326" s="30">
        <f t="shared" si="152"/>
        <v>909.417231769169</v>
      </c>
      <c r="N326" s="30">
        <f t="shared" si="152"/>
        <v>1050.08704701137</v>
      </c>
      <c r="O326" s="30">
        <f t="shared" si="152"/>
        <v>-478.987126903225</v>
      </c>
      <c r="P326" s="30">
        <f t="shared" si="152"/>
        <v>-52.6862589039209</v>
      </c>
      <c r="Q326" s="30">
        <f t="shared" si="152"/>
        <v>143.374189578548</v>
      </c>
      <c r="R326" s="30">
        <f t="shared" si="152"/>
        <v>86.315595971109</v>
      </c>
      <c r="S326" s="30">
        <f t="shared" si="152"/>
        <v>-725.313254439731</v>
      </c>
      <c r="T326" s="30">
        <f t="shared" si="152"/>
        <v>-262.663908837851</v>
      </c>
      <c r="U326" s="30">
        <f t="shared" si="152"/>
        <v>-136.841633785181</v>
      </c>
      <c r="V326" s="30">
        <f t="shared" si="152"/>
        <v>-168.700827606507</v>
      </c>
      <c r="W326" s="30">
        <f t="shared" si="152"/>
        <v>-900.354981479548</v>
      </c>
      <c r="X326" s="30">
        <f t="shared" si="152"/>
        <v>-384.830025716395</v>
      </c>
      <c r="Y326" s="30">
        <f t="shared" si="152"/>
        <v>-290.315858362282</v>
      </c>
      <c r="Z326" s="30">
        <f t="shared" si="152"/>
        <v>-262.913735964206</v>
      </c>
      <c r="AA326" s="30">
        <f t="shared" si="152"/>
        <v>1.14591951424992</v>
      </c>
      <c r="AB326" s="30">
        <f t="shared" si="152"/>
        <v>86.6400545886789</v>
      </c>
      <c r="AC326" s="30">
        <f t="shared" si="152"/>
        <v>-418.40896664833</v>
      </c>
      <c r="AD326" s="30">
        <f t="shared" si="152"/>
        <v>-746.397546459404</v>
      </c>
      <c r="AE326" s="30">
        <f t="shared" si="152"/>
        <v>496.394170575034</v>
      </c>
      <c r="AF326" s="30">
        <f t="shared" si="152"/>
        <v>-790.167704563857</v>
      </c>
    </row>
    <row customHeight="1" ht="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30" customHeight="1" ht="30">
      <c r="A330" s="9"/>
    </row>
    <row customHeight="1" ht="54">
      <c r="A331" s="31" t="s">
        <v>341</v>
      </c>
    </row>
    <row r="335" customHeight="1" ht="15">
      <c r="A335" s="31" t="s">
        <v>342</v>
      </c>
    </row>
    <row customHeight="1" ht="15">
      <c r="A336" s="32" t="s">
        <v>343</v>
      </c>
    </row>
  </sheetData>
  <hyperlinks>
    <hyperlink ref="A336" r:id="rId1" tooltip="Source location" xr:uid="{A23DEC88-8C28-1658-3388-47E888C1D124}"/>
  </hyperlin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6E5FDE-921C-8468-4008-13EBA94E2ED8}" mc:Ignorable="x14ac xr xr2 xr3">
  <dimension ref="A1:AF337"/>
  <sheetViews>
    <sheetView defaultGridColor="0" colorId="9" showGridLines="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32" width="10.7109375" customWidth="1"/>
  </cols>
  <sheetData>
    <row customHeight="1" ht="15">
      <c r="A1" s="0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2</v>
      </c>
      <c r="G1" s="1" t="s">
        <v>14</v>
      </c>
      <c r="H1" s="1" t="s">
        <v>15</v>
      </c>
      <c r="I1" s="1" t="s">
        <v>16</v>
      </c>
      <c r="J1" s="1" t="s">
        <v>3</v>
      </c>
      <c r="K1" s="1" t="s">
        <v>18</v>
      </c>
      <c r="L1" s="1" t="s">
        <v>19</v>
      </c>
      <c r="M1" s="1" t="s">
        <v>20</v>
      </c>
      <c r="N1" s="1" t="s">
        <v>4</v>
      </c>
      <c r="O1" s="1" t="s">
        <v>22</v>
      </c>
      <c r="P1" s="1" t="s">
        <v>23</v>
      </c>
      <c r="Q1" s="1" t="s">
        <v>24</v>
      </c>
      <c r="R1" s="1" t="s">
        <v>5</v>
      </c>
      <c r="S1" s="1" t="s">
        <v>26</v>
      </c>
      <c r="T1" s="1" t="s">
        <v>27</v>
      </c>
      <c r="U1" s="1" t="s">
        <v>28</v>
      </c>
      <c r="V1" s="1" t="s">
        <v>6</v>
      </c>
      <c r="W1" s="1" t="s">
        <v>30</v>
      </c>
      <c r="X1" s="1" t="s">
        <v>31</v>
      </c>
      <c r="Y1" s="1" t="s">
        <v>32</v>
      </c>
      <c r="Z1" s="1" t="s">
        <v>7</v>
      </c>
      <c r="AA1" s="1" t="s">
        <v>34</v>
      </c>
      <c r="AB1" s="1" t="s">
        <v>35</v>
      </c>
      <c r="AC1" s="1" t="s">
        <v>36</v>
      </c>
      <c r="AD1" s="1" t="s">
        <v>8</v>
      </c>
      <c r="AE1" s="1" t="s">
        <v>38</v>
      </c>
      <c r="AF1" s="1" t="s">
        <v>39</v>
      </c>
    </row>
    <row customHeight="1" ht="15">
      <c r="A2" s="2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customHeight="1" ht="15">
      <c r="A3" s="4" t="s">
        <v>43</v>
      </c>
      <c r="B3" s="5">
        <v>432.474</v>
      </c>
      <c r="F3" s="5">
        <v>607.3</v>
      </c>
      <c r="G3" s="7">
        <f>F3+'Quarterly YTD'!G3-'Quarterly YTD'!C3</f>
        <v>781.673</v>
      </c>
      <c r="H3" s="7">
        <f>F3+'Quarterly YTD'!H3-'Quarterly YTD'!D3</f>
        <v>803.127</v>
      </c>
      <c r="I3" s="7">
        <f>F3+'Quarterly YTD'!I3-'Quarterly YTD'!E3</f>
        <v>821.491</v>
      </c>
      <c r="J3" s="5">
        <v>695.672</v>
      </c>
      <c r="K3" s="7">
        <f>J3+'Quarterly YTD'!K3-'Quarterly YTD'!G3</f>
        <v>589.947</v>
      </c>
      <c r="L3" s="7">
        <f>J3+'Quarterly YTD'!L3-'Quarterly YTD'!H3</f>
        <v>663.396</v>
      </c>
      <c r="M3" s="7">
        <f>J3+'Quarterly YTD'!M3-'Quarterly YTD'!I3</f>
        <v>829.319</v>
      </c>
      <c r="N3" s="5">
        <v>1014.891</v>
      </c>
      <c r="O3" s="7">
        <f>N3+'Quarterly YTD'!O3-'Quarterly YTD'!K3</f>
        <v>1169.876</v>
      </c>
      <c r="P3" s="7">
        <f>N3+'Quarterly YTD'!P3-'Quarterly YTD'!L3</f>
        <v>1426.955</v>
      </c>
      <c r="Q3" s="7">
        <f>N3+'Quarterly YTD'!Q3-'Quarterly YTD'!M3</f>
        <v>1691.144</v>
      </c>
      <c r="R3" s="5">
        <v>1852.686</v>
      </c>
      <c r="S3" s="7">
        <f>R3+'Quarterly YTD'!S3-'Quarterly YTD'!O3</f>
        <v>1940.333</v>
      </c>
      <c r="T3" s="7">
        <f>R3+'Quarterly YTD'!T3-'Quarterly YTD'!P3</f>
        <v>2026.729</v>
      </c>
      <c r="U3" s="7">
        <f>R3+'Quarterly YTD'!U3-'Quarterly YTD'!Q3</f>
        <v>2150.36</v>
      </c>
      <c r="V3" s="5">
        <v>2262.773</v>
      </c>
      <c r="W3" s="7">
        <f>V3+'Quarterly YTD'!W3-'Quarterly YTD'!S3</f>
        <v>2366.775</v>
      </c>
      <c r="X3" s="7">
        <f>V3+'Quarterly YTD'!X3-'Quarterly YTD'!T3</f>
        <v>2536.989</v>
      </c>
      <c r="Y3" s="7">
        <f>V3+'Quarterly YTD'!Y3-'Quarterly YTD'!U3</f>
        <v>2677.959</v>
      </c>
      <c r="Z3" s="5">
        <v>2103.272</v>
      </c>
      <c r="AA3" s="7">
        <f>Z3+'Quarterly YTD'!AA3-'Quarterly YTD'!W3</f>
        <v>2051.985</v>
      </c>
      <c r="AB3" s="7">
        <f>Z3+'Quarterly YTD'!AB3-'Quarterly YTD'!X3</f>
        <v>1892.82</v>
      </c>
      <c r="AC3" s="7">
        <f>Z3+'Quarterly YTD'!AC3-'Quarterly YTD'!Y3</f>
        <v>1959.001</v>
      </c>
      <c r="AD3" s="5">
        <v>2189.312</v>
      </c>
      <c r="AE3" s="7">
        <f>AD3+'Quarterly YTD'!AE3-'Quarterly YTD'!AA3</f>
        <v>2254.669</v>
      </c>
      <c r="AF3" s="7">
        <f>AD3+'Quarterly YTD'!AF3-'Quarterly YTD'!AB3</f>
        <v>2285.39</v>
      </c>
    </row>
    <row customHeight="1" ht="15">
      <c r="A4" s="9" t="s">
        <v>44</v>
      </c>
      <c r="B4" s="0">
        <v>0.262</v>
      </c>
      <c r="F4" s="0">
        <v>0.879</v>
      </c>
      <c r="G4" s="11">
        <f>F4+'Quarterly YTD'!G4-'Quarterly YTD'!C4</f>
        <v>1.753</v>
      </c>
      <c r="H4" s="11">
        <f>F4+'Quarterly YTD'!H4-'Quarterly YTD'!D4</f>
        <v>12.655</v>
      </c>
      <c r="I4" s="11">
        <f>F4+'Quarterly YTD'!I4-'Quarterly YTD'!E4</f>
        <v>13.856</v>
      </c>
      <c r="J4" s="0">
        <v>13.218</v>
      </c>
      <c r="K4" s="11">
        <f>J4+'Quarterly YTD'!K4-'Quarterly YTD'!G4</f>
        <v>13.073</v>
      </c>
      <c r="L4" s="11">
        <f>J4+'Quarterly YTD'!L4-'Quarterly YTD'!H4</f>
        <v>3.933</v>
      </c>
      <c r="M4" s="11">
        <f>J4+'Quarterly YTD'!M4-'Quarterly YTD'!I4</f>
        <v>4.024</v>
      </c>
      <c r="N4" s="0">
        <v>3.332</v>
      </c>
      <c r="O4" s="11">
        <f>N4+'Quarterly YTD'!O4-'Quarterly YTD'!K4</f>
        <v>3.189</v>
      </c>
      <c r="P4" s="11">
        <f>N4+'Quarterly YTD'!P4-'Quarterly YTD'!L4</f>
        <v>3.455</v>
      </c>
      <c r="Q4" s="11">
        <f>N4+'Quarterly YTD'!Q4-'Quarterly YTD'!M4</f>
        <v>3.492</v>
      </c>
      <c r="R4" s="0">
        <v>2.832</v>
      </c>
      <c r="S4" s="11">
        <f>R4+'Quarterly YTD'!S4-'Quarterly YTD'!O4</f>
        <v>2.869</v>
      </c>
      <c r="T4" s="11">
        <f>R4+'Quarterly YTD'!T4-'Quarterly YTD'!P4</f>
        <v>1.147</v>
      </c>
      <c r="U4" s="11">
        <f>R4+'Quarterly YTD'!U4-'Quarterly YTD'!Q4</f>
        <v>3.248</v>
      </c>
      <c r="V4" s="0">
        <v>3.466</v>
      </c>
      <c r="W4" s="11">
        <f>V4+'Quarterly YTD'!W4-'Quarterly YTD'!S4</f>
        <v>3.792</v>
      </c>
      <c r="X4" s="11">
        <f>V4+'Quarterly YTD'!X4-'Quarterly YTD'!T4</f>
        <v>4.437</v>
      </c>
      <c r="Y4" s="11">
        <f>V4+'Quarterly YTD'!Y4-'Quarterly YTD'!U4</f>
        <v>1.612</v>
      </c>
      <c r="Z4" s="0">
        <v>2.154</v>
      </c>
      <c r="AA4" s="11">
        <f>Z4+'Quarterly YTD'!AA4-'Quarterly YTD'!W4</f>
        <v>1.816</v>
      </c>
      <c r="AB4" s="11">
        <f>Z4+'Quarterly YTD'!AB4-'Quarterly YTD'!X4</f>
        <v>1.735</v>
      </c>
      <c r="AC4" s="11">
        <f>Z4+'Quarterly YTD'!AC4-'Quarterly YTD'!Y4</f>
        <v>2.492</v>
      </c>
      <c r="AD4" s="0">
        <v>6.403</v>
      </c>
      <c r="AE4" s="11">
        <f>AD4+'Quarterly YTD'!AE4-'Quarterly YTD'!AA4</f>
        <v>6.901</v>
      </c>
      <c r="AF4" s="11">
        <f>AD4+'Quarterly YTD'!AF4-'Quarterly YTD'!AB4</f>
        <v>8.155</v>
      </c>
    </row>
    <row customHeight="1" ht="15">
      <c r="A5" s="9" t="s">
        <v>45</v>
      </c>
      <c r="B5" s="0">
        <v>-312.579</v>
      </c>
      <c r="F5" s="0">
        <v>-412.602</v>
      </c>
      <c r="G5" s="11">
        <f>F5+'Quarterly YTD'!G5-'Quarterly YTD'!C5</f>
        <v>-535.446</v>
      </c>
      <c r="H5" s="11">
        <f>F5+'Quarterly YTD'!H5-'Quarterly YTD'!D5</f>
        <v>-523.475</v>
      </c>
      <c r="I5" s="11">
        <f>F5+'Quarterly YTD'!I5-'Quarterly YTD'!E5</f>
        <v>-517.474</v>
      </c>
      <c r="J5" s="0">
        <v>-418.367</v>
      </c>
      <c r="K5" s="11">
        <f>J5+'Quarterly YTD'!K5-'Quarterly YTD'!G5</f>
        <v>-328.153</v>
      </c>
      <c r="L5" s="11">
        <f>J5+'Quarterly YTD'!L5-'Quarterly YTD'!H5</f>
        <v>-392.378</v>
      </c>
      <c r="M5" s="11">
        <f>J5+'Quarterly YTD'!M5-'Quarterly YTD'!I5</f>
        <v>-501.71</v>
      </c>
      <c r="N5" s="0">
        <v>-615.285</v>
      </c>
      <c r="O5" s="11">
        <f>N5+'Quarterly YTD'!O5-'Quarterly YTD'!K5</f>
        <v>-729.004</v>
      </c>
      <c r="P5" s="11">
        <f>N5+'Quarterly YTD'!P5-'Quarterly YTD'!L5</f>
        <v>-908.313</v>
      </c>
      <c r="Q5" s="11">
        <f>N5+'Quarterly YTD'!Q5-'Quarterly YTD'!M5</f>
        <v>-1071.525</v>
      </c>
      <c r="R5" s="0">
        <v>-1193.407</v>
      </c>
      <c r="S5" s="11">
        <f>R5+'Quarterly YTD'!S5-'Quarterly YTD'!O5</f>
        <v>-1262.685</v>
      </c>
      <c r="T5" s="11">
        <f>R5+'Quarterly YTD'!T5-'Quarterly YTD'!P5</f>
        <v>-1282.769</v>
      </c>
      <c r="U5" s="11">
        <f>R5+'Quarterly YTD'!U5-'Quarterly YTD'!Q5</f>
        <v>-1323.435</v>
      </c>
      <c r="V5" s="0">
        <v>-1406.56</v>
      </c>
      <c r="W5" s="11">
        <f>V5+'Quarterly YTD'!W5-'Quarterly YTD'!S5</f>
        <v>-1489.007</v>
      </c>
      <c r="X5" s="11">
        <f>V5+'Quarterly YTD'!X5-'Quarterly YTD'!T5</f>
        <v>-1564.279</v>
      </c>
      <c r="Y5" s="11">
        <f>V5+'Quarterly YTD'!Y5-'Quarterly YTD'!U5</f>
        <v>-1620.246</v>
      </c>
      <c r="Z5" s="0">
        <v>-1187.448</v>
      </c>
      <c r="AA5" s="11">
        <f>Z5+'Quarterly YTD'!AA5-'Quarterly YTD'!W5</f>
        <v>-1117.942</v>
      </c>
      <c r="AB5" s="11">
        <f>Z5+'Quarterly YTD'!AB5-'Quarterly YTD'!X5</f>
        <v>-1005.567</v>
      </c>
      <c r="AC5" s="11">
        <f>Z5+'Quarterly YTD'!AC5-'Quarterly YTD'!Y5</f>
        <v>-1074.648</v>
      </c>
      <c r="AD5" s="0">
        <v>-1202.791</v>
      </c>
      <c r="AE5" s="11">
        <f>AD5+'Quarterly YTD'!AE5-'Quarterly YTD'!AA5</f>
        <v>-1239.739</v>
      </c>
      <c r="AF5" s="11">
        <f>AD5+'Quarterly YTD'!AF5-'Quarterly YTD'!AB5</f>
        <v>-1321.335</v>
      </c>
    </row>
    <row customHeight="1" ht="15">
      <c r="A6" s="9" t="s">
        <v>46</v>
      </c>
      <c r="B6" s="0">
        <v>-6.853</v>
      </c>
      <c r="F6" s="0">
        <v>-34.732</v>
      </c>
      <c r="G6" s="11">
        <f>F6+'Quarterly YTD'!G6-'Quarterly YTD'!C6</f>
        <v>-58.435</v>
      </c>
      <c r="H6" s="11">
        <f>F6+'Quarterly YTD'!H6-'Quarterly YTD'!D6</f>
        <v>-81.797</v>
      </c>
      <c r="I6" s="11">
        <f>F6+'Quarterly YTD'!I6-'Quarterly YTD'!E6</f>
        <v>-102.758</v>
      </c>
      <c r="J6" s="0">
        <v>-99.205</v>
      </c>
      <c r="K6" s="11">
        <f>J6+'Quarterly YTD'!K6-'Quarterly YTD'!G6</f>
        <v>-90.606</v>
      </c>
      <c r="L6" s="11">
        <f>J6+'Quarterly YTD'!L6-'Quarterly YTD'!H6</f>
        <v>-81.074</v>
      </c>
      <c r="M6" s="11">
        <f>J6+'Quarterly YTD'!M6-'Quarterly YTD'!I6</f>
        <v>-75.793</v>
      </c>
      <c r="N6" s="0">
        <v>-74.338</v>
      </c>
      <c r="O6" s="11">
        <f>N6+'Quarterly YTD'!O6-'Quarterly YTD'!K6</f>
        <v>-77.978</v>
      </c>
      <c r="P6" s="11">
        <f>N6+'Quarterly YTD'!P6-'Quarterly YTD'!L6</f>
        <v>-87.428</v>
      </c>
      <c r="Q6" s="11">
        <f>N6+'Quarterly YTD'!Q6-'Quarterly YTD'!M6</f>
        <v>-104.522</v>
      </c>
      <c r="R6" s="0">
        <v>-114.781</v>
      </c>
      <c r="S6" s="11">
        <f>R6+'Quarterly YTD'!S6-'Quarterly YTD'!O6</f>
        <v>-135.075</v>
      </c>
      <c r="T6" s="11">
        <f>R6+'Quarterly YTD'!T6-'Quarterly YTD'!P6</f>
        <v>-158.608</v>
      </c>
      <c r="U6" s="11">
        <f>R6+'Quarterly YTD'!U6-'Quarterly YTD'!Q6</f>
        <v>-186.978</v>
      </c>
      <c r="V6" s="0">
        <v>-239.28</v>
      </c>
      <c r="W6" s="11">
        <f>V6+'Quarterly YTD'!W6-'Quarterly YTD'!S6</f>
        <v>-279.013</v>
      </c>
      <c r="X6" s="11">
        <f>V6+'Quarterly YTD'!X6-'Quarterly YTD'!T6</f>
        <v>-318.581</v>
      </c>
      <c r="Y6" s="11">
        <f>V6+'Quarterly YTD'!Y6-'Quarterly YTD'!U6</f>
        <v>-347.969</v>
      </c>
      <c r="Z6" s="0">
        <v>-220.229</v>
      </c>
      <c r="AA6" s="11">
        <f>Z6+'Quarterly YTD'!AA6-'Quarterly YTD'!W6</f>
        <v>-201.405</v>
      </c>
      <c r="AB6" s="11">
        <f>Z6+'Quarterly YTD'!AB6-'Quarterly YTD'!X6</f>
        <v>-172.146</v>
      </c>
      <c r="AC6" s="11">
        <f>Z6+'Quarterly YTD'!AC6-'Quarterly YTD'!Y6</f>
        <v>-239.149</v>
      </c>
      <c r="AD6" s="0">
        <v>-265.414</v>
      </c>
      <c r="AE6" s="11">
        <f>AD6+'Quarterly YTD'!AE6-'Quarterly YTD'!AA6</f>
        <v>-275.07</v>
      </c>
      <c r="AF6" s="11">
        <f>AD6+'Quarterly YTD'!AF6-'Quarterly YTD'!AB6</f>
        <v>-268.039</v>
      </c>
    </row>
    <row customHeight="1" ht="15">
      <c r="A7" s="9" t="s">
        <v>47</v>
      </c>
      <c r="B7" s="0">
        <v>-71.907</v>
      </c>
      <c r="F7" s="0">
        <v>-96.702</v>
      </c>
      <c r="G7" s="11">
        <f>F7+'Quarterly YTD'!G7-'Quarterly YTD'!C7</f>
        <v>-116.123</v>
      </c>
      <c r="H7" s="11">
        <f>F7+'Quarterly YTD'!H7-'Quarterly YTD'!D7</f>
        <v>-127.561</v>
      </c>
      <c r="I7" s="11">
        <f>F7+'Quarterly YTD'!I7-'Quarterly YTD'!E7</f>
        <v>-143.497</v>
      </c>
      <c r="J7" s="0">
        <v>-145.734</v>
      </c>
      <c r="K7" s="11">
        <f>J7+'Quarterly YTD'!K7-'Quarterly YTD'!G7</f>
        <v>-144.752</v>
      </c>
      <c r="L7" s="11">
        <f>J7+'Quarterly YTD'!L7-'Quarterly YTD'!H7</f>
        <v>-155.611</v>
      </c>
      <c r="M7" s="11">
        <f>J7+'Quarterly YTD'!M7-'Quarterly YTD'!I7</f>
        <v>-171.331</v>
      </c>
      <c r="N7" s="0">
        <v>-200.189</v>
      </c>
      <c r="O7" s="11">
        <f>N7+'Quarterly YTD'!O7-'Quarterly YTD'!K7</f>
        <v>-227.262</v>
      </c>
      <c r="P7" s="11">
        <f>N7+'Quarterly YTD'!P7-'Quarterly YTD'!L7</f>
        <v>-260.487</v>
      </c>
      <c r="Q7" s="11">
        <f>N7+'Quarterly YTD'!Q7-'Quarterly YTD'!M7</f>
        <v>-286.95</v>
      </c>
      <c r="R7" s="0">
        <v>-306.593</v>
      </c>
      <c r="S7" s="11">
        <f>R7+'Quarterly YTD'!S7-'Quarterly YTD'!O7</f>
        <v>-326.28</v>
      </c>
      <c r="T7" s="11">
        <f>R7+'Quarterly YTD'!T7-'Quarterly YTD'!P7</f>
        <v>-345.867</v>
      </c>
      <c r="U7" s="11">
        <f>R7+'Quarterly YTD'!U7-'Quarterly YTD'!Q7</f>
        <v>-368.489</v>
      </c>
      <c r="V7" s="0">
        <v>-395.763</v>
      </c>
      <c r="W7" s="11">
        <f>V7+'Quarterly YTD'!W7-'Quarterly YTD'!S7</f>
        <v>-425.579</v>
      </c>
      <c r="X7" s="11">
        <f>V7+'Quarterly YTD'!X7-'Quarterly YTD'!T7</f>
        <v>-453.946</v>
      </c>
      <c r="Y7" s="11">
        <f>V7+'Quarterly YTD'!Y7-'Quarterly YTD'!U7</f>
        <v>-476.353</v>
      </c>
      <c r="Z7" s="0">
        <v>-470.48</v>
      </c>
      <c r="AA7" s="11">
        <f>Z7+'Quarterly YTD'!AA7-'Quarterly YTD'!W7</f>
        <v>-483.361</v>
      </c>
      <c r="AB7" s="11">
        <f>Z7+'Quarterly YTD'!AB7-'Quarterly YTD'!X7</f>
        <v>-484.49</v>
      </c>
      <c r="AC7" s="11">
        <f>Z7+'Quarterly YTD'!AC7-'Quarterly YTD'!Y7</f>
        <v>-509.135</v>
      </c>
      <c r="AD7" s="0">
        <v>-519.925</v>
      </c>
      <c r="AE7" s="11">
        <f>AD7+'Quarterly YTD'!AE7-'Quarterly YTD'!AA7</f>
        <v>-533.417</v>
      </c>
      <c r="AF7" s="11">
        <f>AD7+'Quarterly YTD'!AF7-'Quarterly YTD'!AB7</f>
        <v>-544.752</v>
      </c>
    </row>
    <row customHeight="1" ht="15">
      <c r="A8" s="9" t="s">
        <v>48</v>
      </c>
      <c r="B8" s="0">
        <v>-22.952</v>
      </c>
      <c r="F8" s="0">
        <v>-34.741</v>
      </c>
      <c r="G8" s="11">
        <f>F8+'Quarterly YTD'!G8-'Quarterly YTD'!C8</f>
        <v>-41.503</v>
      </c>
      <c r="H8" s="11">
        <f>F8+'Quarterly YTD'!H8-'Quarterly YTD'!D8</f>
        <v>-44.874</v>
      </c>
      <c r="I8" s="11">
        <f>F8+'Quarterly YTD'!I8-'Quarterly YTD'!E8</f>
        <v>-49.028</v>
      </c>
      <c r="J8" s="0">
        <v>-46.596</v>
      </c>
      <c r="K8" s="11">
        <f>J8+'Quarterly YTD'!K8-'Quarterly YTD'!G8</f>
        <v>-45.788</v>
      </c>
      <c r="L8" s="11">
        <f>J8+'Quarterly YTD'!L8-'Quarterly YTD'!H8</f>
        <v>-48.348</v>
      </c>
      <c r="M8" s="11">
        <f>J8+'Quarterly YTD'!M8-'Quarterly YTD'!I8</f>
        <v>-51.9</v>
      </c>
      <c r="N8" s="0">
        <v>-68.488</v>
      </c>
      <c r="O8" s="11">
        <f>N8+'Quarterly YTD'!O8-'Quarterly YTD'!K8</f>
        <v>-74.304</v>
      </c>
      <c r="P8" s="11">
        <f>N8+'Quarterly YTD'!P8-'Quarterly YTD'!L8</f>
        <v>-79.34</v>
      </c>
      <c r="Q8" s="11">
        <f>N8+'Quarterly YTD'!Q8-'Quarterly YTD'!M8</f>
        <v>-88.797</v>
      </c>
      <c r="R8" s="0">
        <v>-79.919</v>
      </c>
      <c r="S8" s="11">
        <f>R8+'Quarterly YTD'!S8-'Quarterly YTD'!O8</f>
        <v>-84.433</v>
      </c>
      <c r="T8" s="11">
        <f>R8+'Quarterly YTD'!T8-'Quarterly YTD'!P8</f>
        <v>-86.78</v>
      </c>
      <c r="U8" s="11">
        <f>R8+'Quarterly YTD'!U8-'Quarterly YTD'!Q8</f>
        <v>-87.717</v>
      </c>
      <c r="V8" s="0">
        <v>-97.36</v>
      </c>
      <c r="W8" s="11">
        <f>V8+'Quarterly YTD'!W8-'Quarterly YTD'!S8</f>
        <v>-107.698</v>
      </c>
      <c r="X8" s="11">
        <f>V8+'Quarterly YTD'!X8-'Quarterly YTD'!T8</f>
        <v>-119.197</v>
      </c>
      <c r="Y8" s="11">
        <f>V8+'Quarterly YTD'!Y8-'Quarterly YTD'!U8</f>
        <v>-128.993</v>
      </c>
      <c r="Z8" s="0">
        <v>-121.492</v>
      </c>
      <c r="AA8" s="11">
        <f>Z8+'Quarterly YTD'!AA8-'Quarterly YTD'!W8</f>
        <v>-122.696</v>
      </c>
      <c r="AB8" s="11">
        <f>Z8+'Quarterly YTD'!AB8-'Quarterly YTD'!X8</f>
        <v>-114.544</v>
      </c>
      <c r="AC8" s="11">
        <f>Z8+'Quarterly YTD'!AC8-'Quarterly YTD'!Y8</f>
        <v>-125.075</v>
      </c>
      <c r="AD8" s="0">
        <v>-127.501</v>
      </c>
      <c r="AE8" s="11">
        <f>AD8+'Quarterly YTD'!AE8-'Quarterly YTD'!AA8</f>
        <v>-120.804</v>
      </c>
      <c r="AF8" s="11">
        <f>AD8+'Quarterly YTD'!AF8-'Quarterly YTD'!AB8</f>
        <v>-124.382</v>
      </c>
    </row>
    <row customHeight="1" ht="15">
      <c r="A9" s="9" t="s">
        <v>49</v>
      </c>
      <c r="B9" s="0">
        <v>-1.558</v>
      </c>
      <c r="F9" s="0">
        <v>-1.389</v>
      </c>
      <c r="G9" s="11">
        <f>F9+'Quarterly YTD'!G9-'Quarterly YTD'!C9</f>
        <v>-2.54</v>
      </c>
      <c r="H9" s="11">
        <f>F9+'Quarterly YTD'!H9-'Quarterly YTD'!D9</f>
        <v>-8.78</v>
      </c>
      <c r="I9" s="11">
        <f>F9+'Quarterly YTD'!I9-'Quarterly YTD'!E9</f>
        <v>-8.562</v>
      </c>
      <c r="J9" s="0">
        <v>-21.9</v>
      </c>
      <c r="K9" s="11">
        <f>J9+'Quarterly YTD'!K9-'Quarterly YTD'!G9</f>
        <v>-20.766</v>
      </c>
      <c r="L9" s="11">
        <f>J9+'Quarterly YTD'!L9-'Quarterly YTD'!H9</f>
        <v>-16.111</v>
      </c>
      <c r="M9" s="11">
        <f>J9+'Quarterly YTD'!M9-'Quarterly YTD'!I9</f>
        <v>-16.45</v>
      </c>
      <c r="N9" s="0">
        <v>-12.438</v>
      </c>
      <c r="O9" s="11">
        <f>N9+'Quarterly YTD'!O9-'Quarterly YTD'!K9</f>
        <v>-21.513</v>
      </c>
      <c r="P9" s="11">
        <f>N9+'Quarterly YTD'!P9-'Quarterly YTD'!L9</f>
        <v>-20.314</v>
      </c>
      <c r="Q9" s="11">
        <f>N9+'Quarterly YTD'!Q9-'Quarterly YTD'!M9</f>
        <v>-18.973</v>
      </c>
      <c r="R9" s="0">
        <v>-12.251</v>
      </c>
      <c r="S9" s="11">
        <f>R9+'Quarterly YTD'!S9-'Quarterly YTD'!O9</f>
        <v>-3.073</v>
      </c>
      <c r="T9" s="11">
        <f>R9+'Quarterly YTD'!T9-'Quarterly YTD'!P9</f>
        <v>-0.543999999999999</v>
      </c>
      <c r="U9" s="11">
        <f>R9+'Quarterly YTD'!U9-'Quarterly YTD'!Q9</f>
        <v>-3.113</v>
      </c>
      <c r="V9" s="0">
        <v>-0.919</v>
      </c>
      <c r="W9" s="11">
        <f>V9+'Quarterly YTD'!W9-'Quarterly YTD'!S9</f>
        <v>0.319</v>
      </c>
      <c r="X9" s="11">
        <f>V9+'Quarterly YTD'!X9-'Quarterly YTD'!T9</f>
        <v>-2.228</v>
      </c>
      <c r="Y9" s="11">
        <f>V9+'Quarterly YTD'!Y9-'Quarterly YTD'!U9</f>
        <v>-0.615</v>
      </c>
      <c r="Z9" s="0">
        <v>-3.33</v>
      </c>
      <c r="AA9" s="11">
        <f>Z9+'Quarterly YTD'!AA9-'Quarterly YTD'!W9</f>
        <v>-7.409</v>
      </c>
      <c r="AB9" s="11">
        <f>Z9+'Quarterly YTD'!AB9-'Quarterly YTD'!X9</f>
        <v>-2.32</v>
      </c>
      <c r="AC9" s="11">
        <f>Z9+'Quarterly YTD'!AC9-'Quarterly YTD'!Y9</f>
        <v>2.357</v>
      </c>
      <c r="AD9" s="0">
        <v>-159.559</v>
      </c>
      <c r="AE9" s="11">
        <f>AD9+'Quarterly YTD'!AE9-'Quarterly YTD'!AA9</f>
        <v>-157.698</v>
      </c>
      <c r="AF9" s="11">
        <f>AD9+'Quarterly YTD'!AF9-'Quarterly YTD'!AB9</f>
        <v>-191.655</v>
      </c>
    </row>
    <row customHeight="1" ht="15">
      <c r="A10" s="9" t="s">
        <v>50</v>
      </c>
      <c r="B10" s="0">
        <v>-2.365</v>
      </c>
      <c r="F10" s="0">
        <v>-3.536</v>
      </c>
      <c r="G10" s="11">
        <f>F10+'Quarterly YTD'!G10-'Quarterly YTD'!C10</f>
        <v>-3.385</v>
      </c>
      <c r="H10" s="11">
        <f>F10+'Quarterly YTD'!H10-'Quarterly YTD'!D10</f>
        <v>-5.302</v>
      </c>
      <c r="I10" s="11">
        <f>F10+'Quarterly YTD'!I10-'Quarterly YTD'!E10</f>
        <v>-6.837</v>
      </c>
      <c r="J10" s="0">
        <v>-7.344</v>
      </c>
      <c r="K10" s="11">
        <f>J10+'Quarterly YTD'!K10-'Quarterly YTD'!G10</f>
        <v>-7.72</v>
      </c>
      <c r="L10" s="11">
        <f>J10+'Quarterly YTD'!L10-'Quarterly YTD'!H10</f>
        <v>-6.081</v>
      </c>
      <c r="M10" s="11">
        <f>J10+'Quarterly YTD'!M10-'Quarterly YTD'!I10</f>
        <v>-4.471</v>
      </c>
      <c r="N10" s="0">
        <v>-5.714</v>
      </c>
      <c r="O10" s="11">
        <f>N10+'Quarterly YTD'!O10-'Quarterly YTD'!K10</f>
        <v>-11.188</v>
      </c>
      <c r="P10" s="11">
        <f>N10+'Quarterly YTD'!P10-'Quarterly YTD'!L10</f>
        <v>-8.648</v>
      </c>
      <c r="Q10" s="11">
        <f>N10+'Quarterly YTD'!Q10-'Quarterly YTD'!M10</f>
        <v>-8.785</v>
      </c>
      <c r="R10" s="0">
        <v>-13.635</v>
      </c>
      <c r="S10" s="11">
        <f>R10+'Quarterly YTD'!S10-'Quarterly YTD'!O10</f>
        <v>-7.512</v>
      </c>
      <c r="T10" s="11">
        <f>R10+'Quarterly YTD'!T10-'Quarterly YTD'!P10</f>
        <v>-11.027</v>
      </c>
      <c r="U10" s="11">
        <f>R10+'Quarterly YTD'!U10-'Quarterly YTD'!Q10</f>
        <v>-10.981</v>
      </c>
      <c r="V10" s="0">
        <v>-3.303</v>
      </c>
      <c r="W10" s="11">
        <f>V10+'Quarterly YTD'!W10-'Quarterly YTD'!S10</f>
        <v>-4.14</v>
      </c>
      <c r="X10" s="11">
        <f>V10+'Quarterly YTD'!X10-'Quarterly YTD'!T10</f>
        <v>-4.047</v>
      </c>
      <c r="Y10" s="11">
        <f>V10+'Quarterly YTD'!Y10-'Quarterly YTD'!U10</f>
        <v>-5.147</v>
      </c>
      <c r="Z10" s="0">
        <v>-12.561</v>
      </c>
      <c r="AA10" s="11">
        <f>Z10+'Quarterly YTD'!AA10-'Quarterly YTD'!W10</f>
        <v>-11.966</v>
      </c>
      <c r="AB10" s="11">
        <f>Z10+'Quarterly YTD'!AB10-'Quarterly YTD'!X10</f>
        <v>-3.866</v>
      </c>
      <c r="AC10" s="11">
        <f>Z10+'Quarterly YTD'!AC10-'Quarterly YTD'!Y10</f>
        <v>-7.388</v>
      </c>
      <c r="AD10" s="0">
        <v>-4.535</v>
      </c>
      <c r="AE10" s="11">
        <f>AD10+'Quarterly YTD'!AE10-'Quarterly YTD'!AA10</f>
        <v>-5.2</v>
      </c>
      <c r="AF10" s="11">
        <f>AD10+'Quarterly YTD'!AF10-'Quarterly YTD'!AB10</f>
        <v>-22.55</v>
      </c>
    </row>
    <row customHeight="1" ht="15">
      <c r="A11" s="9" t="s">
        <v>51</v>
      </c>
      <c r="B11" s="0">
        <v>0.016</v>
      </c>
      <c r="F11" s="0">
        <v>1.29</v>
      </c>
      <c r="G11" s="11">
        <f>F11+'Quarterly YTD'!G11-'Quarterly YTD'!C11</f>
        <v>1.01</v>
      </c>
      <c r="H11" s="11">
        <f>F11+'Quarterly YTD'!H11-'Quarterly YTD'!D11</f>
        <v>7.901</v>
      </c>
      <c r="I11" s="11">
        <f>F11+'Quarterly YTD'!I11-'Quarterly YTD'!E11</f>
        <v>11.472</v>
      </c>
      <c r="J11" s="0">
        <v>12.021</v>
      </c>
      <c r="K11" s="11">
        <f>J11+'Quarterly YTD'!K11-'Quarterly YTD'!G11</f>
        <v>25.117</v>
      </c>
      <c r="L11" s="11">
        <f>J11+'Quarterly YTD'!L11-'Quarterly YTD'!H11</f>
        <v>29.115</v>
      </c>
      <c r="M11" s="11">
        <f>J11+'Quarterly YTD'!M11-'Quarterly YTD'!I11</f>
        <v>31.695</v>
      </c>
      <c r="N11" s="0">
        <v>38.199</v>
      </c>
      <c r="O11" s="11">
        <f>N11+'Quarterly YTD'!O11-'Quarterly YTD'!K11</f>
        <v>44.458</v>
      </c>
      <c r="P11" s="11">
        <f>N11+'Quarterly YTD'!P11-'Quarterly YTD'!L11</f>
        <v>41.421</v>
      </c>
      <c r="Q11" s="11">
        <f>N11+'Quarterly YTD'!Q11-'Quarterly YTD'!M11</f>
        <v>49.928</v>
      </c>
      <c r="R11" s="0">
        <v>27.045</v>
      </c>
      <c r="S11" s="11">
        <f>R11+'Quarterly YTD'!S11-'Quarterly YTD'!O11</f>
        <v>10.776</v>
      </c>
      <c r="T11" s="11">
        <f>R11+'Quarterly YTD'!T11-'Quarterly YTD'!P11</f>
        <v>6.984</v>
      </c>
      <c r="U11" s="11">
        <f>R11+'Quarterly YTD'!U11-'Quarterly YTD'!Q11</f>
        <v>-0.174</v>
      </c>
      <c r="V11" s="0">
        <v>36.603</v>
      </c>
      <c r="W11" s="11">
        <f>V11+'Quarterly YTD'!W11-'Quarterly YTD'!S11</f>
        <v>43.588</v>
      </c>
      <c r="X11" s="11">
        <f>V11+'Quarterly YTD'!X11-'Quarterly YTD'!T11</f>
        <v>45.495</v>
      </c>
      <c r="Y11" s="11">
        <f>V11+'Quarterly YTD'!Y11-'Quarterly YTD'!U11</f>
        <v>40.327</v>
      </c>
      <c r="Z11" s="0">
        <v>3.219</v>
      </c>
      <c r="AA11" s="11">
        <f>Z11+'Quarterly YTD'!AA11-'Quarterly YTD'!W11</f>
        <v>-8.874</v>
      </c>
      <c r="AB11" s="11">
        <f>Z11+'Quarterly YTD'!AB11-'Quarterly YTD'!X11</f>
        <v>-11.017</v>
      </c>
      <c r="AC11" s="11">
        <f>Z11+'Quarterly YTD'!AC11-'Quarterly YTD'!Y11</f>
        <v>-5.333</v>
      </c>
      <c r="AD11" s="0">
        <v>17.514</v>
      </c>
      <c r="AE11" s="11">
        <f>AD11+'Quarterly YTD'!AE11-'Quarterly YTD'!AA11</f>
        <v>20.915</v>
      </c>
      <c r="AF11" s="11">
        <f>AD11+'Quarterly YTD'!AF11-'Quarterly YTD'!AB11</f>
        <v>26.043</v>
      </c>
    </row>
    <row customHeight="1" ht="15">
      <c r="A12" s="4" t="s">
        <v>52</v>
      </c>
      <c r="B12" s="7">
        <f t="shared" si="0" ref="B12:AD142">SUM(B3:B11)</f>
        <v>14.538</v>
      </c>
      <c r="F12" s="7">
        <f t="shared" si="0"/>
        <v>25.767</v>
      </c>
      <c r="G12" s="7">
        <f>F12+'Quarterly YTD'!G12-'Quarterly YTD'!C12</f>
        <v>27.0040000000001</v>
      </c>
      <c r="H12" s="7">
        <f>F12+'Quarterly YTD'!H12-'Quarterly YTD'!D12</f>
        <v>31.894</v>
      </c>
      <c r="I12" s="7">
        <f>F12+'Quarterly YTD'!I12-'Quarterly YTD'!E12</f>
        <v>18.663</v>
      </c>
      <c r="J12" s="7">
        <f t="shared" si="0"/>
        <v>-18.235</v>
      </c>
      <c r="K12" s="7">
        <f>J12+'Quarterly YTD'!K12-'Quarterly YTD'!G12</f>
        <v>-9.64800000000004</v>
      </c>
      <c r="L12" s="7">
        <f>J12+'Quarterly YTD'!L12-'Quarterly YTD'!H12</f>
        <v>-3.159</v>
      </c>
      <c r="M12" s="7">
        <f>J12+'Quarterly YTD'!M12-'Quarterly YTD'!I12</f>
        <v>43.383</v>
      </c>
      <c r="N12" s="7">
        <f t="shared" si="0"/>
        <v>79.97</v>
      </c>
      <c r="O12" s="7">
        <f>N12+'Quarterly YTD'!O12-'Quarterly YTD'!K12</f>
        <v>76.274</v>
      </c>
      <c r="P12" s="7">
        <f>N12+'Quarterly YTD'!P12-'Quarterly YTD'!L12</f>
        <v>107.301</v>
      </c>
      <c r="Q12" s="7">
        <f>N12+'Quarterly YTD'!Q12-'Quarterly YTD'!M12</f>
        <v>165.012</v>
      </c>
      <c r="R12" s="7">
        <f t="shared" si="0"/>
        <v>161.977</v>
      </c>
      <c r="S12" s="7">
        <f>R12+'Quarterly YTD'!S12-'Quarterly YTD'!O12</f>
        <v>134.92</v>
      </c>
      <c r="T12" s="7">
        <f>R12+'Quarterly YTD'!T12-'Quarterly YTD'!P12</f>
        <v>149.265</v>
      </c>
      <c r="U12" s="7">
        <f>R12+'Quarterly YTD'!U12-'Quarterly YTD'!Q12</f>
        <v>172.721</v>
      </c>
      <c r="V12" s="7">
        <f t="shared" si="0"/>
        <v>159.657</v>
      </c>
      <c r="W12" s="7">
        <f>V12+'Quarterly YTD'!W12-'Quarterly YTD'!S12</f>
        <v>109.037</v>
      </c>
      <c r="X12" s="7">
        <f>V12+'Quarterly YTD'!X12-'Quarterly YTD'!T12</f>
        <v>124.643</v>
      </c>
      <c r="Y12" s="7">
        <f>V12+'Quarterly YTD'!Y12-'Quarterly YTD'!U12</f>
        <v>140.575</v>
      </c>
      <c r="Z12" s="7">
        <f t="shared" si="0"/>
        <v>93.1049999999998</v>
      </c>
      <c r="AA12" s="7">
        <f>Z12+'Quarterly YTD'!AA12-'Quarterly YTD'!W12</f>
        <v>100.148</v>
      </c>
      <c r="AB12" s="7">
        <f>Z12+'Quarterly YTD'!AB12-'Quarterly YTD'!X12</f>
        <v>100.605</v>
      </c>
      <c r="AC12" s="7">
        <f>Z12+'Quarterly YTD'!AC12-'Quarterly YTD'!Y12</f>
        <v>3.1219999999997</v>
      </c>
      <c r="AD12" s="7">
        <f t="shared" si="0"/>
        <v>-66.4960000000002</v>
      </c>
      <c r="AE12" s="7">
        <f>AD12+'Quarterly YTD'!AE12-'Quarterly YTD'!AA12</f>
        <v>-49.4430000000002</v>
      </c>
      <c r="AF12" s="7">
        <f>AD12+'Quarterly YTD'!AF12-'Quarterly YTD'!AB12</f>
        <v>-153.125</v>
      </c>
    </row>
    <row customHeight="1" ht="15">
      <c r="A13" s="9" t="s">
        <v>53</v>
      </c>
      <c r="B13" s="0">
        <v>0.067</v>
      </c>
      <c r="F13" s="0">
        <v>3.05</v>
      </c>
      <c r="G13" s="11">
        <f>F13+'Quarterly YTD'!G13-'Quarterly YTD'!C13</f>
        <v>4.106</v>
      </c>
      <c r="H13" s="11">
        <f>F13+'Quarterly YTD'!H13-'Quarterly YTD'!D13</f>
        <v>8.197</v>
      </c>
      <c r="I13" s="11">
        <f>F13+'Quarterly YTD'!I13-'Quarterly YTD'!E13</f>
        <v>7.429</v>
      </c>
      <c r="J13" s="0">
        <v>12.271</v>
      </c>
      <c r="K13" s="11">
        <f>J13+'Quarterly YTD'!K13-'Quarterly YTD'!G13</f>
        <v>13.615</v>
      </c>
      <c r="L13" s="11">
        <f>J13+'Quarterly YTD'!L13-'Quarterly YTD'!H13</f>
        <v>10.262</v>
      </c>
      <c r="M13" s="11">
        <f>J13+'Quarterly YTD'!M13-'Quarterly YTD'!I13</f>
        <v>10.203</v>
      </c>
      <c r="N13" s="0">
        <v>2.919</v>
      </c>
      <c r="O13" s="11">
        <f>N13+'Quarterly YTD'!O13-'Quarterly YTD'!K13</f>
        <v>0.61</v>
      </c>
      <c r="P13" s="11">
        <f>N13+'Quarterly YTD'!P13-'Quarterly YTD'!L13</f>
        <v>-0.059</v>
      </c>
      <c r="Q13" s="11">
        <f>N13+'Quarterly YTD'!Q13-'Quarterly YTD'!M13</f>
        <v>2.549</v>
      </c>
      <c r="R13" s="0">
        <v>3.901</v>
      </c>
      <c r="S13" s="11">
        <f>R13+'Quarterly YTD'!S13-'Quarterly YTD'!O13</f>
        <v>10.165</v>
      </c>
      <c r="T13" s="11">
        <f>R13+'Quarterly YTD'!T13-'Quarterly YTD'!P13</f>
        <v>10.793</v>
      </c>
      <c r="U13" s="11">
        <f>R13+'Quarterly YTD'!U13-'Quarterly YTD'!Q13</f>
        <v>6.18</v>
      </c>
      <c r="V13" s="0">
        <v>24.747</v>
      </c>
      <c r="W13" s="11">
        <f>V13+'Quarterly YTD'!W13-'Quarterly YTD'!S13</f>
        <v>18.982</v>
      </c>
      <c r="X13" s="11">
        <f>V13+'Quarterly YTD'!X13-'Quarterly YTD'!T13</f>
        <v>72.475</v>
      </c>
      <c r="Y13" s="11">
        <f>V13+'Quarterly YTD'!Y13-'Quarterly YTD'!U13</f>
        <v>84.132</v>
      </c>
      <c r="Z13" s="0">
        <v>58.254</v>
      </c>
      <c r="AA13" s="11">
        <f>Z13+'Quarterly YTD'!AA13-'Quarterly YTD'!W13</f>
        <v>64.77</v>
      </c>
      <c r="AB13" s="11">
        <f>Z13+'Quarterly YTD'!AB13-'Quarterly YTD'!X13</f>
        <v>22.118</v>
      </c>
      <c r="AC13" s="11">
        <f>Z13+'Quarterly YTD'!AC13-'Quarterly YTD'!Y13</f>
        <v>15.37</v>
      </c>
      <c r="AD13" s="0">
        <v>15.295</v>
      </c>
      <c r="AE13" s="11">
        <f>AD13+'Quarterly YTD'!AE13-'Quarterly YTD'!AA13</f>
        <v>8.598</v>
      </c>
      <c r="AF13" s="11">
        <f>AD13+'Quarterly YTD'!AF13-'Quarterly YTD'!AB13</f>
        <v>-2.247</v>
      </c>
    </row>
    <row customHeight="1" ht="15">
      <c r="A14" s="9" t="s">
        <v>54</v>
      </c>
      <c r="B14" s="0">
        <v>-1.962</v>
      </c>
      <c r="F14" s="0">
        <v>-9.948</v>
      </c>
      <c r="G14" s="11">
        <f>F14+'Quarterly YTD'!G14-'Quarterly YTD'!C14</f>
        <v>-19.736</v>
      </c>
      <c r="H14" s="11">
        <f>F14+'Quarterly YTD'!H14-'Quarterly YTD'!D14</f>
        <v>-28.687</v>
      </c>
      <c r="I14" s="11">
        <f>F14+'Quarterly YTD'!I14-'Quarterly YTD'!E14</f>
        <v>-37.513</v>
      </c>
      <c r="J14" s="0">
        <v>-38.655</v>
      </c>
      <c r="K14" s="11">
        <f>J14+'Quarterly YTD'!K14-'Quarterly YTD'!G14</f>
        <v>-36.206</v>
      </c>
      <c r="L14" s="11">
        <f>J14+'Quarterly YTD'!L14-'Quarterly YTD'!H14</f>
        <v>-34.228</v>
      </c>
      <c r="M14" s="11">
        <f>J14+'Quarterly YTD'!M14-'Quarterly YTD'!I14</f>
        <v>-34.562</v>
      </c>
      <c r="N14" s="0">
        <v>-39.719</v>
      </c>
      <c r="O14" s="11">
        <f>N14+'Quarterly YTD'!O14-'Quarterly YTD'!K14</f>
        <v>-49.484</v>
      </c>
      <c r="P14" s="11">
        <f>N14+'Quarterly YTD'!P14-'Quarterly YTD'!L14</f>
        <v>-64.123</v>
      </c>
      <c r="Q14" s="11">
        <f>N14+'Quarterly YTD'!Q14-'Quarterly YTD'!M14</f>
        <v>-89.468</v>
      </c>
      <c r="R14" s="0">
        <v>-83.341</v>
      </c>
      <c r="S14" s="11">
        <f>R14+'Quarterly YTD'!S14-'Quarterly YTD'!O14</f>
        <v>-89.257</v>
      </c>
      <c r="T14" s="11">
        <f>R14+'Quarterly YTD'!T14-'Quarterly YTD'!P14</f>
        <v>-93.327</v>
      </c>
      <c r="U14" s="11">
        <f>R14+'Quarterly YTD'!U14-'Quarterly YTD'!Q14</f>
        <v>-91.886</v>
      </c>
      <c r="V14" s="0">
        <v>-114.979</v>
      </c>
      <c r="W14" s="11">
        <f>V14+'Quarterly YTD'!W14-'Quarterly YTD'!S14</f>
        <v>-132.548</v>
      </c>
      <c r="X14" s="11">
        <f>V14+'Quarterly YTD'!X14-'Quarterly YTD'!T14</f>
        <v>-133.29</v>
      </c>
      <c r="Y14" s="11">
        <f>V14+'Quarterly YTD'!Y14-'Quarterly YTD'!U14</f>
        <v>-134.818</v>
      </c>
      <c r="Z14" s="0">
        <v>-92.387</v>
      </c>
      <c r="AA14" s="11">
        <f>Z14+'Quarterly YTD'!AA14-'Quarterly YTD'!W14</f>
        <v>-74.631</v>
      </c>
      <c r="AB14" s="11">
        <f>Z14+'Quarterly YTD'!AB14-'Quarterly YTD'!X14</f>
        <v>-63.601</v>
      </c>
      <c r="AC14" s="11">
        <f>Z14+'Quarterly YTD'!AC14-'Quarterly YTD'!Y14</f>
        <v>-81.252</v>
      </c>
      <c r="AD14" s="0">
        <v>-93.369</v>
      </c>
      <c r="AE14" s="11">
        <f>AD14+'Quarterly YTD'!AE14-'Quarterly YTD'!AA14</f>
        <v>-92.937</v>
      </c>
      <c r="AF14" s="11">
        <f>AD14+'Quarterly YTD'!AF14-'Quarterly YTD'!AB14</f>
        <v>-97.204</v>
      </c>
    </row>
    <row customHeight="1" ht="15">
      <c r="A15" s="9" t="s">
        <v>55</v>
      </c>
      <c r="B15" s="11">
        <f t="shared" si="1" ref="B15:AF238">SUM(B13:B14)</f>
        <v>-1.895</v>
      </c>
      <c r="F15" s="11">
        <f t="shared" si="1"/>
        <v>-6.898</v>
      </c>
      <c r="G15" s="11">
        <f t="shared" si="1"/>
        <v>-15.63</v>
      </c>
      <c r="H15" s="11">
        <f t="shared" si="1"/>
        <v>-20.49</v>
      </c>
      <c r="I15" s="11">
        <f t="shared" si="1"/>
        <v>-30.084</v>
      </c>
      <c r="J15" s="11">
        <f t="shared" si="1"/>
        <v>-26.384</v>
      </c>
      <c r="K15" s="11">
        <f t="shared" si="1"/>
        <v>-22.591</v>
      </c>
      <c r="L15" s="11">
        <f t="shared" si="1"/>
        <v>-23.966</v>
      </c>
      <c r="M15" s="11">
        <f t="shared" si="1"/>
        <v>-24.359</v>
      </c>
      <c r="N15" s="11">
        <f t="shared" si="1"/>
        <v>-36.8</v>
      </c>
      <c r="O15" s="11">
        <f t="shared" si="1"/>
        <v>-48.874</v>
      </c>
      <c r="P15" s="11">
        <f t="shared" si="1"/>
        <v>-64.182</v>
      </c>
      <c r="Q15" s="11">
        <f t="shared" si="1"/>
        <v>-86.919</v>
      </c>
      <c r="R15" s="11">
        <f t="shared" si="1"/>
        <v>-79.44</v>
      </c>
      <c r="S15" s="11">
        <f t="shared" si="1"/>
        <v>-79.092</v>
      </c>
      <c r="T15" s="11">
        <f t="shared" si="1"/>
        <v>-82.534</v>
      </c>
      <c r="U15" s="11">
        <f t="shared" si="1"/>
        <v>-85.706</v>
      </c>
      <c r="V15" s="11">
        <f t="shared" si="1"/>
        <v>-90.232</v>
      </c>
      <c r="W15" s="11">
        <f t="shared" si="1"/>
        <v>-113.566</v>
      </c>
      <c r="X15" s="11">
        <f t="shared" si="1"/>
        <v>-60.815</v>
      </c>
      <c r="Y15" s="11">
        <f t="shared" si="1"/>
        <v>-50.686</v>
      </c>
      <c r="Z15" s="11">
        <f t="shared" si="1"/>
        <v>-34.133</v>
      </c>
      <c r="AA15" s="11">
        <f t="shared" si="1"/>
        <v>-9.861</v>
      </c>
      <c r="AB15" s="11">
        <f t="shared" si="1"/>
        <v>-41.483</v>
      </c>
      <c r="AC15" s="11">
        <f t="shared" si="1"/>
        <v>-65.882</v>
      </c>
      <c r="AD15" s="11">
        <f t="shared" si="1"/>
        <v>-78.074</v>
      </c>
      <c r="AE15" s="11">
        <f t="shared" si="1"/>
        <v>-84.339</v>
      </c>
      <c r="AF15" s="11">
        <f t="shared" si="1"/>
        <v>-99.451</v>
      </c>
    </row>
    <row customHeight="1" ht="15">
      <c r="A16" s="9" t="s">
        <v>56</v>
      </c>
      <c r="B16" s="0">
        <v>0</v>
      </c>
      <c r="F16" s="0">
        <v>-1.027</v>
      </c>
      <c r="G16" s="11">
        <f>F16+'Quarterly YTD'!G16-'Quarterly YTD'!C16</f>
        <v>-0.133</v>
      </c>
      <c r="H16" s="11">
        <f>F16+'Quarterly YTD'!H16-'Quarterly YTD'!D16</f>
        <v>0.901</v>
      </c>
      <c r="I16" s="11">
        <f>F16+'Quarterly YTD'!I16-'Quarterly YTD'!E16</f>
        <v>3.322</v>
      </c>
      <c r="J16" s="0">
        <v>-1.19</v>
      </c>
      <c r="K16" s="11">
        <f>J16+'Quarterly YTD'!K16-'Quarterly YTD'!G16</f>
        <v>-2.008</v>
      </c>
      <c r="L16" s="11">
        <f>J16+'Quarterly YTD'!L16-'Quarterly YTD'!H16</f>
        <v>-3.021</v>
      </c>
      <c r="M16" s="11">
        <f>J16+'Quarterly YTD'!M16-'Quarterly YTD'!I16</f>
        <v>-4.65</v>
      </c>
      <c r="N16" s="0">
        <v>1.458</v>
      </c>
      <c r="O16" s="11">
        <f>N16+'Quarterly YTD'!O16-'Quarterly YTD'!K16</f>
        <v>1.459</v>
      </c>
      <c r="P16" s="11">
        <f>N16+'Quarterly YTD'!P16-'Quarterly YTD'!L16</f>
        <v>1.433</v>
      </c>
      <c r="Q16" s="11">
        <f>N16+'Quarterly YTD'!Q16-'Quarterly YTD'!M16</f>
        <v>1.494</v>
      </c>
      <c r="R16" s="0">
        <v>-55.091</v>
      </c>
      <c r="S16" s="11">
        <f>R16+'Quarterly YTD'!S16-'Quarterly YTD'!O16</f>
        <v>-55.11</v>
      </c>
      <c r="T16" s="11">
        <f>R16+'Quarterly YTD'!T16-'Quarterly YTD'!P16</f>
        <v>-52.987</v>
      </c>
      <c r="U16" s="11">
        <f>R16+'Quarterly YTD'!U16-'Quarterly YTD'!Q16</f>
        <v>-52.6</v>
      </c>
      <c r="V16" s="0">
        <v>2.706</v>
      </c>
      <c r="W16" s="11">
        <f>V16+'Quarterly YTD'!W16-'Quarterly YTD'!S16</f>
        <v>2.706</v>
      </c>
      <c r="X16" s="11">
        <f>V16+'Quarterly YTD'!X16-'Quarterly YTD'!T16</f>
        <v>0.613</v>
      </c>
      <c r="Y16" s="11">
        <f>V16+'Quarterly YTD'!Y16-'Quarterly YTD'!U16</f>
        <v>0.233</v>
      </c>
      <c r="Z16" s="0">
        <v>0.013</v>
      </c>
      <c r="AA16" s="11">
        <f>Z16+'Quarterly YTD'!AA16-'Quarterly YTD'!W16</f>
        <v>0.009</v>
      </c>
      <c r="AB16" s="11">
        <f>Z16+'Quarterly YTD'!AB16-'Quarterly YTD'!X16</f>
        <v>0.021</v>
      </c>
      <c r="AC16" s="11">
        <f>Z16+'Quarterly YTD'!AC16-'Quarterly YTD'!Y16</f>
        <v>0.02</v>
      </c>
      <c r="AD16" s="0">
        <v>-0.255</v>
      </c>
      <c r="AE16" s="11">
        <f>AD16+'Quarterly YTD'!AE16-'Quarterly YTD'!AA16</f>
        <v>-0.255</v>
      </c>
      <c r="AF16" s="11">
        <f>AD16+'Quarterly YTD'!AF16-'Quarterly YTD'!AB16</f>
        <v>-0.262</v>
      </c>
    </row>
    <row customHeight="1" ht="15">
      <c r="A17" s="9" t="s">
        <v>58</v>
      </c>
      <c r="B17" s="11">
        <f t="shared" si="2" ref="B17:AF17">B12+SUM(B15:B16)</f>
        <v>12.643</v>
      </c>
      <c r="F17" s="11">
        <f t="shared" si="2"/>
        <v>17.842</v>
      </c>
      <c r="G17" s="11">
        <f t="shared" si="2"/>
        <v>11.2410000000001</v>
      </c>
      <c r="H17" s="11">
        <f t="shared" si="2"/>
        <v>12.305</v>
      </c>
      <c r="I17" s="11">
        <f t="shared" si="2"/>
        <v>-8.099</v>
      </c>
      <c r="J17" s="11">
        <f t="shared" si="2"/>
        <v>-45.809</v>
      </c>
      <c r="K17" s="11">
        <f t="shared" si="2"/>
        <v>-34.247</v>
      </c>
      <c r="L17" s="11">
        <f t="shared" si="2"/>
        <v>-30.146</v>
      </c>
      <c r="M17" s="11">
        <f t="shared" si="2"/>
        <v>14.374</v>
      </c>
      <c r="N17" s="11">
        <f t="shared" si="2"/>
        <v>44.628</v>
      </c>
      <c r="O17" s="11">
        <f t="shared" si="2"/>
        <v>28.859</v>
      </c>
      <c r="P17" s="11">
        <f t="shared" si="2"/>
        <v>44.552</v>
      </c>
      <c r="Q17" s="11">
        <f t="shared" si="2"/>
        <v>79.587</v>
      </c>
      <c r="R17" s="11">
        <f t="shared" si="2"/>
        <v>27.446</v>
      </c>
      <c r="S17" s="11">
        <f t="shared" si="2"/>
        <v>0.717999999999989</v>
      </c>
      <c r="T17" s="11">
        <f t="shared" si="2"/>
        <v>13.744</v>
      </c>
      <c r="U17" s="11">
        <f t="shared" si="2"/>
        <v>34.415</v>
      </c>
      <c r="V17" s="11">
        <f t="shared" si="2"/>
        <v>72.131</v>
      </c>
      <c r="W17" s="11">
        <f t="shared" si="2"/>
        <v>-1.82299999999999</v>
      </c>
      <c r="X17" s="11">
        <f t="shared" si="2"/>
        <v>64.441</v>
      </c>
      <c r="Y17" s="11">
        <f t="shared" si="2"/>
        <v>90.122</v>
      </c>
      <c r="Z17" s="11">
        <f t="shared" si="2"/>
        <v>58.9849999999998</v>
      </c>
      <c r="AA17" s="11">
        <f t="shared" si="2"/>
        <v>90.296</v>
      </c>
      <c r="AB17" s="11">
        <f t="shared" si="2"/>
        <v>59.143</v>
      </c>
      <c r="AC17" s="11">
        <f t="shared" si="2"/>
        <v>-62.7400000000003</v>
      </c>
      <c r="AD17" s="11">
        <f t="shared" si="2"/>
        <v>-144.825</v>
      </c>
      <c r="AE17" s="11">
        <f t="shared" si="2"/>
        <v>-134.037</v>
      </c>
      <c r="AF17" s="11">
        <f t="shared" si="2"/>
        <v>-252.838</v>
      </c>
    </row>
    <row customHeight="1" ht="15">
      <c r="A18" s="9" t="s">
        <v>59</v>
      </c>
      <c r="B18" s="0">
        <v>-2.952</v>
      </c>
      <c r="F18" s="0">
        <v>-5.712</v>
      </c>
      <c r="G18" s="11">
        <f>F18+'Quarterly YTD'!G18-'Quarterly YTD'!C18</f>
        <v>-7.099</v>
      </c>
      <c r="H18" s="11">
        <f>F18+'Quarterly YTD'!H18-'Quarterly YTD'!D18</f>
        <v>-10.559</v>
      </c>
      <c r="I18" s="11">
        <f>F18+'Quarterly YTD'!I18-'Quarterly YTD'!E18</f>
        <v>-9.128</v>
      </c>
      <c r="J18" s="0">
        <v>-5.796</v>
      </c>
      <c r="K18" s="11">
        <f>J18+'Quarterly YTD'!K18-'Quarterly YTD'!G18</f>
        <v>-8.203</v>
      </c>
      <c r="L18" s="11">
        <f>J18+'Quarterly YTD'!L18-'Quarterly YTD'!H18</f>
        <v>-0.125</v>
      </c>
      <c r="M18" s="11">
        <f>J18+'Quarterly YTD'!M18-'Quarterly YTD'!I18</f>
        <v>-4.767</v>
      </c>
      <c r="N18" s="0">
        <v>-10.26</v>
      </c>
      <c r="O18" s="11">
        <f>N18+'Quarterly YTD'!O18-'Quarterly YTD'!K18</f>
        <v>-9.212</v>
      </c>
      <c r="P18" s="11">
        <f>N18+'Quarterly YTD'!P18-'Quarterly YTD'!L18</f>
        <v>-19.686</v>
      </c>
      <c r="Q18" s="11">
        <f>N18+'Quarterly YTD'!Q18-'Quarterly YTD'!M18</f>
        <v>-26.612</v>
      </c>
      <c r="R18" s="0">
        <v>-15.779</v>
      </c>
      <c r="S18" s="11">
        <f>R18+'Quarterly YTD'!S18-'Quarterly YTD'!O18</f>
        <v>-9.625</v>
      </c>
      <c r="T18" s="11">
        <f>R18+'Quarterly YTD'!T18-'Quarterly YTD'!P18</f>
        <v>-10.093</v>
      </c>
      <c r="U18" s="11">
        <f>R18+'Quarterly YTD'!U18-'Quarterly YTD'!Q18</f>
        <v>-7.208</v>
      </c>
      <c r="V18" s="0">
        <v>-3.945</v>
      </c>
      <c r="W18" s="11">
        <f>V18+'Quarterly YTD'!W18-'Quarterly YTD'!S18</f>
        <v>5.995</v>
      </c>
      <c r="X18" s="11">
        <f>V18+'Quarterly YTD'!X18-'Quarterly YTD'!T18</f>
        <v>5.647</v>
      </c>
      <c r="Y18" s="11">
        <f>V18+'Quarterly YTD'!Y18-'Quarterly YTD'!U18</f>
        <v>-9.399</v>
      </c>
      <c r="Z18" s="0">
        <v>-4.73</v>
      </c>
      <c r="AA18" s="11">
        <f>Z18+'Quarterly YTD'!AA18-'Quarterly YTD'!W18</f>
        <v>-0.679</v>
      </c>
      <c r="AB18" s="11">
        <f>Z18+'Quarterly YTD'!AB18-'Quarterly YTD'!X18</f>
        <v>-8.732</v>
      </c>
      <c r="AC18" s="11">
        <f>Z18+'Quarterly YTD'!AC18-'Quarterly YTD'!Y18</f>
        <v>-6.373</v>
      </c>
      <c r="AD18" s="0">
        <v>-0.124</v>
      </c>
      <c r="AE18" s="11">
        <f>AD18+'Quarterly YTD'!AE18-'Quarterly YTD'!AA18</f>
        <v>-8.633</v>
      </c>
      <c r="AF18" s="11">
        <f>AD18+'Quarterly YTD'!AF18-'Quarterly YTD'!AB18</f>
        <v>9.975</v>
      </c>
    </row>
    <row customHeight="1" ht="15">
      <c r="A19" s="9" t="s">
        <v>60</v>
      </c>
      <c r="B19" s="11">
        <f t="shared" si="1"/>
        <v>9.691</v>
      </c>
      <c r="F19" s="11">
        <f t="shared" si="1"/>
        <v>12.13</v>
      </c>
      <c r="G19" s="11">
        <f t="shared" si="1"/>
        <v>4.1420000000001</v>
      </c>
      <c r="H19" s="11">
        <f t="shared" si="1"/>
        <v>1.746</v>
      </c>
      <c r="I19" s="11">
        <f t="shared" si="1"/>
        <v>-17.227</v>
      </c>
      <c r="J19" s="11">
        <f t="shared" si="1"/>
        <v>-51.605</v>
      </c>
      <c r="K19" s="11">
        <f t="shared" si="1"/>
        <v>-42.45</v>
      </c>
      <c r="L19" s="11">
        <f t="shared" si="1"/>
        <v>-30.271</v>
      </c>
      <c r="M19" s="11">
        <f t="shared" si="1"/>
        <v>9.607</v>
      </c>
      <c r="N19" s="11">
        <f t="shared" si="1"/>
        <v>34.368</v>
      </c>
      <c r="O19" s="11">
        <f t="shared" si="1"/>
        <v>19.647</v>
      </c>
      <c r="P19" s="11">
        <f t="shared" si="1"/>
        <v>24.866</v>
      </c>
      <c r="Q19" s="11">
        <f t="shared" si="1"/>
        <v>52.975</v>
      </c>
      <c r="R19" s="11">
        <f t="shared" si="1"/>
        <v>11.667</v>
      </c>
      <c r="S19" s="11">
        <f t="shared" si="1"/>
        <v>-8.90700000000001</v>
      </c>
      <c r="T19" s="11">
        <f t="shared" si="1"/>
        <v>3.651</v>
      </c>
      <c r="U19" s="11">
        <f t="shared" si="1"/>
        <v>27.207</v>
      </c>
      <c r="V19" s="11">
        <f t="shared" si="1"/>
        <v>68.186</v>
      </c>
      <c r="W19" s="11">
        <f t="shared" si="1"/>
        <v>4.17200000000001</v>
      </c>
      <c r="X19" s="11">
        <f t="shared" si="1"/>
        <v>70.088</v>
      </c>
      <c r="Y19" s="11">
        <f t="shared" si="1"/>
        <v>80.723</v>
      </c>
      <c r="Z19" s="11">
        <f t="shared" si="1"/>
        <v>54.2549999999998</v>
      </c>
      <c r="AA19" s="11">
        <f t="shared" si="1"/>
        <v>89.617</v>
      </c>
      <c r="AB19" s="11">
        <f t="shared" si="1"/>
        <v>50.411</v>
      </c>
      <c r="AC19" s="11">
        <f t="shared" si="1"/>
        <v>-69.1130000000003</v>
      </c>
      <c r="AD19" s="11">
        <f t="shared" si="1"/>
        <v>-144.949</v>
      </c>
      <c r="AE19" s="11">
        <f t="shared" si="1"/>
        <v>-142.67</v>
      </c>
      <c r="AF19" s="11">
        <f t="shared" si="1"/>
        <v>-242.863</v>
      </c>
    </row>
    <row customHeight="1" ht="15">
      <c r="A20" s="9" t="s">
        <v>61</v>
      </c>
      <c r="B20" s="0">
        <v>0</v>
      </c>
      <c r="F20" s="0">
        <v>0</v>
      </c>
      <c r="G20" s="11">
        <f>F20+'Quarterly YTD'!G20-'Quarterly YTD'!C20</f>
        <v>0</v>
      </c>
      <c r="H20" s="11">
        <f>F20+'Quarterly YTD'!H20-'Quarterly YTD'!D20</f>
        <v>0</v>
      </c>
      <c r="I20" s="11">
        <f>F20+'Quarterly YTD'!I20-'Quarterly YTD'!E20</f>
        <v>0</v>
      </c>
      <c r="J20" s="0">
        <v>0</v>
      </c>
      <c r="K20" s="11">
        <f>J20+'Quarterly YTD'!K20-'Quarterly YTD'!G20</f>
        <v>0</v>
      </c>
      <c r="L20" s="11">
        <f>J20+'Quarterly YTD'!L20-'Quarterly YTD'!H20</f>
        <v>0</v>
      </c>
      <c r="M20" s="11">
        <f>J20+'Quarterly YTD'!M20-'Quarterly YTD'!I20</f>
        <v>0</v>
      </c>
      <c r="N20" s="0">
        <v>0</v>
      </c>
      <c r="O20" s="11">
        <f>N20+'Quarterly YTD'!O20-'Quarterly YTD'!K20</f>
        <v>0</v>
      </c>
      <c r="P20" s="11">
        <f>N20+'Quarterly YTD'!P20-'Quarterly YTD'!L20</f>
        <v>0</v>
      </c>
      <c r="Q20" s="11">
        <f>N20+'Quarterly YTD'!Q20-'Quarterly YTD'!M20</f>
        <v>0</v>
      </c>
      <c r="R20" s="0">
        <v>0</v>
      </c>
      <c r="S20" s="11">
        <f>R20+'Quarterly YTD'!S20-'Quarterly YTD'!O20</f>
        <v>0</v>
      </c>
      <c r="T20" s="11">
        <f>R20+'Quarterly YTD'!T20-'Quarterly YTD'!P20</f>
        <v>0</v>
      </c>
      <c r="U20" s="11">
        <f>R20+'Quarterly YTD'!U20-'Quarterly YTD'!Q20</f>
        <v>0</v>
      </c>
      <c r="V20" s="0">
        <v>0</v>
      </c>
      <c r="W20" s="11">
        <f>V20+'Quarterly YTD'!W20-'Quarterly YTD'!S20</f>
        <v>0</v>
      </c>
      <c r="X20" s="11">
        <f>V20+'Quarterly YTD'!X20-'Quarterly YTD'!T20</f>
        <v>0</v>
      </c>
      <c r="Y20" s="11">
        <f>V20+'Quarterly YTD'!Y20-'Quarterly YTD'!U20</f>
        <v>0</v>
      </c>
      <c r="Z20" s="0">
        <v>-116.838</v>
      </c>
      <c r="AA20" s="11">
        <f>Z20+'Quarterly YTD'!AA20-'Quarterly YTD'!W20</f>
        <v>-176.743</v>
      </c>
      <c r="AB20" s="11">
        <f>Z20+'Quarterly YTD'!AB20-'Quarterly YTD'!X20</f>
        <v>-222.99</v>
      </c>
      <c r="AC20" s="11">
        <f>Z20+'Quarterly YTD'!AC20-'Quarterly YTD'!Y20</f>
        <v>-116.838</v>
      </c>
      <c r="AD20" s="0">
        <v>81.382</v>
      </c>
      <c r="AE20" s="11">
        <f>AD20+'Quarterly YTD'!AE20-'Quarterly YTD'!AA20</f>
        <v>141.287</v>
      </c>
      <c r="AF20" s="11">
        <f>AD20+'Quarterly YTD'!AF20-'Quarterly YTD'!AB20</f>
        <v>208.488</v>
      </c>
    </row>
    <row customHeight="1" ht="15">
      <c r="A21" s="4" t="s">
        <v>60</v>
      </c>
      <c r="B21" s="7">
        <f t="shared" si="1"/>
        <v>9.691</v>
      </c>
      <c r="F21" s="7">
        <f t="shared" si="3" ref="F21:V21">F19</f>
        <v>12.13</v>
      </c>
      <c r="G21" s="7">
        <f t="shared" si="1"/>
        <v>4.1420000000001</v>
      </c>
      <c r="H21" s="7">
        <f t="shared" si="1"/>
        <v>1.746</v>
      </c>
      <c r="I21" s="7">
        <f t="shared" si="1"/>
        <v>-17.227</v>
      </c>
      <c r="J21" s="7">
        <f t="shared" si="3"/>
        <v>-51.605</v>
      </c>
      <c r="K21" s="7">
        <f t="shared" si="1"/>
        <v>-42.45</v>
      </c>
      <c r="L21" s="7">
        <f t="shared" si="1"/>
        <v>-30.271</v>
      </c>
      <c r="M21" s="7">
        <f t="shared" si="1"/>
        <v>9.607</v>
      </c>
      <c r="N21" s="7">
        <f t="shared" si="3"/>
        <v>34.368</v>
      </c>
      <c r="O21" s="7">
        <f t="shared" si="1"/>
        <v>19.647</v>
      </c>
      <c r="P21" s="7">
        <f t="shared" si="1"/>
        <v>24.866</v>
      </c>
      <c r="Q21" s="7">
        <f t="shared" si="1"/>
        <v>52.975</v>
      </c>
      <c r="R21" s="7">
        <f t="shared" si="3"/>
        <v>11.667</v>
      </c>
      <c r="S21" s="7">
        <f t="shared" si="1"/>
        <v>-8.90700000000001</v>
      </c>
      <c r="T21" s="7">
        <f t="shared" si="1"/>
        <v>3.651</v>
      </c>
      <c r="U21" s="7">
        <f t="shared" si="1"/>
        <v>27.207</v>
      </c>
      <c r="V21" s="7">
        <f t="shared" si="3"/>
        <v>68.186</v>
      </c>
      <c r="W21" s="7">
        <f t="shared" si="1"/>
        <v>4.17200000000001</v>
      </c>
      <c r="X21" s="7">
        <f t="shared" si="1"/>
        <v>70.088</v>
      </c>
      <c r="Y21" s="7">
        <f t="shared" si="1"/>
        <v>80.723</v>
      </c>
      <c r="Z21" s="7">
        <f t="shared" si="1"/>
        <v>-62.5830000000002</v>
      </c>
      <c r="AA21" s="7">
        <f t="shared" si="1"/>
        <v>-87.126</v>
      </c>
      <c r="AB21" s="7">
        <f t="shared" si="1"/>
        <v>-172.579</v>
      </c>
      <c r="AC21" s="7">
        <f t="shared" si="1"/>
        <v>-185.951</v>
      </c>
      <c r="AD21" s="7">
        <f t="shared" si="1"/>
        <v>-63.567</v>
      </c>
      <c r="AE21" s="7">
        <f t="shared" si="1"/>
        <v>-1.38299999999998</v>
      </c>
      <c r="AF21" s="7">
        <f t="shared" si="1"/>
        <v>-34.375</v>
      </c>
    </row>
    <row customHeight="1" ht="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customHeight="1" ht="15">
      <c r="A23" s="2" t="s">
        <v>62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customHeight="1" ht="15">
      <c r="A24" s="9" t="s">
        <v>60</v>
      </c>
      <c r="B24" s="0">
        <v>9.691</v>
      </c>
      <c r="F24" s="0">
        <v>12.13</v>
      </c>
      <c r="G24" s="11">
        <f>F24+'Quarterly YTD'!G24-'Quarterly YTD'!C24</f>
        <v>4.142</v>
      </c>
      <c r="H24" s="11">
        <f>F24+'Quarterly YTD'!H24-'Quarterly YTD'!D24</f>
        <v>1.746</v>
      </c>
      <c r="I24" s="11">
        <f>F24+'Quarterly YTD'!I24-'Quarterly YTD'!E24</f>
        <v>-17.227</v>
      </c>
      <c r="J24" s="0">
        <v>-51.605</v>
      </c>
      <c r="K24" s="11">
        <f>J24+'Quarterly YTD'!K24-'Quarterly YTD'!G24</f>
        <v>-42.45</v>
      </c>
      <c r="L24" s="11">
        <f>J24+'Quarterly YTD'!L24-'Quarterly YTD'!H24</f>
        <v>-30.271</v>
      </c>
      <c r="M24" s="11">
        <f>J24+'Quarterly YTD'!M24-'Quarterly YTD'!I24</f>
        <v>9.60700000000001</v>
      </c>
      <c r="N24" s="0">
        <v>34.368</v>
      </c>
      <c r="O24" s="11">
        <f>N24+'Quarterly YTD'!O24-'Quarterly YTD'!K24</f>
        <v>19.647</v>
      </c>
      <c r="P24" s="11">
        <f>N24+'Quarterly YTD'!P24-'Quarterly YTD'!L24</f>
        <v>24.866</v>
      </c>
      <c r="Q24" s="11">
        <f>N24+'Quarterly YTD'!Q24-'Quarterly YTD'!M24</f>
        <v>52.975</v>
      </c>
      <c r="R24" s="0">
        <v>11.667</v>
      </c>
      <c r="S24" s="11">
        <f>R24+'Quarterly YTD'!S24-'Quarterly YTD'!O24</f>
        <v>-8.90699999999999</v>
      </c>
      <c r="T24" s="11">
        <f>R24+'Quarterly YTD'!T24-'Quarterly YTD'!P24</f>
        <v>3.651</v>
      </c>
      <c r="U24" s="11">
        <f>R24+'Quarterly YTD'!U24-'Quarterly YTD'!Q24</f>
        <v>27.207</v>
      </c>
      <c r="V24" s="0">
        <v>68.186</v>
      </c>
      <c r="W24" s="11">
        <f>V24+'Quarterly YTD'!W24-'Quarterly YTD'!S24</f>
        <v>4.172</v>
      </c>
      <c r="X24" s="11">
        <f>V24+'Quarterly YTD'!X24-'Quarterly YTD'!T24</f>
        <v>70.087</v>
      </c>
      <c r="Y24" s="11">
        <f>V24+'Quarterly YTD'!Y24-'Quarterly YTD'!U24</f>
        <v>80.723</v>
      </c>
      <c r="Z24" s="0">
        <v>-62.583</v>
      </c>
      <c r="AA24" s="11">
        <f>Z24+'Quarterly YTD'!AA24-'Quarterly YTD'!W24</f>
        <v>-87.126</v>
      </c>
      <c r="AB24" s="11">
        <f>Z24+'Quarterly YTD'!AB24-'Quarterly YTD'!X24</f>
        <v>-172.578</v>
      </c>
      <c r="AC24" s="11">
        <f>Z24+'Quarterly YTD'!AC24-'Quarterly YTD'!Y24</f>
        <v>-185.951</v>
      </c>
      <c r="AD24" s="0">
        <v>-63.567</v>
      </c>
      <c r="AE24" s="11">
        <f>AD24+'Quarterly YTD'!AE24-'Quarterly YTD'!AA24</f>
        <v>-1.383</v>
      </c>
      <c r="AF24" s="11">
        <f>AD24+'Quarterly YTD'!AF24-'Quarterly YTD'!AB24</f>
        <v>-34.375</v>
      </c>
    </row>
    <row customHeight="1" ht="15">
      <c r="A25" s="9" t="s">
        <v>63</v>
      </c>
      <c r="B25" s="0">
        <v>2.952</v>
      </c>
      <c r="F25" s="0">
        <v>5.712</v>
      </c>
      <c r="G25" s="11">
        <f>F25+'Quarterly YTD'!G25-'Quarterly YTD'!C25</f>
        <v>7.099</v>
      </c>
      <c r="H25" s="11">
        <f>F25+'Quarterly YTD'!H25-'Quarterly YTD'!D25</f>
        <v>10.559</v>
      </c>
      <c r="I25" s="11">
        <f>F25+'Quarterly YTD'!I25-'Quarterly YTD'!E25</f>
        <v>9.128</v>
      </c>
      <c r="J25" s="0">
        <v>5.796</v>
      </c>
      <c r="K25" s="11">
        <f>J25+'Quarterly YTD'!K25-'Quarterly YTD'!G25</f>
        <v>8.203</v>
      </c>
      <c r="L25" s="11">
        <f>J25+'Quarterly YTD'!L25-'Quarterly YTD'!H25</f>
        <v>0.125</v>
      </c>
      <c r="M25" s="11">
        <f>J25+'Quarterly YTD'!M25-'Quarterly YTD'!I25</f>
        <v>4.767</v>
      </c>
      <c r="N25" s="0">
        <v>10.26</v>
      </c>
      <c r="O25" s="11">
        <f>N25+'Quarterly YTD'!O25-'Quarterly YTD'!K25</f>
        <v>9.212</v>
      </c>
      <c r="P25" s="11">
        <f>N25+'Quarterly YTD'!P25-'Quarterly YTD'!L25</f>
        <v>19.686</v>
      </c>
      <c r="Q25" s="11">
        <f>N25+'Quarterly YTD'!Q25-'Quarterly YTD'!M25</f>
        <v>26.612</v>
      </c>
      <c r="R25" s="0">
        <v>15.779</v>
      </c>
      <c r="S25" s="11">
        <f>R25+'Quarterly YTD'!S25-'Quarterly YTD'!O25</f>
        <v>9.625</v>
      </c>
      <c r="T25" s="11">
        <f>R25+'Quarterly YTD'!T25-'Quarterly YTD'!P25</f>
        <v>10.093</v>
      </c>
      <c r="U25" s="11">
        <f>R25+'Quarterly YTD'!U25-'Quarterly YTD'!Q25</f>
        <v>7.208</v>
      </c>
      <c r="V25" s="0">
        <v>3.945</v>
      </c>
      <c r="W25" s="11">
        <f>V25+'Quarterly YTD'!W25-'Quarterly YTD'!S25</f>
        <v>-5.995</v>
      </c>
      <c r="X25" s="11">
        <f>V25+'Quarterly YTD'!X25-'Quarterly YTD'!T25</f>
        <v>-5.647</v>
      </c>
      <c r="Y25" s="11">
        <f>V25+'Quarterly YTD'!Y25-'Quarterly YTD'!U25</f>
        <v>9.399</v>
      </c>
      <c r="Z25" s="0">
        <v>-2.197</v>
      </c>
      <c r="AA25" s="11">
        <f>Z25+'Quarterly YTD'!AA25-'Quarterly YTD'!W25</f>
        <v>-5.839</v>
      </c>
      <c r="AB25" s="11">
        <f>Z25+'Quarterly YTD'!AB25-'Quarterly YTD'!X25</f>
        <v>1.395</v>
      </c>
      <c r="AC25" s="11">
        <f>Z25+'Quarterly YTD'!AC25-'Quarterly YTD'!Y25</f>
        <v>-0.553999999999998</v>
      </c>
      <c r="AD25" s="0">
        <v>3.712</v>
      </c>
      <c r="AE25" s="11">
        <f>AD25+'Quarterly YTD'!AE25-'Quarterly YTD'!AA25</f>
        <v>11.812</v>
      </c>
      <c r="AF25" s="11">
        <f>AD25+'Quarterly YTD'!AF25-'Quarterly YTD'!AB25</f>
        <v>-1.707</v>
      </c>
    </row>
    <row customHeight="1" ht="15">
      <c r="A26" s="9" t="s">
        <v>46</v>
      </c>
      <c r="B26" s="0">
        <v>6.853</v>
      </c>
      <c r="F26" s="0">
        <v>34.732</v>
      </c>
      <c r="G26" s="11">
        <f>F26+'Quarterly YTD'!G26-'Quarterly YTD'!C26</f>
        <v>58.435</v>
      </c>
      <c r="H26" s="11">
        <f>F26+'Quarterly YTD'!H26-'Quarterly YTD'!D26</f>
        <v>81.797</v>
      </c>
      <c r="I26" s="11">
        <f>F26+'Quarterly YTD'!I26-'Quarterly YTD'!E26</f>
        <v>102.758</v>
      </c>
      <c r="J26" s="0">
        <v>99.205</v>
      </c>
      <c r="K26" s="11">
        <f>J26+'Quarterly YTD'!K26-'Quarterly YTD'!G26</f>
        <v>90.606</v>
      </c>
      <c r="L26" s="11">
        <f>J26+'Quarterly YTD'!L26-'Quarterly YTD'!H26</f>
        <v>81.074</v>
      </c>
      <c r="M26" s="11">
        <f>J26+'Quarterly YTD'!M26-'Quarterly YTD'!I26</f>
        <v>75.793</v>
      </c>
      <c r="N26" s="0">
        <v>74.338</v>
      </c>
      <c r="O26" s="11">
        <f>N26+'Quarterly YTD'!O26-'Quarterly YTD'!K26</f>
        <v>77.978</v>
      </c>
      <c r="P26" s="11">
        <f>N26+'Quarterly YTD'!P26-'Quarterly YTD'!L26</f>
        <v>87.428</v>
      </c>
      <c r="Q26" s="11">
        <f>N26+'Quarterly YTD'!Q26-'Quarterly YTD'!M26</f>
        <v>104.522</v>
      </c>
      <c r="R26" s="0">
        <v>114.781</v>
      </c>
      <c r="S26" s="11">
        <f>R26+'Quarterly YTD'!S26-'Quarterly YTD'!O26</f>
        <v>135.075</v>
      </c>
      <c r="T26" s="11">
        <f>R26+'Quarterly YTD'!T26-'Quarterly YTD'!P26</f>
        <v>158.608</v>
      </c>
      <c r="U26" s="11">
        <f>R26+'Quarterly YTD'!U26-'Quarterly YTD'!Q26</f>
        <v>186.978</v>
      </c>
      <c r="V26" s="0">
        <v>239.28</v>
      </c>
      <c r="W26" s="11">
        <f>V26+'Quarterly YTD'!W26-'Quarterly YTD'!S26</f>
        <v>279.013</v>
      </c>
      <c r="X26" s="11">
        <f>V26+'Quarterly YTD'!X26-'Quarterly YTD'!T26</f>
        <v>318.581</v>
      </c>
      <c r="Y26" s="11">
        <f>V26+'Quarterly YTD'!Y26-'Quarterly YTD'!U26</f>
        <v>347.969</v>
      </c>
      <c r="Z26" s="0">
        <v>364.599</v>
      </c>
      <c r="AA26" s="11">
        <f>Z26+'Quarterly YTD'!AA26-'Quarterly YTD'!W26</f>
        <v>385.21</v>
      </c>
      <c r="AB26" s="11">
        <f>Z26+'Quarterly YTD'!AB26-'Quarterly YTD'!X26</f>
        <v>386.114</v>
      </c>
      <c r="AC26" s="11">
        <f>Z26+'Quarterly YTD'!AC26-'Quarterly YTD'!Y26</f>
        <v>383.519</v>
      </c>
      <c r="AD26" s="0">
        <v>353.946</v>
      </c>
      <c r="AE26" s="11">
        <f>AD26+'Quarterly YTD'!AE26-'Quarterly YTD'!AA26</f>
        <v>324.167</v>
      </c>
      <c r="AF26" s="11">
        <f>AD26+'Quarterly YTD'!AF26-'Quarterly YTD'!AB26</f>
        <v>292.857</v>
      </c>
    </row>
    <row customHeight="1" ht="15">
      <c r="A27" s="9" t="s">
        <v>64</v>
      </c>
      <c r="B27" s="0">
        <v>3.923</v>
      </c>
      <c r="F27" s="0">
        <v>4.925</v>
      </c>
      <c r="G27" s="11">
        <f>F27+'Quarterly YTD'!G27-'Quarterly YTD'!C27</f>
        <v>5.925</v>
      </c>
      <c r="H27" s="11">
        <f>F27+'Quarterly YTD'!H27-'Quarterly YTD'!D27</f>
        <v>14.082</v>
      </c>
      <c r="I27" s="11">
        <f>F27+'Quarterly YTD'!I27-'Quarterly YTD'!E27</f>
        <v>15.399</v>
      </c>
      <c r="J27" s="0">
        <v>29.244</v>
      </c>
      <c r="K27" s="11">
        <f>J27+'Quarterly YTD'!K27-'Quarterly YTD'!G27</f>
        <v>28.486</v>
      </c>
      <c r="L27" s="11">
        <f>J27+'Quarterly YTD'!L27-'Quarterly YTD'!H27</f>
        <v>22.192</v>
      </c>
      <c r="M27" s="11">
        <f>J27+'Quarterly YTD'!M27-'Quarterly YTD'!I27</f>
        <v>20.921</v>
      </c>
      <c r="N27" s="0">
        <v>18.152</v>
      </c>
      <c r="O27" s="11">
        <f>N27+'Quarterly YTD'!O27-'Quarterly YTD'!K27</f>
        <v>32.701</v>
      </c>
      <c r="P27" s="11">
        <f>N27+'Quarterly YTD'!P27-'Quarterly YTD'!L27</f>
        <v>28.962</v>
      </c>
      <c r="Q27" s="11">
        <f>N27+'Quarterly YTD'!Q27-'Quarterly YTD'!M27</f>
        <v>27.758</v>
      </c>
      <c r="R27" s="0">
        <v>25.886</v>
      </c>
      <c r="S27" s="11">
        <f>R27+'Quarterly YTD'!S27-'Quarterly YTD'!O27</f>
        <v>10.585</v>
      </c>
      <c r="T27" s="11">
        <f>R27+'Quarterly YTD'!T27-'Quarterly YTD'!P27</f>
        <v>11.571</v>
      </c>
      <c r="U27" s="11">
        <f>R27+'Quarterly YTD'!U27-'Quarterly YTD'!Q27</f>
        <v>14.094</v>
      </c>
      <c r="V27" s="0">
        <v>4.222</v>
      </c>
      <c r="W27" s="11">
        <f>V27+'Quarterly YTD'!W27-'Quarterly YTD'!S27</f>
        <v>3.821</v>
      </c>
      <c r="X27" s="11">
        <f>V27+'Quarterly YTD'!X27-'Quarterly YTD'!T27</f>
        <v>6.275</v>
      </c>
      <c r="Y27" s="11">
        <f>V27+'Quarterly YTD'!Y27-'Quarterly YTD'!U27</f>
        <v>5.762</v>
      </c>
      <c r="Z27" s="0">
        <v>64.234</v>
      </c>
      <c r="AA27" s="11">
        <f>Z27+'Quarterly YTD'!AA27-'Quarterly YTD'!W27</f>
        <v>60.668</v>
      </c>
      <c r="AB27" s="11">
        <f>Z27+'Quarterly YTD'!AB27-'Quarterly YTD'!X27</f>
        <v>48.446</v>
      </c>
      <c r="AC27" s="11">
        <f>Z27+'Quarterly YTD'!AC27-'Quarterly YTD'!Y27</f>
        <v>53.374</v>
      </c>
      <c r="AD27" s="0">
        <v>161.607</v>
      </c>
      <c r="AE27" s="11">
        <f>AD27+'Quarterly YTD'!AE27-'Quarterly YTD'!AA27</f>
        <v>167.461</v>
      </c>
      <c r="AF27" s="11">
        <f>AD27+'Quarterly YTD'!AF27-'Quarterly YTD'!AB27</f>
        <v>225.411</v>
      </c>
    </row>
    <row customHeight="1" ht="15">
      <c r="A28" s="9" t="s">
        <v>65</v>
      </c>
      <c r="B28" s="0">
        <v>1.512</v>
      </c>
      <c r="F28" s="0">
        <v>8.969</v>
      </c>
      <c r="G28" s="11">
        <f>F28+'Quarterly YTD'!G28-'Quarterly YTD'!C28</f>
        <v>18.122</v>
      </c>
      <c r="H28" s="11">
        <f>F28+'Quarterly YTD'!H28-'Quarterly YTD'!D28</f>
        <v>26.484</v>
      </c>
      <c r="I28" s="11">
        <f>F28+'Quarterly YTD'!I28-'Quarterly YTD'!E28</f>
        <v>35.915</v>
      </c>
      <c r="J28" s="0">
        <v>38.784</v>
      </c>
      <c r="K28" s="11">
        <f>J28+'Quarterly YTD'!K28-'Quarterly YTD'!G28</f>
        <v>37.007</v>
      </c>
      <c r="L28" s="11">
        <f>J28+'Quarterly YTD'!L28-'Quarterly YTD'!H28</f>
        <v>35.19</v>
      </c>
      <c r="M28" s="11">
        <f>J28+'Quarterly YTD'!M28-'Quarterly YTD'!I28</f>
        <v>34.023</v>
      </c>
      <c r="N28" s="0">
        <v>33.432</v>
      </c>
      <c r="O28" s="11">
        <f>N28+'Quarterly YTD'!O28-'Quarterly YTD'!K28</f>
        <v>35.369</v>
      </c>
      <c r="P28" s="11">
        <f>N28+'Quarterly YTD'!P28-'Quarterly YTD'!L28</f>
        <v>39.414</v>
      </c>
      <c r="Q28" s="11">
        <f>N28+'Quarterly YTD'!Q28-'Quarterly YTD'!M28</f>
        <v>43.262</v>
      </c>
      <c r="R28" s="0">
        <v>47.69</v>
      </c>
      <c r="S28" s="11">
        <f>R28+'Quarterly YTD'!S28-'Quarterly YTD'!O28</f>
        <v>53.787</v>
      </c>
      <c r="T28" s="11">
        <f>R28+'Quarterly YTD'!T28-'Quarterly YTD'!P28</f>
        <v>60.834</v>
      </c>
      <c r="U28" s="11">
        <f>R28+'Quarterly YTD'!U28-'Quarterly YTD'!Q28</f>
        <v>71.032</v>
      </c>
      <c r="V28" s="0">
        <v>82.481</v>
      </c>
      <c r="W28" s="11">
        <f>V28+'Quarterly YTD'!W28-'Quarterly YTD'!S28</f>
        <v>95.398</v>
      </c>
      <c r="X28" s="11">
        <f>V28+'Quarterly YTD'!X28-'Quarterly YTD'!T28</f>
        <v>112.826</v>
      </c>
      <c r="Y28" s="11">
        <f>V28+'Quarterly YTD'!Y28-'Quarterly YTD'!U28</f>
        <v>125.664</v>
      </c>
      <c r="Z28" s="0">
        <v>137.997</v>
      </c>
      <c r="AA28" s="11">
        <f>Z28+'Quarterly YTD'!AA28-'Quarterly YTD'!W28</f>
        <v>144.305</v>
      </c>
      <c r="AB28" s="11">
        <f>Z28+'Quarterly YTD'!AB28-'Quarterly YTD'!X28</f>
        <v>137.827</v>
      </c>
      <c r="AC28" s="11">
        <f>Z28+'Quarterly YTD'!AC28-'Quarterly YTD'!Y28</f>
        <v>129.336</v>
      </c>
      <c r="AD28" s="0">
        <v>114.609</v>
      </c>
      <c r="AE28" s="11">
        <f>AD28+'Quarterly YTD'!AE28-'Quarterly YTD'!AA28</f>
        <v>101.769</v>
      </c>
      <c r="AF28" s="11">
        <f>AD28+'Quarterly YTD'!AF28-'Quarterly YTD'!AB28</f>
        <v>93.373</v>
      </c>
    </row>
    <row customHeight="1" ht="15">
      <c r="A29" s="9" t="s">
        <v>66</v>
      </c>
      <c r="B29" s="0">
        <v>-0.04</v>
      </c>
      <c r="F29" s="0">
        <v>-2.354</v>
      </c>
      <c r="G29" s="11">
        <f>F29+'Quarterly YTD'!G29-'Quarterly YTD'!C29</f>
        <v>-0.019</v>
      </c>
      <c r="H29" s="11">
        <f>F29+'Quarterly YTD'!H29-'Quarterly YTD'!D29</f>
        <v>-2.573</v>
      </c>
      <c r="I29" s="11">
        <f>F29+'Quarterly YTD'!I29-'Quarterly YTD'!E29</f>
        <v>-7.367</v>
      </c>
      <c r="J29" s="0">
        <v>-15.434</v>
      </c>
      <c r="K29" s="11">
        <f>J29+'Quarterly YTD'!K29-'Quarterly YTD'!G29</f>
        <v>-11.644</v>
      </c>
      <c r="L29" s="11">
        <f>J29+'Quarterly YTD'!L29-'Quarterly YTD'!H29</f>
        <v>-12.335</v>
      </c>
      <c r="M29" s="11">
        <f>J29+'Quarterly YTD'!M29-'Quarterly YTD'!I29</f>
        <v>-3.087</v>
      </c>
      <c r="N29" s="0">
        <v>14.492</v>
      </c>
      <c r="O29" s="11">
        <f>N29+'Quarterly YTD'!O29-'Quarterly YTD'!K29</f>
        <v>8.674</v>
      </c>
      <c r="P29" s="11">
        <f>N29+'Quarterly YTD'!P29-'Quarterly YTD'!L29</f>
        <v>30.647</v>
      </c>
      <c r="Q29" s="11">
        <f>N29+'Quarterly YTD'!Q29-'Quarterly YTD'!M29</f>
        <v>52.213</v>
      </c>
      <c r="R29" s="0">
        <v>7.001</v>
      </c>
      <c r="S29" s="11">
        <f>R29+'Quarterly YTD'!S29-'Quarterly YTD'!O29</f>
        <v>-2.534</v>
      </c>
      <c r="T29" s="11">
        <f>R29+'Quarterly YTD'!T29-'Quarterly YTD'!P29</f>
        <v>-15.725</v>
      </c>
      <c r="U29" s="11">
        <f>R29+'Quarterly YTD'!U29-'Quarterly YTD'!Q29</f>
        <v>-31.332</v>
      </c>
      <c r="V29" s="0">
        <v>-16.743</v>
      </c>
      <c r="W29" s="11">
        <f>V29+'Quarterly YTD'!W29-'Quarterly YTD'!S29</f>
        <v>-4.043</v>
      </c>
      <c r="X29" s="11">
        <f>V29+'Quarterly YTD'!X29-'Quarterly YTD'!T29</f>
        <v>-7.276</v>
      </c>
      <c r="Y29" s="11">
        <f>V29+'Quarterly YTD'!Y29-'Quarterly YTD'!U29</f>
        <v>-30.997</v>
      </c>
      <c r="Z29" s="0">
        <v>7.308</v>
      </c>
      <c r="AA29" s="11">
        <f>Z29+'Quarterly YTD'!AA29-'Quarterly YTD'!W29</f>
        <v>4.632</v>
      </c>
      <c r="AB29" s="11">
        <f>Z29+'Quarterly YTD'!AB29-'Quarterly YTD'!X29</f>
        <v>-9.876</v>
      </c>
      <c r="AC29" s="11">
        <f>Z29+'Quarterly YTD'!AC29-'Quarterly YTD'!Y29</f>
        <v>0.963</v>
      </c>
      <c r="AD29" s="0">
        <v>-11.84</v>
      </c>
      <c r="AE29" s="11">
        <f>AD29+'Quarterly YTD'!AE29-'Quarterly YTD'!AA29</f>
        <v>-11.197</v>
      </c>
      <c r="AF29" s="11">
        <f>AD29+'Quarterly YTD'!AF29-'Quarterly YTD'!AB29</f>
        <v>2.802</v>
      </c>
    </row>
    <row customHeight="1" ht="15">
      <c r="A30" s="9" t="s">
        <v>67</v>
      </c>
      <c r="B30" s="0">
        <v>0.008</v>
      </c>
      <c r="F30" s="0">
        <v>0.29</v>
      </c>
      <c r="G30" s="11">
        <f>F30+'Quarterly YTD'!G30-'Quarterly YTD'!C30</f>
        <v>0.215</v>
      </c>
      <c r="H30" s="11">
        <f>F30+'Quarterly YTD'!H30-'Quarterly YTD'!D30</f>
        <v>-0.226</v>
      </c>
      <c r="I30" s="11">
        <f>F30+'Quarterly YTD'!I30-'Quarterly YTD'!E30</f>
        <v>-0.388</v>
      </c>
      <c r="J30" s="0">
        <v>-0.812</v>
      </c>
      <c r="K30" s="11">
        <f>J30+'Quarterly YTD'!K30-'Quarterly YTD'!G30</f>
        <v>-1.026</v>
      </c>
      <c r="L30" s="11">
        <f>J30+'Quarterly YTD'!L30-'Quarterly YTD'!H30</f>
        <v>-0.384</v>
      </c>
      <c r="M30" s="11">
        <f>J30+'Quarterly YTD'!M30-'Quarterly YTD'!I30</f>
        <v>-0.158</v>
      </c>
      <c r="N30" s="0">
        <v>-1.281</v>
      </c>
      <c r="O30" s="11">
        <f>N30+'Quarterly YTD'!O30-'Quarterly YTD'!K30</f>
        <v>-0.225</v>
      </c>
      <c r="P30" s="11">
        <f>N30+'Quarterly YTD'!P30-'Quarterly YTD'!L30</f>
        <v>0.0060000000000001</v>
      </c>
      <c r="Q30" s="11">
        <f>N30+'Quarterly YTD'!Q30-'Quarterly YTD'!M30</f>
        <v>1.768</v>
      </c>
      <c r="R30" s="0">
        <v>3.26</v>
      </c>
      <c r="S30" s="11">
        <f>R30+'Quarterly YTD'!S30-'Quarterly YTD'!O30</f>
        <v>3.882</v>
      </c>
      <c r="T30" s="11">
        <f>R30+'Quarterly YTD'!T30-'Quarterly YTD'!P30</f>
        <v>4.848</v>
      </c>
      <c r="U30" s="11">
        <f>R30+'Quarterly YTD'!U30-'Quarterly YTD'!Q30</f>
        <v>3.649</v>
      </c>
      <c r="V30" s="0">
        <v>3.01</v>
      </c>
      <c r="W30" s="11">
        <f>V30+'Quarterly YTD'!W30-'Quarterly YTD'!S30</f>
        <v>2.927</v>
      </c>
      <c r="X30" s="11">
        <f>V30+'Quarterly YTD'!X30-'Quarterly YTD'!T30</f>
        <v>1.713</v>
      </c>
      <c r="Y30" s="11">
        <f>V30+'Quarterly YTD'!Y30-'Quarterly YTD'!U30</f>
        <v>1.502</v>
      </c>
      <c r="Z30" s="0">
        <v>2.566</v>
      </c>
      <c r="AA30" s="11">
        <f>Z30+'Quarterly YTD'!AA30-'Quarterly YTD'!W30</f>
        <v>1.252</v>
      </c>
      <c r="AB30" s="11">
        <f>Z30+'Quarterly YTD'!AB30-'Quarterly YTD'!X30</f>
        <v>-1.332</v>
      </c>
      <c r="AC30" s="11">
        <f>Z30+'Quarterly YTD'!AC30-'Quarterly YTD'!Y30</f>
        <v>-2</v>
      </c>
      <c r="AD30" s="0">
        <v>-0.804</v>
      </c>
      <c r="AE30" s="11">
        <f>AD30+'Quarterly YTD'!AE30-'Quarterly YTD'!AA30</f>
        <v>-1.05</v>
      </c>
      <c r="AF30" s="11">
        <f>AD30+'Quarterly YTD'!AF30-'Quarterly YTD'!AB30</f>
        <v>0.103</v>
      </c>
    </row>
    <row customHeight="1" ht="15">
      <c r="A31" s="9" t="s">
        <v>68</v>
      </c>
      <c r="B31" s="0">
        <v>0</v>
      </c>
      <c r="F31" s="0">
        <v>0</v>
      </c>
      <c r="G31" s="11">
        <f>F31+'Quarterly YTD'!G31-'Quarterly YTD'!C31</f>
        <v>0</v>
      </c>
      <c r="H31" s="11">
        <f>F31+'Quarterly YTD'!H31-'Quarterly YTD'!D31</f>
        <v>0</v>
      </c>
      <c r="I31" s="11">
        <f>F31+'Quarterly YTD'!I31-'Quarterly YTD'!E31</f>
        <v>0</v>
      </c>
      <c r="J31" s="0">
        <v>0</v>
      </c>
      <c r="K31" s="11">
        <f>J31+'Quarterly YTD'!K31-'Quarterly YTD'!G31</f>
        <v>0</v>
      </c>
      <c r="L31" s="11">
        <f>J31+'Quarterly YTD'!L31-'Quarterly YTD'!H31</f>
        <v>0</v>
      </c>
      <c r="M31" s="11">
        <f>J31+'Quarterly YTD'!M31-'Quarterly YTD'!I31</f>
        <v>0</v>
      </c>
      <c r="N31" s="0">
        <v>0</v>
      </c>
      <c r="O31" s="11">
        <f>N31+'Quarterly YTD'!O31-'Quarterly YTD'!K31</f>
        <v>0</v>
      </c>
      <c r="P31" s="11">
        <f>N31+'Quarterly YTD'!P31-'Quarterly YTD'!L31</f>
        <v>0</v>
      </c>
      <c r="Q31" s="11">
        <f>N31+'Quarterly YTD'!Q31-'Quarterly YTD'!M31</f>
        <v>0</v>
      </c>
      <c r="R31" s="0">
        <v>0</v>
      </c>
      <c r="S31" s="11">
        <f>R31+'Quarterly YTD'!S31-'Quarterly YTD'!O31</f>
        <v>0</v>
      </c>
      <c r="T31" s="11">
        <f>R31+'Quarterly YTD'!T31-'Quarterly YTD'!P31</f>
        <v>0</v>
      </c>
      <c r="U31" s="11">
        <f>R31+'Quarterly YTD'!U31-'Quarterly YTD'!Q31</f>
        <v>0</v>
      </c>
      <c r="V31" s="0">
        <v>0</v>
      </c>
      <c r="W31" s="11">
        <f>V31+'Quarterly YTD'!W31-'Quarterly YTD'!S31</f>
        <v>0</v>
      </c>
      <c r="X31" s="11">
        <f>V31+'Quarterly YTD'!X31-'Quarterly YTD'!T31</f>
        <v>0</v>
      </c>
      <c r="Y31" s="11">
        <f>V31+'Quarterly YTD'!Y31-'Quarterly YTD'!U31</f>
        <v>0</v>
      </c>
      <c r="Z31" s="0">
        <v>0</v>
      </c>
      <c r="AA31" s="11">
        <f>Z31+'Quarterly YTD'!AA31-'Quarterly YTD'!W31</f>
        <v>0</v>
      </c>
      <c r="AB31" s="11">
        <f>Z31+'Quarterly YTD'!AB31-'Quarterly YTD'!X31</f>
        <v>0</v>
      </c>
      <c r="AC31" s="11">
        <f>Z31+'Quarterly YTD'!AC31-'Quarterly YTD'!Y31</f>
        <v>0</v>
      </c>
      <c r="AD31" s="0">
        <v>0</v>
      </c>
      <c r="AE31" s="11">
        <f>AD31+'Quarterly YTD'!AE31-'Quarterly YTD'!AA31</f>
        <v>0</v>
      </c>
      <c r="AF31" s="11">
        <f>AD31+'Quarterly YTD'!AF31-'Quarterly YTD'!AB31</f>
        <v>0</v>
      </c>
    </row>
    <row customHeight="1" ht="15">
      <c r="A32" s="9" t="s">
        <v>69</v>
      </c>
      <c r="B32" s="0">
        <v>0.002</v>
      </c>
      <c r="F32" s="0">
        <v>-0.003</v>
      </c>
      <c r="G32" s="11">
        <f>F32+'Quarterly YTD'!G32-'Quarterly YTD'!C32</f>
        <v>-0.003</v>
      </c>
      <c r="H32" s="11">
        <f>F32+'Quarterly YTD'!H32-'Quarterly YTD'!D32</f>
        <v>-0.003</v>
      </c>
      <c r="I32" s="11">
        <f>F32+'Quarterly YTD'!I32-'Quarterly YTD'!E32</f>
        <v>-0.006</v>
      </c>
      <c r="J32" s="0">
        <v>-0.66</v>
      </c>
      <c r="K32" s="11">
        <f>J32+'Quarterly YTD'!K32-'Quarterly YTD'!G32</f>
        <v>-2.618</v>
      </c>
      <c r="L32" s="11">
        <f>J32+'Quarterly YTD'!L32-'Quarterly YTD'!H32</f>
        <v>-3.058</v>
      </c>
      <c r="M32" s="11">
        <f>J32+'Quarterly YTD'!M32-'Quarterly YTD'!I32</f>
        <v>-3.135</v>
      </c>
      <c r="N32" s="0">
        <v>-0.474</v>
      </c>
      <c r="O32" s="11">
        <f>N32+'Quarterly YTD'!O32-'Quarterly YTD'!K32</f>
        <v>7.467</v>
      </c>
      <c r="P32" s="11">
        <f>N32+'Quarterly YTD'!P32-'Quarterly YTD'!L32</f>
        <v>14.029</v>
      </c>
      <c r="Q32" s="11">
        <f>N32+'Quarterly YTD'!Q32-'Quarterly YTD'!M32</f>
        <v>20.469</v>
      </c>
      <c r="R32" s="0">
        <v>26.441</v>
      </c>
      <c r="S32" s="11">
        <f>R32+'Quarterly YTD'!S32-'Quarterly YTD'!O32</f>
        <v>26.883</v>
      </c>
      <c r="T32" s="11">
        <f>R32+'Quarterly YTD'!T32-'Quarterly YTD'!P32</f>
        <v>27.386</v>
      </c>
      <c r="U32" s="11">
        <f>R32+'Quarterly YTD'!U32-'Quarterly YTD'!Q32</f>
        <v>27.783</v>
      </c>
      <c r="V32" s="0">
        <v>26.685</v>
      </c>
      <c r="W32" s="11">
        <f>V32+'Quarterly YTD'!W32-'Quarterly YTD'!S32</f>
        <v>27.292</v>
      </c>
      <c r="X32" s="11">
        <f>V32+'Quarterly YTD'!X32-'Quarterly YTD'!T32</f>
        <v>-38.941</v>
      </c>
      <c r="Y32" s="11">
        <f>V32+'Quarterly YTD'!Y32-'Quarterly YTD'!U32</f>
        <v>-45.698</v>
      </c>
      <c r="Z32" s="0">
        <v>-52.388</v>
      </c>
      <c r="AA32" s="11">
        <f>Z32+'Quarterly YTD'!AA32-'Quarterly YTD'!W32</f>
        <v>-59.411</v>
      </c>
      <c r="AB32" s="11">
        <f>Z32+'Quarterly YTD'!AB32-'Quarterly YTD'!X32</f>
        <v>0.991</v>
      </c>
      <c r="AC32" s="11">
        <f>Z32+'Quarterly YTD'!AC32-'Quarterly YTD'!Y32</f>
        <v>0.566000000000003</v>
      </c>
      <c r="AD32" s="0">
        <v>0.01</v>
      </c>
      <c r="AE32" s="11">
        <f>AD32+'Quarterly YTD'!AE32-'Quarterly YTD'!AA32</f>
        <v>0.034</v>
      </c>
      <c r="AF32" s="11">
        <f>AD32+'Quarterly YTD'!AF32-'Quarterly YTD'!AB32</f>
        <v>-0.761</v>
      </c>
    </row>
    <row customHeight="1" ht="15">
      <c r="A33" s="9" t="s">
        <v>70</v>
      </c>
      <c r="B33" s="0">
        <v>0</v>
      </c>
      <c r="F33" s="0">
        <v>0</v>
      </c>
      <c r="G33" s="11">
        <f>F33+'Quarterly YTD'!G33-'Quarterly YTD'!C33</f>
        <v>0</v>
      </c>
      <c r="H33" s="11">
        <f>F33+'Quarterly YTD'!H33-'Quarterly YTD'!D33</f>
        <v>0</v>
      </c>
      <c r="I33" s="11">
        <f>F33+'Quarterly YTD'!I33-'Quarterly YTD'!E33</f>
        <v>0</v>
      </c>
      <c r="J33" s="0">
        <v>0</v>
      </c>
      <c r="K33" s="11">
        <f>J33+'Quarterly YTD'!K33-'Quarterly YTD'!G33</f>
        <v>0</v>
      </c>
      <c r="L33" s="11">
        <f>J33+'Quarterly YTD'!L33-'Quarterly YTD'!H33</f>
        <v>0</v>
      </c>
      <c r="M33" s="11">
        <f>J33+'Quarterly YTD'!M33-'Quarterly YTD'!I33</f>
        <v>0</v>
      </c>
      <c r="N33" s="0">
        <v>0</v>
      </c>
      <c r="O33" s="11">
        <f>N33+'Quarterly YTD'!O33-'Quarterly YTD'!K33</f>
        <v>0</v>
      </c>
      <c r="P33" s="11">
        <f>N33+'Quarterly YTD'!P33-'Quarterly YTD'!L33</f>
        <v>0</v>
      </c>
      <c r="Q33" s="11">
        <f>N33+'Quarterly YTD'!Q33-'Quarterly YTD'!M33</f>
        <v>0</v>
      </c>
      <c r="R33" s="0">
        <v>0</v>
      </c>
      <c r="S33" s="11">
        <f>R33+'Quarterly YTD'!S33-'Quarterly YTD'!O33</f>
        <v>0</v>
      </c>
      <c r="T33" s="11">
        <f>R33+'Quarterly YTD'!T33-'Quarterly YTD'!P33</f>
        <v>0</v>
      </c>
      <c r="U33" s="11">
        <f>R33+'Quarterly YTD'!U33-'Quarterly YTD'!Q33</f>
        <v>0</v>
      </c>
      <c r="V33" s="0">
        <v>0</v>
      </c>
      <c r="W33" s="11">
        <f>V33+'Quarterly YTD'!W33-'Quarterly YTD'!S33</f>
        <v>0</v>
      </c>
      <c r="X33" s="11">
        <f>V33+'Quarterly YTD'!X33-'Quarterly YTD'!T33</f>
        <v>0</v>
      </c>
      <c r="Y33" s="11">
        <f>V33+'Quarterly YTD'!Y33-'Quarterly YTD'!U33</f>
        <v>1.511</v>
      </c>
      <c r="Z33" s="0">
        <v>1.574</v>
      </c>
      <c r="AA33" s="11">
        <f>Z33+'Quarterly YTD'!AA33-'Quarterly YTD'!W33</f>
        <v>2.711</v>
      </c>
      <c r="AB33" s="11">
        <f>Z33+'Quarterly YTD'!AB33-'Quarterly YTD'!X33</f>
        <v>2.711</v>
      </c>
      <c r="AC33" s="11">
        <f>Z33+'Quarterly YTD'!AC33-'Quarterly YTD'!Y33</f>
        <v>1.2</v>
      </c>
      <c r="AD33" s="0">
        <v>1.137</v>
      </c>
      <c r="AE33" s="11">
        <f>AD33+'Quarterly YTD'!AE33-'Quarterly YTD'!AA33</f>
        <v>0</v>
      </c>
      <c r="AF33" s="11">
        <f>AD33+'Quarterly YTD'!AF33-'Quarterly YTD'!AB33</f>
        <v>0</v>
      </c>
    </row>
    <row customHeight="1" ht="15">
      <c r="A34" s="9" t="s">
        <v>71</v>
      </c>
      <c r="B34" s="0">
        <v>0</v>
      </c>
      <c r="F34" s="0">
        <v>0.06</v>
      </c>
      <c r="G34" s="11">
        <f>F34+'Quarterly YTD'!G34-'Quarterly YTD'!C34</f>
        <v>0.132</v>
      </c>
      <c r="H34" s="11">
        <f>F34+'Quarterly YTD'!H34-'Quarterly YTD'!D34</f>
        <v>0.198</v>
      </c>
      <c r="I34" s="11">
        <f>F34+'Quarterly YTD'!I34-'Quarterly YTD'!E34</f>
        <v>0.267</v>
      </c>
      <c r="J34" s="0">
        <v>0.271</v>
      </c>
      <c r="K34" s="11">
        <f>J34+'Quarterly YTD'!K34-'Quarterly YTD'!G34</f>
        <v>0.265</v>
      </c>
      <c r="L34" s="11">
        <f>J34+'Quarterly YTD'!L34-'Quarterly YTD'!H34</f>
        <v>0.265</v>
      </c>
      <c r="M34" s="11">
        <f>J34+'Quarterly YTD'!M34-'Quarterly YTD'!I34</f>
        <v>0.265</v>
      </c>
      <c r="N34" s="0">
        <v>0.265</v>
      </c>
      <c r="O34" s="11">
        <f>N34+'Quarterly YTD'!O34-'Quarterly YTD'!K34</f>
        <v>0.265</v>
      </c>
      <c r="P34" s="11">
        <f>N34+'Quarterly YTD'!P34-'Quarterly YTD'!L34</f>
        <v>0.265</v>
      </c>
      <c r="Q34" s="11">
        <f>N34+'Quarterly YTD'!Q34-'Quarterly YTD'!M34</f>
        <v>0.265</v>
      </c>
      <c r="R34" s="0">
        <v>0.265</v>
      </c>
      <c r="S34" s="11">
        <f>R34+'Quarterly YTD'!S34-'Quarterly YTD'!O34</f>
        <v>0.265</v>
      </c>
      <c r="T34" s="11">
        <f>R34+'Quarterly YTD'!T34-'Quarterly YTD'!P34</f>
        <v>0.266</v>
      </c>
      <c r="U34" s="11">
        <f>R34+'Quarterly YTD'!U34-'Quarterly YTD'!Q34</f>
        <v>0.265</v>
      </c>
      <c r="V34" s="0">
        <v>1.134</v>
      </c>
      <c r="W34" s="11">
        <f>V34+'Quarterly YTD'!W34-'Quarterly YTD'!S34</f>
        <v>1.272</v>
      </c>
      <c r="X34" s="11">
        <f>V34+'Quarterly YTD'!X34-'Quarterly YTD'!T34</f>
        <v>1.408</v>
      </c>
      <c r="Y34" s="11">
        <f>V34+'Quarterly YTD'!Y34-'Quarterly YTD'!U34</f>
        <v>1.547</v>
      </c>
      <c r="Z34" s="0">
        <v>0</v>
      </c>
      <c r="AA34" s="11">
        <f>Z34+'Quarterly YTD'!AA34-'Quarterly YTD'!W34</f>
        <v>-0.204</v>
      </c>
      <c r="AB34" s="11">
        <f>Z34+'Quarterly YTD'!AB34-'Quarterly YTD'!X34</f>
        <v>-0.407</v>
      </c>
      <c r="AC34" s="11">
        <f>Z34+'Quarterly YTD'!AC34-'Quarterly YTD'!Y34</f>
        <v>-0.612</v>
      </c>
      <c r="AD34" s="0">
        <v>0</v>
      </c>
      <c r="AE34" s="11">
        <f>AD34+'Quarterly YTD'!AE34-'Quarterly YTD'!AA34</f>
        <v>0</v>
      </c>
      <c r="AF34" s="11">
        <f>AD34+'Quarterly YTD'!AF34-'Quarterly YTD'!AB34</f>
        <v>0</v>
      </c>
    </row>
    <row customHeight="1" ht="15">
      <c r="A35" s="9" t="s">
        <v>72</v>
      </c>
      <c r="B35" s="0">
        <v>0.108</v>
      </c>
      <c r="F35" s="0">
        <v>-0.879</v>
      </c>
      <c r="G35" s="11">
        <f>F35+'Quarterly YTD'!G35-'Quarterly YTD'!C35</f>
        <v>-0.318</v>
      </c>
      <c r="H35" s="11">
        <f>F35+'Quarterly YTD'!H35-'Quarterly YTD'!D35</f>
        <v>-0.95</v>
      </c>
      <c r="I35" s="11">
        <f>F35+'Quarterly YTD'!I35-'Quarterly YTD'!E35</f>
        <v>0.816</v>
      </c>
      <c r="J35" s="0">
        <v>0.588</v>
      </c>
      <c r="K35" s="11">
        <f>J35+'Quarterly YTD'!K35-'Quarterly YTD'!G35</f>
        <v>0.744</v>
      </c>
      <c r="L35" s="11">
        <f>J35+'Quarterly YTD'!L35-'Quarterly YTD'!H35</f>
        <v>1.111</v>
      </c>
      <c r="M35" s="11">
        <f>J35+'Quarterly YTD'!M35-'Quarterly YTD'!I35</f>
        <v>2.928</v>
      </c>
      <c r="N35" s="0">
        <v>-4.902</v>
      </c>
      <c r="O35" s="11">
        <f>N35+'Quarterly YTD'!O35-'Quarterly YTD'!K35</f>
        <v>-20.442</v>
      </c>
      <c r="P35" s="11">
        <f>N35+'Quarterly YTD'!P35-'Quarterly YTD'!L35</f>
        <v>-20.612</v>
      </c>
      <c r="Q35" s="11">
        <f>N35+'Quarterly YTD'!Q35-'Quarterly YTD'!M35</f>
        <v>-37.57</v>
      </c>
      <c r="R35" s="0">
        <v>-14.615</v>
      </c>
      <c r="S35" s="11">
        <f>R35+'Quarterly YTD'!S35-'Quarterly YTD'!O35</f>
        <v>0.846</v>
      </c>
      <c r="T35" s="11">
        <f>R35+'Quarterly YTD'!T35-'Quarterly YTD'!P35</f>
        <v>0.638</v>
      </c>
      <c r="U35" s="11">
        <f>R35+'Quarterly YTD'!U35-'Quarterly YTD'!Q35</f>
        <v>14.915</v>
      </c>
      <c r="V35" s="0">
        <v>-8.391</v>
      </c>
      <c r="W35" s="11">
        <f>V35+'Quarterly YTD'!W35-'Quarterly YTD'!S35</f>
        <v>-17.659</v>
      </c>
      <c r="X35" s="11">
        <f>V35+'Quarterly YTD'!X35-'Quarterly YTD'!T35</f>
        <v>-20.263</v>
      </c>
      <c r="Y35" s="11">
        <f>V35+'Quarterly YTD'!Y35-'Quarterly YTD'!U35</f>
        <v>-25.061</v>
      </c>
      <c r="Z35" s="0">
        <v>-14.771</v>
      </c>
      <c r="AA35" s="11">
        <f>Z35+'Quarterly YTD'!AA35-'Quarterly YTD'!W35</f>
        <v>-5.851</v>
      </c>
      <c r="AB35" s="11">
        <f>Z35+'Quarterly YTD'!AB35-'Quarterly YTD'!X35</f>
        <v>-5.792</v>
      </c>
      <c r="AC35" s="11">
        <f>Z35+'Quarterly YTD'!AC35-'Quarterly YTD'!Y35</f>
        <v>-0.934000000000001</v>
      </c>
      <c r="AD35" s="0">
        <v>-1.151</v>
      </c>
      <c r="AE35" s="11">
        <f>AD35+'Quarterly YTD'!AE35-'Quarterly YTD'!AA35</f>
        <v>-1.331</v>
      </c>
      <c r="AF35" s="11">
        <f>AD35+'Quarterly YTD'!AF35-'Quarterly YTD'!AB35</f>
        <v>1.131</v>
      </c>
    </row>
    <row customHeight="1" ht="15">
      <c r="A36" s="9" t="s">
        <v>73</v>
      </c>
      <c r="B36" s="0">
        <v>0</v>
      </c>
      <c r="F36" s="0">
        <v>0</v>
      </c>
      <c r="G36" s="11">
        <f>F36+'Quarterly YTD'!G36-'Quarterly YTD'!C36</f>
        <v>0</v>
      </c>
      <c r="H36" s="11">
        <f>F36+'Quarterly YTD'!H36-'Quarterly YTD'!D36</f>
        <v>4.169</v>
      </c>
      <c r="I36" s="11">
        <f>F36+'Quarterly YTD'!I36-'Quarterly YTD'!E36</f>
        <v>-8.174</v>
      </c>
      <c r="J36" s="0">
        <v>0</v>
      </c>
      <c r="K36" s="11">
        <f>J36+'Quarterly YTD'!K36-'Quarterly YTD'!G36</f>
        <v>0</v>
      </c>
      <c r="L36" s="11">
        <f>J36+'Quarterly YTD'!L36-'Quarterly YTD'!H36</f>
        <v>-4.169</v>
      </c>
      <c r="M36" s="11">
        <f>J36+'Quarterly YTD'!M36-'Quarterly YTD'!I36</f>
        <v>8.174</v>
      </c>
      <c r="N36" s="0">
        <v>0</v>
      </c>
      <c r="O36" s="11">
        <f>N36+'Quarterly YTD'!O36-'Quarterly YTD'!K36</f>
        <v>0</v>
      </c>
      <c r="P36" s="11">
        <f>N36+'Quarterly YTD'!P36-'Quarterly YTD'!L36</f>
        <v>0</v>
      </c>
      <c r="Q36" s="11">
        <f>N36+'Quarterly YTD'!Q36-'Quarterly YTD'!M36</f>
        <v>0</v>
      </c>
      <c r="R36" s="0">
        <v>0</v>
      </c>
      <c r="S36" s="11">
        <f>R36+'Quarterly YTD'!S36-'Quarterly YTD'!O36</f>
        <v>0</v>
      </c>
      <c r="T36" s="11">
        <f>R36+'Quarterly YTD'!T36-'Quarterly YTD'!P36</f>
        <v>0</v>
      </c>
      <c r="U36" s="11">
        <f>R36+'Quarterly YTD'!U36-'Quarterly YTD'!Q36</f>
        <v>0</v>
      </c>
      <c r="V36" s="0">
        <v>0</v>
      </c>
      <c r="W36" s="11">
        <f>V36+'Quarterly YTD'!W36-'Quarterly YTD'!S36</f>
        <v>0</v>
      </c>
      <c r="X36" s="11">
        <f>V36+'Quarterly YTD'!X36-'Quarterly YTD'!T36</f>
        <v>0</v>
      </c>
      <c r="Y36" s="11">
        <f>V36+'Quarterly YTD'!Y36-'Quarterly YTD'!U36</f>
        <v>0</v>
      </c>
      <c r="Z36" s="0">
        <v>0</v>
      </c>
      <c r="AA36" s="11">
        <f>Z36+'Quarterly YTD'!AA36-'Quarterly YTD'!W36</f>
        <v>0</v>
      </c>
      <c r="AB36" s="11">
        <f>Z36+'Quarterly YTD'!AB36-'Quarterly YTD'!X36</f>
        <v>0</v>
      </c>
      <c r="AC36" s="11">
        <f>Z36+'Quarterly YTD'!AC36-'Quarterly YTD'!Y36</f>
        <v>0</v>
      </c>
      <c r="AD36" s="0">
        <v>0</v>
      </c>
      <c r="AE36" s="11">
        <f>AD36+'Quarterly YTD'!AE36-'Quarterly YTD'!AA36</f>
        <v>0</v>
      </c>
      <c r="AF36" s="11">
        <f>AD36+'Quarterly YTD'!AF36-'Quarterly YTD'!AB36</f>
        <v>0</v>
      </c>
    </row>
    <row customHeight="1" ht="15">
      <c r="A37" s="9" t="s">
        <v>74</v>
      </c>
      <c r="B37" s="0">
        <v>0</v>
      </c>
      <c r="F37" s="0">
        <v>0</v>
      </c>
      <c r="G37" s="11">
        <f>F37+'Quarterly YTD'!G37-'Quarterly YTD'!C37</f>
        <v>0</v>
      </c>
      <c r="H37" s="11">
        <f>F37+'Quarterly YTD'!H37-'Quarterly YTD'!D37</f>
        <v>0</v>
      </c>
      <c r="I37" s="11">
        <f>F37+'Quarterly YTD'!I37-'Quarterly YTD'!E37</f>
        <v>0</v>
      </c>
      <c r="J37" s="0">
        <v>2.832</v>
      </c>
      <c r="K37" s="11">
        <f>J37+'Quarterly YTD'!K37-'Quarterly YTD'!G37</f>
        <v>2.832</v>
      </c>
      <c r="L37" s="11">
        <f>J37+'Quarterly YTD'!L37-'Quarterly YTD'!H37</f>
        <v>2.832</v>
      </c>
      <c r="M37" s="11">
        <f>J37+'Quarterly YTD'!M37-'Quarterly YTD'!I37</f>
        <v>2.832</v>
      </c>
      <c r="N37" s="0">
        <v>0.378</v>
      </c>
      <c r="O37" s="11">
        <f>N37+'Quarterly YTD'!O37-'Quarterly YTD'!K37</f>
        <v>0.378</v>
      </c>
      <c r="P37" s="11">
        <f>N37+'Quarterly YTD'!P37-'Quarterly YTD'!L37</f>
        <v>0.378</v>
      </c>
      <c r="Q37" s="11">
        <f>N37+'Quarterly YTD'!Q37-'Quarterly YTD'!M37</f>
        <v>0.378</v>
      </c>
      <c r="R37" s="0">
        <v>0.05</v>
      </c>
      <c r="S37" s="11">
        <f>R37+'Quarterly YTD'!S37-'Quarterly YTD'!O37</f>
        <v>0.05</v>
      </c>
      <c r="T37" s="11">
        <f>R37+'Quarterly YTD'!T37-'Quarterly YTD'!P37</f>
        <v>0.05</v>
      </c>
      <c r="U37" s="11">
        <f>R37+'Quarterly YTD'!U37-'Quarterly YTD'!Q37</f>
        <v>0.05</v>
      </c>
      <c r="V37" s="0">
        <v>0</v>
      </c>
      <c r="W37" s="11">
        <f>V37+'Quarterly YTD'!W37-'Quarterly YTD'!S37</f>
        <v>0</v>
      </c>
      <c r="X37" s="11">
        <f>V37+'Quarterly YTD'!X37-'Quarterly YTD'!T37</f>
        <v>0</v>
      </c>
      <c r="Y37" s="11">
        <f>V37+'Quarterly YTD'!Y37-'Quarterly YTD'!U37</f>
        <v>0</v>
      </c>
      <c r="Z37" s="0">
        <v>0</v>
      </c>
      <c r="AA37" s="11">
        <f>Z37+'Quarterly YTD'!AA37-'Quarterly YTD'!W37</f>
        <v>0</v>
      </c>
      <c r="AB37" s="11">
        <f>Z37+'Quarterly YTD'!AB37-'Quarterly YTD'!X37</f>
        <v>0</v>
      </c>
      <c r="AC37" s="11">
        <f>Z37+'Quarterly YTD'!AC37-'Quarterly YTD'!Y37</f>
        <v>0</v>
      </c>
      <c r="AD37" s="0">
        <v>0</v>
      </c>
      <c r="AE37" s="11">
        <f>AD37+'Quarterly YTD'!AE37-'Quarterly YTD'!AA37</f>
        <v>0</v>
      </c>
      <c r="AF37" s="11">
        <f>AD37+'Quarterly YTD'!AF37-'Quarterly YTD'!AB37</f>
        <v>0</v>
      </c>
    </row>
    <row customHeight="1" ht="15">
      <c r="A38" s="9" t="s">
        <v>75</v>
      </c>
      <c r="B38" s="0">
        <v>0</v>
      </c>
      <c r="F38" s="0">
        <v>0</v>
      </c>
      <c r="G38" s="11">
        <f>F38+'Quarterly YTD'!G38-'Quarterly YTD'!C38</f>
        <v>0</v>
      </c>
      <c r="H38" s="11">
        <f>F38+'Quarterly YTD'!H38-'Quarterly YTD'!D38</f>
        <v>0</v>
      </c>
      <c r="I38" s="11">
        <f>F38+'Quarterly YTD'!I38-'Quarterly YTD'!E38</f>
        <v>0</v>
      </c>
      <c r="J38" s="0">
        <v>-13.896</v>
      </c>
      <c r="K38" s="11">
        <f>J38+'Quarterly YTD'!K38-'Quarterly YTD'!G38</f>
        <v>-20.639</v>
      </c>
      <c r="L38" s="11">
        <f>J38+'Quarterly YTD'!L38-'Quarterly YTD'!H38</f>
        <v>-24.016</v>
      </c>
      <c r="M38" s="11">
        <f>J38+'Quarterly YTD'!M38-'Quarterly YTD'!I38</f>
        <v>-24.681</v>
      </c>
      <c r="N38" s="0">
        <v>-13.518</v>
      </c>
      <c r="O38" s="11">
        <f>N38+'Quarterly YTD'!O38-'Quarterly YTD'!K38</f>
        <v>-6.659</v>
      </c>
      <c r="P38" s="11">
        <f>N38+'Quarterly YTD'!P38-'Quarterly YTD'!L38</f>
        <v>-4.262</v>
      </c>
      <c r="Q38" s="11">
        <f>N38+'Quarterly YTD'!Q38-'Quarterly YTD'!M38</f>
        <v>-3.505</v>
      </c>
      <c r="R38" s="0">
        <v>-6.446</v>
      </c>
      <c r="S38" s="11">
        <f>R38+'Quarterly YTD'!S38-'Quarterly YTD'!O38</f>
        <v>-6.638</v>
      </c>
      <c r="T38" s="11">
        <f>R38+'Quarterly YTD'!T38-'Quarterly YTD'!P38</f>
        <v>-6.42</v>
      </c>
      <c r="U38" s="11">
        <f>R38+'Quarterly YTD'!U38-'Quarterly YTD'!Q38</f>
        <v>-7.061</v>
      </c>
      <c r="V38" s="0">
        <v>-1.733</v>
      </c>
      <c r="W38" s="11">
        <f>V38+'Quarterly YTD'!W38-'Quarterly YTD'!S38</f>
        <v>-2.135</v>
      </c>
      <c r="X38" s="11">
        <f>V38+'Quarterly YTD'!X38-'Quarterly YTD'!T38</f>
        <v>-1.602</v>
      </c>
      <c r="Y38" s="11">
        <f>V38+'Quarterly YTD'!Y38-'Quarterly YTD'!U38</f>
        <v>-1.367</v>
      </c>
      <c r="Z38" s="0">
        <v>-1.929</v>
      </c>
      <c r="AA38" s="11">
        <f>Z38+'Quarterly YTD'!AA38-'Quarterly YTD'!W38</f>
        <v>-1.744</v>
      </c>
      <c r="AB38" s="11">
        <f>Z38+'Quarterly YTD'!AB38-'Quarterly YTD'!X38</f>
        <v>-6.007</v>
      </c>
      <c r="AC38" s="11">
        <f>Z38+'Quarterly YTD'!AC38-'Quarterly YTD'!Y38</f>
        <v>-5.018</v>
      </c>
      <c r="AD38" s="0">
        <v>-4.721</v>
      </c>
      <c r="AE38" s="11">
        <f>AD38+'Quarterly YTD'!AE38-'Quarterly YTD'!AA38</f>
        <v>-4.393</v>
      </c>
      <c r="AF38" s="11">
        <f>AD38+'Quarterly YTD'!AF38-'Quarterly YTD'!AB38</f>
        <v>-17.576</v>
      </c>
    </row>
    <row customHeight="1" ht="15">
      <c r="A39" s="9" t="s">
        <v>76</v>
      </c>
      <c r="B39" s="0">
        <v>0</v>
      </c>
      <c r="F39" s="0">
        <v>0</v>
      </c>
      <c r="G39" s="11">
        <f>F39+'Quarterly YTD'!G39-'Quarterly YTD'!C39</f>
        <v>0</v>
      </c>
      <c r="H39" s="11">
        <f>F39+'Quarterly YTD'!H39-'Quarterly YTD'!D39</f>
        <v>0</v>
      </c>
      <c r="I39" s="11">
        <f>F39+'Quarterly YTD'!I39-'Quarterly YTD'!E39</f>
        <v>0</v>
      </c>
      <c r="J39" s="0">
        <v>0</v>
      </c>
      <c r="K39" s="11">
        <f>J39+'Quarterly YTD'!K39-'Quarterly YTD'!G39</f>
        <v>0</v>
      </c>
      <c r="L39" s="11">
        <f>J39+'Quarterly YTD'!L39-'Quarterly YTD'!H39</f>
        <v>0</v>
      </c>
      <c r="M39" s="11">
        <f>J39+'Quarterly YTD'!M39-'Quarterly YTD'!I39</f>
        <v>0</v>
      </c>
      <c r="N39" s="0">
        <v>0</v>
      </c>
      <c r="O39" s="11">
        <f>N39+'Quarterly YTD'!O39-'Quarterly YTD'!K39</f>
        <v>0</v>
      </c>
      <c r="P39" s="11">
        <f>N39+'Quarterly YTD'!P39-'Quarterly YTD'!L39</f>
        <v>0</v>
      </c>
      <c r="Q39" s="11">
        <f>N39+'Quarterly YTD'!Q39-'Quarterly YTD'!M39</f>
        <v>0</v>
      </c>
      <c r="R39" s="0">
        <v>0</v>
      </c>
      <c r="S39" s="11">
        <f>R39+'Quarterly YTD'!S39-'Quarterly YTD'!O39</f>
        <v>0</v>
      </c>
      <c r="T39" s="11">
        <f>R39+'Quarterly YTD'!T39-'Quarterly YTD'!P39</f>
        <v>0</v>
      </c>
      <c r="U39" s="11">
        <f>R39+'Quarterly YTD'!U39-'Quarterly YTD'!Q39</f>
        <v>0</v>
      </c>
      <c r="V39" s="0">
        <v>0</v>
      </c>
      <c r="W39" s="11">
        <f>V39+'Quarterly YTD'!W39-'Quarterly YTD'!S39</f>
        <v>0</v>
      </c>
      <c r="X39" s="11">
        <f>V39+'Quarterly YTD'!X39-'Quarterly YTD'!T39</f>
        <v>0</v>
      </c>
      <c r="Y39" s="11">
        <f>V39+'Quarterly YTD'!Y39-'Quarterly YTD'!U39</f>
        <v>0</v>
      </c>
      <c r="Z39" s="0">
        <v>0</v>
      </c>
      <c r="AA39" s="11">
        <f>Z39+'Quarterly YTD'!AA39-'Quarterly YTD'!W39</f>
        <v>0</v>
      </c>
      <c r="AB39" s="11">
        <f>Z39+'Quarterly YTD'!AB39-'Quarterly YTD'!X39</f>
        <v>0</v>
      </c>
      <c r="AC39" s="11">
        <f>Z39+'Quarterly YTD'!AC39-'Quarterly YTD'!Y39</f>
        <v>0</v>
      </c>
      <c r="AD39" s="0">
        <v>0</v>
      </c>
      <c r="AE39" s="11">
        <f>AD39+'Quarterly YTD'!AE39-'Quarterly YTD'!AA39</f>
        <v>0</v>
      </c>
      <c r="AF39" s="11">
        <f>AD39+'Quarterly YTD'!AF39-'Quarterly YTD'!AB39</f>
        <v>0</v>
      </c>
    </row>
    <row customHeight="1" ht="15">
      <c r="A40" s="9" t="s">
        <v>77</v>
      </c>
      <c r="B40" s="0">
        <v>0</v>
      </c>
      <c r="F40" s="0">
        <v>0</v>
      </c>
      <c r="G40" s="11">
        <f>F40+'Quarterly YTD'!G40-'Quarterly YTD'!C40</f>
        <v>0</v>
      </c>
      <c r="H40" s="11">
        <f>F40+'Quarterly YTD'!H40-'Quarterly YTD'!D40</f>
        <v>0</v>
      </c>
      <c r="I40" s="11">
        <f>F40+'Quarterly YTD'!I40-'Quarterly YTD'!E40</f>
        <v>0</v>
      </c>
      <c r="J40" s="0">
        <v>0</v>
      </c>
      <c r="K40" s="11">
        <f>J40+'Quarterly YTD'!K40-'Quarterly YTD'!G40</f>
        <v>0</v>
      </c>
      <c r="L40" s="11">
        <f>J40+'Quarterly YTD'!L40-'Quarterly YTD'!H40</f>
        <v>0</v>
      </c>
      <c r="M40" s="11">
        <f>J40+'Quarterly YTD'!M40-'Quarterly YTD'!I40</f>
        <v>0</v>
      </c>
      <c r="N40" s="0">
        <v>0</v>
      </c>
      <c r="O40" s="11">
        <f>N40+'Quarterly YTD'!O40-'Quarterly YTD'!K40</f>
        <v>0</v>
      </c>
      <c r="P40" s="11">
        <f>N40+'Quarterly YTD'!P40-'Quarterly YTD'!L40</f>
        <v>0</v>
      </c>
      <c r="Q40" s="11">
        <f>N40+'Quarterly YTD'!Q40-'Quarterly YTD'!M40</f>
        <v>0</v>
      </c>
      <c r="R40" s="0">
        <v>0</v>
      </c>
      <c r="S40" s="11">
        <f>R40+'Quarterly YTD'!S40-'Quarterly YTD'!O40</f>
        <v>0</v>
      </c>
      <c r="T40" s="11">
        <f>R40+'Quarterly YTD'!T40-'Quarterly YTD'!P40</f>
        <v>0</v>
      </c>
      <c r="U40" s="11">
        <f>R40+'Quarterly YTD'!U40-'Quarterly YTD'!Q40</f>
        <v>0</v>
      </c>
      <c r="V40" s="0">
        <v>0</v>
      </c>
      <c r="W40" s="11">
        <f>V40+'Quarterly YTD'!W40-'Quarterly YTD'!S40</f>
        <v>0</v>
      </c>
      <c r="X40" s="11">
        <f>V40+'Quarterly YTD'!X40-'Quarterly YTD'!T40</f>
        <v>0</v>
      </c>
      <c r="Y40" s="11">
        <f>V40+'Quarterly YTD'!Y40-'Quarterly YTD'!U40</f>
        <v>0</v>
      </c>
      <c r="Z40" s="0">
        <v>0.468</v>
      </c>
      <c r="AA40" s="11">
        <f>Z40+'Quarterly YTD'!AA40-'Quarterly YTD'!W40</f>
        <v>0.468</v>
      </c>
      <c r="AB40" s="11">
        <f>Z40+'Quarterly YTD'!AB40-'Quarterly YTD'!X40</f>
        <v>0.468</v>
      </c>
      <c r="AC40" s="11">
        <f>Z40+'Quarterly YTD'!AC40-'Quarterly YTD'!Y40</f>
        <v>0.468</v>
      </c>
      <c r="AD40" s="0">
        <v>0</v>
      </c>
      <c r="AE40" s="11">
        <f>AD40+'Quarterly YTD'!AE40-'Quarterly YTD'!AA40</f>
        <v>0</v>
      </c>
      <c r="AF40" s="11">
        <f>AD40+'Quarterly YTD'!AF40-'Quarterly YTD'!AB40</f>
        <v>0</v>
      </c>
    </row>
    <row customHeight="1" ht="15">
      <c r="A41" s="9" t="s">
        <v>78</v>
      </c>
      <c r="B41" s="0">
        <v>0</v>
      </c>
      <c r="F41" s="0">
        <v>0</v>
      </c>
      <c r="G41" s="11">
        <f>F41+'Quarterly YTD'!G41-'Quarterly YTD'!C41</f>
        <v>0</v>
      </c>
      <c r="H41" s="11">
        <f>F41+'Quarterly YTD'!H41-'Quarterly YTD'!D41</f>
        <v>0</v>
      </c>
      <c r="I41" s="11">
        <f>F41+'Quarterly YTD'!I41-'Quarterly YTD'!E41</f>
        <v>0</v>
      </c>
      <c r="J41" s="0">
        <v>0</v>
      </c>
      <c r="K41" s="11">
        <f>J41+'Quarterly YTD'!K41-'Quarterly YTD'!G41</f>
        <v>0</v>
      </c>
      <c r="L41" s="11">
        <f>J41+'Quarterly YTD'!L41-'Quarterly YTD'!H41</f>
        <v>0</v>
      </c>
      <c r="M41" s="11">
        <f>J41+'Quarterly YTD'!M41-'Quarterly YTD'!I41</f>
        <v>0</v>
      </c>
      <c r="N41" s="0">
        <v>0</v>
      </c>
      <c r="O41" s="11">
        <f>N41+'Quarterly YTD'!O41-'Quarterly YTD'!K41</f>
        <v>0</v>
      </c>
      <c r="P41" s="11">
        <f>N41+'Quarterly YTD'!P41-'Quarterly YTD'!L41</f>
        <v>0</v>
      </c>
      <c r="Q41" s="11">
        <f>N41+'Quarterly YTD'!Q41-'Quarterly YTD'!M41</f>
        <v>0</v>
      </c>
      <c r="R41" s="0">
        <v>0</v>
      </c>
      <c r="S41" s="11">
        <f>R41+'Quarterly YTD'!S41-'Quarterly YTD'!O41</f>
        <v>0</v>
      </c>
      <c r="T41" s="11">
        <f>R41+'Quarterly YTD'!T41-'Quarterly YTD'!P41</f>
        <v>0</v>
      </c>
      <c r="U41" s="11">
        <f>R41+'Quarterly YTD'!U41-'Quarterly YTD'!Q41</f>
        <v>0</v>
      </c>
      <c r="V41" s="0">
        <v>0</v>
      </c>
      <c r="W41" s="11">
        <f>V41+'Quarterly YTD'!W41-'Quarterly YTD'!S41</f>
        <v>0</v>
      </c>
      <c r="X41" s="11">
        <f>V41+'Quarterly YTD'!X41-'Quarterly YTD'!T41</f>
        <v>-3.219</v>
      </c>
      <c r="Y41" s="11">
        <f>V41+'Quarterly YTD'!Y41-'Quarterly YTD'!U41</f>
        <v>-3.219</v>
      </c>
      <c r="Z41" s="0">
        <v>-3.262</v>
      </c>
      <c r="AA41" s="11">
        <f>Z41+'Quarterly YTD'!AA41-'Quarterly YTD'!W41</f>
        <v>-1.541</v>
      </c>
      <c r="AB41" s="11">
        <f>Z41+'Quarterly YTD'!AB41-'Quarterly YTD'!X41</f>
        <v>1.678</v>
      </c>
      <c r="AC41" s="11">
        <f>Z41+'Quarterly YTD'!AC41-'Quarterly YTD'!Y41</f>
        <v>1.671</v>
      </c>
      <c r="AD41" s="0">
        <v>1.714</v>
      </c>
      <c r="AE41" s="11">
        <f>AD41+'Quarterly YTD'!AE41-'Quarterly YTD'!AA41</f>
        <v>-0.052</v>
      </c>
      <c r="AF41" s="11">
        <f>AD41+'Quarterly YTD'!AF41-'Quarterly YTD'!AB41</f>
        <v>-0.039</v>
      </c>
    </row>
    <row customHeight="1" ht="15">
      <c r="A42" s="9" t="s">
        <v>79</v>
      </c>
      <c r="B42" s="0">
        <v>0</v>
      </c>
      <c r="F42" s="0">
        <v>0</v>
      </c>
      <c r="G42" s="11">
        <f>F42+'Quarterly YTD'!G42-'Quarterly YTD'!C42</f>
        <v>0</v>
      </c>
      <c r="H42" s="11">
        <f>F42+'Quarterly YTD'!H42-'Quarterly YTD'!D42</f>
        <v>-3.772</v>
      </c>
      <c r="I42" s="11">
        <f>F42+'Quarterly YTD'!I42-'Quarterly YTD'!E42</f>
        <v>-4.533</v>
      </c>
      <c r="J42" s="0">
        <v>-6.073</v>
      </c>
      <c r="K42" s="11">
        <f>J42+'Quarterly YTD'!K42-'Quarterly YTD'!G42</f>
        <v>-6.122</v>
      </c>
      <c r="L42" s="11">
        <f>J42+'Quarterly YTD'!L42-'Quarterly YTD'!H42</f>
        <v>-2.252</v>
      </c>
      <c r="M42" s="11">
        <f>J42+'Quarterly YTD'!M42-'Quarterly YTD'!I42</f>
        <v>-1.58</v>
      </c>
      <c r="N42" s="0">
        <v>-0.04</v>
      </c>
      <c r="O42" s="11">
        <f>N42+'Quarterly YTD'!O42-'Quarterly YTD'!K42</f>
        <v>-0.029</v>
      </c>
      <c r="P42" s="11">
        <f>N42+'Quarterly YTD'!P42-'Quarterly YTD'!L42</f>
        <v>-0.223</v>
      </c>
      <c r="Q42" s="11">
        <f>N42+'Quarterly YTD'!Q42-'Quarterly YTD'!M42</f>
        <v>-2.299</v>
      </c>
      <c r="R42" s="0">
        <v>-2.241</v>
      </c>
      <c r="S42" s="11">
        <f>R42+'Quarterly YTD'!S42-'Quarterly YTD'!O42</f>
        <v>-2.203</v>
      </c>
      <c r="T42" s="11">
        <f>R42+'Quarterly YTD'!T42-'Quarterly YTD'!P42</f>
        <v>-2.606</v>
      </c>
      <c r="U42" s="11">
        <f>R42+'Quarterly YTD'!U42-'Quarterly YTD'!Q42</f>
        <v>-0.44</v>
      </c>
      <c r="V42" s="0">
        <v>-0.498</v>
      </c>
      <c r="W42" s="11">
        <f>V42+'Quarterly YTD'!W42-'Quarterly YTD'!S42</f>
        <v>-0.498</v>
      </c>
      <c r="X42" s="11">
        <f>V42+'Quarterly YTD'!X42-'Quarterly YTD'!T42</f>
        <v>0.001</v>
      </c>
      <c r="Y42" s="11">
        <f>V42+'Quarterly YTD'!Y42-'Quarterly YTD'!U42</f>
        <v>0</v>
      </c>
      <c r="Z42" s="0">
        <v>0</v>
      </c>
      <c r="AA42" s="11">
        <f>Z42+'Quarterly YTD'!AA42-'Quarterly YTD'!W42</f>
        <v>0</v>
      </c>
      <c r="AB42" s="11">
        <f>Z42+'Quarterly YTD'!AB42-'Quarterly YTD'!X42</f>
        <v>0</v>
      </c>
      <c r="AC42" s="11">
        <f>Z42+'Quarterly YTD'!AC42-'Quarterly YTD'!Y42</f>
        <v>0</v>
      </c>
      <c r="AD42" s="0">
        <v>0</v>
      </c>
      <c r="AE42" s="11">
        <f>AD42+'Quarterly YTD'!AE42-'Quarterly YTD'!AA42</f>
        <v>0</v>
      </c>
      <c r="AF42" s="11">
        <f>AD42+'Quarterly YTD'!AF42-'Quarterly YTD'!AB42</f>
        <v>0</v>
      </c>
    </row>
    <row customHeight="1" ht="15">
      <c r="A43" s="9" t="s">
        <v>80</v>
      </c>
      <c r="B43" s="0">
        <v>-0.166</v>
      </c>
      <c r="F43" s="0">
        <v>0</v>
      </c>
      <c r="G43" s="11">
        <f>F43+'Quarterly YTD'!G43-'Quarterly YTD'!C43</f>
        <v>0</v>
      </c>
      <c r="H43" s="11">
        <f>F43+'Quarterly YTD'!H43-'Quarterly YTD'!D43</f>
        <v>-2.68</v>
      </c>
      <c r="I43" s="11">
        <f>F43+'Quarterly YTD'!I43-'Quarterly YTD'!E43</f>
        <v>-2.68</v>
      </c>
      <c r="J43" s="0">
        <v>-3.829</v>
      </c>
      <c r="K43" s="11">
        <f>J43+'Quarterly YTD'!K43-'Quarterly YTD'!G43</f>
        <v>-3.829</v>
      </c>
      <c r="L43" s="11">
        <f>J43+'Quarterly YTD'!L43-'Quarterly YTD'!H43</f>
        <v>-1.149</v>
      </c>
      <c r="M43" s="11">
        <f>J43+'Quarterly YTD'!M43-'Quarterly YTD'!I43</f>
        <v>-6.279</v>
      </c>
      <c r="N43" s="0">
        <v>-5.13</v>
      </c>
      <c r="O43" s="11">
        <f>N43+'Quarterly YTD'!O43-'Quarterly YTD'!K43</f>
        <v>-8.098</v>
      </c>
      <c r="P43" s="11">
        <f>N43+'Quarterly YTD'!P43-'Quarterly YTD'!L43</f>
        <v>-8.063</v>
      </c>
      <c r="Q43" s="11">
        <f>N43+'Quarterly YTD'!Q43-'Quarterly YTD'!M43</f>
        <v>-2.981</v>
      </c>
      <c r="R43" s="0">
        <v>-2.396</v>
      </c>
      <c r="S43" s="11">
        <f>R43+'Quarterly YTD'!S43-'Quarterly YTD'!O43</f>
        <v>-6.617</v>
      </c>
      <c r="T43" s="11">
        <f>R43+'Quarterly YTD'!T43-'Quarterly YTD'!P43</f>
        <v>-6.652</v>
      </c>
      <c r="U43" s="11">
        <f>R43+'Quarterly YTD'!U43-'Quarterly YTD'!Q43</f>
        <v>-7.575</v>
      </c>
      <c r="V43" s="0">
        <v>-9.853</v>
      </c>
      <c r="W43" s="11">
        <f>V43+'Quarterly YTD'!W43-'Quarterly YTD'!S43</f>
        <v>-2.664</v>
      </c>
      <c r="X43" s="11">
        <f>V43+'Quarterly YTD'!X43-'Quarterly YTD'!T43</f>
        <v>-2.664</v>
      </c>
      <c r="Y43" s="11">
        <f>V43+'Quarterly YTD'!Y43-'Quarterly YTD'!U43</f>
        <v>-1.693</v>
      </c>
      <c r="Z43" s="0">
        <v>0</v>
      </c>
      <c r="AA43" s="11">
        <f>Z43+'Quarterly YTD'!AA43-'Quarterly YTD'!W43</f>
        <v>0</v>
      </c>
      <c r="AB43" s="11">
        <f>Z43+'Quarterly YTD'!AB43-'Quarterly YTD'!X43</f>
        <v>0</v>
      </c>
      <c r="AC43" s="11">
        <f>Z43+'Quarterly YTD'!AC43-'Quarterly YTD'!Y43</f>
        <v>-2.293</v>
      </c>
      <c r="AD43" s="0">
        <v>-204.806</v>
      </c>
      <c r="AE43" s="11">
        <f>AD43+'Quarterly YTD'!AE43-'Quarterly YTD'!AA43</f>
        <v>-204.806</v>
      </c>
      <c r="AF43" s="11">
        <f>AD43+'Quarterly YTD'!AF43-'Quarterly YTD'!AB43</f>
        <v>-245.079</v>
      </c>
    </row>
    <row customHeight="1" ht="15">
      <c r="A44" s="9" t="s">
        <v>81</v>
      </c>
      <c r="B44" s="0">
        <v>0</v>
      </c>
      <c r="F44" s="0">
        <v>0</v>
      </c>
      <c r="G44" s="11">
        <f>F44+'Quarterly YTD'!G44-'Quarterly YTD'!C44</f>
        <v>0</v>
      </c>
      <c r="H44" s="11">
        <f>F44+'Quarterly YTD'!H44-'Quarterly YTD'!D44</f>
        <v>0</v>
      </c>
      <c r="I44" s="11">
        <f>F44+'Quarterly YTD'!I44-'Quarterly YTD'!E44</f>
        <v>0</v>
      </c>
      <c r="J44" s="0">
        <v>0</v>
      </c>
      <c r="K44" s="11">
        <f>J44+'Quarterly YTD'!K44-'Quarterly YTD'!G44</f>
        <v>0</v>
      </c>
      <c r="L44" s="11">
        <f>J44+'Quarterly YTD'!L44-'Quarterly YTD'!H44</f>
        <v>0</v>
      </c>
      <c r="M44" s="11">
        <f>J44+'Quarterly YTD'!M44-'Quarterly YTD'!I44</f>
        <v>0</v>
      </c>
      <c r="N44" s="0">
        <v>0</v>
      </c>
      <c r="O44" s="11">
        <f>N44+'Quarterly YTD'!O44-'Quarterly YTD'!K44</f>
        <v>0</v>
      </c>
      <c r="P44" s="11">
        <f>N44+'Quarterly YTD'!P44-'Quarterly YTD'!L44</f>
        <v>0</v>
      </c>
      <c r="Q44" s="11">
        <f>N44+'Quarterly YTD'!Q44-'Quarterly YTD'!M44</f>
        <v>0</v>
      </c>
      <c r="R44" s="0">
        <v>0</v>
      </c>
      <c r="S44" s="11">
        <f>R44+'Quarterly YTD'!S44-'Quarterly YTD'!O44</f>
        <v>0</v>
      </c>
      <c r="T44" s="11">
        <f>R44+'Quarterly YTD'!T44-'Quarterly YTD'!P44</f>
        <v>0</v>
      </c>
      <c r="U44" s="11">
        <f>R44+'Quarterly YTD'!U44-'Quarterly YTD'!Q44</f>
        <v>0</v>
      </c>
      <c r="V44" s="0">
        <v>0</v>
      </c>
      <c r="W44" s="11">
        <f>V44+'Quarterly YTD'!W44-'Quarterly YTD'!S44</f>
        <v>0</v>
      </c>
      <c r="X44" s="11">
        <f>V44+'Quarterly YTD'!X44-'Quarterly YTD'!T44</f>
        <v>0</v>
      </c>
      <c r="Y44" s="11">
        <f>V44+'Quarterly YTD'!Y44-'Quarterly YTD'!U44</f>
        <v>0</v>
      </c>
      <c r="Z44" s="0">
        <v>0</v>
      </c>
      <c r="AA44" s="11">
        <f>Z44+'Quarterly YTD'!AA44-'Quarterly YTD'!W44</f>
        <v>0</v>
      </c>
      <c r="AB44" s="11">
        <f>Z44+'Quarterly YTD'!AB44-'Quarterly YTD'!X44</f>
        <v>0</v>
      </c>
      <c r="AC44" s="11">
        <f>Z44+'Quarterly YTD'!AC44-'Quarterly YTD'!Y44</f>
        <v>0</v>
      </c>
      <c r="AD44" s="0">
        <v>0</v>
      </c>
      <c r="AE44" s="11">
        <f>AD44+'Quarterly YTD'!AE44-'Quarterly YTD'!AA44</f>
        <v>0</v>
      </c>
      <c r="AF44" s="11">
        <f>AD44+'Quarterly YTD'!AF44-'Quarterly YTD'!AB44</f>
        <v>-0.984</v>
      </c>
    </row>
    <row customHeight="1" ht="15">
      <c r="A45" s="9" t="s">
        <v>82</v>
      </c>
      <c r="B45" s="0">
        <v>-0.254</v>
      </c>
      <c r="F45" s="0">
        <v>-0.243</v>
      </c>
      <c r="G45" s="11">
        <f>F45+'Quarterly YTD'!G45-'Quarterly YTD'!C45</f>
        <v>-0.241</v>
      </c>
      <c r="H45" s="11">
        <f>F45+'Quarterly YTD'!H45-'Quarterly YTD'!D45</f>
        <v>-0.24</v>
      </c>
      <c r="I45" s="11">
        <f>F45+'Quarterly YTD'!I45-'Quarterly YTD'!E45</f>
        <v>-0.239</v>
      </c>
      <c r="J45" s="0">
        <v>-0.238</v>
      </c>
      <c r="K45" s="11">
        <f>J45+'Quarterly YTD'!K45-'Quarterly YTD'!G45</f>
        <v>-0.237</v>
      </c>
      <c r="L45" s="11">
        <f>J45+'Quarterly YTD'!L45-'Quarterly YTD'!H45</f>
        <v>-0.238</v>
      </c>
      <c r="M45" s="11">
        <f>J45+'Quarterly YTD'!M45-'Quarterly YTD'!I45</f>
        <v>-0.237</v>
      </c>
      <c r="N45" s="0">
        <v>-0.237</v>
      </c>
      <c r="O45" s="11">
        <f>N45+'Quarterly YTD'!O45-'Quarterly YTD'!K45</f>
        <v>-0.231</v>
      </c>
      <c r="P45" s="11">
        <f>N45+'Quarterly YTD'!P45-'Quarterly YTD'!L45</f>
        <v>-0.219</v>
      </c>
      <c r="Q45" s="11">
        <f>N45+'Quarterly YTD'!Q45-'Quarterly YTD'!M45</f>
        <v>-0.205</v>
      </c>
      <c r="R45" s="0">
        <v>-0.192</v>
      </c>
      <c r="S45" s="11">
        <f>R45+'Quarterly YTD'!S45-'Quarterly YTD'!O45</f>
        <v>-0.183</v>
      </c>
      <c r="T45" s="11">
        <f>R45+'Quarterly YTD'!T45-'Quarterly YTD'!P45</f>
        <v>-0.174</v>
      </c>
      <c r="U45" s="11">
        <f>R45+'Quarterly YTD'!U45-'Quarterly YTD'!Q45</f>
        <v>-0.153</v>
      </c>
      <c r="V45" s="0">
        <v>-0.106</v>
      </c>
      <c r="W45" s="11">
        <f>V45+'Quarterly YTD'!W45-'Quarterly YTD'!S45</f>
        <v>-0.062</v>
      </c>
      <c r="X45" s="11">
        <f>V45+'Quarterly YTD'!X45-'Quarterly YTD'!T45</f>
        <v>-0.025</v>
      </c>
      <c r="Y45" s="11">
        <f>V45+'Quarterly YTD'!Y45-'Quarterly YTD'!U45</f>
        <v>-0.002</v>
      </c>
      <c r="Z45" s="0">
        <v>-0.004</v>
      </c>
      <c r="AA45" s="11">
        <f>Z45+'Quarterly YTD'!AA45-'Quarterly YTD'!W45</f>
        <v>-0.004</v>
      </c>
      <c r="AB45" s="11">
        <f>Z45+'Quarterly YTD'!AB45-'Quarterly YTD'!X45</f>
        <v>-0.201</v>
      </c>
      <c r="AC45" s="11">
        <f>Z45+'Quarterly YTD'!AC45-'Quarterly YTD'!Y45</f>
        <v>-0.431</v>
      </c>
      <c r="AD45" s="0">
        <v>-0.77</v>
      </c>
      <c r="AE45" s="11">
        <f>AD45+'Quarterly YTD'!AE45-'Quarterly YTD'!AA45</f>
        <v>-0.772</v>
      </c>
      <c r="AF45" s="11">
        <f>AD45+'Quarterly YTD'!AF45-'Quarterly YTD'!AB45</f>
        <v>-0.576</v>
      </c>
    </row>
    <row customHeight="1" ht="15">
      <c r="A46" s="9" t="s">
        <v>83</v>
      </c>
      <c r="B46" s="0">
        <v>-0.134</v>
      </c>
      <c r="F46" s="0">
        <v>-0.552</v>
      </c>
      <c r="G46" s="11">
        <f>F46+'Quarterly YTD'!G46-'Quarterly YTD'!C46</f>
        <v>-0.862</v>
      </c>
      <c r="H46" s="11">
        <f>F46+'Quarterly YTD'!H46-'Quarterly YTD'!D46</f>
        <v>-1.659</v>
      </c>
      <c r="I46" s="11">
        <f>F46+'Quarterly YTD'!I46-'Quarterly YTD'!E46</f>
        <v>-2.171</v>
      </c>
      <c r="J46" s="0">
        <v>-3.133</v>
      </c>
      <c r="K46" s="11">
        <f>J46+'Quarterly YTD'!K46-'Quarterly YTD'!G46</f>
        <v>-3.128</v>
      </c>
      <c r="L46" s="11">
        <f>J46+'Quarterly YTD'!L46-'Quarterly YTD'!H46</f>
        <v>-2.553</v>
      </c>
      <c r="M46" s="11">
        <f>J46+'Quarterly YTD'!M46-'Quarterly YTD'!I46</f>
        <v>-2.652</v>
      </c>
      <c r="N46" s="0">
        <v>-1.473</v>
      </c>
      <c r="O46" s="11">
        <f>N46+'Quarterly YTD'!O46-'Quarterly YTD'!K46</f>
        <v>-1.529</v>
      </c>
      <c r="P46" s="11">
        <f>N46+'Quarterly YTD'!P46-'Quarterly YTD'!L46</f>
        <v>-1.482</v>
      </c>
      <c r="Q46" s="11">
        <f>N46+'Quarterly YTD'!Q46-'Quarterly YTD'!M46</f>
        <v>-1.531</v>
      </c>
      <c r="R46" s="0">
        <v>-3.505</v>
      </c>
      <c r="S46" s="11">
        <f>R46+'Quarterly YTD'!S46-'Quarterly YTD'!O46</f>
        <v>-3.316</v>
      </c>
      <c r="T46" s="11">
        <f>R46+'Quarterly YTD'!T46-'Quarterly YTD'!P46</f>
        <v>-3.512</v>
      </c>
      <c r="U46" s="11">
        <f>R46+'Quarterly YTD'!U46-'Quarterly YTD'!Q46</f>
        <v>-3.883</v>
      </c>
      <c r="V46" s="0">
        <v>-6.94</v>
      </c>
      <c r="W46" s="11">
        <f>V46+'Quarterly YTD'!W46-'Quarterly YTD'!S46</f>
        <v>-7.743</v>
      </c>
      <c r="X46" s="11">
        <f>V46+'Quarterly YTD'!X46-'Quarterly YTD'!T46</f>
        <v>-9.451</v>
      </c>
      <c r="Y46" s="11">
        <f>V46+'Quarterly YTD'!Y46-'Quarterly YTD'!U46</f>
        <v>-11.353</v>
      </c>
      <c r="Z46" s="0">
        <v>-8.245</v>
      </c>
      <c r="AA46" s="11">
        <f>Z46+'Quarterly YTD'!AA46-'Quarterly YTD'!W46</f>
        <v>-8.435</v>
      </c>
      <c r="AB46" s="11">
        <f>Z46+'Quarterly YTD'!AB46-'Quarterly YTD'!X46</f>
        <v>-7.12</v>
      </c>
      <c r="AC46" s="11">
        <f>Z46+'Quarterly YTD'!AC46-'Quarterly YTD'!Y46</f>
        <v>-5.667</v>
      </c>
      <c r="AD46" s="0">
        <v>-6.97</v>
      </c>
      <c r="AE46" s="11">
        <f>AD46+'Quarterly YTD'!AE46-'Quarterly YTD'!AA46</f>
        <v>-6.914</v>
      </c>
      <c r="AF46" s="11">
        <f>AD46+'Quarterly YTD'!AF46-'Quarterly YTD'!AB46</f>
        <v>-7.507</v>
      </c>
    </row>
    <row customHeight="1" ht="15">
      <c r="A47" s="9" t="s">
        <v>84</v>
      </c>
      <c r="B47" s="0">
        <v>0</v>
      </c>
      <c r="F47" s="0">
        <v>0</v>
      </c>
      <c r="G47" s="11">
        <f>F47+'Quarterly YTD'!G47-'Quarterly YTD'!C47</f>
        <v>0</v>
      </c>
      <c r="H47" s="11">
        <f>F47+'Quarterly YTD'!H47-'Quarterly YTD'!D47</f>
        <v>0</v>
      </c>
      <c r="I47" s="11">
        <f>F47+'Quarterly YTD'!I47-'Quarterly YTD'!E47</f>
        <v>0</v>
      </c>
      <c r="J47" s="0">
        <v>0</v>
      </c>
      <c r="K47" s="11">
        <f>J47+'Quarterly YTD'!K47-'Quarterly YTD'!G47</f>
        <v>0</v>
      </c>
      <c r="L47" s="11">
        <f>J47+'Quarterly YTD'!L47-'Quarterly YTD'!H47</f>
        <v>0</v>
      </c>
      <c r="M47" s="11">
        <f>J47+'Quarterly YTD'!M47-'Quarterly YTD'!I47</f>
        <v>0</v>
      </c>
      <c r="N47" s="0">
        <v>0</v>
      </c>
      <c r="O47" s="11">
        <f>N47+'Quarterly YTD'!O47-'Quarterly YTD'!K47</f>
        <v>0</v>
      </c>
      <c r="P47" s="11">
        <f>N47+'Quarterly YTD'!P47-'Quarterly YTD'!L47</f>
        <v>0</v>
      </c>
      <c r="Q47" s="11">
        <f>N47+'Quarterly YTD'!Q47-'Quarterly YTD'!M47</f>
        <v>0</v>
      </c>
      <c r="R47" s="0">
        <v>0</v>
      </c>
      <c r="S47" s="11">
        <f>R47+'Quarterly YTD'!S47-'Quarterly YTD'!O47</f>
        <v>0</v>
      </c>
      <c r="T47" s="11">
        <f>R47+'Quarterly YTD'!T47-'Quarterly YTD'!P47</f>
        <v>0</v>
      </c>
      <c r="U47" s="11">
        <f>R47+'Quarterly YTD'!U47-'Quarterly YTD'!Q47</f>
        <v>0</v>
      </c>
      <c r="V47" s="0">
        <v>0</v>
      </c>
      <c r="W47" s="11">
        <f>V47+'Quarterly YTD'!W47-'Quarterly YTD'!S47</f>
        <v>0</v>
      </c>
      <c r="X47" s="11">
        <f>V47+'Quarterly YTD'!X47-'Quarterly YTD'!T47</f>
        <v>0</v>
      </c>
      <c r="Y47" s="11">
        <f>V47+'Quarterly YTD'!Y47-'Quarterly YTD'!U47</f>
        <v>0</v>
      </c>
      <c r="Z47" s="0">
        <v>-0.013</v>
      </c>
      <c r="AA47" s="11">
        <f>Z47+'Quarterly YTD'!AA47-'Quarterly YTD'!W47</f>
        <v>-0.013</v>
      </c>
      <c r="AB47" s="11">
        <f>Z47+'Quarterly YTD'!AB47-'Quarterly YTD'!X47</f>
        <v>-0.013</v>
      </c>
      <c r="AC47" s="11">
        <f>Z47+'Quarterly YTD'!AC47-'Quarterly YTD'!Y47</f>
        <v>-0.013</v>
      </c>
      <c r="AD47" s="0">
        <v>0.255</v>
      </c>
      <c r="AE47" s="11">
        <f>AD47+'Quarterly YTD'!AE47-'Quarterly YTD'!AA47</f>
        <v>0.255</v>
      </c>
      <c r="AF47" s="11">
        <f>AD47+'Quarterly YTD'!AF47-'Quarterly YTD'!AB47</f>
        <v>0.255</v>
      </c>
    </row>
    <row customHeight="1" ht="15">
      <c r="A48" s="9" t="s">
        <v>85</v>
      </c>
      <c r="B48" s="0">
        <v>0</v>
      </c>
      <c r="F48" s="0">
        <v>1.027</v>
      </c>
      <c r="G48" s="11">
        <f>F48+'Quarterly YTD'!G48-'Quarterly YTD'!C48</f>
        <v>0.133</v>
      </c>
      <c r="H48" s="11">
        <f>F48+'Quarterly YTD'!H48-'Quarterly YTD'!D48</f>
        <v>-0.901</v>
      </c>
      <c r="I48" s="11">
        <f>F48+'Quarterly YTD'!I48-'Quarterly YTD'!E48</f>
        <v>-3.322</v>
      </c>
      <c r="J48" s="0">
        <v>1.19</v>
      </c>
      <c r="K48" s="11">
        <f>J48+'Quarterly YTD'!K48-'Quarterly YTD'!G48</f>
        <v>2.008</v>
      </c>
      <c r="L48" s="11">
        <f>J48+'Quarterly YTD'!L48-'Quarterly YTD'!H48</f>
        <v>3.021</v>
      </c>
      <c r="M48" s="11">
        <f>J48+'Quarterly YTD'!M48-'Quarterly YTD'!I48</f>
        <v>4.65</v>
      </c>
      <c r="N48" s="0">
        <v>-1.458</v>
      </c>
      <c r="O48" s="11">
        <f>N48+'Quarterly YTD'!O48-'Quarterly YTD'!K48</f>
        <v>-1.459</v>
      </c>
      <c r="P48" s="11">
        <f>N48+'Quarterly YTD'!P48-'Quarterly YTD'!L48</f>
        <v>-1.433</v>
      </c>
      <c r="Q48" s="11">
        <f>N48+'Quarterly YTD'!Q48-'Quarterly YTD'!M48</f>
        <v>-1.494</v>
      </c>
      <c r="R48" s="0">
        <v>55.091</v>
      </c>
      <c r="S48" s="11">
        <f>R48+'Quarterly YTD'!S48-'Quarterly YTD'!O48</f>
        <v>55.11</v>
      </c>
      <c r="T48" s="11">
        <f>R48+'Quarterly YTD'!T48-'Quarterly YTD'!P48</f>
        <v>52.987</v>
      </c>
      <c r="U48" s="11">
        <f>R48+'Quarterly YTD'!U48-'Quarterly YTD'!Q48</f>
        <v>52.6</v>
      </c>
      <c r="V48" s="0">
        <v>-2.706</v>
      </c>
      <c r="W48" s="11">
        <f>V48+'Quarterly YTD'!W48-'Quarterly YTD'!S48</f>
        <v>-2.706</v>
      </c>
      <c r="X48" s="11">
        <f>V48+'Quarterly YTD'!X48-'Quarterly YTD'!T48</f>
        <v>-0.613</v>
      </c>
      <c r="Y48" s="11">
        <f>V48+'Quarterly YTD'!Y48-'Quarterly YTD'!U48</f>
        <v>-0.233</v>
      </c>
      <c r="Z48" s="0">
        <v>0</v>
      </c>
      <c r="AA48" s="11">
        <f>Z48+'Quarterly YTD'!AA48-'Quarterly YTD'!W48</f>
        <v>0.004</v>
      </c>
      <c r="AB48" s="11">
        <f>Z48+'Quarterly YTD'!AB48-'Quarterly YTD'!X48</f>
        <v>-0.008</v>
      </c>
      <c r="AC48" s="11">
        <f>Z48+'Quarterly YTD'!AC48-'Quarterly YTD'!Y48</f>
        <v>-0.007</v>
      </c>
      <c r="AD48" s="0">
        <v>0</v>
      </c>
      <c r="AE48" s="11">
        <f>AD48+'Quarterly YTD'!AE48-'Quarterly YTD'!AA48</f>
        <v>0</v>
      </c>
      <c r="AF48" s="11">
        <f>AD48+'Quarterly YTD'!AF48-'Quarterly YTD'!AB48</f>
        <v>0.007</v>
      </c>
    </row>
    <row customHeight="1" ht="15">
      <c r="A49" s="9" t="s">
        <v>86</v>
      </c>
      <c r="B49" s="0">
        <v>1.217</v>
      </c>
      <c r="F49" s="0">
        <v>-24.084</v>
      </c>
      <c r="G49" s="11">
        <f>F49+'Quarterly YTD'!G49-'Quarterly YTD'!C49</f>
        <v>33.118</v>
      </c>
      <c r="H49" s="11">
        <f>F49+'Quarterly YTD'!H49-'Quarterly YTD'!D49</f>
        <v>33.318</v>
      </c>
      <c r="I49" s="11">
        <f>F49+'Quarterly YTD'!I49-'Quarterly YTD'!E49</f>
        <v>31.289</v>
      </c>
      <c r="J49" s="0">
        <v>58.453</v>
      </c>
      <c r="K49" s="11">
        <f>J49+'Quarterly YTD'!K49-'Quarterly YTD'!G49</f>
        <v>-5.631</v>
      </c>
      <c r="L49" s="11">
        <f>J49+'Quarterly YTD'!L49-'Quarterly YTD'!H49</f>
        <v>-14.89</v>
      </c>
      <c r="M49" s="11">
        <f>J49+'Quarterly YTD'!M49-'Quarterly YTD'!I49</f>
        <v>-18.482</v>
      </c>
      <c r="N49" s="0">
        <v>-26.844</v>
      </c>
      <c r="O49" s="11">
        <f>N49+'Quarterly YTD'!O49-'Quarterly YTD'!K49</f>
        <v>-9.18</v>
      </c>
      <c r="P49" s="11">
        <f>N49+'Quarterly YTD'!P49-'Quarterly YTD'!L49</f>
        <v>-27.593</v>
      </c>
      <c r="Q49" s="11">
        <f>N49+'Quarterly YTD'!Q49-'Quarterly YTD'!M49</f>
        <v>-32.654</v>
      </c>
      <c r="R49" s="0">
        <v>3.298</v>
      </c>
      <c r="S49" s="11">
        <f>R49+'Quarterly YTD'!S49-'Quarterly YTD'!O49</f>
        <v>-17.499</v>
      </c>
      <c r="T49" s="11">
        <f>R49+'Quarterly YTD'!T49-'Quarterly YTD'!P49</f>
        <v>1.257</v>
      </c>
      <c r="U49" s="11">
        <f>R49+'Quarterly YTD'!U49-'Quarterly YTD'!Q49</f>
        <v>2.197</v>
      </c>
      <c r="V49" s="0">
        <v>6.901</v>
      </c>
      <c r="W49" s="11">
        <f>V49+'Quarterly YTD'!W49-'Quarterly YTD'!S49</f>
        <v>10.045</v>
      </c>
      <c r="X49" s="11">
        <f>V49+'Quarterly YTD'!X49-'Quarterly YTD'!T49</f>
        <v>-2.427</v>
      </c>
      <c r="Y49" s="11">
        <f>V49+'Quarterly YTD'!Y49-'Quarterly YTD'!U49</f>
        <v>-35.341</v>
      </c>
      <c r="Z49" s="0">
        <v>-72.934</v>
      </c>
      <c r="AA49" s="11">
        <f>Z49+'Quarterly YTD'!AA49-'Quarterly YTD'!W49</f>
        <v>-46.261</v>
      </c>
      <c r="AB49" s="11">
        <f>Z49+'Quarterly YTD'!AB49-'Quarterly YTD'!X49</f>
        <v>-28.19</v>
      </c>
      <c r="AC49" s="11">
        <f>Z49+'Quarterly YTD'!AC49-'Quarterly YTD'!Y49</f>
        <v>32.183</v>
      </c>
      <c r="AD49" s="0">
        <v>-10.603</v>
      </c>
      <c r="AE49" s="11">
        <f>AD49+'Quarterly YTD'!AE49-'Quarterly YTD'!AA49</f>
        <v>-9.007</v>
      </c>
      <c r="AF49" s="11">
        <f>AD49+'Quarterly YTD'!AF49-'Quarterly YTD'!AB49</f>
        <v>-1.154</v>
      </c>
    </row>
    <row customHeight="1" ht="15">
      <c r="A50" s="9" t="s">
        <v>87</v>
      </c>
      <c r="B50" s="0">
        <v>-10.783</v>
      </c>
      <c r="F50" s="0">
        <v>-1.533</v>
      </c>
      <c r="G50" s="11">
        <f>F50+'Quarterly YTD'!G50-'Quarterly YTD'!C50</f>
        <v>-22.421</v>
      </c>
      <c r="H50" s="11">
        <f>F50+'Quarterly YTD'!H50-'Quarterly YTD'!D50</f>
        <v>4.343</v>
      </c>
      <c r="I50" s="11">
        <f>F50+'Quarterly YTD'!I50-'Quarterly YTD'!E50</f>
        <v>6.883</v>
      </c>
      <c r="J50" s="0">
        <v>15.818</v>
      </c>
      <c r="K50" s="11">
        <f>J50+'Quarterly YTD'!K50-'Quarterly YTD'!G50</f>
        <v>10.453</v>
      </c>
      <c r="L50" s="11">
        <f>J50+'Quarterly YTD'!L50-'Quarterly YTD'!H50</f>
        <v>-41.664</v>
      </c>
      <c r="M50" s="11">
        <f>J50+'Quarterly YTD'!M50-'Quarterly YTD'!I50</f>
        <v>-73.361</v>
      </c>
      <c r="N50" s="0">
        <v>-140.502</v>
      </c>
      <c r="O50" s="11">
        <f>N50+'Quarterly YTD'!O50-'Quarterly YTD'!K50</f>
        <v>-116.539</v>
      </c>
      <c r="P50" s="11">
        <f>N50+'Quarterly YTD'!P50-'Quarterly YTD'!L50</f>
        <v>-116.406</v>
      </c>
      <c r="Q50" s="11">
        <f>N50+'Quarterly YTD'!Q50-'Quarterly YTD'!M50</f>
        <v>-113.41</v>
      </c>
      <c r="R50" s="0">
        <v>-42.187</v>
      </c>
      <c r="S50" s="11">
        <f>R50+'Quarterly YTD'!S50-'Quarterly YTD'!O50</f>
        <v>-81.048</v>
      </c>
      <c r="T50" s="11">
        <f>R50+'Quarterly YTD'!T50-'Quarterly YTD'!P50</f>
        <v>-87.429</v>
      </c>
      <c r="U50" s="11">
        <f>R50+'Quarterly YTD'!U50-'Quarterly YTD'!Q50</f>
        <v>-62.027</v>
      </c>
      <c r="V50" s="0">
        <v>-76.5</v>
      </c>
      <c r="W50" s="11">
        <f>V50+'Quarterly YTD'!W50-'Quarterly YTD'!S50</f>
        <v>-69.678</v>
      </c>
      <c r="X50" s="11">
        <f>V50+'Quarterly YTD'!X50-'Quarterly YTD'!T50</f>
        <v>-72.871</v>
      </c>
      <c r="Y50" s="11">
        <f>V50+'Quarterly YTD'!Y50-'Quarterly YTD'!U50</f>
        <v>-37.815</v>
      </c>
      <c r="Z50" s="0">
        <v>-2.796</v>
      </c>
      <c r="AA50" s="11">
        <f>Z50+'Quarterly YTD'!AA50-'Quarterly YTD'!W50</f>
        <v>25.971</v>
      </c>
      <c r="AB50" s="11">
        <f>Z50+'Quarterly YTD'!AB50-'Quarterly YTD'!X50</f>
        <v>59.434</v>
      </c>
      <c r="AC50" s="11">
        <f>Z50+'Quarterly YTD'!AC50-'Quarterly YTD'!Y50</f>
        <v>48.15</v>
      </c>
      <c r="AD50" s="0">
        <v>-76.038</v>
      </c>
      <c r="AE50" s="11">
        <f>AD50+'Quarterly YTD'!AE50-'Quarterly YTD'!AA50</f>
        <v>-108.88</v>
      </c>
      <c r="AF50" s="11">
        <f>AD50+'Quarterly YTD'!AF50-'Quarterly YTD'!AB50</f>
        <v>-66.938</v>
      </c>
    </row>
    <row customHeight="1" ht="15">
      <c r="A51" s="9" t="s">
        <v>88</v>
      </c>
      <c r="B51" s="0">
        <v>-0.679</v>
      </c>
      <c r="F51" s="0">
        <v>-6.119</v>
      </c>
      <c r="G51" s="11">
        <f>F51+'Quarterly YTD'!G51-'Quarterly YTD'!C51</f>
        <v>-6.625</v>
      </c>
      <c r="H51" s="11">
        <f>F51+'Quarterly YTD'!H51-'Quarterly YTD'!D51</f>
        <v>-6.119</v>
      </c>
      <c r="I51" s="11">
        <f>F51+'Quarterly YTD'!I51-'Quarterly YTD'!E51</f>
        <v>-6.119</v>
      </c>
      <c r="J51" s="0">
        <v>-0.04</v>
      </c>
      <c r="K51" s="11">
        <f>J51+'Quarterly YTD'!K51-'Quarterly YTD'!G51</f>
        <v>0.826</v>
      </c>
      <c r="L51" s="11">
        <f>J51+'Quarterly YTD'!L51-'Quarterly YTD'!H51</f>
        <v>-1.717</v>
      </c>
      <c r="M51" s="11">
        <f>J51+'Quarterly YTD'!M51-'Quarterly YTD'!I51</f>
        <v>-7.235</v>
      </c>
      <c r="N51" s="0">
        <v>-14.444</v>
      </c>
      <c r="O51" s="11">
        <f>N51+'Quarterly YTD'!O51-'Quarterly YTD'!K51</f>
        <v>-19.96</v>
      </c>
      <c r="P51" s="11">
        <f>N51+'Quarterly YTD'!P51-'Quarterly YTD'!L51</f>
        <v>-22.701</v>
      </c>
      <c r="Q51" s="11">
        <f>N51+'Quarterly YTD'!Q51-'Quarterly YTD'!M51</f>
        <v>-23.8</v>
      </c>
      <c r="R51" s="0">
        <v>-28.291</v>
      </c>
      <c r="S51" s="11">
        <f>R51+'Quarterly YTD'!S51-'Quarterly YTD'!O51</f>
        <v>-36.595</v>
      </c>
      <c r="T51" s="11">
        <f>R51+'Quarterly YTD'!T51-'Quarterly YTD'!P51</f>
        <v>-41.903</v>
      </c>
      <c r="U51" s="11">
        <f>R51+'Quarterly YTD'!U51-'Quarterly YTD'!Q51</f>
        <v>-41.762</v>
      </c>
      <c r="V51" s="0">
        <v>-36.044</v>
      </c>
      <c r="W51" s="11">
        <f>V51+'Quarterly YTD'!W51-'Quarterly YTD'!S51</f>
        <v>-29.722</v>
      </c>
      <c r="X51" s="11">
        <f>V51+'Quarterly YTD'!X51-'Quarterly YTD'!T51</f>
        <v>-22.376</v>
      </c>
      <c r="Y51" s="11">
        <f>V51+'Quarterly YTD'!Y51-'Quarterly YTD'!U51</f>
        <v>-29.727</v>
      </c>
      <c r="Z51" s="0">
        <v>-16.774</v>
      </c>
      <c r="AA51" s="11">
        <f>Z51+'Quarterly YTD'!AA51-'Quarterly YTD'!W51</f>
        <v>-11.425</v>
      </c>
      <c r="AB51" s="11">
        <f>Z51+'Quarterly YTD'!AB51-'Quarterly YTD'!X51</f>
        <v>-6.518</v>
      </c>
      <c r="AC51" s="11">
        <f>Z51+'Quarterly YTD'!AC51-'Quarterly YTD'!Y51</f>
        <v>5.792</v>
      </c>
      <c r="AD51" s="0">
        <v>1.236</v>
      </c>
      <c r="AE51" s="11">
        <f>AD51+'Quarterly YTD'!AE51-'Quarterly YTD'!AA51</f>
        <v>2.831</v>
      </c>
      <c r="AF51" s="11">
        <f>AD51+'Quarterly YTD'!AF51-'Quarterly YTD'!AB51</f>
        <v>1.503</v>
      </c>
    </row>
    <row customHeight="1" ht="15">
      <c r="A52" s="9" t="s">
        <v>89</v>
      </c>
      <c r="B52" s="0">
        <v>1.021</v>
      </c>
      <c r="F52" s="0">
        <v>6.241</v>
      </c>
      <c r="G52" s="11">
        <f>F52+'Quarterly YTD'!G52-'Quarterly YTD'!C52</f>
        <v>6.82</v>
      </c>
      <c r="H52" s="11">
        <f>F52+'Quarterly YTD'!H52-'Quarterly YTD'!D52</f>
        <v>5.944</v>
      </c>
      <c r="I52" s="11">
        <f>F52+'Quarterly YTD'!I52-'Quarterly YTD'!E52</f>
        <v>5.344</v>
      </c>
      <c r="J52" s="0">
        <v>-0.255</v>
      </c>
      <c r="K52" s="11">
        <f>J52+'Quarterly YTD'!K52-'Quarterly YTD'!G52</f>
        <v>-0.766</v>
      </c>
      <c r="L52" s="11">
        <f>J52+'Quarterly YTD'!L52-'Quarterly YTD'!H52</f>
        <v>0.046</v>
      </c>
      <c r="M52" s="11">
        <f>J52+'Quarterly YTD'!M52-'Quarterly YTD'!I52</f>
        <v>0.596</v>
      </c>
      <c r="N52" s="0">
        <v>-0.136</v>
      </c>
      <c r="O52" s="11">
        <f>N52+'Quarterly YTD'!O52-'Quarterly YTD'!K52</f>
        <v>-0.244</v>
      </c>
      <c r="P52" s="11">
        <f>N52+'Quarterly YTD'!P52-'Quarterly YTD'!L52</f>
        <v>-0.586</v>
      </c>
      <c r="Q52" s="11">
        <f>N52+'Quarterly YTD'!Q52-'Quarterly YTD'!M52</f>
        <v>-1.059</v>
      </c>
      <c r="R52" s="0">
        <v>-1.351</v>
      </c>
      <c r="S52" s="11">
        <f>R52+'Quarterly YTD'!S52-'Quarterly YTD'!O52</f>
        <v>-1.249</v>
      </c>
      <c r="T52" s="11">
        <f>R52+'Quarterly YTD'!T52-'Quarterly YTD'!P52</f>
        <v>-0.999</v>
      </c>
      <c r="U52" s="11">
        <f>R52+'Quarterly YTD'!U52-'Quarterly YTD'!Q52</f>
        <v>-1.036</v>
      </c>
      <c r="V52" s="0">
        <v>-0.086</v>
      </c>
      <c r="W52" s="11">
        <f>V52+'Quarterly YTD'!W52-'Quarterly YTD'!S52</f>
        <v>-0.047</v>
      </c>
      <c r="X52" s="11">
        <f>V52+'Quarterly YTD'!X52-'Quarterly YTD'!T52</f>
        <v>0.28</v>
      </c>
      <c r="Y52" s="11">
        <f>V52+'Quarterly YTD'!Y52-'Quarterly YTD'!U52</f>
        <v>0.064</v>
      </c>
      <c r="Z52" s="0">
        <v>0</v>
      </c>
      <c r="AA52" s="11">
        <f>Z52+'Quarterly YTD'!AA52-'Quarterly YTD'!W52</f>
        <v>0</v>
      </c>
      <c r="AB52" s="11">
        <f>Z52+'Quarterly YTD'!AB52-'Quarterly YTD'!X52</f>
        <v>-0.268</v>
      </c>
      <c r="AC52" s="11">
        <f>Z52+'Quarterly YTD'!AC52-'Quarterly YTD'!Y52</f>
        <v>0</v>
      </c>
      <c r="AD52" s="0">
        <v>0</v>
      </c>
      <c r="AE52" s="11">
        <f>AD52+'Quarterly YTD'!AE52-'Quarterly YTD'!AA52</f>
        <v>0</v>
      </c>
      <c r="AF52" s="11">
        <f>AD52+'Quarterly YTD'!AF52-'Quarterly YTD'!AB52</f>
        <v>0</v>
      </c>
    </row>
    <row customHeight="1" ht="15">
      <c r="A53" s="9" t="s">
        <v>90</v>
      </c>
      <c r="B53" s="0">
        <v>7.612</v>
      </c>
      <c r="F53" s="0">
        <v>10.783</v>
      </c>
      <c r="G53" s="11">
        <f>F53+'Quarterly YTD'!G53-'Quarterly YTD'!C53</f>
        <v>-1.406</v>
      </c>
      <c r="H53" s="11">
        <f>F53+'Quarterly YTD'!H53-'Quarterly YTD'!D53</f>
        <v>4.326</v>
      </c>
      <c r="I53" s="11">
        <f>F53+'Quarterly YTD'!I53-'Quarterly YTD'!E53</f>
        <v>-25.058</v>
      </c>
      <c r="J53" s="0">
        <v>-25.283</v>
      </c>
      <c r="K53" s="11">
        <f>J53+'Quarterly YTD'!K53-'Quarterly YTD'!G53</f>
        <v>5.935</v>
      </c>
      <c r="L53" s="11">
        <f>J53+'Quarterly YTD'!L53-'Quarterly YTD'!H53</f>
        <v>22.763</v>
      </c>
      <c r="M53" s="11">
        <f>J53+'Quarterly YTD'!M53-'Quarterly YTD'!I53</f>
        <v>74.526</v>
      </c>
      <c r="N53" s="0">
        <v>106.822</v>
      </c>
      <c r="O53" s="11">
        <f>N53+'Quarterly YTD'!O53-'Quarterly YTD'!K53</f>
        <v>102.16</v>
      </c>
      <c r="P53" s="11">
        <f>N53+'Quarterly YTD'!P53-'Quarterly YTD'!L53</f>
        <v>99.506</v>
      </c>
      <c r="Q53" s="11">
        <f>N53+'Quarterly YTD'!Q53-'Quarterly YTD'!M53</f>
        <v>102.773</v>
      </c>
      <c r="R53" s="0">
        <v>16.476</v>
      </c>
      <c r="S53" s="11">
        <f>R53+'Quarterly YTD'!S53-'Quarterly YTD'!O53</f>
        <v>71.995</v>
      </c>
      <c r="T53" s="11">
        <f>R53+'Quarterly YTD'!T53-'Quarterly YTD'!P53</f>
        <v>96.728</v>
      </c>
      <c r="U53" s="11">
        <f>R53+'Quarterly YTD'!U53-'Quarterly YTD'!Q53</f>
        <v>43.048</v>
      </c>
      <c r="V53" s="0">
        <v>80.396</v>
      </c>
      <c r="W53" s="11">
        <f>V53+'Quarterly YTD'!W53-'Quarterly YTD'!S53</f>
        <v>118.776</v>
      </c>
      <c r="X53" s="11">
        <f>V53+'Quarterly YTD'!X53-'Quarterly YTD'!T53</f>
        <v>112.564</v>
      </c>
      <c r="Y53" s="11">
        <f>V53+'Quarterly YTD'!Y53-'Quarterly YTD'!U53</f>
        <v>127.115</v>
      </c>
      <c r="Z53" s="0">
        <v>75.427</v>
      </c>
      <c r="AA53" s="11">
        <f>Z53+'Quarterly YTD'!AA53-'Quarterly YTD'!W53</f>
        <v>5.922</v>
      </c>
      <c r="AB53" s="11">
        <f>Z53+'Quarterly YTD'!AB53-'Quarterly YTD'!X53</f>
        <v>10.763</v>
      </c>
      <c r="AC53" s="11">
        <f>Z53+'Quarterly YTD'!AC53-'Quarterly YTD'!Y53</f>
        <v>-36.131</v>
      </c>
      <c r="AD53" s="0">
        <v>101.135</v>
      </c>
      <c r="AE53" s="11">
        <f>AD53+'Quarterly YTD'!AE53-'Quarterly YTD'!AA53</f>
        <v>96.286</v>
      </c>
      <c r="AF53" s="11">
        <f>AD53+'Quarterly YTD'!AF53-'Quarterly YTD'!AB53</f>
        <v>40.663</v>
      </c>
    </row>
    <row customHeight="1" ht="15">
      <c r="A54" s="9" t="s">
        <v>91</v>
      </c>
      <c r="B54" s="0">
        <v>0.014</v>
      </c>
      <c r="F54" s="0">
        <v>1.345</v>
      </c>
      <c r="G54" s="11">
        <f>F54+'Quarterly YTD'!G54-'Quarterly YTD'!C54</f>
        <v>2.743</v>
      </c>
      <c r="H54" s="11">
        <f>F54+'Quarterly YTD'!H54-'Quarterly YTD'!D54</f>
        <v>3.146</v>
      </c>
      <c r="I54" s="11">
        <f>F54+'Quarterly YTD'!I54-'Quarterly YTD'!E54</f>
        <v>2.578</v>
      </c>
      <c r="J54" s="0">
        <v>1.965</v>
      </c>
      <c r="K54" s="11">
        <f>J54+'Quarterly YTD'!K54-'Quarterly YTD'!G54</f>
        <v>0.572</v>
      </c>
      <c r="L54" s="11">
        <f>J54+'Quarterly YTD'!L54-'Quarterly YTD'!H54</f>
        <v>2.51</v>
      </c>
      <c r="M54" s="11">
        <f>J54+'Quarterly YTD'!M54-'Quarterly YTD'!I54</f>
        <v>2.136</v>
      </c>
      <c r="N54" s="0">
        <v>2.677</v>
      </c>
      <c r="O54" s="11">
        <f>N54+'Quarterly YTD'!O54-'Quarterly YTD'!K54</f>
        <v>6.764</v>
      </c>
      <c r="P54" s="11">
        <f>N54+'Quarterly YTD'!P54-'Quarterly YTD'!L54</f>
        <v>8.185</v>
      </c>
      <c r="Q54" s="11">
        <f>N54+'Quarterly YTD'!Q54-'Quarterly YTD'!M54</f>
        <v>11.976</v>
      </c>
      <c r="R54" s="0">
        <v>9.332</v>
      </c>
      <c r="S54" s="11">
        <f>R54+'Quarterly YTD'!S54-'Quarterly YTD'!O54</f>
        <v>9.549</v>
      </c>
      <c r="T54" s="11">
        <f>R54+'Quarterly YTD'!T54-'Quarterly YTD'!P54</f>
        <v>15.411</v>
      </c>
      <c r="U54" s="11">
        <f>R54+'Quarterly YTD'!U54-'Quarterly YTD'!Q54</f>
        <v>11.011</v>
      </c>
      <c r="V54" s="0">
        <v>10.664</v>
      </c>
      <c r="W54" s="11">
        <f>V54+'Quarterly YTD'!W54-'Quarterly YTD'!S54</f>
        <v>28.061</v>
      </c>
      <c r="X54" s="11">
        <f>V54+'Quarterly YTD'!X54-'Quarterly YTD'!T54</f>
        <v>7.905</v>
      </c>
      <c r="Y54" s="11">
        <f>V54+'Quarterly YTD'!Y54-'Quarterly YTD'!U54</f>
        <v>12.146</v>
      </c>
      <c r="Z54" s="0">
        <v>15.497</v>
      </c>
      <c r="AA54" s="11">
        <f>Z54+'Quarterly YTD'!AA54-'Quarterly YTD'!W54</f>
        <v>-4.66</v>
      </c>
      <c r="AB54" s="11">
        <f>Z54+'Quarterly YTD'!AB54-'Quarterly YTD'!X54</f>
        <v>11.059</v>
      </c>
      <c r="AC54" s="11">
        <f>Z54+'Quarterly YTD'!AC54-'Quarterly YTD'!Y54</f>
        <v>10.112</v>
      </c>
      <c r="AD54" s="0">
        <v>12.113</v>
      </c>
      <c r="AE54" s="11">
        <f>AD54+'Quarterly YTD'!AE54-'Quarterly YTD'!AA54</f>
        <v>14.966</v>
      </c>
      <c r="AF54" s="11">
        <f>AD54+'Quarterly YTD'!AF54-'Quarterly YTD'!AB54</f>
        <v>10.807</v>
      </c>
    </row>
    <row customHeight="1" ht="15">
      <c r="A55" s="9" t="s">
        <v>92</v>
      </c>
      <c r="B55" s="11">
        <f>SUM(B24:B30)+B32+SUM(B34:B35)+B43+SUM(B45:B46)+SUM(B48:B54)</f>
        <v>22.857</v>
      </c>
      <c r="F55" s="11">
        <f t="shared" si="4" ref="F55:R55">SUM(F24:F30)+F32+SUM(F34:F35)+SUM(F37:F38)+SUM(F42:F43)+SUM(F45:F46)+SUM(F48:F54)</f>
        <v>50.447</v>
      </c>
      <c r="G55" s="11">
        <f>F55+'Quarterly YTD'!G55-'Quarterly YTD'!C55</f>
        <v>104.989</v>
      </c>
      <c r="H55" s="11">
        <f>F55+'Quarterly YTD'!H55-'Quarterly YTD'!D55</f>
        <v>170.989</v>
      </c>
      <c r="I55" s="11">
        <f>F55+'Quarterly YTD'!I55-'Quarterly YTD'!E55</f>
        <v>133.093</v>
      </c>
      <c r="J55" s="11">
        <f t="shared" si="4"/>
        <v>132.888</v>
      </c>
      <c r="K55" s="11">
        <f>J55+'Quarterly YTD'!K55-'Quarterly YTD'!G55</f>
        <v>89.847</v>
      </c>
      <c r="L55" s="11">
        <f>J55+'Quarterly YTD'!L55-'Quarterly YTD'!H55</f>
        <v>32.433</v>
      </c>
      <c r="M55" s="11">
        <f>J55+'Quarterly YTD'!M55-'Quarterly YTD'!I55</f>
        <v>100.331</v>
      </c>
      <c r="N55" s="11">
        <f t="shared" si="4"/>
        <v>84.745</v>
      </c>
      <c r="O55" s="11">
        <f>N55+'Quarterly YTD'!O55-'Quarterly YTD'!K55</f>
        <v>116.02</v>
      </c>
      <c r="P55" s="11">
        <f>N55+'Quarterly YTD'!P55-'Quarterly YTD'!L55</f>
        <v>149.792</v>
      </c>
      <c r="Q55" s="11">
        <f>N55+'Quarterly YTD'!Q55-'Quarterly YTD'!M55</f>
        <v>224.463</v>
      </c>
      <c r="R55" s="11">
        <f t="shared" si="4"/>
        <v>235.793</v>
      </c>
      <c r="S55" s="11">
        <f>R55+'Quarterly YTD'!S55-'Quarterly YTD'!O55</f>
        <v>210.863</v>
      </c>
      <c r="T55" s="11">
        <f>R55+'Quarterly YTD'!T55-'Quarterly YTD'!P55</f>
        <v>278.908</v>
      </c>
      <c r="U55" s="11">
        <f>R55+'Quarterly YTD'!U55-'Quarterly YTD'!Q55</f>
        <v>306.768</v>
      </c>
      <c r="V55" s="11">
        <f>SUM(V24:V30)+SUM(V32:V35)+V38+SUM(V40:V43)+SUM(V45:V46)+SUM(V48:V54)</f>
        <v>367.304</v>
      </c>
      <c r="W55" s="11">
        <f>V55+'Quarterly YTD'!W55-'Quarterly YTD'!S55</f>
        <v>427.825</v>
      </c>
      <c r="X55" s="11">
        <f>V55+'Quarterly YTD'!X55-'Quarterly YTD'!T55</f>
        <v>444.265</v>
      </c>
      <c r="Y55" s="11">
        <f>V55+'Quarterly YTD'!Y55-'Quarterly YTD'!U55</f>
        <v>490.896</v>
      </c>
      <c r="Z55" s="11">
        <f t="shared" si="5" ref="Z55:AD55">SUM(Z24:Z30)+SUM(Z32:Z33)+Z35+Z38+SUM(Z40:Z41)+Z43+SUM(Z45:Z47)+SUM(Z49:Z51)+SUM(Z53:Z54)</f>
        <v>431.774</v>
      </c>
      <c r="AA55" s="11">
        <f>Z55+'Quarterly YTD'!AA55-'Quarterly YTD'!W55</f>
        <v>398.629</v>
      </c>
      <c r="AB55" s="11">
        <f>Z55+'Quarterly YTD'!AB55-'Quarterly YTD'!X55</f>
        <v>422.576</v>
      </c>
      <c r="AC55" s="11">
        <f>Z55+'Quarterly YTD'!AC55-'Quarterly YTD'!Y55</f>
        <v>427.723</v>
      </c>
      <c r="AD55" s="11">
        <f t="shared" si="5"/>
        <v>370.204</v>
      </c>
      <c r="AE55" s="11">
        <f>AD55+'Quarterly YTD'!AE55-'Quarterly YTD'!AA55</f>
        <v>369.796</v>
      </c>
      <c r="AF55" s="11">
        <f>AD55+'Quarterly YTD'!AF55-'Quarterly YTD'!AB55</f>
        <v>292.216</v>
      </c>
    </row>
    <row customHeight="1" ht="15">
      <c r="A56" s="9" t="s">
        <v>93</v>
      </c>
      <c r="B56" s="0">
        <v>0.001</v>
      </c>
      <c r="F56" s="0">
        <v>0.002</v>
      </c>
      <c r="G56" s="11">
        <f>F56+'Quarterly YTD'!G56-'Quarterly YTD'!C56</f>
        <v>0.002</v>
      </c>
      <c r="H56" s="11">
        <f>F56+'Quarterly YTD'!H56-'Quarterly YTD'!D56</f>
        <v>0.372</v>
      </c>
      <c r="I56" s="11">
        <f>F56+'Quarterly YTD'!I56-'Quarterly YTD'!E56</f>
        <v>0.4</v>
      </c>
      <c r="J56" s="0">
        <v>0.952</v>
      </c>
      <c r="K56" s="11">
        <f>J56+'Quarterly YTD'!K56-'Quarterly YTD'!G56</f>
        <v>-1.12</v>
      </c>
      <c r="L56" s="11">
        <f>J56+'Quarterly YTD'!L56-'Quarterly YTD'!H56</f>
        <v>1.392</v>
      </c>
      <c r="M56" s="11">
        <f>J56+'Quarterly YTD'!M56-'Quarterly YTD'!I56</f>
        <v>1.372</v>
      </c>
      <c r="N56" s="0">
        <v>1.711</v>
      </c>
      <c r="O56" s="11">
        <f>N56+'Quarterly YTD'!O56-'Quarterly YTD'!K56</f>
        <v>3.878</v>
      </c>
      <c r="P56" s="11">
        <f>N56+'Quarterly YTD'!P56-'Quarterly YTD'!L56</f>
        <v>0.887</v>
      </c>
      <c r="Q56" s="11">
        <f>N56+'Quarterly YTD'!Q56-'Quarterly YTD'!M56</f>
        <v>2.344</v>
      </c>
      <c r="R56" s="0">
        <v>2.337</v>
      </c>
      <c r="S56" s="11">
        <f>R56+'Quarterly YTD'!S56-'Quarterly YTD'!O56</f>
        <v>2.434</v>
      </c>
      <c r="T56" s="11">
        <f>R56+'Quarterly YTD'!T56-'Quarterly YTD'!P56</f>
        <v>2.581</v>
      </c>
      <c r="U56" s="11">
        <f>R56+'Quarterly YTD'!U56-'Quarterly YTD'!Q56</f>
        <v>1.132</v>
      </c>
      <c r="V56" s="0">
        <v>5.272</v>
      </c>
      <c r="W56" s="11">
        <f>V56+'Quarterly YTD'!W56-'Quarterly YTD'!S56</f>
        <v>5.687</v>
      </c>
      <c r="X56" s="11">
        <f>V56+'Quarterly YTD'!X56-'Quarterly YTD'!T56</f>
        <v>8.166</v>
      </c>
      <c r="Y56" s="11">
        <f>V56+'Quarterly YTD'!Y56-'Quarterly YTD'!U56</f>
        <v>9.603</v>
      </c>
      <c r="Z56" s="0">
        <v>7.141</v>
      </c>
      <c r="AA56" s="11">
        <f>Z56+'Quarterly YTD'!AA56-'Quarterly YTD'!W56</f>
        <v>7.184</v>
      </c>
      <c r="AB56" s="11">
        <f>Z56+'Quarterly YTD'!AB56-'Quarterly YTD'!X56</f>
        <v>5.008</v>
      </c>
      <c r="AC56" s="11">
        <f>Z56+'Quarterly YTD'!AC56-'Quarterly YTD'!Y56</f>
        <v>4.186</v>
      </c>
      <c r="AD56" s="0">
        <v>2.114</v>
      </c>
      <c r="AE56" s="11">
        <f>AD56+'Quarterly YTD'!AE56-'Quarterly YTD'!AA56</f>
        <v>1.644</v>
      </c>
      <c r="AF56" s="11">
        <f>AD56+'Quarterly YTD'!AF56-'Quarterly YTD'!AB56</f>
        <v>1.455</v>
      </c>
    </row>
    <row customHeight="1" ht="15">
      <c r="A57" s="9" t="s">
        <v>94</v>
      </c>
      <c r="B57" s="0">
        <v>-1.456</v>
      </c>
      <c r="F57" s="0">
        <v>-7.718</v>
      </c>
      <c r="G57" s="11">
        <f>F57+'Quarterly YTD'!G57-'Quarterly YTD'!C57</f>
        <v>-11.558</v>
      </c>
      <c r="H57" s="11">
        <f>F57+'Quarterly YTD'!H57-'Quarterly YTD'!D57</f>
        <v>-26.043</v>
      </c>
      <c r="I57" s="11">
        <f>F57+'Quarterly YTD'!I57-'Quarterly YTD'!E57</f>
        <v>-21.581</v>
      </c>
      <c r="J57" s="0">
        <v>-29.584</v>
      </c>
      <c r="K57" s="11">
        <f>J57+'Quarterly YTD'!K57-'Quarterly YTD'!G57</f>
        <v>-25.013</v>
      </c>
      <c r="L57" s="11">
        <f>J57+'Quarterly YTD'!L57-'Quarterly YTD'!H57</f>
        <v>-23.534</v>
      </c>
      <c r="M57" s="11">
        <f>J57+'Quarterly YTD'!M57-'Quarterly YTD'!I57</f>
        <v>-30.351</v>
      </c>
      <c r="N57" s="0">
        <v>-27.567</v>
      </c>
      <c r="O57" s="11">
        <f>N57+'Quarterly YTD'!O57-'Quarterly YTD'!K57</f>
        <v>-30.847</v>
      </c>
      <c r="P57" s="11">
        <f>N57+'Quarterly YTD'!P57-'Quarterly YTD'!L57</f>
        <v>-31.741</v>
      </c>
      <c r="Q57" s="11">
        <f>N57+'Quarterly YTD'!Q57-'Quarterly YTD'!M57</f>
        <v>-37.443</v>
      </c>
      <c r="R57" s="0">
        <v>-44.188</v>
      </c>
      <c r="S57" s="11">
        <f>R57+'Quarterly YTD'!S57-'Quarterly YTD'!O57</f>
        <v>-50.697</v>
      </c>
      <c r="T57" s="11">
        <f>R57+'Quarterly YTD'!T57-'Quarterly YTD'!P57</f>
        <v>-58.616</v>
      </c>
      <c r="U57" s="11">
        <f>R57+'Quarterly YTD'!U57-'Quarterly YTD'!Q57</f>
        <v>-66.068</v>
      </c>
      <c r="V57" s="0">
        <v>-79.833</v>
      </c>
      <c r="W57" s="11">
        <f>V57+'Quarterly YTD'!W57-'Quarterly YTD'!S57</f>
        <v>-94.342</v>
      </c>
      <c r="X57" s="11">
        <f>V57+'Quarterly YTD'!X57-'Quarterly YTD'!T57</f>
        <v>-105.657</v>
      </c>
      <c r="Y57" s="11">
        <f>V57+'Quarterly YTD'!Y57-'Quarterly YTD'!U57</f>
        <v>-118.961</v>
      </c>
      <c r="Z57" s="0">
        <v>-131.204</v>
      </c>
      <c r="AA57" s="11">
        <f>Z57+'Quarterly YTD'!AA57-'Quarterly YTD'!W57</f>
        <v>-131.965</v>
      </c>
      <c r="AB57" s="11">
        <f>Z57+'Quarterly YTD'!AB57-'Quarterly YTD'!X57</f>
        <v>-135.613</v>
      </c>
      <c r="AC57" s="11">
        <f>Z57+'Quarterly YTD'!AC57-'Quarterly YTD'!Y57</f>
        <v>-126.839</v>
      </c>
      <c r="AD57" s="0">
        <v>-110.568</v>
      </c>
      <c r="AE57" s="11">
        <f>AD57+'Quarterly YTD'!AE57-'Quarterly YTD'!AA57</f>
        <v>-98.529</v>
      </c>
      <c r="AF57" s="11">
        <f>AD57+'Quarterly YTD'!AF57-'Quarterly YTD'!AB57</f>
        <v>-89.314</v>
      </c>
    </row>
    <row customHeight="1" ht="15">
      <c r="A58" s="9" t="s">
        <v>95</v>
      </c>
      <c r="B58" s="0">
        <v>-0.931</v>
      </c>
      <c r="F58" s="0">
        <v>-3.536</v>
      </c>
      <c r="G58" s="11">
        <f>F58+'Quarterly YTD'!G58-'Quarterly YTD'!C58</f>
        <v>-3.629</v>
      </c>
      <c r="H58" s="11">
        <f>F58+'Quarterly YTD'!H58-'Quarterly YTD'!D58</f>
        <v>-2.833</v>
      </c>
      <c r="I58" s="11">
        <f>F58+'Quarterly YTD'!I58-'Quarterly YTD'!E58</f>
        <v>-3.297</v>
      </c>
      <c r="J58" s="0">
        <v>-6.885</v>
      </c>
      <c r="K58" s="11">
        <f>J58+'Quarterly YTD'!K58-'Quarterly YTD'!G58</f>
        <v>-11.711</v>
      </c>
      <c r="L58" s="11">
        <f>J58+'Quarterly YTD'!L58-'Quarterly YTD'!H58</f>
        <v>-12.836</v>
      </c>
      <c r="M58" s="11">
        <f>J58+'Quarterly YTD'!M58-'Quarterly YTD'!I58</f>
        <v>-22.558</v>
      </c>
      <c r="N58" s="0">
        <v>-16.208</v>
      </c>
      <c r="O58" s="11">
        <f>N58+'Quarterly YTD'!O58-'Quarterly YTD'!K58</f>
        <v>-14.633</v>
      </c>
      <c r="P58" s="11">
        <f>N58+'Quarterly YTD'!P58-'Quarterly YTD'!L58</f>
        <v>-19.521</v>
      </c>
      <c r="Q58" s="11">
        <f>N58+'Quarterly YTD'!Q58-'Quarterly YTD'!M58</f>
        <v>-13.877</v>
      </c>
      <c r="R58" s="0">
        <v>-20.421</v>
      </c>
      <c r="S58" s="11">
        <f>R58+'Quarterly YTD'!S58-'Quarterly YTD'!O58</f>
        <v>-28.317</v>
      </c>
      <c r="T58" s="11">
        <f>R58+'Quarterly YTD'!T58-'Quarterly YTD'!P58</f>
        <v>-17.696</v>
      </c>
      <c r="U58" s="11">
        <f>R58+'Quarterly YTD'!U58-'Quarterly YTD'!Q58</f>
        <v>-25.457</v>
      </c>
      <c r="V58" s="0">
        <v>-24.529</v>
      </c>
      <c r="W58" s="11">
        <f>V58+'Quarterly YTD'!W58-'Quarterly YTD'!S58</f>
        <v>-15.589</v>
      </c>
      <c r="X58" s="11">
        <f>V58+'Quarterly YTD'!X58-'Quarterly YTD'!T58</f>
        <v>-21.852</v>
      </c>
      <c r="Y58" s="11">
        <f>V58+'Quarterly YTD'!Y58-'Quarterly YTD'!U58</f>
        <v>-14.253</v>
      </c>
      <c r="Z58" s="0">
        <v>-14.017</v>
      </c>
      <c r="AA58" s="11">
        <f>Z58+'Quarterly YTD'!AA58-'Quarterly YTD'!W58</f>
        <v>-13.281</v>
      </c>
      <c r="AB58" s="11">
        <f>Z58+'Quarterly YTD'!AB58-'Quarterly YTD'!X58</f>
        <v>-18.469</v>
      </c>
      <c r="AC58" s="11">
        <f>Z58+'Quarterly YTD'!AC58-'Quarterly YTD'!Y58</f>
        <v>-18.319</v>
      </c>
      <c r="AD58" s="0">
        <v>-17.702</v>
      </c>
      <c r="AE58" s="11">
        <f>AD58+'Quarterly YTD'!AE58-'Quarterly YTD'!AA58</f>
        <v>-17.476</v>
      </c>
      <c r="AF58" s="11">
        <f>AD58+'Quarterly YTD'!AF58-'Quarterly YTD'!AB58</f>
        <v>-13.607</v>
      </c>
    </row>
    <row customHeight="1" ht="15">
      <c r="A59" s="9" t="s">
        <v>96</v>
      </c>
      <c r="B59" s="11">
        <f t="shared" si="6" ref="B59:AF226">SUM(B55:B58)</f>
        <v>20.471</v>
      </c>
      <c r="F59" s="11">
        <f t="shared" si="6"/>
        <v>39.195</v>
      </c>
      <c r="G59" s="11">
        <f t="shared" si="6"/>
        <v>89.804</v>
      </c>
      <c r="H59" s="11">
        <f t="shared" si="6"/>
        <v>142.485</v>
      </c>
      <c r="I59" s="11">
        <f t="shared" si="6"/>
        <v>108.615</v>
      </c>
      <c r="J59" s="11">
        <f t="shared" si="6"/>
        <v>97.371</v>
      </c>
      <c r="K59" s="11">
        <f t="shared" si="6"/>
        <v>52.003</v>
      </c>
      <c r="L59" s="11">
        <f t="shared" si="6"/>
        <v>-2.545</v>
      </c>
      <c r="M59" s="11">
        <f t="shared" si="6"/>
        <v>48.794</v>
      </c>
      <c r="N59" s="11">
        <f t="shared" si="6"/>
        <v>42.681</v>
      </c>
      <c r="O59" s="11">
        <f t="shared" si="6"/>
        <v>74.418</v>
      </c>
      <c r="P59" s="11">
        <f t="shared" si="6"/>
        <v>99.417</v>
      </c>
      <c r="Q59" s="11">
        <f t="shared" si="6"/>
        <v>175.487</v>
      </c>
      <c r="R59" s="11">
        <f t="shared" si="6"/>
        <v>173.521</v>
      </c>
      <c r="S59" s="11">
        <f t="shared" si="6"/>
        <v>134.283</v>
      </c>
      <c r="T59" s="11">
        <f t="shared" si="6"/>
        <v>205.177</v>
      </c>
      <c r="U59" s="11">
        <f t="shared" si="6"/>
        <v>216.375</v>
      </c>
      <c r="V59" s="11">
        <f t="shared" si="6"/>
        <v>268.214</v>
      </c>
      <c r="W59" s="11">
        <f t="shared" si="6"/>
        <v>323.581</v>
      </c>
      <c r="X59" s="11">
        <f t="shared" si="6"/>
        <v>324.922</v>
      </c>
      <c r="Y59" s="11">
        <f t="shared" si="6"/>
        <v>367.285</v>
      </c>
      <c r="Z59" s="11">
        <f t="shared" si="6"/>
        <v>293.694</v>
      </c>
      <c r="AA59" s="11">
        <f t="shared" si="6"/>
        <v>260.567</v>
      </c>
      <c r="AB59" s="11">
        <f t="shared" si="6"/>
        <v>273.502</v>
      </c>
      <c r="AC59" s="11">
        <f t="shared" si="6"/>
        <v>286.751</v>
      </c>
      <c r="AD59" s="11">
        <f t="shared" si="6"/>
        <v>244.048</v>
      </c>
      <c r="AE59" s="11">
        <f t="shared" si="6"/>
        <v>255.435</v>
      </c>
      <c r="AF59" s="11">
        <f t="shared" si="6"/>
        <v>190.75</v>
      </c>
    </row>
    <row customHeight="1" ht="15">
      <c r="A60" s="4" t="s">
        <v>97</v>
      </c>
      <c r="B60" s="7">
        <f t="shared" si="7" ref="B60:AF101">B59</f>
        <v>20.471</v>
      </c>
      <c r="F60" s="7">
        <f t="shared" si="7"/>
        <v>39.195</v>
      </c>
      <c r="G60" s="7">
        <f t="shared" si="7"/>
        <v>89.804</v>
      </c>
      <c r="H60" s="7">
        <f t="shared" si="7"/>
        <v>142.485</v>
      </c>
      <c r="I60" s="7">
        <f t="shared" si="7"/>
        <v>108.615</v>
      </c>
      <c r="J60" s="7">
        <f t="shared" si="7"/>
        <v>97.371</v>
      </c>
      <c r="K60" s="7">
        <f t="shared" si="7"/>
        <v>52.003</v>
      </c>
      <c r="L60" s="7">
        <f t="shared" si="7"/>
        <v>-2.545</v>
      </c>
      <c r="M60" s="7">
        <f t="shared" si="7"/>
        <v>48.794</v>
      </c>
      <c r="N60" s="7">
        <f t="shared" si="7"/>
        <v>42.681</v>
      </c>
      <c r="O60" s="7">
        <f t="shared" si="7"/>
        <v>74.418</v>
      </c>
      <c r="P60" s="7">
        <f t="shared" si="7"/>
        <v>99.417</v>
      </c>
      <c r="Q60" s="7">
        <f t="shared" si="7"/>
        <v>175.487</v>
      </c>
      <c r="R60" s="7">
        <f t="shared" si="7"/>
        <v>173.521</v>
      </c>
      <c r="S60" s="7">
        <f t="shared" si="7"/>
        <v>134.283</v>
      </c>
      <c r="T60" s="7">
        <f t="shared" si="7"/>
        <v>205.177</v>
      </c>
      <c r="U60" s="7">
        <f t="shared" si="7"/>
        <v>216.375</v>
      </c>
      <c r="V60" s="7">
        <f t="shared" si="7"/>
        <v>268.214</v>
      </c>
      <c r="W60" s="7">
        <f t="shared" si="7"/>
        <v>323.581</v>
      </c>
      <c r="X60" s="7">
        <f t="shared" si="7"/>
        <v>324.922</v>
      </c>
      <c r="Y60" s="7">
        <f t="shared" si="7"/>
        <v>367.285</v>
      </c>
      <c r="Z60" s="7">
        <f t="shared" si="7"/>
        <v>293.694</v>
      </c>
      <c r="AA60" s="7">
        <f t="shared" si="7"/>
        <v>260.567</v>
      </c>
      <c r="AB60" s="7">
        <f t="shared" si="7"/>
        <v>273.502</v>
      </c>
      <c r="AC60" s="7">
        <f t="shared" si="7"/>
        <v>286.751</v>
      </c>
      <c r="AD60" s="7">
        <f t="shared" si="7"/>
        <v>244.048</v>
      </c>
      <c r="AE60" s="7">
        <f t="shared" si="7"/>
        <v>255.435</v>
      </c>
      <c r="AF60" s="7">
        <f t="shared" si="7"/>
        <v>190.75</v>
      </c>
    </row>
    <row customHeight="1" ht="15">
      <c r="A61" s="9" t="s">
        <v>98</v>
      </c>
      <c r="B61" s="0">
        <v>-25.222</v>
      </c>
      <c r="F61" s="0">
        <v>-39.674</v>
      </c>
      <c r="G61" s="11">
        <f>F61+'Quarterly YTD'!G61-'Quarterly YTD'!C61</f>
        <v>-54.687</v>
      </c>
      <c r="H61" s="11">
        <f>F61+'Quarterly YTD'!H61-'Quarterly YTD'!D61</f>
        <v>-72.426</v>
      </c>
      <c r="I61" s="11">
        <f>F61+'Quarterly YTD'!I61-'Quarterly YTD'!E61</f>
        <v>-104.927</v>
      </c>
      <c r="J61" s="0">
        <v>-93.132</v>
      </c>
      <c r="K61" s="11">
        <f>J61+'Quarterly YTD'!K61-'Quarterly YTD'!G61</f>
        <v>-100.839</v>
      </c>
      <c r="L61" s="11">
        <f>J61+'Quarterly YTD'!L61-'Quarterly YTD'!H61</f>
        <v>-81.998</v>
      </c>
      <c r="M61" s="11">
        <f>J61+'Quarterly YTD'!M61-'Quarterly YTD'!I61</f>
        <v>-73.472</v>
      </c>
      <c r="N61" s="0">
        <v>-70.253</v>
      </c>
      <c r="O61" s="11">
        <f>N61+'Quarterly YTD'!O61-'Quarterly YTD'!K61</f>
        <v>-65.65</v>
      </c>
      <c r="P61" s="11">
        <f>N61+'Quarterly YTD'!P61-'Quarterly YTD'!L61</f>
        <v>-71.656</v>
      </c>
      <c r="Q61" s="11">
        <f>N61+'Quarterly YTD'!Q61-'Quarterly YTD'!M61</f>
        <v>-81.119</v>
      </c>
      <c r="R61" s="0">
        <v>-154.722</v>
      </c>
      <c r="S61" s="11">
        <f>R61+'Quarterly YTD'!S61-'Quarterly YTD'!O61</f>
        <v>-167.46</v>
      </c>
      <c r="T61" s="11">
        <f>R61+'Quarterly YTD'!T61-'Quarterly YTD'!P61</f>
        <v>-205.193</v>
      </c>
      <c r="U61" s="11">
        <f>R61+'Quarterly YTD'!U61-'Quarterly YTD'!Q61</f>
        <v>-217.032</v>
      </c>
      <c r="V61" s="0">
        <v>-204.822</v>
      </c>
      <c r="W61" s="11">
        <f>V61+'Quarterly YTD'!W61-'Quarterly YTD'!S61</f>
        <v>-213.37</v>
      </c>
      <c r="X61" s="11">
        <f>V61+'Quarterly YTD'!X61-'Quarterly YTD'!T61</f>
        <v>-197.561</v>
      </c>
      <c r="Y61" s="11">
        <f>V61+'Quarterly YTD'!Y61-'Quarterly YTD'!U61</f>
        <v>-237.681</v>
      </c>
      <c r="Z61" s="0">
        <v>-230.833</v>
      </c>
      <c r="AA61" s="11">
        <f>Z61+'Quarterly YTD'!AA61-'Quarterly YTD'!W61</f>
        <v>-235.337</v>
      </c>
      <c r="AB61" s="11">
        <f>Z61+'Quarterly YTD'!AB61-'Quarterly YTD'!X61</f>
        <v>-224.785</v>
      </c>
      <c r="AC61" s="11">
        <f>Z61+'Quarterly YTD'!AC61-'Quarterly YTD'!Y61</f>
        <v>-187.528</v>
      </c>
      <c r="AD61" s="0">
        <v>-162.507</v>
      </c>
      <c r="AE61" s="11">
        <f>AD61+'Quarterly YTD'!AE61-'Quarterly YTD'!AA61</f>
        <v>-127.088</v>
      </c>
      <c r="AF61" s="11">
        <f>AD61+'Quarterly YTD'!AF61-'Quarterly YTD'!AB61</f>
        <v>-155.115</v>
      </c>
    </row>
    <row customHeight="1" ht="15">
      <c r="A62" s="9" t="s">
        <v>99</v>
      </c>
      <c r="B62" s="0">
        <v>0</v>
      </c>
      <c r="F62" s="0">
        <v>0</v>
      </c>
      <c r="G62" s="11">
        <f>F62+'Quarterly YTD'!G62-'Quarterly YTD'!C62</f>
        <v>0</v>
      </c>
      <c r="H62" s="11">
        <f>F62+'Quarterly YTD'!H62-'Quarterly YTD'!D62</f>
        <v>0</v>
      </c>
      <c r="I62" s="11">
        <f>F62+'Quarterly YTD'!I62-'Quarterly YTD'!E62</f>
        <v>0</v>
      </c>
      <c r="J62" s="0">
        <v>0</v>
      </c>
      <c r="K62" s="11">
        <f>J62+'Quarterly YTD'!K62-'Quarterly YTD'!G62</f>
        <v>0</v>
      </c>
      <c r="L62" s="11">
        <f>J62+'Quarterly YTD'!L62-'Quarterly YTD'!H62</f>
        <v>0</v>
      </c>
      <c r="M62" s="11">
        <f>J62+'Quarterly YTD'!M62-'Quarterly YTD'!I62</f>
        <v>0</v>
      </c>
      <c r="N62" s="0">
        <v>0</v>
      </c>
      <c r="O62" s="11">
        <f>N62+'Quarterly YTD'!O62-'Quarterly YTD'!K62</f>
        <v>0</v>
      </c>
      <c r="P62" s="11">
        <f>N62+'Quarterly YTD'!P62-'Quarterly YTD'!L62</f>
        <v>0</v>
      </c>
      <c r="Q62" s="11">
        <f>N62+'Quarterly YTD'!Q62-'Quarterly YTD'!M62</f>
        <v>0</v>
      </c>
      <c r="R62" s="0">
        <v>-4.348</v>
      </c>
      <c r="S62" s="11">
        <f>R62+'Quarterly YTD'!S62-'Quarterly YTD'!O62</f>
        <v>-6.527</v>
      </c>
      <c r="T62" s="11">
        <f>R62+'Quarterly YTD'!T62-'Quarterly YTD'!P62</f>
        <v>-8.913</v>
      </c>
      <c r="U62" s="11">
        <f>R62+'Quarterly YTD'!U62-'Quarterly YTD'!Q62</f>
        <v>-10.714</v>
      </c>
      <c r="V62" s="0">
        <v>-8.962</v>
      </c>
      <c r="W62" s="11">
        <f>V62+'Quarterly YTD'!W62-'Quarterly YTD'!S62</f>
        <v>-8.74</v>
      </c>
      <c r="X62" s="11">
        <f>V62+'Quarterly YTD'!X62-'Quarterly YTD'!T62</f>
        <v>-8.744</v>
      </c>
      <c r="Y62" s="11">
        <f>V62+'Quarterly YTD'!Y62-'Quarterly YTD'!U62</f>
        <v>-9.637</v>
      </c>
      <c r="Z62" s="0">
        <v>-9.512</v>
      </c>
      <c r="AA62" s="11">
        <f>Z62+'Quarterly YTD'!AA62-'Quarterly YTD'!W62</f>
        <v>-8.857</v>
      </c>
      <c r="AB62" s="11">
        <f>Z62+'Quarterly YTD'!AB62-'Quarterly YTD'!X62</f>
        <v>-7.563</v>
      </c>
      <c r="AC62" s="11">
        <f>Z62+'Quarterly YTD'!AC62-'Quarterly YTD'!Y62</f>
        <v>-6.272</v>
      </c>
      <c r="AD62" s="0">
        <v>-6.608</v>
      </c>
      <c r="AE62" s="11">
        <f>AD62+'Quarterly YTD'!AE62-'Quarterly YTD'!AA62</f>
        <v>-6.787</v>
      </c>
      <c r="AF62" s="11">
        <f>AD62+'Quarterly YTD'!AF62-'Quarterly YTD'!AB62</f>
        <v>-7.432</v>
      </c>
    </row>
    <row customHeight="1" ht="15">
      <c r="A63" s="9" t="s">
        <v>100</v>
      </c>
      <c r="B63" s="0">
        <v>0.215</v>
      </c>
      <c r="F63" s="0">
        <v>3.422</v>
      </c>
      <c r="G63" s="11">
        <f>F63+'Quarterly YTD'!G63-'Quarterly YTD'!C63</f>
        <v>3.527</v>
      </c>
      <c r="H63" s="11">
        <f>F63+'Quarterly YTD'!H63-'Quarterly YTD'!D63</f>
        <v>3.622</v>
      </c>
      <c r="I63" s="11">
        <f>F63+'Quarterly YTD'!I63-'Quarterly YTD'!E63</f>
        <v>3.559</v>
      </c>
      <c r="J63" s="0">
        <v>9.145</v>
      </c>
      <c r="K63" s="11">
        <f>J63+'Quarterly YTD'!K63-'Quarterly YTD'!G63</f>
        <v>8.762</v>
      </c>
      <c r="L63" s="11">
        <f>J63+'Quarterly YTD'!L63-'Quarterly YTD'!H63</f>
        <v>8.844</v>
      </c>
      <c r="M63" s="11">
        <f>J63+'Quarterly YTD'!M63-'Quarterly YTD'!I63</f>
        <v>9.067</v>
      </c>
      <c r="N63" s="0">
        <v>4.129</v>
      </c>
      <c r="O63" s="11">
        <f>N63+'Quarterly YTD'!O63-'Quarterly YTD'!K63</f>
        <v>6.055</v>
      </c>
      <c r="P63" s="11">
        <f>N63+'Quarterly YTD'!P63-'Quarterly YTD'!L63</f>
        <v>5.756</v>
      </c>
      <c r="Q63" s="11">
        <f>N63+'Quarterly YTD'!Q63-'Quarterly YTD'!M63</f>
        <v>26.828</v>
      </c>
      <c r="R63" s="0">
        <v>3.9</v>
      </c>
      <c r="S63" s="11">
        <f>R63+'Quarterly YTD'!S63-'Quarterly YTD'!O63</f>
        <v>1.977</v>
      </c>
      <c r="T63" s="11">
        <f>R63+'Quarterly YTD'!T63-'Quarterly YTD'!P63</f>
        <v>1.877</v>
      </c>
      <c r="U63" s="11">
        <f>R63+'Quarterly YTD'!U63-'Quarterly YTD'!Q63</f>
        <v>-19.282</v>
      </c>
      <c r="V63" s="0">
        <v>21.152</v>
      </c>
      <c r="W63" s="11">
        <f>V63+'Quarterly YTD'!W63-'Quarterly YTD'!S63</f>
        <v>21.14</v>
      </c>
      <c r="X63" s="11">
        <f>V63+'Quarterly YTD'!X63-'Quarterly YTD'!T63</f>
        <v>22.506</v>
      </c>
      <c r="Y63" s="11">
        <f>V63+'Quarterly YTD'!Y63-'Quarterly YTD'!U63</f>
        <v>26.382</v>
      </c>
      <c r="Z63" s="0">
        <v>6.519</v>
      </c>
      <c r="AA63" s="11">
        <f>Z63+'Quarterly YTD'!AA63-'Quarterly YTD'!W63</f>
        <v>15.743</v>
      </c>
      <c r="AB63" s="11">
        <f>Z63+'Quarterly YTD'!AB63-'Quarterly YTD'!X63</f>
        <v>20.814</v>
      </c>
      <c r="AC63" s="11">
        <f>Z63+'Quarterly YTD'!AC63-'Quarterly YTD'!Y63</f>
        <v>12.677</v>
      </c>
      <c r="AD63" s="0">
        <v>18.903</v>
      </c>
      <c r="AE63" s="11">
        <f>AD63+'Quarterly YTD'!AE63-'Quarterly YTD'!AA63</f>
        <v>9.935</v>
      </c>
      <c r="AF63" s="11">
        <f>AD63+'Quarterly YTD'!AF63-'Quarterly YTD'!AB63</f>
        <v>5.833</v>
      </c>
    </row>
    <row customHeight="1" ht="15">
      <c r="A64" s="9" t="s">
        <v>101</v>
      </c>
      <c r="B64" s="0">
        <v>0</v>
      </c>
      <c r="F64" s="0">
        <v>0</v>
      </c>
      <c r="G64" s="11">
        <f>F64+'Quarterly YTD'!G64-'Quarterly YTD'!C64</f>
        <v>0</v>
      </c>
      <c r="H64" s="11">
        <f>F64+'Quarterly YTD'!H64-'Quarterly YTD'!D64</f>
        <v>0</v>
      </c>
      <c r="I64" s="11">
        <f>F64+'Quarterly YTD'!I64-'Quarterly YTD'!E64</f>
        <v>0</v>
      </c>
      <c r="J64" s="0">
        <v>0</v>
      </c>
      <c r="K64" s="11">
        <f>J64+'Quarterly YTD'!K64-'Quarterly YTD'!G64</f>
        <v>0</v>
      </c>
      <c r="L64" s="11">
        <f>J64+'Quarterly YTD'!L64-'Quarterly YTD'!H64</f>
        <v>0</v>
      </c>
      <c r="M64" s="11">
        <f>J64+'Quarterly YTD'!M64-'Quarterly YTD'!I64</f>
        <v>0</v>
      </c>
      <c r="N64" s="0">
        <v>0</v>
      </c>
      <c r="O64" s="11">
        <f>N64+'Quarterly YTD'!O64-'Quarterly YTD'!K64</f>
        <v>0</v>
      </c>
      <c r="P64" s="11">
        <f>N64+'Quarterly YTD'!P64-'Quarterly YTD'!L64</f>
        <v>0</v>
      </c>
      <c r="Q64" s="11">
        <f>N64+'Quarterly YTD'!Q64-'Quarterly YTD'!M64</f>
        <v>0</v>
      </c>
      <c r="R64" s="0">
        <v>0</v>
      </c>
      <c r="S64" s="11">
        <f>R64+'Quarterly YTD'!S64-'Quarterly YTD'!O64</f>
        <v>0</v>
      </c>
      <c r="T64" s="11">
        <f>R64+'Quarterly YTD'!T64-'Quarterly YTD'!P64</f>
        <v>0</v>
      </c>
      <c r="U64" s="11">
        <f>R64+'Quarterly YTD'!U64-'Quarterly YTD'!Q64</f>
        <v>0</v>
      </c>
      <c r="V64" s="0">
        <v>0</v>
      </c>
      <c r="W64" s="11">
        <f>V64+'Quarterly YTD'!W64-'Quarterly YTD'!S64</f>
        <v>0</v>
      </c>
      <c r="X64" s="11">
        <f>V64+'Quarterly YTD'!X64-'Quarterly YTD'!T64</f>
        <v>0</v>
      </c>
      <c r="Y64" s="11">
        <f>V64+'Quarterly YTD'!Y64-'Quarterly YTD'!U64</f>
        <v>0</v>
      </c>
      <c r="Z64" s="0">
        <v>0</v>
      </c>
      <c r="AA64" s="11">
        <f>Z64+'Quarterly YTD'!AA64-'Quarterly YTD'!W64</f>
        <v>0</v>
      </c>
      <c r="AB64" s="11">
        <f>Z64+'Quarterly YTD'!AB64-'Quarterly YTD'!X64</f>
        <v>0</v>
      </c>
      <c r="AC64" s="11">
        <f>Z64+'Quarterly YTD'!AC64-'Quarterly YTD'!Y64</f>
        <v>0</v>
      </c>
      <c r="AD64" s="0">
        <v>0</v>
      </c>
      <c r="AE64" s="11">
        <f>AD64+'Quarterly YTD'!AE64-'Quarterly YTD'!AA64</f>
        <v>0</v>
      </c>
      <c r="AF64" s="11">
        <f>AD64+'Quarterly YTD'!AF64-'Quarterly YTD'!AB64</f>
        <v>0</v>
      </c>
    </row>
    <row customHeight="1" ht="15">
      <c r="A65" s="9" t="s">
        <v>102</v>
      </c>
      <c r="B65" s="0">
        <v>0</v>
      </c>
      <c r="F65" s="0">
        <v>0</v>
      </c>
      <c r="G65" s="11">
        <f>F65+'Quarterly YTD'!G65-'Quarterly YTD'!C65</f>
        <v>0</v>
      </c>
      <c r="H65" s="11">
        <f>F65+'Quarterly YTD'!H65-'Quarterly YTD'!D65</f>
        <v>0</v>
      </c>
      <c r="I65" s="11">
        <f>F65+'Quarterly YTD'!I65-'Quarterly YTD'!E65</f>
        <v>0</v>
      </c>
      <c r="J65" s="0">
        <v>0</v>
      </c>
      <c r="K65" s="11">
        <f>J65+'Quarterly YTD'!K65-'Quarterly YTD'!G65</f>
        <v>0</v>
      </c>
      <c r="L65" s="11">
        <f>J65+'Quarterly YTD'!L65-'Quarterly YTD'!H65</f>
        <v>0</v>
      </c>
      <c r="M65" s="11">
        <f>J65+'Quarterly YTD'!M65-'Quarterly YTD'!I65</f>
        <v>0</v>
      </c>
      <c r="N65" s="0">
        <v>0</v>
      </c>
      <c r="O65" s="11">
        <f>N65+'Quarterly YTD'!O65-'Quarterly YTD'!K65</f>
        <v>0</v>
      </c>
      <c r="P65" s="11">
        <f>N65+'Quarterly YTD'!P65-'Quarterly YTD'!L65</f>
        <v>0</v>
      </c>
      <c r="Q65" s="11">
        <f>N65+'Quarterly YTD'!Q65-'Quarterly YTD'!M65</f>
        <v>0</v>
      </c>
      <c r="R65" s="0">
        <v>-81.411</v>
      </c>
      <c r="S65" s="11">
        <f>R65+'Quarterly YTD'!S65-'Quarterly YTD'!O65</f>
        <v>-81.411</v>
      </c>
      <c r="T65" s="11">
        <f>R65+'Quarterly YTD'!T65-'Quarterly YTD'!P65</f>
        <v>-81.411</v>
      </c>
      <c r="U65" s="11">
        <f>R65+'Quarterly YTD'!U65-'Quarterly YTD'!Q65</f>
        <v>-81.411</v>
      </c>
      <c r="V65" s="0">
        <v>0</v>
      </c>
      <c r="W65" s="11">
        <f>V65+'Quarterly YTD'!W65-'Quarterly YTD'!S65</f>
        <v>0</v>
      </c>
      <c r="X65" s="11">
        <f>V65+'Quarterly YTD'!X65-'Quarterly YTD'!T65</f>
        <v>0</v>
      </c>
      <c r="Y65" s="11">
        <f>V65+'Quarterly YTD'!Y65-'Quarterly YTD'!U65</f>
        <v>0</v>
      </c>
      <c r="Z65" s="0">
        <v>0</v>
      </c>
      <c r="AA65" s="11">
        <f>Z65+'Quarterly YTD'!AA65-'Quarterly YTD'!W65</f>
        <v>0</v>
      </c>
      <c r="AB65" s="11">
        <f>Z65+'Quarterly YTD'!AB65-'Quarterly YTD'!X65</f>
        <v>0</v>
      </c>
      <c r="AC65" s="11">
        <f>Z65+'Quarterly YTD'!AC65-'Quarterly YTD'!Y65</f>
        <v>0</v>
      </c>
      <c r="AD65" s="0">
        <v>0</v>
      </c>
      <c r="AE65" s="11">
        <f>AD65+'Quarterly YTD'!AE65-'Quarterly YTD'!AA65</f>
        <v>0</v>
      </c>
      <c r="AF65" s="11">
        <f>AD65+'Quarterly YTD'!AF65-'Quarterly YTD'!AB65</f>
        <v>0</v>
      </c>
    </row>
    <row customHeight="1" ht="15">
      <c r="A66" s="9" t="s">
        <v>103</v>
      </c>
      <c r="B66" s="0">
        <v>0</v>
      </c>
      <c r="F66" s="0">
        <v>0</v>
      </c>
      <c r="G66" s="11">
        <f>F66+'Quarterly YTD'!G66-'Quarterly YTD'!C66</f>
        <v>0</v>
      </c>
      <c r="H66" s="11">
        <f>F66+'Quarterly YTD'!H66-'Quarterly YTD'!D66</f>
        <v>0</v>
      </c>
      <c r="I66" s="11">
        <f>F66+'Quarterly YTD'!I66-'Quarterly YTD'!E66</f>
        <v>0</v>
      </c>
      <c r="J66" s="0">
        <v>0</v>
      </c>
      <c r="K66" s="11">
        <f>J66+'Quarterly YTD'!K66-'Quarterly YTD'!G66</f>
        <v>0</v>
      </c>
      <c r="L66" s="11">
        <f>J66+'Quarterly YTD'!L66-'Quarterly YTD'!H66</f>
        <v>0</v>
      </c>
      <c r="M66" s="11">
        <f>J66+'Quarterly YTD'!M66-'Quarterly YTD'!I66</f>
        <v>0</v>
      </c>
      <c r="N66" s="0">
        <v>0</v>
      </c>
      <c r="O66" s="11">
        <f>N66+'Quarterly YTD'!O66-'Quarterly YTD'!K66</f>
        <v>0</v>
      </c>
      <c r="P66" s="11">
        <f>N66+'Quarterly YTD'!P66-'Quarterly YTD'!L66</f>
        <v>0</v>
      </c>
      <c r="Q66" s="11">
        <f>N66+'Quarterly YTD'!Q66-'Quarterly YTD'!M66</f>
        <v>0</v>
      </c>
      <c r="R66" s="0">
        <v>98.738</v>
      </c>
      <c r="S66" s="11">
        <f>R66+'Quarterly YTD'!S66-'Quarterly YTD'!O66</f>
        <v>98.738</v>
      </c>
      <c r="T66" s="11">
        <f>R66+'Quarterly YTD'!T66-'Quarterly YTD'!P66</f>
        <v>98.738</v>
      </c>
      <c r="U66" s="11">
        <f>R66+'Quarterly YTD'!U66-'Quarterly YTD'!Q66</f>
        <v>98.738</v>
      </c>
      <c r="V66" s="0">
        <v>6.621</v>
      </c>
      <c r="W66" s="11">
        <f>V66+'Quarterly YTD'!W66-'Quarterly YTD'!S66</f>
        <v>39.861</v>
      </c>
      <c r="X66" s="11">
        <f>V66+'Quarterly YTD'!X66-'Quarterly YTD'!T66</f>
        <v>49.011</v>
      </c>
      <c r="Y66" s="11">
        <f>V66+'Quarterly YTD'!Y66-'Quarterly YTD'!U66</f>
        <v>50.717</v>
      </c>
      <c r="Z66" s="0">
        <v>57.737</v>
      </c>
      <c r="AA66" s="11">
        <f>Z66+'Quarterly YTD'!AA66-'Quarterly YTD'!W66</f>
        <v>36.574</v>
      </c>
      <c r="AB66" s="11">
        <f>Z66+'Quarterly YTD'!AB66-'Quarterly YTD'!X66</f>
        <v>43.156</v>
      </c>
      <c r="AC66" s="11">
        <f>Z66+'Quarterly YTD'!AC66-'Quarterly YTD'!Y66</f>
        <v>41.324</v>
      </c>
      <c r="AD66" s="0">
        <v>27.5</v>
      </c>
      <c r="AE66" s="11">
        <f>AD66+'Quarterly YTD'!AE66-'Quarterly YTD'!AA66</f>
        <v>22.118</v>
      </c>
      <c r="AF66" s="11">
        <f>AD66+'Quarterly YTD'!AF66-'Quarterly YTD'!AB66</f>
        <v>6.494</v>
      </c>
    </row>
    <row customHeight="1" ht="15">
      <c r="A67" s="9" t="s">
        <v>104</v>
      </c>
      <c r="B67" s="0">
        <v>0</v>
      </c>
      <c r="F67" s="0">
        <v>0</v>
      </c>
      <c r="G67" s="11">
        <f>F67+'Quarterly YTD'!G67-'Quarterly YTD'!C67</f>
        <v>0</v>
      </c>
      <c r="H67" s="11">
        <f>F67+'Quarterly YTD'!H67-'Quarterly YTD'!D67</f>
        <v>2.4</v>
      </c>
      <c r="I67" s="11">
        <f>F67+'Quarterly YTD'!I67-'Quarterly YTD'!E67</f>
        <v>-0.443</v>
      </c>
      <c r="J67" s="0">
        <v>-0.57</v>
      </c>
      <c r="K67" s="11">
        <f>J67+'Quarterly YTD'!K67-'Quarterly YTD'!G67</f>
        <v>-0.57</v>
      </c>
      <c r="L67" s="11">
        <f>J67+'Quarterly YTD'!L67-'Quarterly YTD'!H67</f>
        <v>-0.933</v>
      </c>
      <c r="M67" s="11">
        <f>J67+'Quarterly YTD'!M67-'Quarterly YTD'!I67</f>
        <v>-3.238</v>
      </c>
      <c r="N67" s="0">
        <v>-6.626</v>
      </c>
      <c r="O67" s="11">
        <f>N67+'Quarterly YTD'!O67-'Quarterly YTD'!K67</f>
        <v>-6.931</v>
      </c>
      <c r="P67" s="11">
        <f>N67+'Quarterly YTD'!P67-'Quarterly YTD'!L67</f>
        <v>-6.108</v>
      </c>
      <c r="Q67" s="11">
        <f>N67+'Quarterly YTD'!Q67-'Quarterly YTD'!M67</f>
        <v>-3.515</v>
      </c>
      <c r="R67" s="0">
        <v>-0.607</v>
      </c>
      <c r="S67" s="11">
        <f>R67+'Quarterly YTD'!S67-'Quarterly YTD'!O67</f>
        <v>-0.302</v>
      </c>
      <c r="T67" s="11">
        <f>R67+'Quarterly YTD'!T67-'Quarterly YTD'!P67</f>
        <v>-0.294</v>
      </c>
      <c r="U67" s="11">
        <f>R67+'Quarterly YTD'!U67-'Quarterly YTD'!Q67</f>
        <v>-0.607</v>
      </c>
      <c r="V67" s="0">
        <v>0</v>
      </c>
      <c r="W67" s="11">
        <f>V67+'Quarterly YTD'!W67-'Quarterly YTD'!S67</f>
        <v>0</v>
      </c>
      <c r="X67" s="11">
        <f>V67+'Quarterly YTD'!X67-'Quarterly YTD'!T67</f>
        <v>0</v>
      </c>
      <c r="Y67" s="11">
        <f>V67+'Quarterly YTD'!Y67-'Quarterly YTD'!U67</f>
        <v>0</v>
      </c>
      <c r="Z67" s="0">
        <v>0</v>
      </c>
      <c r="AA67" s="11">
        <f>Z67+'Quarterly YTD'!AA67-'Quarterly YTD'!W67</f>
        <v>0</v>
      </c>
      <c r="AB67" s="11">
        <f>Z67+'Quarterly YTD'!AB67-'Quarterly YTD'!X67</f>
        <v>0</v>
      </c>
      <c r="AC67" s="11">
        <f>Z67+'Quarterly YTD'!AC67-'Quarterly YTD'!Y67</f>
        <v>0</v>
      </c>
      <c r="AD67" s="0">
        <v>0</v>
      </c>
      <c r="AE67" s="11">
        <f>AD67+'Quarterly YTD'!AE67-'Quarterly YTD'!AA67</f>
        <v>0</v>
      </c>
      <c r="AF67" s="11">
        <f>AD67+'Quarterly YTD'!AF67-'Quarterly YTD'!AB67</f>
        <v>0</v>
      </c>
    </row>
    <row customHeight="1" ht="15">
      <c r="A68" s="9" t="s">
        <v>105</v>
      </c>
      <c r="B68" s="0">
        <v>0</v>
      </c>
      <c r="F68" s="0">
        <v>0</v>
      </c>
      <c r="G68" s="11">
        <f>F68+'Quarterly YTD'!G68-'Quarterly YTD'!C68</f>
        <v>0</v>
      </c>
      <c r="H68" s="11">
        <f>F68+'Quarterly YTD'!H68-'Quarterly YTD'!D68</f>
        <v>0</v>
      </c>
      <c r="I68" s="11">
        <f>F68+'Quarterly YTD'!I68-'Quarterly YTD'!E68</f>
        <v>0</v>
      </c>
      <c r="J68" s="0">
        <v>2.117</v>
      </c>
      <c r="K68" s="11">
        <f>J68+'Quarterly YTD'!K68-'Quarterly YTD'!G68</f>
        <v>2.117</v>
      </c>
      <c r="L68" s="11">
        <f>J68+'Quarterly YTD'!L68-'Quarterly YTD'!H68</f>
        <v>2.117</v>
      </c>
      <c r="M68" s="11">
        <f>J68+'Quarterly YTD'!M68-'Quarterly YTD'!I68</f>
        <v>4.392</v>
      </c>
      <c r="N68" s="0">
        <v>6.37</v>
      </c>
      <c r="O68" s="11">
        <f>N68+'Quarterly YTD'!O68-'Quarterly YTD'!K68</f>
        <v>6.639</v>
      </c>
      <c r="P68" s="11">
        <f>N68+'Quarterly YTD'!P68-'Quarterly YTD'!L68</f>
        <v>6.646</v>
      </c>
      <c r="Q68" s="11">
        <f>N68+'Quarterly YTD'!Q68-'Quarterly YTD'!M68</f>
        <v>4.379</v>
      </c>
      <c r="R68" s="0">
        <v>0.287</v>
      </c>
      <c r="S68" s="11">
        <f>R68+'Quarterly YTD'!S68-'Quarterly YTD'!O68</f>
        <v>0.018</v>
      </c>
      <c r="T68" s="11">
        <f>R68+'Quarterly YTD'!T68-'Quarterly YTD'!P68</f>
        <v>0.498</v>
      </c>
      <c r="U68" s="11">
        <f>R68+'Quarterly YTD'!U68-'Quarterly YTD'!Q68</f>
        <v>0.323</v>
      </c>
      <c r="V68" s="0">
        <v>0.209</v>
      </c>
      <c r="W68" s="11">
        <f>V68+'Quarterly YTD'!W68-'Quarterly YTD'!S68</f>
        <v>0.27</v>
      </c>
      <c r="X68" s="11">
        <f>V68+'Quarterly YTD'!X68-'Quarterly YTD'!T68</f>
        <v>-0.219</v>
      </c>
      <c r="Y68" s="11">
        <f>V68+'Quarterly YTD'!Y68-'Quarterly YTD'!U68</f>
        <v>3.521</v>
      </c>
      <c r="Z68" s="0">
        <v>5.107</v>
      </c>
      <c r="AA68" s="11">
        <f>Z68+'Quarterly YTD'!AA68-'Quarterly YTD'!W68</f>
        <v>5.047</v>
      </c>
      <c r="AB68" s="11">
        <f>Z68+'Quarterly YTD'!AB68-'Quarterly YTD'!X68</f>
        <v>12.268</v>
      </c>
      <c r="AC68" s="11">
        <f>Z68+'Quarterly YTD'!AC68-'Quarterly YTD'!Y68</f>
        <v>8.72</v>
      </c>
      <c r="AD68" s="0">
        <v>6.773</v>
      </c>
      <c r="AE68" s="11">
        <f>AD68+'Quarterly YTD'!AE68-'Quarterly YTD'!AA68</f>
        <v>6.772</v>
      </c>
      <c r="AF68" s="11">
        <f>AD68+'Quarterly YTD'!AF68-'Quarterly YTD'!AB68</f>
        <v>-0.438</v>
      </c>
    </row>
    <row customHeight="1" ht="15">
      <c r="A69" s="9" t="s">
        <v>106</v>
      </c>
      <c r="B69" s="0">
        <v>-1.471</v>
      </c>
      <c r="F69" s="0">
        <v>-2.729</v>
      </c>
      <c r="G69" s="11">
        <f>F69+'Quarterly YTD'!G69-'Quarterly YTD'!C69</f>
        <v>-2.654</v>
      </c>
      <c r="H69" s="11">
        <f>F69+'Quarterly YTD'!H69-'Quarterly YTD'!D69</f>
        <v>-5.608</v>
      </c>
      <c r="I69" s="11">
        <f>F69+'Quarterly YTD'!I69-'Quarterly YTD'!E69</f>
        <v>-6.142</v>
      </c>
      <c r="J69" s="0">
        <v>-4.733</v>
      </c>
      <c r="K69" s="11">
        <f>J69+'Quarterly YTD'!K69-'Quarterly YTD'!G69</f>
        <v>-6.353</v>
      </c>
      <c r="L69" s="11">
        <f>J69+'Quarterly YTD'!L69-'Quarterly YTD'!H69</f>
        <v>-4.826</v>
      </c>
      <c r="M69" s="11">
        <f>J69+'Quarterly YTD'!M69-'Quarterly YTD'!I69</f>
        <v>-11.1</v>
      </c>
      <c r="N69" s="0">
        <v>-10.733</v>
      </c>
      <c r="O69" s="11">
        <f>N69+'Quarterly YTD'!O69-'Quarterly YTD'!K69</f>
        <v>-9.331</v>
      </c>
      <c r="P69" s="11">
        <f>N69+'Quarterly YTD'!P69-'Quarterly YTD'!L69</f>
        <v>-11.118</v>
      </c>
      <c r="Q69" s="11">
        <f>N69+'Quarterly YTD'!Q69-'Quarterly YTD'!M69</f>
        <v>-14.25</v>
      </c>
      <c r="R69" s="0">
        <v>-5.108</v>
      </c>
      <c r="S69" s="11">
        <f>R69+'Quarterly YTD'!S69-'Quarterly YTD'!O69</f>
        <v>-4.39</v>
      </c>
      <c r="T69" s="11">
        <f>R69+'Quarterly YTD'!T69-'Quarterly YTD'!P69</f>
        <v>-5.126</v>
      </c>
      <c r="U69" s="11">
        <f>R69+'Quarterly YTD'!U69-'Quarterly YTD'!Q69</f>
        <v>4.972</v>
      </c>
      <c r="V69" s="0">
        <v>-4.541</v>
      </c>
      <c r="W69" s="11">
        <f>V69+'Quarterly YTD'!W69-'Quarterly YTD'!S69</f>
        <v>-8.967</v>
      </c>
      <c r="X69" s="11">
        <f>V69+'Quarterly YTD'!X69-'Quarterly YTD'!T69</f>
        <v>-5.022</v>
      </c>
      <c r="Y69" s="11">
        <f>V69+'Quarterly YTD'!Y69-'Quarterly YTD'!U69</f>
        <v>-5.554</v>
      </c>
      <c r="Z69" s="0">
        <v>-6.028</v>
      </c>
      <c r="AA69" s="11">
        <f>Z69+'Quarterly YTD'!AA69-'Quarterly YTD'!W69</f>
        <v>-1.626</v>
      </c>
      <c r="AB69" s="11">
        <f>Z69+'Quarterly YTD'!AB69-'Quarterly YTD'!X69</f>
        <v>-2.781</v>
      </c>
      <c r="AC69" s="11">
        <f>Z69+'Quarterly YTD'!AC69-'Quarterly YTD'!Y69</f>
        <v>-2.249</v>
      </c>
      <c r="AD69" s="0">
        <v>-1.797</v>
      </c>
      <c r="AE69" s="11">
        <f>AD69+'Quarterly YTD'!AE69-'Quarterly YTD'!AA69</f>
        <v>-4.727</v>
      </c>
      <c r="AF69" s="11">
        <f>AD69+'Quarterly YTD'!AF69-'Quarterly YTD'!AB69</f>
        <v>-7.039</v>
      </c>
    </row>
    <row customHeight="1" ht="15">
      <c r="A70" s="9" t="s">
        <v>107</v>
      </c>
      <c r="B70" s="0">
        <v>1.023</v>
      </c>
      <c r="F70" s="0">
        <v>0.312</v>
      </c>
      <c r="G70" s="11">
        <f>F70+'Quarterly YTD'!G70-'Quarterly YTD'!C70</f>
        <v>0.176</v>
      </c>
      <c r="H70" s="11">
        <f>F70+'Quarterly YTD'!H70-'Quarterly YTD'!D70</f>
        <v>0.454</v>
      </c>
      <c r="I70" s="11">
        <f>F70+'Quarterly YTD'!I70-'Quarterly YTD'!E70</f>
        <v>0.464</v>
      </c>
      <c r="J70" s="0">
        <v>0.182</v>
      </c>
      <c r="K70" s="11">
        <f>J70+'Quarterly YTD'!K70-'Quarterly YTD'!G70</f>
        <v>0.013</v>
      </c>
      <c r="L70" s="11">
        <f>J70+'Quarterly YTD'!L70-'Quarterly YTD'!H70</f>
        <v>0.033</v>
      </c>
      <c r="M70" s="11">
        <f>J70+'Quarterly YTD'!M70-'Quarterly YTD'!I70</f>
        <v>1.194</v>
      </c>
      <c r="N70" s="0">
        <v>1.311</v>
      </c>
      <c r="O70" s="11">
        <f>N70+'Quarterly YTD'!O70-'Quarterly YTD'!K70</f>
        <v>3.088</v>
      </c>
      <c r="P70" s="11">
        <f>N70+'Quarterly YTD'!P70-'Quarterly YTD'!L70</f>
        <v>3.736</v>
      </c>
      <c r="Q70" s="11">
        <f>N70+'Quarterly YTD'!Q70-'Quarterly YTD'!M70</f>
        <v>3.231</v>
      </c>
      <c r="R70" s="0">
        <v>3.139</v>
      </c>
      <c r="S70" s="11">
        <f>R70+'Quarterly YTD'!S70-'Quarterly YTD'!O70</f>
        <v>1.381</v>
      </c>
      <c r="T70" s="11">
        <f>R70+'Quarterly YTD'!T70-'Quarterly YTD'!P70</f>
        <v>2.928</v>
      </c>
      <c r="U70" s="11">
        <f>R70+'Quarterly YTD'!U70-'Quarterly YTD'!Q70</f>
        <v>2.265</v>
      </c>
      <c r="V70" s="0">
        <v>2.876</v>
      </c>
      <c r="W70" s="11">
        <f>V70+'Quarterly YTD'!W70-'Quarterly YTD'!S70</f>
        <v>2.896</v>
      </c>
      <c r="X70" s="11">
        <f>V70+'Quarterly YTD'!X70-'Quarterly YTD'!T70</f>
        <v>1.046</v>
      </c>
      <c r="Y70" s="11">
        <f>V70+'Quarterly YTD'!Y70-'Quarterly YTD'!U70</f>
        <v>1.593</v>
      </c>
      <c r="Z70" s="0">
        <v>1.835</v>
      </c>
      <c r="AA70" s="11">
        <f>Z70+'Quarterly YTD'!AA70-'Quarterly YTD'!W70</f>
        <v>2.146</v>
      </c>
      <c r="AB70" s="11">
        <f>Z70+'Quarterly YTD'!AB70-'Quarterly YTD'!X70</f>
        <v>2.826</v>
      </c>
      <c r="AC70" s="11">
        <f>Z70+'Quarterly YTD'!AC70-'Quarterly YTD'!Y70</f>
        <v>2.319</v>
      </c>
      <c r="AD70" s="0">
        <v>1.482</v>
      </c>
      <c r="AE70" s="11">
        <f>AD70+'Quarterly YTD'!AE70-'Quarterly YTD'!AA70</f>
        <v>1.203</v>
      </c>
      <c r="AF70" s="11">
        <f>AD70+'Quarterly YTD'!AF70-'Quarterly YTD'!AB70</f>
        <v>0.665</v>
      </c>
    </row>
    <row customHeight="1" ht="15">
      <c r="A71" s="9" t="s">
        <v>108</v>
      </c>
      <c r="B71" s="0">
        <v>0</v>
      </c>
      <c r="F71" s="0">
        <v>-84.994</v>
      </c>
      <c r="G71" s="11">
        <f>F71+'Quarterly YTD'!G71-'Quarterly YTD'!C71</f>
        <v>-225.976</v>
      </c>
      <c r="H71" s="11">
        <f>F71+'Quarterly YTD'!H71-'Quarterly YTD'!D71</f>
        <v>-361.097</v>
      </c>
      <c r="I71" s="11">
        <f>F71+'Quarterly YTD'!I71-'Quarterly YTD'!E71</f>
        <v>-382.574</v>
      </c>
      <c r="J71" s="0">
        <v>-363.039</v>
      </c>
      <c r="K71" s="11">
        <f>J71+'Quarterly YTD'!K71-'Quarterly YTD'!G71</f>
        <v>-221.864</v>
      </c>
      <c r="L71" s="11">
        <f>J71+'Quarterly YTD'!L71-'Quarterly YTD'!H71</f>
        <v>-87.849</v>
      </c>
      <c r="M71" s="11">
        <f>J71+'Quarterly YTD'!M71-'Quarterly YTD'!I71</f>
        <v>-66.389</v>
      </c>
      <c r="N71" s="0">
        <v>-225.941</v>
      </c>
      <c r="O71" s="11">
        <f>N71+'Quarterly YTD'!O71-'Quarterly YTD'!K71</f>
        <v>-225.593</v>
      </c>
      <c r="P71" s="11">
        <f>N71+'Quarterly YTD'!P71-'Quarterly YTD'!L71</f>
        <v>-226.478</v>
      </c>
      <c r="Q71" s="11">
        <f>N71+'Quarterly YTD'!Q71-'Quarterly YTD'!M71</f>
        <v>-225.011</v>
      </c>
      <c r="R71" s="0">
        <v>-1.553</v>
      </c>
      <c r="S71" s="11">
        <f>R71+'Quarterly YTD'!S71-'Quarterly YTD'!O71</f>
        <v>-0.129</v>
      </c>
      <c r="T71" s="11">
        <f>R71+'Quarterly YTD'!T71-'Quarterly YTD'!P71</f>
        <v>1.279</v>
      </c>
      <c r="U71" s="11">
        <f>R71+'Quarterly YTD'!U71-'Quarterly YTD'!Q71</f>
        <v>-0.24</v>
      </c>
      <c r="V71" s="0">
        <v>-1.5</v>
      </c>
      <c r="W71" s="11">
        <f>V71+'Quarterly YTD'!W71-'Quarterly YTD'!S71</f>
        <v>-0.723</v>
      </c>
      <c r="X71" s="11">
        <f>V71+'Quarterly YTD'!X71-'Quarterly YTD'!T71</f>
        <v>-12.129</v>
      </c>
      <c r="Y71" s="11">
        <f>V71+'Quarterly YTD'!Y71-'Quarterly YTD'!U71</f>
        <v>-21.512</v>
      </c>
      <c r="Z71" s="0">
        <v>-0.581</v>
      </c>
      <c r="AA71" s="11">
        <f>Z71+'Quarterly YTD'!AA71-'Quarterly YTD'!W71</f>
        <v>0.242</v>
      </c>
      <c r="AB71" s="11">
        <f>Z71+'Quarterly YTD'!AB71-'Quarterly YTD'!X71</f>
        <v>11.43</v>
      </c>
      <c r="AC71" s="11">
        <f>Z71+'Quarterly YTD'!AC71-'Quarterly YTD'!Y71</f>
        <v>21.654</v>
      </c>
      <c r="AD71" s="0">
        <v>2.142</v>
      </c>
      <c r="AE71" s="11">
        <f>AD71+'Quarterly YTD'!AE71-'Quarterly YTD'!AA71</f>
        <v>-1.3</v>
      </c>
      <c r="AF71" s="11">
        <f>AD71+'Quarterly YTD'!AF71-'Quarterly YTD'!AB71</f>
        <v>-6.881</v>
      </c>
    </row>
    <row customHeight="1" ht="15">
      <c r="A72" s="9" t="s">
        <v>109</v>
      </c>
      <c r="B72" s="0">
        <v>0</v>
      </c>
      <c r="F72" s="0">
        <v>0</v>
      </c>
      <c r="G72" s="11">
        <f>F72+'Quarterly YTD'!G72-'Quarterly YTD'!C72</f>
        <v>54.36</v>
      </c>
      <c r="H72" s="11">
        <f>F72+'Quarterly YTD'!H72-'Quarterly YTD'!D72</f>
        <v>287.815</v>
      </c>
      <c r="I72" s="11">
        <f>F72+'Quarterly YTD'!I72-'Quarterly YTD'!E72</f>
        <v>353.979</v>
      </c>
      <c r="J72" s="0">
        <v>418.311</v>
      </c>
      <c r="K72" s="11">
        <f>J72+'Quarterly YTD'!K72-'Quarterly YTD'!G72</f>
        <v>364.817</v>
      </c>
      <c r="L72" s="11">
        <f>J72+'Quarterly YTD'!L72-'Quarterly YTD'!H72</f>
        <v>156.474</v>
      </c>
      <c r="M72" s="11">
        <f>J72+'Quarterly YTD'!M72-'Quarterly YTD'!I72</f>
        <v>90.506</v>
      </c>
      <c r="N72" s="0">
        <v>26.471</v>
      </c>
      <c r="O72" s="11">
        <f>N72+'Quarterly YTD'!O72-'Quarterly YTD'!K72</f>
        <v>115.631</v>
      </c>
      <c r="P72" s="11">
        <f>N72+'Quarterly YTD'!P72-'Quarterly YTD'!L72</f>
        <v>140.078</v>
      </c>
      <c r="Q72" s="11">
        <f>N72+'Quarterly YTD'!Q72-'Quarterly YTD'!M72</f>
        <v>74.209</v>
      </c>
      <c r="R72" s="0">
        <v>226.651</v>
      </c>
      <c r="S72" s="11">
        <f>R72+'Quarterly YTD'!S72-'Quarterly YTD'!O72</f>
        <v>136.578</v>
      </c>
      <c r="T72" s="11">
        <f>R72+'Quarterly YTD'!T72-'Quarterly YTD'!P72</f>
        <v>87.066</v>
      </c>
      <c r="U72" s="11">
        <f>R72+'Quarterly YTD'!U72-'Quarterly YTD'!Q72</f>
        <v>152.739</v>
      </c>
      <c r="V72" s="0">
        <v>0</v>
      </c>
      <c r="W72" s="11">
        <f>V72+'Quarterly YTD'!W72-'Quarterly YTD'!S72</f>
        <v>0</v>
      </c>
      <c r="X72" s="11">
        <f>V72+'Quarterly YTD'!X72-'Quarterly YTD'!T72</f>
        <v>0</v>
      </c>
      <c r="Y72" s="11">
        <f>V72+'Quarterly YTD'!Y72-'Quarterly YTD'!U72</f>
        <v>0</v>
      </c>
      <c r="Z72" s="0">
        <v>0</v>
      </c>
      <c r="AA72" s="11">
        <f>Z72+'Quarterly YTD'!AA72-'Quarterly YTD'!W72</f>
        <v>0</v>
      </c>
      <c r="AB72" s="11">
        <f>Z72+'Quarterly YTD'!AB72-'Quarterly YTD'!X72</f>
        <v>0</v>
      </c>
      <c r="AC72" s="11">
        <f>Z72+'Quarterly YTD'!AC72-'Quarterly YTD'!Y72</f>
        <v>0</v>
      </c>
      <c r="AD72" s="0">
        <v>0</v>
      </c>
      <c r="AE72" s="11">
        <f>AD72+'Quarterly YTD'!AE72-'Quarterly YTD'!AA72</f>
        <v>0</v>
      </c>
      <c r="AF72" s="11">
        <f>AD72+'Quarterly YTD'!AF72-'Quarterly YTD'!AB72</f>
        <v>0</v>
      </c>
    </row>
    <row customHeight="1" ht="15">
      <c r="A73" s="9" t="s">
        <v>88</v>
      </c>
      <c r="B73" s="0">
        <v>0</v>
      </c>
      <c r="F73" s="0">
        <v>0</v>
      </c>
      <c r="G73" s="11">
        <f>F73+'Quarterly YTD'!G73-'Quarterly YTD'!C73</f>
        <v>0</v>
      </c>
      <c r="H73" s="11">
        <f>F73+'Quarterly YTD'!H73-'Quarterly YTD'!D73</f>
        <v>0.187</v>
      </c>
      <c r="I73" s="11">
        <f>F73+'Quarterly YTD'!I73-'Quarterly YTD'!E73</f>
        <v>2.006</v>
      </c>
      <c r="J73" s="0">
        <v>0</v>
      </c>
      <c r="K73" s="11">
        <f>J73+'Quarterly YTD'!K73-'Quarterly YTD'!G73</f>
        <v>0</v>
      </c>
      <c r="L73" s="11">
        <f>J73+'Quarterly YTD'!L73-'Quarterly YTD'!H73</f>
        <v>3.149</v>
      </c>
      <c r="M73" s="11">
        <f>J73+'Quarterly YTD'!M73-'Quarterly YTD'!I73</f>
        <v>1.887</v>
      </c>
      <c r="N73" s="0">
        <v>0</v>
      </c>
      <c r="O73" s="11">
        <f>N73+'Quarterly YTD'!O73-'Quarterly YTD'!K73</f>
        <v>0</v>
      </c>
      <c r="P73" s="11">
        <f>N73+'Quarterly YTD'!P73-'Quarterly YTD'!L73</f>
        <v>0</v>
      </c>
      <c r="Q73" s="11">
        <f>N73+'Quarterly YTD'!Q73-'Quarterly YTD'!M73</f>
        <v>0</v>
      </c>
      <c r="R73" s="0">
        <v>0</v>
      </c>
      <c r="S73" s="11">
        <f>R73+'Quarterly YTD'!S73-'Quarterly YTD'!O73</f>
        <v>0</v>
      </c>
      <c r="T73" s="11">
        <f>R73+'Quarterly YTD'!T73-'Quarterly YTD'!P73</f>
        <v>0</v>
      </c>
      <c r="U73" s="11">
        <f>R73+'Quarterly YTD'!U73-'Quarterly YTD'!Q73</f>
        <v>0</v>
      </c>
      <c r="V73" s="0">
        <v>0</v>
      </c>
      <c r="W73" s="11">
        <f>V73+'Quarterly YTD'!W73-'Quarterly YTD'!S73</f>
        <v>0</v>
      </c>
      <c r="X73" s="11">
        <f>V73+'Quarterly YTD'!X73-'Quarterly YTD'!T73</f>
        <v>0</v>
      </c>
      <c r="Y73" s="11">
        <f>V73+'Quarterly YTD'!Y73-'Quarterly YTD'!U73</f>
        <v>0</v>
      </c>
      <c r="Z73" s="0">
        <v>0</v>
      </c>
      <c r="AA73" s="11">
        <f>Z73+'Quarterly YTD'!AA73-'Quarterly YTD'!W73</f>
        <v>0</v>
      </c>
      <c r="AB73" s="11">
        <f>Z73+'Quarterly YTD'!AB73-'Quarterly YTD'!X73</f>
        <v>0</v>
      </c>
      <c r="AC73" s="11">
        <f>Z73+'Quarterly YTD'!AC73-'Quarterly YTD'!Y73</f>
        <v>0</v>
      </c>
      <c r="AD73" s="0">
        <v>0</v>
      </c>
      <c r="AE73" s="11">
        <f>AD73+'Quarterly YTD'!AE73-'Quarterly YTD'!AA73</f>
        <v>0</v>
      </c>
      <c r="AF73" s="11">
        <f>AD73+'Quarterly YTD'!AF73-'Quarterly YTD'!AB73</f>
        <v>0</v>
      </c>
    </row>
    <row customHeight="1" ht="15">
      <c r="A74" s="9" t="s">
        <v>110</v>
      </c>
      <c r="B74" s="0">
        <v>0</v>
      </c>
      <c r="F74" s="0">
        <v>0</v>
      </c>
      <c r="G74" s="11">
        <f>F74+'Quarterly YTD'!G74-'Quarterly YTD'!C74</f>
        <v>0</v>
      </c>
      <c r="H74" s="11">
        <f>F74+'Quarterly YTD'!H74-'Quarterly YTD'!D74</f>
        <v>2.929</v>
      </c>
      <c r="I74" s="11">
        <f>F74+'Quarterly YTD'!I74-'Quarterly YTD'!E74</f>
        <v>2.483</v>
      </c>
      <c r="J74" s="0">
        <v>0</v>
      </c>
      <c r="K74" s="11">
        <f>J74+'Quarterly YTD'!K74-'Quarterly YTD'!G74</f>
        <v>0</v>
      </c>
      <c r="L74" s="11">
        <f>J74+'Quarterly YTD'!L74-'Quarterly YTD'!H74</f>
        <v>-2.981</v>
      </c>
      <c r="M74" s="11">
        <f>J74+'Quarterly YTD'!M74-'Quarterly YTD'!I74</f>
        <v>-2.615</v>
      </c>
      <c r="N74" s="0">
        <v>0</v>
      </c>
      <c r="O74" s="11">
        <f>N74+'Quarterly YTD'!O74-'Quarterly YTD'!K74</f>
        <v>0</v>
      </c>
      <c r="P74" s="11">
        <f>N74+'Quarterly YTD'!P74-'Quarterly YTD'!L74</f>
        <v>0</v>
      </c>
      <c r="Q74" s="11">
        <f>N74+'Quarterly YTD'!Q74-'Quarterly YTD'!M74</f>
        <v>0</v>
      </c>
      <c r="R74" s="0">
        <v>0</v>
      </c>
      <c r="S74" s="11">
        <f>R74+'Quarterly YTD'!S74-'Quarterly YTD'!O74</f>
        <v>0</v>
      </c>
      <c r="T74" s="11">
        <f>R74+'Quarterly YTD'!T74-'Quarterly YTD'!P74</f>
        <v>0</v>
      </c>
      <c r="U74" s="11">
        <f>R74+'Quarterly YTD'!U74-'Quarterly YTD'!Q74</f>
        <v>0</v>
      </c>
      <c r="V74" s="0">
        <v>0</v>
      </c>
      <c r="W74" s="11">
        <f>V74+'Quarterly YTD'!W74-'Quarterly YTD'!S74</f>
        <v>0</v>
      </c>
      <c r="X74" s="11">
        <f>V74+'Quarterly YTD'!X74-'Quarterly YTD'!T74</f>
        <v>0</v>
      </c>
      <c r="Y74" s="11">
        <f>V74+'Quarterly YTD'!Y74-'Quarterly YTD'!U74</f>
        <v>0</v>
      </c>
      <c r="Z74" s="0">
        <v>0</v>
      </c>
      <c r="AA74" s="11">
        <f>Z74+'Quarterly YTD'!AA74-'Quarterly YTD'!W74</f>
        <v>0</v>
      </c>
      <c r="AB74" s="11">
        <f>Z74+'Quarterly YTD'!AB74-'Quarterly YTD'!X74</f>
        <v>0</v>
      </c>
      <c r="AC74" s="11">
        <f>Z74+'Quarterly YTD'!AC74-'Quarterly YTD'!Y74</f>
        <v>0</v>
      </c>
      <c r="AD74" s="0">
        <v>0</v>
      </c>
      <c r="AE74" s="11">
        <f>AD74+'Quarterly YTD'!AE74-'Quarterly YTD'!AA74</f>
        <v>0</v>
      </c>
      <c r="AF74" s="11">
        <f>AD74+'Quarterly YTD'!AF74-'Quarterly YTD'!AB74</f>
        <v>0</v>
      </c>
    </row>
    <row customHeight="1" ht="15">
      <c r="A75" s="9" t="s">
        <v>111</v>
      </c>
      <c r="B75" s="0">
        <v>-3.239</v>
      </c>
      <c r="F75" s="0">
        <v>83.741</v>
      </c>
      <c r="G75" s="11">
        <f>F75+'Quarterly YTD'!G75-'Quarterly YTD'!C75</f>
        <v>79.816</v>
      </c>
      <c r="H75" s="11">
        <f>F75+'Quarterly YTD'!H75-'Quarterly YTD'!D75</f>
        <v>77.814</v>
      </c>
      <c r="I75" s="11">
        <f>F75+'Quarterly YTD'!I75-'Quarterly YTD'!E75</f>
        <v>77.787</v>
      </c>
      <c r="J75" s="0">
        <v>-21.351</v>
      </c>
      <c r="K75" s="11">
        <f>J75+'Quarterly YTD'!K75-'Quarterly YTD'!G75</f>
        <v>-21.031</v>
      </c>
      <c r="L75" s="11">
        <f>J75+'Quarterly YTD'!L75-'Quarterly YTD'!H75</f>
        <v>-19.193</v>
      </c>
      <c r="M75" s="11">
        <f>J75+'Quarterly YTD'!M75-'Quarterly YTD'!I75</f>
        <v>-25.679</v>
      </c>
      <c r="N75" s="0">
        <v>-22.826</v>
      </c>
      <c r="O75" s="11">
        <f>N75+'Quarterly YTD'!O75-'Quarterly YTD'!K75</f>
        <v>-19.221</v>
      </c>
      <c r="P75" s="11">
        <f>N75+'Quarterly YTD'!P75-'Quarterly YTD'!L75</f>
        <v>-19.221</v>
      </c>
      <c r="Q75" s="11">
        <f>N75+'Quarterly YTD'!Q75-'Quarterly YTD'!M75</f>
        <v>-3.077</v>
      </c>
      <c r="R75" s="0">
        <v>0</v>
      </c>
      <c r="S75" s="11">
        <f>R75+'Quarterly YTD'!S75-'Quarterly YTD'!O75</f>
        <v>-2.008</v>
      </c>
      <c r="T75" s="11">
        <f>R75+'Quarterly YTD'!T75-'Quarterly YTD'!P75</f>
        <v>-6.401</v>
      </c>
      <c r="U75" s="11">
        <f>R75+'Quarterly YTD'!U75-'Quarterly YTD'!Q75</f>
        <v>-19.901</v>
      </c>
      <c r="V75" s="0">
        <v>-9.473</v>
      </c>
      <c r="W75" s="11">
        <f>V75+'Quarterly YTD'!W75-'Quarterly YTD'!S75</f>
        <v>-13.194</v>
      </c>
      <c r="X75" s="11">
        <f>V75+'Quarterly YTD'!X75-'Quarterly YTD'!T75</f>
        <v>-5.928</v>
      </c>
      <c r="Y75" s="11">
        <f>V75+'Quarterly YTD'!Y75-'Quarterly YTD'!U75</f>
        <v>-6.427</v>
      </c>
      <c r="Z75" s="0">
        <v>-11.888</v>
      </c>
      <c r="AA75" s="11">
        <f>Z75+'Quarterly YTD'!AA75-'Quarterly YTD'!W75</f>
        <v>-6.159</v>
      </c>
      <c r="AB75" s="11">
        <f>Z75+'Quarterly YTD'!AB75-'Quarterly YTD'!X75</f>
        <v>-9.044</v>
      </c>
      <c r="AC75" s="11">
        <f>Z75+'Quarterly YTD'!AC75-'Quarterly YTD'!Y75</f>
        <v>-4.664</v>
      </c>
      <c r="AD75" s="0">
        <v>0</v>
      </c>
      <c r="AE75" s="11">
        <f>AD75+'Quarterly YTD'!AE75-'Quarterly YTD'!AA75</f>
        <v>-27.788</v>
      </c>
      <c r="AF75" s="11">
        <f>AD75+'Quarterly YTD'!AF75-'Quarterly YTD'!AB75</f>
        <v>-24.812</v>
      </c>
    </row>
    <row customHeight="1" ht="15">
      <c r="A76" s="9" t="s">
        <v>112</v>
      </c>
      <c r="B76" s="11">
        <f>B61+B63+SUM(B69:B71)+B75+SUM(B77:B78)</f>
        <v>-30.78</v>
      </c>
      <c r="F76" s="11">
        <f>F61+F63+SUM(F67:F71)+F75+SUM(F77:F79)</f>
        <v>-41.352</v>
      </c>
      <c r="G76" s="11">
        <f t="shared" si="8" ref="G76:AF76">SUM(G61:G75)+SUM(G77:G80)</f>
        <v>-154.409</v>
      </c>
      <c r="H76" s="11">
        <f t="shared" si="8"/>
        <v>-77.182</v>
      </c>
      <c r="I76" s="11">
        <f t="shared" si="8"/>
        <v>-66.993</v>
      </c>
      <c r="J76" s="11">
        <f>J61+J63+SUM(J67:J72)+J75+SUM(J77:J79)</f>
        <v>-84.247</v>
      </c>
      <c r="K76" s="11">
        <f t="shared" si="8"/>
        <v>5.65500000000003</v>
      </c>
      <c r="L76" s="11">
        <f t="shared" si="8"/>
        <v>-45.152</v>
      </c>
      <c r="M76" s="11">
        <f t="shared" si="8"/>
        <v>-87.023</v>
      </c>
      <c r="N76" s="11">
        <f>N61+SUM(N63:N64)+SUM(N67:N72)+N75+SUM(N77:N78)</f>
        <v>-292.192</v>
      </c>
      <c r="O76" s="11">
        <f t="shared" si="8"/>
        <v>-189.449</v>
      </c>
      <c r="P76" s="11">
        <f t="shared" si="8"/>
        <v>-172.514</v>
      </c>
      <c r="Q76" s="11">
        <f t="shared" si="8"/>
        <v>-218.887</v>
      </c>
      <c r="R76" s="11">
        <f>SUM(R61:R63)+SUM(R65:R72)+R75+R77+R79</f>
        <v>84.892</v>
      </c>
      <c r="S76" s="11">
        <f t="shared" si="8"/>
        <v>-3.30499999999996</v>
      </c>
      <c r="T76" s="11">
        <f t="shared" si="8"/>
        <v>-94.824</v>
      </c>
      <c r="U76" s="11">
        <f t="shared" si="8"/>
        <v>-71.892</v>
      </c>
      <c r="V76" s="11">
        <f>SUM(V61:V63)+V66+SUM(V68:V71)+V75+V77+V79</f>
        <v>-180.123</v>
      </c>
      <c r="W76" s="11">
        <f t="shared" si="8"/>
        <v>-185.602</v>
      </c>
      <c r="X76" s="11">
        <f t="shared" si="8"/>
        <v>-161.7</v>
      </c>
      <c r="Y76" s="11">
        <f t="shared" si="8"/>
        <v>-201.433</v>
      </c>
      <c r="Z76" s="11">
        <f t="shared" si="9" ref="Z76:AD76">SUM(Z61:Z63)+Z66+SUM(Z68:Z71)+Z75+Z77+SUM(Z79:Z80)</f>
        <v>-190.521</v>
      </c>
      <c r="AA76" s="11">
        <f t="shared" si="8"/>
        <v>-192.274</v>
      </c>
      <c r="AB76" s="11">
        <f t="shared" si="8"/>
        <v>-152.951</v>
      </c>
      <c r="AC76" s="11">
        <f t="shared" si="8"/>
        <v>-113.621</v>
      </c>
      <c r="AD76" s="11">
        <f t="shared" si="9"/>
        <v>-114.056</v>
      </c>
      <c r="AE76" s="11">
        <f t="shared" si="8"/>
        <v>-132.425</v>
      </c>
      <c r="AF76" s="11">
        <f t="shared" si="8"/>
        <v>-192.585</v>
      </c>
    </row>
    <row customHeight="1" ht="15">
      <c r="A77" s="9" t="s">
        <v>113</v>
      </c>
      <c r="B77" s="0">
        <v>-1.983</v>
      </c>
      <c r="F77" s="0">
        <v>0</v>
      </c>
      <c r="G77" s="11">
        <f>F77+'Quarterly YTD'!G77-'Quarterly YTD'!C77</f>
        <v>0</v>
      </c>
      <c r="H77" s="11">
        <f>F77+'Quarterly YTD'!H77-'Quarterly YTD'!D77</f>
        <v>0.038</v>
      </c>
      <c r="I77" s="11">
        <f>F77+'Quarterly YTD'!I77-'Quarterly YTD'!E77</f>
        <v>0.038</v>
      </c>
      <c r="J77" s="0">
        <v>-5.951</v>
      </c>
      <c r="K77" s="11">
        <f>J77+'Quarterly YTD'!K77-'Quarterly YTD'!G77</f>
        <v>-5.951</v>
      </c>
      <c r="L77" s="11">
        <f>J77+'Quarterly YTD'!L77-'Quarterly YTD'!H77</f>
        <v>-5.989</v>
      </c>
      <c r="M77" s="11">
        <f>J77+'Quarterly YTD'!M77-'Quarterly YTD'!I77</f>
        <v>0.424</v>
      </c>
      <c r="N77" s="0">
        <v>6.413</v>
      </c>
      <c r="O77" s="11">
        <f>N77+'Quarterly YTD'!O77-'Quarterly YTD'!K77</f>
        <v>6.371</v>
      </c>
      <c r="P77" s="11">
        <f>N77+'Quarterly YTD'!P77-'Quarterly YTD'!L77</f>
        <v>6.358</v>
      </c>
      <c r="Q77" s="11">
        <f>N77+'Quarterly YTD'!Q77-'Quarterly YTD'!M77</f>
        <v>-0.055</v>
      </c>
      <c r="R77" s="0">
        <v>-0.074</v>
      </c>
      <c r="S77" s="11">
        <f>R77+'Quarterly YTD'!S77-'Quarterly YTD'!O77</f>
        <v>20.23</v>
      </c>
      <c r="T77" s="11">
        <f>R77+'Quarterly YTD'!T77-'Quarterly YTD'!P77</f>
        <v>20.128</v>
      </c>
      <c r="U77" s="11">
        <f>R77+'Quarterly YTD'!U77-'Quarterly YTD'!Q77</f>
        <v>20.078</v>
      </c>
      <c r="V77" s="0">
        <v>20.137</v>
      </c>
      <c r="W77" s="11">
        <f>V77+'Quarterly YTD'!W77-'Quarterly YTD'!S77</f>
        <v>-0.125</v>
      </c>
      <c r="X77" s="11">
        <f>V77+'Quarterly YTD'!X77-'Quarterly YTD'!T77</f>
        <v>-0.009999999999998</v>
      </c>
      <c r="Y77" s="11">
        <f>V77+'Quarterly YTD'!Y77-'Quarterly YTD'!U77</f>
        <v>0.039999999999999</v>
      </c>
      <c r="Z77" s="0">
        <v>0</v>
      </c>
      <c r="AA77" s="11">
        <f>Z77+'Quarterly YTD'!AA77-'Quarterly YTD'!W77</f>
        <v>0</v>
      </c>
      <c r="AB77" s="11">
        <f>Z77+'Quarterly YTD'!AB77-'Quarterly YTD'!X77</f>
        <v>0</v>
      </c>
      <c r="AC77" s="11">
        <f>Z77+'Quarterly YTD'!AC77-'Quarterly YTD'!Y77</f>
        <v>-0.363</v>
      </c>
      <c r="AD77" s="0">
        <v>-0.719</v>
      </c>
      <c r="AE77" s="11">
        <f>AD77+'Quarterly YTD'!AE77-'Quarterly YTD'!AA77</f>
        <v>-0.719</v>
      </c>
      <c r="AF77" s="11">
        <f>AD77+'Quarterly YTD'!AF77-'Quarterly YTD'!AB77</f>
        <v>0.92</v>
      </c>
    </row>
    <row customHeight="1" ht="15">
      <c r="A78" s="9" t="s">
        <v>114</v>
      </c>
      <c r="B78" s="0">
        <v>-0.103</v>
      </c>
      <c r="F78" s="0">
        <v>-1.43</v>
      </c>
      <c r="G78" s="11">
        <f>F78+'Quarterly YTD'!G78-'Quarterly YTD'!C78</f>
        <v>2.537</v>
      </c>
      <c r="H78" s="11">
        <f>F78+'Quarterly YTD'!H78-'Quarterly YTD'!D78</f>
        <v>-1.742</v>
      </c>
      <c r="I78" s="11">
        <f>F78+'Quarterly YTD'!I78-'Quarterly YTD'!E78</f>
        <v>-1.655</v>
      </c>
      <c r="J78" s="0">
        <v>-1.658</v>
      </c>
      <c r="K78" s="11">
        <f>J78+'Quarterly YTD'!K78-'Quarterly YTD'!G78</f>
        <v>-1.386</v>
      </c>
      <c r="L78" s="11">
        <f>J78+'Quarterly YTD'!L78-'Quarterly YTD'!H78</f>
        <v>0</v>
      </c>
      <c r="M78" s="11">
        <f>J78+'Quarterly YTD'!M78-'Quarterly YTD'!I78</f>
        <v>0</v>
      </c>
      <c r="N78" s="0">
        <v>-0.507</v>
      </c>
      <c r="O78" s="11">
        <f>N78+'Quarterly YTD'!O78-'Quarterly YTD'!K78</f>
        <v>-0.507</v>
      </c>
      <c r="P78" s="11">
        <f>N78+'Quarterly YTD'!P78-'Quarterly YTD'!L78</f>
        <v>-0.507</v>
      </c>
      <c r="Q78" s="11">
        <f>N78+'Quarterly YTD'!Q78-'Quarterly YTD'!M78</f>
        <v>-0.507</v>
      </c>
      <c r="R78" s="0">
        <v>0</v>
      </c>
      <c r="S78" s="11">
        <f>R78+'Quarterly YTD'!S78-'Quarterly YTD'!O78</f>
        <v>0</v>
      </c>
      <c r="T78" s="11">
        <f>R78+'Quarterly YTD'!T78-'Quarterly YTD'!P78</f>
        <v>0</v>
      </c>
      <c r="U78" s="11">
        <f>R78+'Quarterly YTD'!U78-'Quarterly YTD'!Q78</f>
        <v>0</v>
      </c>
      <c r="V78" s="0">
        <v>0</v>
      </c>
      <c r="W78" s="11">
        <f>V78+'Quarterly YTD'!W78-'Quarterly YTD'!S78</f>
        <v>0</v>
      </c>
      <c r="X78" s="11">
        <f>V78+'Quarterly YTD'!X78-'Quarterly YTD'!T78</f>
        <v>0</v>
      </c>
      <c r="Y78" s="11">
        <f>V78+'Quarterly YTD'!Y78-'Quarterly YTD'!U78</f>
        <v>0</v>
      </c>
      <c r="Z78" s="0">
        <v>0</v>
      </c>
      <c r="AA78" s="11">
        <f>Z78+'Quarterly YTD'!AA78-'Quarterly YTD'!W78</f>
        <v>0</v>
      </c>
      <c r="AB78" s="11">
        <f>Z78+'Quarterly YTD'!AB78-'Quarterly YTD'!X78</f>
        <v>0</v>
      </c>
      <c r="AC78" s="11">
        <f>Z78+'Quarterly YTD'!AC78-'Quarterly YTD'!Y78</f>
        <v>0</v>
      </c>
      <c r="AD78" s="0">
        <v>0</v>
      </c>
      <c r="AE78" s="11">
        <f>AD78+'Quarterly YTD'!AE78-'Quarterly YTD'!AA78</f>
        <v>0</v>
      </c>
      <c r="AF78" s="11">
        <f>AD78+'Quarterly YTD'!AF78-'Quarterly YTD'!AB78</f>
        <v>0</v>
      </c>
    </row>
    <row customHeight="1" ht="15">
      <c r="A79" s="9" t="s">
        <v>115</v>
      </c>
      <c r="B79" s="0">
        <v>0</v>
      </c>
      <c r="F79" s="0">
        <v>0</v>
      </c>
      <c r="G79" s="11">
        <f>F79+'Quarterly YTD'!G79-'Quarterly YTD'!C79</f>
        <v>-11.508</v>
      </c>
      <c r="H79" s="11">
        <f>F79+'Quarterly YTD'!H79-'Quarterly YTD'!D79</f>
        <v>-11.568</v>
      </c>
      <c r="I79" s="11">
        <f>F79+'Quarterly YTD'!I79-'Quarterly YTD'!E79</f>
        <v>-11.568</v>
      </c>
      <c r="J79" s="0">
        <v>-23.568</v>
      </c>
      <c r="K79" s="11">
        <f>J79+'Quarterly YTD'!K79-'Quarterly YTD'!G79</f>
        <v>-12.06</v>
      </c>
      <c r="L79" s="11">
        <f>J79+'Quarterly YTD'!L79-'Quarterly YTD'!H79</f>
        <v>-12</v>
      </c>
      <c r="M79" s="11">
        <f>J79+'Quarterly YTD'!M79-'Quarterly YTD'!I79</f>
        <v>-12</v>
      </c>
      <c r="N79" s="0">
        <v>0</v>
      </c>
      <c r="O79" s="11">
        <f>N79+'Quarterly YTD'!O79-'Quarterly YTD'!K79</f>
        <v>0</v>
      </c>
      <c r="P79" s="11">
        <f>N79+'Quarterly YTD'!P79-'Quarterly YTD'!L79</f>
        <v>0</v>
      </c>
      <c r="Q79" s="11">
        <f>N79+'Quarterly YTD'!Q79-'Quarterly YTD'!M79</f>
        <v>0</v>
      </c>
      <c r="R79" s="0">
        <v>0</v>
      </c>
      <c r="S79" s="11">
        <f>R79+'Quarterly YTD'!S79-'Quarterly YTD'!O79</f>
        <v>0</v>
      </c>
      <c r="T79" s="11">
        <f>R79+'Quarterly YTD'!T79-'Quarterly YTD'!P79</f>
        <v>0</v>
      </c>
      <c r="U79" s="11">
        <f>R79+'Quarterly YTD'!U79-'Quarterly YTD'!Q79</f>
        <v>-1.82</v>
      </c>
      <c r="V79" s="0">
        <v>-1.82</v>
      </c>
      <c r="W79" s="11">
        <f>V79+'Quarterly YTD'!W79-'Quarterly YTD'!S79</f>
        <v>-4.65</v>
      </c>
      <c r="X79" s="11">
        <f>V79+'Quarterly YTD'!X79-'Quarterly YTD'!T79</f>
        <v>-4.65</v>
      </c>
      <c r="Y79" s="11">
        <f>V79+'Quarterly YTD'!Y79-'Quarterly YTD'!U79</f>
        <v>-2.875</v>
      </c>
      <c r="Z79" s="0">
        <v>-2.877</v>
      </c>
      <c r="AA79" s="11">
        <f>Z79+'Quarterly YTD'!AA79-'Quarterly YTD'!W79</f>
        <v>-0.047</v>
      </c>
      <c r="AB79" s="11">
        <f>Z79+'Quarterly YTD'!AB79-'Quarterly YTD'!X79</f>
        <v>-0.047</v>
      </c>
      <c r="AC79" s="11">
        <f>Z79+'Quarterly YTD'!AC79-'Quarterly YTD'!Y79</f>
        <v>-0.014</v>
      </c>
      <c r="AD79" s="0">
        <v>0</v>
      </c>
      <c r="AE79" s="11">
        <f>AD79+'Quarterly YTD'!AE79-'Quarterly YTD'!AA79</f>
        <v>-4.819</v>
      </c>
      <c r="AF79" s="11">
        <f>AD79+'Quarterly YTD'!AF79-'Quarterly YTD'!AB79</f>
        <v>-4.832</v>
      </c>
    </row>
    <row customHeight="1" ht="15">
      <c r="A80" s="9" t="s">
        <v>116</v>
      </c>
      <c r="B80" s="0">
        <v>0</v>
      </c>
      <c r="F80" s="0">
        <v>0</v>
      </c>
      <c r="G80" s="11">
        <f>F80+'Quarterly YTD'!G80-'Quarterly YTD'!C80</f>
        <v>0</v>
      </c>
      <c r="H80" s="11">
        <f>F80+'Quarterly YTD'!H80-'Quarterly YTD'!D80</f>
        <v>0</v>
      </c>
      <c r="I80" s="11">
        <f>F80+'Quarterly YTD'!I80-'Quarterly YTD'!E80</f>
        <v>0</v>
      </c>
      <c r="J80" s="0">
        <v>0</v>
      </c>
      <c r="K80" s="11">
        <f>J80+'Quarterly YTD'!K80-'Quarterly YTD'!G80</f>
        <v>0</v>
      </c>
      <c r="L80" s="11">
        <f>J80+'Quarterly YTD'!L80-'Quarterly YTD'!H80</f>
        <v>0</v>
      </c>
      <c r="M80" s="11">
        <f>J80+'Quarterly YTD'!M80-'Quarterly YTD'!I80</f>
        <v>0</v>
      </c>
      <c r="N80" s="0">
        <v>0</v>
      </c>
      <c r="O80" s="11">
        <f>N80+'Quarterly YTD'!O80-'Quarterly YTD'!K80</f>
        <v>0</v>
      </c>
      <c r="P80" s="11">
        <f>N80+'Quarterly YTD'!P80-'Quarterly YTD'!L80</f>
        <v>0</v>
      </c>
      <c r="Q80" s="11">
        <f>N80+'Quarterly YTD'!Q80-'Quarterly YTD'!M80</f>
        <v>0</v>
      </c>
      <c r="R80" s="0">
        <v>0</v>
      </c>
      <c r="S80" s="11">
        <f>R80+'Quarterly YTD'!S80-'Quarterly YTD'!O80</f>
        <v>0</v>
      </c>
      <c r="T80" s="11">
        <f>R80+'Quarterly YTD'!T80-'Quarterly YTD'!P80</f>
        <v>0</v>
      </c>
      <c r="U80" s="11">
        <f>R80+'Quarterly YTD'!U80-'Quarterly YTD'!Q80</f>
        <v>0</v>
      </c>
      <c r="V80" s="0">
        <v>0</v>
      </c>
      <c r="W80" s="11">
        <f>V80+'Quarterly YTD'!W80-'Quarterly YTD'!S80</f>
        <v>0</v>
      </c>
      <c r="X80" s="11">
        <f>V80+'Quarterly YTD'!X80-'Quarterly YTD'!T80</f>
        <v>0</v>
      </c>
      <c r="Y80" s="11">
        <f>V80+'Quarterly YTD'!Y80-'Quarterly YTD'!U80</f>
        <v>0</v>
      </c>
      <c r="Z80" s="0">
        <v>0</v>
      </c>
      <c r="AA80" s="11">
        <f>Z80+'Quarterly YTD'!AA80-'Quarterly YTD'!W80</f>
        <v>0</v>
      </c>
      <c r="AB80" s="11">
        <f>Z80+'Quarterly YTD'!AB80-'Quarterly YTD'!X80</f>
        <v>0.775</v>
      </c>
      <c r="AC80" s="11">
        <f>Z80+'Quarterly YTD'!AC80-'Quarterly YTD'!Y80</f>
        <v>0.775</v>
      </c>
      <c r="AD80" s="0">
        <v>0.775</v>
      </c>
      <c r="AE80" s="11">
        <f>AD80+'Quarterly YTD'!AE80-'Quarterly YTD'!AA80</f>
        <v>0.775</v>
      </c>
      <c r="AF80" s="11">
        <f>AD80+'Quarterly YTD'!AF80-'Quarterly YTD'!AB80</f>
        <v>0.052</v>
      </c>
    </row>
    <row customHeight="1" ht="15">
      <c r="A81" s="4" t="s">
        <v>117</v>
      </c>
      <c r="B81" s="7">
        <f t="shared" si="10" ref="B81:AF81">B76</f>
        <v>-30.78</v>
      </c>
      <c r="F81" s="7">
        <f t="shared" si="10"/>
        <v>-41.352</v>
      </c>
      <c r="G81" s="7">
        <f t="shared" si="10"/>
        <v>-154.409</v>
      </c>
      <c r="H81" s="7">
        <f t="shared" si="10"/>
        <v>-77.182</v>
      </c>
      <c r="I81" s="7">
        <f t="shared" si="10"/>
        <v>-66.993</v>
      </c>
      <c r="J81" s="7">
        <f t="shared" si="10"/>
        <v>-84.247</v>
      </c>
      <c r="K81" s="7">
        <f t="shared" si="10"/>
        <v>5.65500000000003</v>
      </c>
      <c r="L81" s="7">
        <f t="shared" si="10"/>
        <v>-45.152</v>
      </c>
      <c r="M81" s="7">
        <f t="shared" si="10"/>
        <v>-87.023</v>
      </c>
      <c r="N81" s="7">
        <f t="shared" si="10"/>
        <v>-292.192</v>
      </c>
      <c r="O81" s="7">
        <f t="shared" si="10"/>
        <v>-189.449</v>
      </c>
      <c r="P81" s="7">
        <f t="shared" si="10"/>
        <v>-172.514</v>
      </c>
      <c r="Q81" s="7">
        <f t="shared" si="10"/>
        <v>-218.887</v>
      </c>
      <c r="R81" s="7">
        <f t="shared" si="10"/>
        <v>84.892</v>
      </c>
      <c r="S81" s="7">
        <f t="shared" si="10"/>
        <v>-3.30499999999996</v>
      </c>
      <c r="T81" s="7">
        <f t="shared" si="10"/>
        <v>-94.824</v>
      </c>
      <c r="U81" s="7">
        <f t="shared" si="10"/>
        <v>-71.892</v>
      </c>
      <c r="V81" s="7">
        <f t="shared" si="10"/>
        <v>-180.123</v>
      </c>
      <c r="W81" s="7">
        <f t="shared" si="10"/>
        <v>-185.602</v>
      </c>
      <c r="X81" s="7">
        <f t="shared" si="10"/>
        <v>-161.7</v>
      </c>
      <c r="Y81" s="7">
        <f t="shared" si="10"/>
        <v>-201.433</v>
      </c>
      <c r="Z81" s="7">
        <f t="shared" si="10"/>
        <v>-190.521</v>
      </c>
      <c r="AA81" s="7">
        <f t="shared" si="10"/>
        <v>-192.274</v>
      </c>
      <c r="AB81" s="7">
        <f t="shared" si="10"/>
        <v>-152.951</v>
      </c>
      <c r="AC81" s="7">
        <f t="shared" si="10"/>
        <v>-113.621</v>
      </c>
      <c r="AD81" s="7">
        <f t="shared" si="10"/>
        <v>-114.056</v>
      </c>
      <c r="AE81" s="7">
        <f t="shared" si="10"/>
        <v>-132.425</v>
      </c>
      <c r="AF81" s="7">
        <f t="shared" si="10"/>
        <v>-192.585</v>
      </c>
    </row>
    <row customHeight="1" ht="15">
      <c r="A82" s="9" t="s">
        <v>118</v>
      </c>
      <c r="B82" s="0">
        <v>-0.049</v>
      </c>
      <c r="F82" s="0">
        <v>0</v>
      </c>
      <c r="G82" s="11">
        <f>F82+'Quarterly YTD'!G82-'Quarterly YTD'!C82</f>
        <v>0</v>
      </c>
      <c r="H82" s="11">
        <f>F82+'Quarterly YTD'!H82-'Quarterly YTD'!D82</f>
        <v>0.005</v>
      </c>
      <c r="I82" s="11">
        <f>F82+'Quarterly YTD'!I82-'Quarterly YTD'!E82</f>
        <v>0.005</v>
      </c>
      <c r="J82" s="0">
        <v>0</v>
      </c>
      <c r="K82" s="11">
        <f>J82+'Quarterly YTD'!K82-'Quarterly YTD'!G82</f>
        <v>0</v>
      </c>
      <c r="L82" s="11">
        <f>J82+'Quarterly YTD'!L82-'Quarterly YTD'!H82</f>
        <v>0</v>
      </c>
      <c r="M82" s="11">
        <f>J82+'Quarterly YTD'!M82-'Quarterly YTD'!I82</f>
        <v>0</v>
      </c>
      <c r="N82" s="0">
        <v>0</v>
      </c>
      <c r="O82" s="11">
        <f>N82+'Quarterly YTD'!O82-'Quarterly YTD'!K82</f>
        <v>0</v>
      </c>
      <c r="P82" s="11">
        <f>N82+'Quarterly YTD'!P82-'Quarterly YTD'!L82</f>
        <v>0</v>
      </c>
      <c r="Q82" s="11">
        <f>N82+'Quarterly YTD'!Q82-'Quarterly YTD'!M82</f>
        <v>0</v>
      </c>
      <c r="R82" s="0">
        <v>0</v>
      </c>
      <c r="S82" s="11">
        <f>R82+'Quarterly YTD'!S82-'Quarterly YTD'!O82</f>
        <v>0</v>
      </c>
      <c r="T82" s="11">
        <f>R82+'Quarterly YTD'!T82-'Quarterly YTD'!P82</f>
        <v>0</v>
      </c>
      <c r="U82" s="11">
        <f>R82+'Quarterly YTD'!U82-'Quarterly YTD'!Q82</f>
        <v>0</v>
      </c>
      <c r="V82" s="0">
        <v>0</v>
      </c>
      <c r="W82" s="11">
        <f>V82+'Quarterly YTD'!W82-'Quarterly YTD'!S82</f>
        <v>0</v>
      </c>
      <c r="X82" s="11">
        <f>V82+'Quarterly YTD'!X82-'Quarterly YTD'!T82</f>
        <v>0</v>
      </c>
      <c r="Y82" s="11">
        <f>V82+'Quarterly YTD'!Y82-'Quarterly YTD'!U82</f>
        <v>0</v>
      </c>
      <c r="Z82" s="0">
        <v>0</v>
      </c>
      <c r="AA82" s="11">
        <f>Z82+'Quarterly YTD'!AA82-'Quarterly YTD'!W82</f>
        <v>0</v>
      </c>
      <c r="AB82" s="11">
        <f>Z82+'Quarterly YTD'!AB82-'Quarterly YTD'!X82</f>
        <v>0</v>
      </c>
      <c r="AC82" s="11">
        <f>Z82+'Quarterly YTD'!AC82-'Quarterly YTD'!Y82</f>
        <v>0</v>
      </c>
      <c r="AD82" s="0">
        <v>0</v>
      </c>
      <c r="AE82" s="11">
        <f>AD82+'Quarterly YTD'!AE82-'Quarterly YTD'!AA82</f>
        <v>0</v>
      </c>
      <c r="AF82" s="11">
        <f>AD82+'Quarterly YTD'!AF82-'Quarterly YTD'!AB82</f>
        <v>0</v>
      </c>
    </row>
    <row customHeight="1" ht="15">
      <c r="A83" s="9" t="s">
        <v>119</v>
      </c>
      <c r="B83" s="0">
        <v>0</v>
      </c>
      <c r="F83" s="0">
        <v>0</v>
      </c>
      <c r="G83" s="11">
        <f>F83+'Quarterly YTD'!G83-'Quarterly YTD'!C83</f>
        <v>0</v>
      </c>
      <c r="H83" s="11">
        <f>F83+'Quarterly YTD'!H83-'Quarterly YTD'!D83</f>
        <v>0</v>
      </c>
      <c r="I83" s="11">
        <f>F83+'Quarterly YTD'!I83-'Quarterly YTD'!E83</f>
        <v>0</v>
      </c>
      <c r="J83" s="0">
        <v>-0.675</v>
      </c>
      <c r="K83" s="11">
        <f>J83+'Quarterly YTD'!K83-'Quarterly YTD'!G83</f>
        <v>-0.968</v>
      </c>
      <c r="L83" s="11">
        <f>J83+'Quarterly YTD'!L83-'Quarterly YTD'!H83</f>
        <v>-0.968</v>
      </c>
      <c r="M83" s="11">
        <f>J83+'Quarterly YTD'!M83-'Quarterly YTD'!I83</f>
        <v>-0.968</v>
      </c>
      <c r="N83" s="0">
        <v>-0.293</v>
      </c>
      <c r="O83" s="11">
        <f>N83+'Quarterly YTD'!O83-'Quarterly YTD'!K83</f>
        <v>0</v>
      </c>
      <c r="P83" s="11">
        <f>N83+'Quarterly YTD'!P83-'Quarterly YTD'!L83</f>
        <v>-29.764</v>
      </c>
      <c r="Q83" s="11">
        <f>N83+'Quarterly YTD'!Q83-'Quarterly YTD'!M83</f>
        <v>-30.293</v>
      </c>
      <c r="R83" s="0">
        <v>-30.328</v>
      </c>
      <c r="S83" s="11">
        <f>R83+'Quarterly YTD'!S83-'Quarterly YTD'!O83</f>
        <v>-30.328</v>
      </c>
      <c r="T83" s="11">
        <f>R83+'Quarterly YTD'!T83-'Quarterly YTD'!P83</f>
        <v>-1.136</v>
      </c>
      <c r="U83" s="11">
        <f>R83+'Quarterly YTD'!U83-'Quarterly YTD'!Q83</f>
        <v>-1.343</v>
      </c>
      <c r="V83" s="0">
        <v>-25.995</v>
      </c>
      <c r="W83" s="11">
        <f>V83+'Quarterly YTD'!W83-'Quarterly YTD'!S83</f>
        <v>-26.065</v>
      </c>
      <c r="X83" s="11">
        <f>V83+'Quarterly YTD'!X83-'Quarterly YTD'!T83</f>
        <v>-26.158</v>
      </c>
      <c r="Y83" s="11">
        <f>V83+'Quarterly YTD'!Y83-'Quarterly YTD'!U83</f>
        <v>-25.711</v>
      </c>
      <c r="Z83" s="0">
        <v>-1.492</v>
      </c>
      <c r="AA83" s="11">
        <f>Z83+'Quarterly YTD'!AA83-'Quarterly YTD'!W83</f>
        <v>-1.57</v>
      </c>
      <c r="AB83" s="11">
        <f>Z83+'Quarterly YTD'!AB83-'Quarterly YTD'!X83</f>
        <v>-1.01</v>
      </c>
      <c r="AC83" s="11">
        <f>Z83+'Quarterly YTD'!AC83-'Quarterly YTD'!Y83</f>
        <v>-2.565</v>
      </c>
      <c r="AD83" s="0">
        <v>-2.097</v>
      </c>
      <c r="AE83" s="11">
        <f>AD83+'Quarterly YTD'!AE83-'Quarterly YTD'!AA83</f>
        <v>-2.104</v>
      </c>
      <c r="AF83" s="11">
        <f>AD83+'Quarterly YTD'!AF83-'Quarterly YTD'!AB83</f>
        <v>-2.92</v>
      </c>
    </row>
    <row customHeight="1" ht="15">
      <c r="A84" s="9" t="s">
        <v>120</v>
      </c>
      <c r="B84" s="0">
        <v>0</v>
      </c>
      <c r="F84" s="0">
        <v>0</v>
      </c>
      <c r="G84" s="11">
        <f>F84+'Quarterly YTD'!G84-'Quarterly YTD'!C84</f>
        <v>0</v>
      </c>
      <c r="H84" s="11">
        <f>F84+'Quarterly YTD'!H84-'Quarterly YTD'!D84</f>
        <v>0</v>
      </c>
      <c r="I84" s="11">
        <f>F84+'Quarterly YTD'!I84-'Quarterly YTD'!E84</f>
        <v>0</v>
      </c>
      <c r="J84" s="0">
        <v>0</v>
      </c>
      <c r="K84" s="11">
        <f>J84+'Quarterly YTD'!K84-'Quarterly YTD'!G84</f>
        <v>0</v>
      </c>
      <c r="L84" s="11">
        <f>J84+'Quarterly YTD'!L84-'Quarterly YTD'!H84</f>
        <v>0</v>
      </c>
      <c r="M84" s="11">
        <f>J84+'Quarterly YTD'!M84-'Quarterly YTD'!I84</f>
        <v>0</v>
      </c>
      <c r="N84" s="0">
        <v>300</v>
      </c>
      <c r="O84" s="11">
        <f>N84+'Quarterly YTD'!O84-'Quarterly YTD'!K84</f>
        <v>300</v>
      </c>
      <c r="P84" s="11">
        <f>N84+'Quarterly YTD'!P84-'Quarterly YTD'!L84</f>
        <v>300</v>
      </c>
      <c r="Q84" s="11">
        <f>N84+'Quarterly YTD'!Q84-'Quarterly YTD'!M84</f>
        <v>300</v>
      </c>
      <c r="R84" s="0">
        <v>0</v>
      </c>
      <c r="S84" s="11">
        <f>R84+'Quarterly YTD'!S84-'Quarterly YTD'!O84</f>
        <v>0</v>
      </c>
      <c r="T84" s="11">
        <f>R84+'Quarterly YTD'!T84-'Quarterly YTD'!P84</f>
        <v>0</v>
      </c>
      <c r="U84" s="11">
        <f>R84+'Quarterly YTD'!U84-'Quarterly YTD'!Q84</f>
        <v>0</v>
      </c>
      <c r="V84" s="0">
        <v>0</v>
      </c>
      <c r="W84" s="11">
        <f>V84+'Quarterly YTD'!W84-'Quarterly YTD'!S84</f>
        <v>0</v>
      </c>
      <c r="X84" s="11">
        <f>V84+'Quarterly YTD'!X84-'Quarterly YTD'!T84</f>
        <v>0</v>
      </c>
      <c r="Y84" s="11">
        <f>V84+'Quarterly YTD'!Y84-'Quarterly YTD'!U84</f>
        <v>0</v>
      </c>
      <c r="Z84" s="0">
        <v>0</v>
      </c>
      <c r="AA84" s="11">
        <f>Z84+'Quarterly YTD'!AA84-'Quarterly YTD'!W84</f>
        <v>0</v>
      </c>
      <c r="AB84" s="11">
        <f>Z84+'Quarterly YTD'!AB84-'Quarterly YTD'!X84</f>
        <v>0</v>
      </c>
      <c r="AC84" s="11">
        <f>Z84+'Quarterly YTD'!AC84-'Quarterly YTD'!Y84</f>
        <v>0</v>
      </c>
      <c r="AD84" s="0">
        <v>0</v>
      </c>
      <c r="AE84" s="11">
        <f>AD84+'Quarterly YTD'!AE84-'Quarterly YTD'!AA84</f>
        <v>0</v>
      </c>
      <c r="AF84" s="11">
        <f>AD84+'Quarterly YTD'!AF84-'Quarterly YTD'!AB84</f>
        <v>0</v>
      </c>
    </row>
    <row customHeight="1" ht="15">
      <c r="A85" s="9" t="s">
        <v>121</v>
      </c>
      <c r="B85" s="0">
        <v>0</v>
      </c>
      <c r="F85" s="0">
        <v>-0.004</v>
      </c>
      <c r="G85" s="11">
        <f>F85+'Quarterly YTD'!G85-'Quarterly YTD'!C85</f>
        <v>-0.004</v>
      </c>
      <c r="H85" s="11">
        <f>F85+'Quarterly YTD'!H85-'Quarterly YTD'!D85</f>
        <v>-0.004</v>
      </c>
      <c r="I85" s="11">
        <f>F85+'Quarterly YTD'!I85-'Quarterly YTD'!E85</f>
        <v>-0.004</v>
      </c>
      <c r="J85" s="0">
        <v>-2.905</v>
      </c>
      <c r="K85" s="11">
        <f>J85+'Quarterly YTD'!K85-'Quarterly YTD'!G85</f>
        <v>-2.905</v>
      </c>
      <c r="L85" s="11">
        <f>J85+'Quarterly YTD'!L85-'Quarterly YTD'!H85</f>
        <v>-2.905</v>
      </c>
      <c r="M85" s="11">
        <f>J85+'Quarterly YTD'!M85-'Quarterly YTD'!I85</f>
        <v>-2.905</v>
      </c>
      <c r="N85" s="0">
        <v>0</v>
      </c>
      <c r="O85" s="11">
        <f>N85+'Quarterly YTD'!O85-'Quarterly YTD'!K85</f>
        <v>0</v>
      </c>
      <c r="P85" s="11">
        <f>N85+'Quarterly YTD'!P85-'Quarterly YTD'!L85</f>
        <v>0</v>
      </c>
      <c r="Q85" s="11">
        <f>N85+'Quarterly YTD'!Q85-'Quarterly YTD'!M85</f>
        <v>0</v>
      </c>
      <c r="R85" s="0">
        <v>0</v>
      </c>
      <c r="S85" s="11">
        <f>R85+'Quarterly YTD'!S85-'Quarterly YTD'!O85</f>
        <v>0</v>
      </c>
      <c r="T85" s="11">
        <f>R85+'Quarterly YTD'!T85-'Quarterly YTD'!P85</f>
        <v>0</v>
      </c>
      <c r="U85" s="11">
        <f>R85+'Quarterly YTD'!U85-'Quarterly YTD'!Q85</f>
        <v>0</v>
      </c>
      <c r="V85" s="0">
        <v>0</v>
      </c>
      <c r="W85" s="11">
        <f>V85+'Quarterly YTD'!W85-'Quarterly YTD'!S85</f>
        <v>0</v>
      </c>
      <c r="X85" s="11">
        <f>V85+'Quarterly YTD'!X85-'Quarterly YTD'!T85</f>
        <v>0</v>
      </c>
      <c r="Y85" s="11">
        <f>V85+'Quarterly YTD'!Y85-'Quarterly YTD'!U85</f>
        <v>0</v>
      </c>
      <c r="Z85" s="0">
        <v>0</v>
      </c>
      <c r="AA85" s="11">
        <f>Z85+'Quarterly YTD'!AA85-'Quarterly YTD'!W85</f>
        <v>0</v>
      </c>
      <c r="AB85" s="11">
        <f>Z85+'Quarterly YTD'!AB85-'Quarterly YTD'!X85</f>
        <v>0</v>
      </c>
      <c r="AC85" s="11">
        <f>Z85+'Quarterly YTD'!AC85-'Quarterly YTD'!Y85</f>
        <v>0</v>
      </c>
      <c r="AD85" s="0">
        <v>0</v>
      </c>
      <c r="AE85" s="11">
        <f>AD85+'Quarterly YTD'!AE85-'Quarterly YTD'!AA85</f>
        <v>0</v>
      </c>
      <c r="AF85" s="11">
        <f>AD85+'Quarterly YTD'!AF85-'Quarterly YTD'!AB85</f>
        <v>0</v>
      </c>
    </row>
    <row customHeight="1" ht="15">
      <c r="A86" s="9" t="s">
        <v>122</v>
      </c>
      <c r="B86" s="0">
        <v>0</v>
      </c>
      <c r="F86" s="0">
        <v>0</v>
      </c>
      <c r="G86" s="11">
        <f>F86+'Quarterly YTD'!G86-'Quarterly YTD'!C86</f>
        <v>0</v>
      </c>
      <c r="H86" s="11">
        <f>F86+'Quarterly YTD'!H86-'Quarterly YTD'!D86</f>
        <v>0</v>
      </c>
      <c r="I86" s="11">
        <f>F86+'Quarterly YTD'!I86-'Quarterly YTD'!E86</f>
        <v>0</v>
      </c>
      <c r="J86" s="0">
        <v>0</v>
      </c>
      <c r="K86" s="11">
        <f>J86+'Quarterly YTD'!K86-'Quarterly YTD'!G86</f>
        <v>0</v>
      </c>
      <c r="L86" s="11">
        <f>J86+'Quarterly YTD'!L86-'Quarterly YTD'!H86</f>
        <v>0</v>
      </c>
      <c r="M86" s="11">
        <f>J86+'Quarterly YTD'!M86-'Quarterly YTD'!I86</f>
        <v>0</v>
      </c>
      <c r="N86" s="0">
        <v>0</v>
      </c>
      <c r="O86" s="11">
        <f>N86+'Quarterly YTD'!O86-'Quarterly YTD'!K86</f>
        <v>0</v>
      </c>
      <c r="P86" s="11">
        <f>N86+'Quarterly YTD'!P86-'Quarterly YTD'!L86</f>
        <v>0</v>
      </c>
      <c r="Q86" s="11">
        <f>N86+'Quarterly YTD'!Q86-'Quarterly YTD'!M86</f>
        <v>0</v>
      </c>
      <c r="R86" s="0">
        <v>0</v>
      </c>
      <c r="S86" s="11">
        <f>R86+'Quarterly YTD'!S86-'Quarterly YTD'!O86</f>
        <v>0</v>
      </c>
      <c r="T86" s="11">
        <f>R86+'Quarterly YTD'!T86-'Quarterly YTD'!P86</f>
        <v>0</v>
      </c>
      <c r="U86" s="11">
        <f>R86+'Quarterly YTD'!U86-'Quarterly YTD'!Q86</f>
        <v>0</v>
      </c>
      <c r="V86" s="0">
        <v>0</v>
      </c>
      <c r="W86" s="11">
        <f>V86+'Quarterly YTD'!W86-'Quarterly YTD'!S86</f>
        <v>0</v>
      </c>
      <c r="X86" s="11">
        <f>V86+'Quarterly YTD'!X86-'Quarterly YTD'!T86</f>
        <v>0</v>
      </c>
      <c r="Y86" s="11">
        <f>V86+'Quarterly YTD'!Y86-'Quarterly YTD'!U86</f>
        <v>0</v>
      </c>
      <c r="Z86" s="0">
        <v>0</v>
      </c>
      <c r="AA86" s="11">
        <f>Z86+'Quarterly YTD'!AA86-'Quarterly YTD'!W86</f>
        <v>0</v>
      </c>
      <c r="AB86" s="11">
        <f>Z86+'Quarterly YTD'!AB86-'Quarterly YTD'!X86</f>
        <v>0</v>
      </c>
      <c r="AC86" s="11">
        <f>Z86+'Quarterly YTD'!AC86-'Quarterly YTD'!Y86</f>
        <v>0</v>
      </c>
      <c r="AD86" s="0">
        <v>0</v>
      </c>
      <c r="AE86" s="11">
        <f>AD86+'Quarterly YTD'!AE86-'Quarterly YTD'!AA86</f>
        <v>0</v>
      </c>
      <c r="AF86" s="11">
        <f>AD86+'Quarterly YTD'!AF86-'Quarterly YTD'!AB86</f>
        <v>0</v>
      </c>
    </row>
    <row customHeight="1" ht="15">
      <c r="A87" s="9" t="s">
        <v>123</v>
      </c>
      <c r="B87" s="0">
        <v>0</v>
      </c>
      <c r="F87" s="0">
        <v>0</v>
      </c>
      <c r="G87" s="11">
        <f>F87+'Quarterly YTD'!G87-'Quarterly YTD'!C87</f>
        <v>0</v>
      </c>
      <c r="H87" s="11">
        <f>F87+'Quarterly YTD'!H87-'Quarterly YTD'!D87</f>
        <v>0</v>
      </c>
      <c r="I87" s="11">
        <f>F87+'Quarterly YTD'!I87-'Quarterly YTD'!E87</f>
        <v>0</v>
      </c>
      <c r="J87" s="0">
        <v>0</v>
      </c>
      <c r="K87" s="11">
        <f>J87+'Quarterly YTD'!K87-'Quarterly YTD'!G87</f>
        <v>0</v>
      </c>
      <c r="L87" s="11">
        <f>J87+'Quarterly YTD'!L87-'Quarterly YTD'!H87</f>
        <v>0</v>
      </c>
      <c r="M87" s="11">
        <f>J87+'Quarterly YTD'!M87-'Quarterly YTD'!I87</f>
        <v>0</v>
      </c>
      <c r="N87" s="0">
        <v>0</v>
      </c>
      <c r="O87" s="11">
        <f>N87+'Quarterly YTD'!O87-'Quarterly YTD'!K87</f>
        <v>0</v>
      </c>
      <c r="P87" s="11">
        <f>N87+'Quarterly YTD'!P87-'Quarterly YTD'!L87</f>
        <v>0</v>
      </c>
      <c r="Q87" s="11">
        <f>N87+'Quarterly YTD'!Q87-'Quarterly YTD'!M87</f>
        <v>0</v>
      </c>
      <c r="R87" s="0">
        <v>-0.048</v>
      </c>
      <c r="S87" s="11">
        <f>R87+'Quarterly YTD'!S87-'Quarterly YTD'!O87</f>
        <v>-0.048</v>
      </c>
      <c r="T87" s="11">
        <f>R87+'Quarterly YTD'!T87-'Quarterly YTD'!P87</f>
        <v>-0.048</v>
      </c>
      <c r="U87" s="11">
        <f>R87+'Quarterly YTD'!U87-'Quarterly YTD'!Q87</f>
        <v>-0.048</v>
      </c>
      <c r="V87" s="0">
        <v>-0.359</v>
      </c>
      <c r="W87" s="11">
        <f>V87+'Quarterly YTD'!W87-'Quarterly YTD'!S87</f>
        <v>-0.359</v>
      </c>
      <c r="X87" s="11">
        <f>V87+'Quarterly YTD'!X87-'Quarterly YTD'!T87</f>
        <v>-0.359</v>
      </c>
      <c r="Y87" s="11">
        <f>V87+'Quarterly YTD'!Y87-'Quarterly YTD'!U87</f>
        <v>-0.359</v>
      </c>
      <c r="Z87" s="0">
        <v>0</v>
      </c>
      <c r="AA87" s="11">
        <f>Z87+'Quarterly YTD'!AA87-'Quarterly YTD'!W87</f>
        <v>0</v>
      </c>
      <c r="AB87" s="11">
        <f>Z87+'Quarterly YTD'!AB87-'Quarterly YTD'!X87</f>
        <v>0</v>
      </c>
      <c r="AC87" s="11">
        <f>Z87+'Quarterly YTD'!AC87-'Quarterly YTD'!Y87</f>
        <v>0</v>
      </c>
      <c r="AD87" s="0">
        <v>0</v>
      </c>
      <c r="AE87" s="11">
        <f>AD87+'Quarterly YTD'!AE87-'Quarterly YTD'!AA87</f>
        <v>0</v>
      </c>
      <c r="AF87" s="11">
        <f>AD87+'Quarterly YTD'!AF87-'Quarterly YTD'!AB87</f>
        <v>0</v>
      </c>
    </row>
    <row customHeight="1" ht="15">
      <c r="A88" s="9" t="s">
        <v>124</v>
      </c>
      <c r="B88" s="0">
        <v>14.047</v>
      </c>
      <c r="F88" s="0">
        <v>5.728</v>
      </c>
      <c r="G88" s="11">
        <f>F88+'Quarterly YTD'!G88-'Quarterly YTD'!C88</f>
        <v>6.452</v>
      </c>
      <c r="H88" s="11">
        <f>F88+'Quarterly YTD'!H88-'Quarterly YTD'!D88</f>
        <v>5.095</v>
      </c>
      <c r="I88" s="11">
        <f>F88+'Quarterly YTD'!I88-'Quarterly YTD'!E88</f>
        <v>4.784</v>
      </c>
      <c r="J88" s="0">
        <v>8.658</v>
      </c>
      <c r="K88" s="11">
        <f>J88+'Quarterly YTD'!K88-'Quarterly YTD'!G88</f>
        <v>7.917</v>
      </c>
      <c r="L88" s="11">
        <f>J88+'Quarterly YTD'!L88-'Quarterly YTD'!H88</f>
        <v>23.759</v>
      </c>
      <c r="M88" s="11">
        <f>J88+'Quarterly YTD'!M88-'Quarterly YTD'!I88</f>
        <v>33.083</v>
      </c>
      <c r="N88" s="0">
        <v>22.118</v>
      </c>
      <c r="O88" s="11">
        <f>N88+'Quarterly YTD'!O88-'Quarterly YTD'!K88</f>
        <v>26.83</v>
      </c>
      <c r="P88" s="11">
        <f>N88+'Quarterly YTD'!P88-'Quarterly YTD'!L88</f>
        <v>16.19</v>
      </c>
      <c r="Q88" s="11">
        <f>N88+'Quarterly YTD'!Q88-'Quarterly YTD'!M88</f>
        <v>7.079</v>
      </c>
      <c r="R88" s="0">
        <v>11.094</v>
      </c>
      <c r="S88" s="11">
        <f>R88+'Quarterly YTD'!S88-'Quarterly YTD'!O88</f>
        <v>5.668</v>
      </c>
      <c r="T88" s="11">
        <f>R88+'Quarterly YTD'!T88-'Quarterly YTD'!P88</f>
        <v>0.741</v>
      </c>
      <c r="U88" s="11">
        <f>R88+'Quarterly YTD'!U88-'Quarterly YTD'!Q88</f>
        <v>1.993</v>
      </c>
      <c r="V88" s="0">
        <v>1.11</v>
      </c>
      <c r="W88" s="11">
        <f>V88+'Quarterly YTD'!W88-'Quarterly YTD'!S88</f>
        <v>1.949</v>
      </c>
      <c r="X88" s="11">
        <f>V88+'Quarterly YTD'!X88-'Quarterly YTD'!T88</f>
        <v>16.694</v>
      </c>
      <c r="Y88" s="11">
        <f>V88+'Quarterly YTD'!Y88-'Quarterly YTD'!U88</f>
        <v>15.059</v>
      </c>
      <c r="Z88" s="0">
        <v>33.158</v>
      </c>
      <c r="AA88" s="11">
        <f>Z88+'Quarterly YTD'!AA88-'Quarterly YTD'!W88</f>
        <v>60.835</v>
      </c>
      <c r="AB88" s="11">
        <f>Z88+'Quarterly YTD'!AB88-'Quarterly YTD'!X88</f>
        <v>68.605</v>
      </c>
      <c r="AC88" s="11">
        <f>Z88+'Quarterly YTD'!AC88-'Quarterly YTD'!Y88</f>
        <v>71.02</v>
      </c>
      <c r="AD88" s="0">
        <v>80.896</v>
      </c>
      <c r="AE88" s="11">
        <f>AD88+'Quarterly YTD'!AE88-'Quarterly YTD'!AA88</f>
        <v>107.296</v>
      </c>
      <c r="AF88" s="11">
        <f>AD88+'Quarterly YTD'!AF88-'Quarterly YTD'!AB88</f>
        <v>156.099</v>
      </c>
    </row>
    <row customHeight="1" ht="15">
      <c r="A89" s="9" t="s">
        <v>125</v>
      </c>
      <c r="B89" s="0">
        <v>-8.976</v>
      </c>
      <c r="F89" s="0">
        <v>-9.493</v>
      </c>
      <c r="G89" s="11">
        <f>F89+'Quarterly YTD'!G89-'Quarterly YTD'!C89</f>
        <v>-9.522</v>
      </c>
      <c r="H89" s="11">
        <f>F89+'Quarterly YTD'!H89-'Quarterly YTD'!D89</f>
        <v>-8.21</v>
      </c>
      <c r="I89" s="11">
        <f>F89+'Quarterly YTD'!I89-'Quarterly YTD'!E89</f>
        <v>-7.221</v>
      </c>
      <c r="J89" s="0">
        <v>-0.842</v>
      </c>
      <c r="K89" s="11">
        <f>J89+'Quarterly YTD'!K89-'Quarterly YTD'!G89</f>
        <v>-0.344</v>
      </c>
      <c r="L89" s="11">
        <f>J89+'Quarterly YTD'!L89-'Quarterly YTD'!H89</f>
        <v>-0.977</v>
      </c>
      <c r="M89" s="11">
        <f>J89+'Quarterly YTD'!M89-'Quarterly YTD'!I89</f>
        <v>-4.026</v>
      </c>
      <c r="N89" s="0">
        <v>-4.121</v>
      </c>
      <c r="O89" s="11">
        <f>N89+'Quarterly YTD'!O89-'Quarterly YTD'!K89</f>
        <v>-4.187</v>
      </c>
      <c r="P89" s="11">
        <f>N89+'Quarterly YTD'!P89-'Quarterly YTD'!L89</f>
        <v>-3.814</v>
      </c>
      <c r="Q89" s="11">
        <f>N89+'Quarterly YTD'!Q89-'Quarterly YTD'!M89</f>
        <v>-2.769</v>
      </c>
      <c r="R89" s="0">
        <v>-3.891</v>
      </c>
      <c r="S89" s="11">
        <f>R89+'Quarterly YTD'!S89-'Quarterly YTD'!O89</f>
        <v>-4.555</v>
      </c>
      <c r="T89" s="11">
        <f>R89+'Quarterly YTD'!T89-'Quarterly YTD'!P89</f>
        <v>-4.686</v>
      </c>
      <c r="U89" s="11">
        <f>R89+'Quarterly YTD'!U89-'Quarterly YTD'!Q89</f>
        <v>-3.617</v>
      </c>
      <c r="V89" s="0">
        <v>-3.875</v>
      </c>
      <c r="W89" s="11">
        <f>V89+'Quarterly YTD'!W89-'Quarterly YTD'!S89</f>
        <v>-3.996</v>
      </c>
      <c r="X89" s="11">
        <f>V89+'Quarterly YTD'!X89-'Quarterly YTD'!T89</f>
        <v>-4.227</v>
      </c>
      <c r="Y89" s="11">
        <f>V89+'Quarterly YTD'!Y89-'Quarterly YTD'!U89</f>
        <v>-4.877</v>
      </c>
      <c r="Z89" s="0">
        <v>-14.861</v>
      </c>
      <c r="AA89" s="11">
        <f>Z89+'Quarterly YTD'!AA89-'Quarterly YTD'!W89</f>
        <v>-15.016</v>
      </c>
      <c r="AB89" s="11">
        <f>Z89+'Quarterly YTD'!AB89-'Quarterly YTD'!X89</f>
        <v>-15.141</v>
      </c>
      <c r="AC89" s="11">
        <f>Z89+'Quarterly YTD'!AC89-'Quarterly YTD'!Y89</f>
        <v>-16.748</v>
      </c>
      <c r="AD89" s="0">
        <v>-10.148</v>
      </c>
      <c r="AE89" s="11">
        <f>AD89+'Quarterly YTD'!AE89-'Quarterly YTD'!AA89</f>
        <v>-22.681</v>
      </c>
      <c r="AF89" s="11">
        <f>AD89+'Quarterly YTD'!AF89-'Quarterly YTD'!AB89</f>
        <v>-26.255</v>
      </c>
    </row>
    <row customHeight="1" ht="15">
      <c r="A90" s="9" t="s">
        <v>126</v>
      </c>
      <c r="B90" s="0">
        <v>2.434</v>
      </c>
      <c r="F90" s="0">
        <v>7.699</v>
      </c>
      <c r="G90" s="11">
        <f>F90+'Quarterly YTD'!G90-'Quarterly YTD'!C90</f>
        <v>4.794</v>
      </c>
      <c r="H90" s="11">
        <f>F90+'Quarterly YTD'!H90-'Quarterly YTD'!D90</f>
        <v>-6.673</v>
      </c>
      <c r="I90" s="11">
        <f>F90+'Quarterly YTD'!I90-'Quarterly YTD'!E90</f>
        <v>-5.939</v>
      </c>
      <c r="J90" s="0">
        <v>0</v>
      </c>
      <c r="K90" s="11">
        <f>J90+'Quarterly YTD'!K90-'Quarterly YTD'!G90</f>
        <v>0</v>
      </c>
      <c r="L90" s="11">
        <f>J90+'Quarterly YTD'!L90-'Quarterly YTD'!H90</f>
        <v>0</v>
      </c>
      <c r="M90" s="11">
        <f>J90+'Quarterly YTD'!M90-'Quarterly YTD'!I90</f>
        <v>0</v>
      </c>
      <c r="N90" s="0">
        <v>0</v>
      </c>
      <c r="O90" s="11">
        <f>N90+'Quarterly YTD'!O90-'Quarterly YTD'!K90</f>
        <v>0</v>
      </c>
      <c r="P90" s="11">
        <f>N90+'Quarterly YTD'!P90-'Quarterly YTD'!L90</f>
        <v>0</v>
      </c>
      <c r="Q90" s="11">
        <f>N90+'Quarterly YTD'!Q90-'Quarterly YTD'!M90</f>
        <v>0</v>
      </c>
      <c r="R90" s="0">
        <v>0</v>
      </c>
      <c r="S90" s="11">
        <f>R90+'Quarterly YTD'!S90-'Quarterly YTD'!O90</f>
        <v>0</v>
      </c>
      <c r="T90" s="11">
        <f>R90+'Quarterly YTD'!T90-'Quarterly YTD'!P90</f>
        <v>0</v>
      </c>
      <c r="U90" s="11">
        <f>R90+'Quarterly YTD'!U90-'Quarterly YTD'!Q90</f>
        <v>0</v>
      </c>
      <c r="V90" s="0">
        <v>0</v>
      </c>
      <c r="W90" s="11">
        <f>V90+'Quarterly YTD'!W90-'Quarterly YTD'!S90</f>
        <v>0</v>
      </c>
      <c r="X90" s="11">
        <f>V90+'Quarterly YTD'!X90-'Quarterly YTD'!T90</f>
        <v>0</v>
      </c>
      <c r="Y90" s="11">
        <f>V90+'Quarterly YTD'!Y90-'Quarterly YTD'!U90</f>
        <v>0</v>
      </c>
      <c r="Z90" s="0">
        <v>0</v>
      </c>
      <c r="AA90" s="11">
        <f>Z90+'Quarterly YTD'!AA90-'Quarterly YTD'!W90</f>
        <v>0</v>
      </c>
      <c r="AB90" s="11">
        <f>Z90+'Quarterly YTD'!AB90-'Quarterly YTD'!X90</f>
        <v>0</v>
      </c>
      <c r="AC90" s="11">
        <f>Z90+'Quarterly YTD'!AC90-'Quarterly YTD'!Y90</f>
        <v>0</v>
      </c>
      <c r="AD90" s="0">
        <v>0</v>
      </c>
      <c r="AE90" s="11">
        <f>AD90+'Quarterly YTD'!AE90-'Quarterly YTD'!AA90</f>
        <v>0</v>
      </c>
      <c r="AF90" s="11">
        <f>AD90+'Quarterly YTD'!AF90-'Quarterly YTD'!AB90</f>
        <v>0</v>
      </c>
    </row>
    <row customHeight="1" ht="15">
      <c r="A91" s="9" t="s">
        <v>127</v>
      </c>
      <c r="B91" s="0">
        <v>-0.193</v>
      </c>
      <c r="F91" s="0">
        <v>-6.634</v>
      </c>
      <c r="G91" s="11">
        <f>F91+'Quarterly YTD'!G91-'Quarterly YTD'!C91</f>
        <v>-6.634</v>
      </c>
      <c r="H91" s="11">
        <f>F91+'Quarterly YTD'!H91-'Quarterly YTD'!D91</f>
        <v>-6.634</v>
      </c>
      <c r="I91" s="11">
        <f>F91+'Quarterly YTD'!I91-'Quarterly YTD'!E91</f>
        <v>-6.634</v>
      </c>
      <c r="J91" s="0">
        <v>0</v>
      </c>
      <c r="K91" s="11">
        <f>J91+'Quarterly YTD'!K91-'Quarterly YTD'!G91</f>
        <v>0</v>
      </c>
      <c r="L91" s="11">
        <f>J91+'Quarterly YTD'!L91-'Quarterly YTD'!H91</f>
        <v>0</v>
      </c>
      <c r="M91" s="11">
        <f>J91+'Quarterly YTD'!M91-'Quarterly YTD'!I91</f>
        <v>0</v>
      </c>
      <c r="N91" s="0">
        <v>0</v>
      </c>
      <c r="O91" s="11">
        <f>N91+'Quarterly YTD'!O91-'Quarterly YTD'!K91</f>
        <v>0</v>
      </c>
      <c r="P91" s="11">
        <f>N91+'Quarterly YTD'!P91-'Quarterly YTD'!L91</f>
        <v>0</v>
      </c>
      <c r="Q91" s="11">
        <f>N91+'Quarterly YTD'!Q91-'Quarterly YTD'!M91</f>
        <v>0</v>
      </c>
      <c r="R91" s="0">
        <v>0</v>
      </c>
      <c r="S91" s="11">
        <f>R91+'Quarterly YTD'!S91-'Quarterly YTD'!O91</f>
        <v>0</v>
      </c>
      <c r="T91" s="11">
        <f>R91+'Quarterly YTD'!T91-'Quarterly YTD'!P91</f>
        <v>0</v>
      </c>
      <c r="U91" s="11">
        <f>R91+'Quarterly YTD'!U91-'Quarterly YTD'!Q91</f>
        <v>0</v>
      </c>
      <c r="V91" s="0">
        <v>0</v>
      </c>
      <c r="W91" s="11">
        <f>V91+'Quarterly YTD'!W91-'Quarterly YTD'!S91</f>
        <v>0</v>
      </c>
      <c r="X91" s="11">
        <f>V91+'Quarterly YTD'!X91-'Quarterly YTD'!T91</f>
        <v>0</v>
      </c>
      <c r="Y91" s="11">
        <f>V91+'Quarterly YTD'!Y91-'Quarterly YTD'!U91</f>
        <v>0</v>
      </c>
      <c r="Z91" s="0">
        <v>0</v>
      </c>
      <c r="AA91" s="11">
        <f>Z91+'Quarterly YTD'!AA91-'Quarterly YTD'!W91</f>
        <v>0</v>
      </c>
      <c r="AB91" s="11">
        <f>Z91+'Quarterly YTD'!AB91-'Quarterly YTD'!X91</f>
        <v>0</v>
      </c>
      <c r="AC91" s="11">
        <f>Z91+'Quarterly YTD'!AC91-'Quarterly YTD'!Y91</f>
        <v>0</v>
      </c>
      <c r="AD91" s="0">
        <v>0</v>
      </c>
      <c r="AE91" s="11">
        <f>AD91+'Quarterly YTD'!AE91-'Quarterly YTD'!AA91</f>
        <v>0</v>
      </c>
      <c r="AF91" s="11">
        <f>AD91+'Quarterly YTD'!AF91-'Quarterly YTD'!AB91</f>
        <v>0</v>
      </c>
    </row>
    <row customHeight="1" ht="15">
      <c r="A92" s="9" t="s">
        <v>128</v>
      </c>
      <c r="B92" s="0">
        <v>0</v>
      </c>
      <c r="F92" s="0">
        <v>0</v>
      </c>
      <c r="G92" s="11">
        <f>F92+'Quarterly YTD'!G92-'Quarterly YTD'!C92</f>
        <v>0</v>
      </c>
      <c r="H92" s="11">
        <f>F92+'Quarterly YTD'!H92-'Quarterly YTD'!D92</f>
        <v>0</v>
      </c>
      <c r="I92" s="11">
        <f>F92+'Quarterly YTD'!I92-'Quarterly YTD'!E92</f>
        <v>0</v>
      </c>
      <c r="J92" s="0">
        <v>1.878</v>
      </c>
      <c r="K92" s="11">
        <f>J92+'Quarterly YTD'!K92-'Quarterly YTD'!G92</f>
        <v>2.327</v>
      </c>
      <c r="L92" s="11">
        <f>J92+'Quarterly YTD'!L92-'Quarterly YTD'!H92</f>
        <v>2.709</v>
      </c>
      <c r="M92" s="11">
        <f>J92+'Quarterly YTD'!M92-'Quarterly YTD'!I92</f>
        <v>4.898</v>
      </c>
      <c r="N92" s="0">
        <v>8.383</v>
      </c>
      <c r="O92" s="11">
        <f>N92+'Quarterly YTD'!O92-'Quarterly YTD'!K92</f>
        <v>7.934</v>
      </c>
      <c r="P92" s="11">
        <f>N92+'Quarterly YTD'!P92-'Quarterly YTD'!L92</f>
        <v>7.552</v>
      </c>
      <c r="Q92" s="11">
        <f>N92+'Quarterly YTD'!Q92-'Quarterly YTD'!M92</f>
        <v>5.406</v>
      </c>
      <c r="R92" s="0">
        <v>1.63</v>
      </c>
      <c r="S92" s="11">
        <f>R92+'Quarterly YTD'!S92-'Quarterly YTD'!O92</f>
        <v>1.63</v>
      </c>
      <c r="T92" s="11">
        <f>R92+'Quarterly YTD'!T92-'Quarterly YTD'!P92</f>
        <v>1.63</v>
      </c>
      <c r="U92" s="11">
        <f>R92+'Quarterly YTD'!U92-'Quarterly YTD'!Q92</f>
        <v>2.617</v>
      </c>
      <c r="V92" s="0">
        <v>1.035</v>
      </c>
      <c r="W92" s="11">
        <f>V92+'Quarterly YTD'!W92-'Quarterly YTD'!S92</f>
        <v>1.035</v>
      </c>
      <c r="X92" s="11">
        <f>V92+'Quarterly YTD'!X92-'Quarterly YTD'!T92</f>
        <v>1.035</v>
      </c>
      <c r="Y92" s="11">
        <f>V92+'Quarterly YTD'!Y92-'Quarterly YTD'!U92</f>
        <v>0.0049999999999999</v>
      </c>
      <c r="Z92" s="0">
        <v>1.22</v>
      </c>
      <c r="AA92" s="11">
        <f>Z92+'Quarterly YTD'!AA92-'Quarterly YTD'!W92</f>
        <v>1.22</v>
      </c>
      <c r="AB92" s="11">
        <f>Z92+'Quarterly YTD'!AB92-'Quarterly YTD'!X92</f>
        <v>2.639</v>
      </c>
      <c r="AC92" s="11">
        <f>Z92+'Quarterly YTD'!AC92-'Quarterly YTD'!Y92</f>
        <v>2.509</v>
      </c>
      <c r="AD92" s="0">
        <v>3.75</v>
      </c>
      <c r="AE92" s="11">
        <f>AD92+'Quarterly YTD'!AE92-'Quarterly YTD'!AA92</f>
        <v>3.75</v>
      </c>
      <c r="AF92" s="11">
        <f>AD92+'Quarterly YTD'!AF92-'Quarterly YTD'!AB92</f>
        <v>2.69</v>
      </c>
    </row>
    <row customHeight="1" ht="15">
      <c r="A93" s="9" t="s">
        <v>129</v>
      </c>
      <c r="B93" s="0">
        <v>0</v>
      </c>
      <c r="F93" s="0">
        <v>0</v>
      </c>
      <c r="G93" s="11">
        <f>F93+'Quarterly YTD'!G93-'Quarterly YTD'!C93</f>
        <v>-0.1</v>
      </c>
      <c r="H93" s="11">
        <f>F93+'Quarterly YTD'!H93-'Quarterly YTD'!D93</f>
        <v>0</v>
      </c>
      <c r="I93" s="11">
        <f>F93+'Quarterly YTD'!I93-'Quarterly YTD'!E93</f>
        <v>6.634</v>
      </c>
      <c r="J93" s="0">
        <v>-0.096</v>
      </c>
      <c r="K93" s="11">
        <f>J93+'Quarterly YTD'!K93-'Quarterly YTD'!G93</f>
        <v>-0.105</v>
      </c>
      <c r="L93" s="11">
        <f>J93+'Quarterly YTD'!L93-'Quarterly YTD'!H93</f>
        <v>-0.113</v>
      </c>
      <c r="M93" s="11">
        <f>J93+'Quarterly YTD'!M93-'Quarterly YTD'!I93</f>
        <v>-0.096</v>
      </c>
      <c r="N93" s="0">
        <v>-0.115</v>
      </c>
      <c r="O93" s="11">
        <f>N93+'Quarterly YTD'!O93-'Quarterly YTD'!K93</f>
        <v>-4.436</v>
      </c>
      <c r="P93" s="11">
        <f>N93+'Quarterly YTD'!P93-'Quarterly YTD'!L93</f>
        <v>-3.218</v>
      </c>
      <c r="Q93" s="11">
        <f>N93+'Quarterly YTD'!Q93-'Quarterly YTD'!M93</f>
        <v>-2.055</v>
      </c>
      <c r="R93" s="0">
        <v>-1.898</v>
      </c>
      <c r="S93" s="11">
        <f>R93+'Quarterly YTD'!S93-'Quarterly YTD'!O93</f>
        <v>-1.202</v>
      </c>
      <c r="T93" s="11">
        <f>R93+'Quarterly YTD'!T93-'Quarterly YTD'!P93</f>
        <v>-12.92</v>
      </c>
      <c r="U93" s="11">
        <f>R93+'Quarterly YTD'!U93-'Quarterly YTD'!Q93</f>
        <v>-9.063</v>
      </c>
      <c r="V93" s="0">
        <v>-9.238</v>
      </c>
      <c r="W93" s="11">
        <f>V93+'Quarterly YTD'!W93-'Quarterly YTD'!S93</f>
        <v>-6.349</v>
      </c>
      <c r="X93" s="11">
        <f>V93+'Quarterly YTD'!X93-'Quarterly YTD'!T93</f>
        <v>3.105</v>
      </c>
      <c r="Y93" s="11">
        <f>V93+'Quarterly YTD'!Y93-'Quarterly YTD'!U93</f>
        <v>-4.519</v>
      </c>
      <c r="Z93" s="0">
        <v>-4.733</v>
      </c>
      <c r="AA93" s="11">
        <f>Z93+'Quarterly YTD'!AA93-'Quarterly YTD'!W93</f>
        <v>-6.165</v>
      </c>
      <c r="AB93" s="11">
        <f>Z93+'Quarterly YTD'!AB93-'Quarterly YTD'!X93</f>
        <v>-6.409</v>
      </c>
      <c r="AC93" s="11">
        <f>Z93+'Quarterly YTD'!AC93-'Quarterly YTD'!Y93</f>
        <v>-4.515</v>
      </c>
      <c r="AD93" s="0">
        <v>-3.704</v>
      </c>
      <c r="AE93" s="11">
        <f>AD93+'Quarterly YTD'!AE93-'Quarterly YTD'!AA93</f>
        <v>-15</v>
      </c>
      <c r="AF93" s="11">
        <f>AD93+'Quarterly YTD'!AF93-'Quarterly YTD'!AB93</f>
        <v>-14.048</v>
      </c>
    </row>
    <row customHeight="1" ht="15">
      <c r="A94" s="9" t="s">
        <v>130</v>
      </c>
      <c r="B94" s="0">
        <v>0</v>
      </c>
      <c r="F94" s="0">
        <v>264.457</v>
      </c>
      <c r="G94" s="11">
        <f>F94+'Quarterly YTD'!G94-'Quarterly YTD'!C94</f>
        <v>264.457</v>
      </c>
      <c r="H94" s="11">
        <f>F94+'Quarterly YTD'!H94-'Quarterly YTD'!D94</f>
        <v>264.457</v>
      </c>
      <c r="I94" s="11">
        <f>F94+'Quarterly YTD'!I94-'Quarterly YTD'!E94</f>
        <v>264.457</v>
      </c>
      <c r="J94" s="0">
        <v>0</v>
      </c>
      <c r="K94" s="11">
        <f>J94+'Quarterly YTD'!K94-'Quarterly YTD'!G94</f>
        <v>0</v>
      </c>
      <c r="L94" s="11">
        <f>J94+'Quarterly YTD'!L94-'Quarterly YTD'!H94</f>
        <v>0</v>
      </c>
      <c r="M94" s="11">
        <f>J94+'Quarterly YTD'!M94-'Quarterly YTD'!I94</f>
        <v>0</v>
      </c>
      <c r="N94" s="0">
        <v>0</v>
      </c>
      <c r="O94" s="11">
        <f>N94+'Quarterly YTD'!O94-'Quarterly YTD'!K94</f>
        <v>0</v>
      </c>
      <c r="P94" s="11">
        <f>N94+'Quarterly YTD'!P94-'Quarterly YTD'!L94</f>
        <v>0</v>
      </c>
      <c r="Q94" s="11">
        <f>N94+'Quarterly YTD'!Q94-'Quarterly YTD'!M94</f>
        <v>0</v>
      </c>
      <c r="R94" s="0">
        <v>0</v>
      </c>
      <c r="S94" s="11">
        <f>R94+'Quarterly YTD'!S94-'Quarterly YTD'!O94</f>
        <v>0</v>
      </c>
      <c r="T94" s="11">
        <f>R94+'Quarterly YTD'!T94-'Quarterly YTD'!P94</f>
        <v>0</v>
      </c>
      <c r="U94" s="11">
        <f>R94+'Quarterly YTD'!U94-'Quarterly YTD'!Q94</f>
        <v>0</v>
      </c>
      <c r="V94" s="0">
        <v>0</v>
      </c>
      <c r="W94" s="11">
        <f>V94+'Quarterly YTD'!W94-'Quarterly YTD'!S94</f>
        <v>0</v>
      </c>
      <c r="X94" s="11">
        <f>V94+'Quarterly YTD'!X94-'Quarterly YTD'!T94</f>
        <v>0</v>
      </c>
      <c r="Y94" s="11">
        <f>V94+'Quarterly YTD'!Y94-'Quarterly YTD'!U94</f>
        <v>0</v>
      </c>
      <c r="Z94" s="0">
        <v>0</v>
      </c>
      <c r="AA94" s="11">
        <f>Z94+'Quarterly YTD'!AA94-'Quarterly YTD'!W94</f>
        <v>0</v>
      </c>
      <c r="AB94" s="11">
        <f>Z94+'Quarterly YTD'!AB94-'Quarterly YTD'!X94</f>
        <v>0</v>
      </c>
      <c r="AC94" s="11">
        <f>Z94+'Quarterly YTD'!AC94-'Quarterly YTD'!Y94</f>
        <v>0</v>
      </c>
      <c r="AD94" s="0">
        <v>0</v>
      </c>
      <c r="AE94" s="11">
        <f>AD94+'Quarterly YTD'!AE94-'Quarterly YTD'!AA94</f>
        <v>0</v>
      </c>
      <c r="AF94" s="11">
        <f>AD94+'Quarterly YTD'!AF94-'Quarterly YTD'!AB94</f>
        <v>0</v>
      </c>
    </row>
    <row customHeight="1" ht="15">
      <c r="A95" s="9" t="s">
        <v>131</v>
      </c>
      <c r="B95" s="0">
        <v>0</v>
      </c>
      <c r="F95" s="0">
        <v>0</v>
      </c>
      <c r="G95" s="11">
        <f>F95+'Quarterly YTD'!G95-'Quarterly YTD'!C95</f>
        <v>0</v>
      </c>
      <c r="H95" s="11">
        <f>F95+'Quarterly YTD'!H95-'Quarterly YTD'!D95</f>
        <v>0</v>
      </c>
      <c r="I95" s="11">
        <f>F95+'Quarterly YTD'!I95-'Quarterly YTD'!E95</f>
        <v>0</v>
      </c>
      <c r="J95" s="0">
        <v>0</v>
      </c>
      <c r="K95" s="11">
        <f>J95+'Quarterly YTD'!K95-'Quarterly YTD'!G95</f>
        <v>0</v>
      </c>
      <c r="L95" s="11">
        <f>J95+'Quarterly YTD'!L95-'Quarterly YTD'!H95</f>
        <v>0</v>
      </c>
      <c r="M95" s="11">
        <f>J95+'Quarterly YTD'!M95-'Quarterly YTD'!I95</f>
        <v>0</v>
      </c>
      <c r="N95" s="0">
        <v>0</v>
      </c>
      <c r="O95" s="11">
        <f>N95+'Quarterly YTD'!O95-'Quarterly YTD'!K95</f>
        <v>0</v>
      </c>
      <c r="P95" s="11">
        <f>N95+'Quarterly YTD'!P95-'Quarterly YTD'!L95</f>
        <v>0</v>
      </c>
      <c r="Q95" s="11">
        <f>N95+'Quarterly YTD'!Q95-'Quarterly YTD'!M95</f>
        <v>0</v>
      </c>
      <c r="R95" s="0">
        <v>0</v>
      </c>
      <c r="S95" s="11">
        <f>R95+'Quarterly YTD'!S95-'Quarterly YTD'!O95</f>
        <v>0</v>
      </c>
      <c r="T95" s="11">
        <f>R95+'Quarterly YTD'!T95-'Quarterly YTD'!P95</f>
        <v>0</v>
      </c>
      <c r="U95" s="11">
        <f>R95+'Quarterly YTD'!U95-'Quarterly YTD'!Q95</f>
        <v>0</v>
      </c>
      <c r="V95" s="0">
        <v>0</v>
      </c>
      <c r="W95" s="11">
        <f>V95+'Quarterly YTD'!W95-'Quarterly YTD'!S95</f>
        <v>0</v>
      </c>
      <c r="X95" s="11">
        <f>V95+'Quarterly YTD'!X95-'Quarterly YTD'!T95</f>
        <v>-6.934</v>
      </c>
      <c r="Y95" s="11">
        <f>V95+'Quarterly YTD'!Y95-'Quarterly YTD'!U95</f>
        <v>-7.239</v>
      </c>
      <c r="Z95" s="0">
        <v>-7.262</v>
      </c>
      <c r="AA95" s="11">
        <f>Z95+'Quarterly YTD'!AA95-'Quarterly YTD'!W95</f>
        <v>-7.262</v>
      </c>
      <c r="AB95" s="11">
        <f>Z95+'Quarterly YTD'!AB95-'Quarterly YTD'!X95</f>
        <v>-0.328</v>
      </c>
      <c r="AC95" s="11">
        <f>Z95+'Quarterly YTD'!AC95-'Quarterly YTD'!Y95</f>
        <v>-0.023</v>
      </c>
      <c r="AD95" s="0">
        <v>-0.024</v>
      </c>
      <c r="AE95" s="11">
        <f>AD95+'Quarterly YTD'!AE95-'Quarterly YTD'!AA95</f>
        <v>-0.154</v>
      </c>
      <c r="AF95" s="11">
        <f>AD95+'Quarterly YTD'!AF95-'Quarterly YTD'!AB95</f>
        <v>-0.024</v>
      </c>
    </row>
    <row customHeight="1" ht="15">
      <c r="A96" s="9" t="s">
        <v>132</v>
      </c>
      <c r="B96" s="0">
        <v>0</v>
      </c>
      <c r="F96" s="0">
        <v>0</v>
      </c>
      <c r="G96" s="11">
        <f>F96+'Quarterly YTD'!G96-'Quarterly YTD'!C96</f>
        <v>0</v>
      </c>
      <c r="H96" s="11">
        <f>F96+'Quarterly YTD'!H96-'Quarterly YTD'!D96</f>
        <v>0</v>
      </c>
      <c r="I96" s="11">
        <f>F96+'Quarterly YTD'!I96-'Quarterly YTD'!E96</f>
        <v>0</v>
      </c>
      <c r="J96" s="0">
        <v>0</v>
      </c>
      <c r="K96" s="11">
        <f>J96+'Quarterly YTD'!K96-'Quarterly YTD'!G96</f>
        <v>0</v>
      </c>
      <c r="L96" s="11">
        <f>J96+'Quarterly YTD'!L96-'Quarterly YTD'!H96</f>
        <v>0</v>
      </c>
      <c r="M96" s="11">
        <f>J96+'Quarterly YTD'!M96-'Quarterly YTD'!I96</f>
        <v>0</v>
      </c>
      <c r="N96" s="0">
        <v>0</v>
      </c>
      <c r="O96" s="11">
        <f>N96+'Quarterly YTD'!O96-'Quarterly YTD'!K96</f>
        <v>0</v>
      </c>
      <c r="P96" s="11">
        <f>N96+'Quarterly YTD'!P96-'Quarterly YTD'!L96</f>
        <v>0</v>
      </c>
      <c r="Q96" s="11">
        <f>N96+'Quarterly YTD'!Q96-'Quarterly YTD'!M96</f>
        <v>0</v>
      </c>
      <c r="R96" s="0">
        <v>0</v>
      </c>
      <c r="S96" s="11">
        <f>R96+'Quarterly YTD'!S96-'Quarterly YTD'!O96</f>
        <v>0</v>
      </c>
      <c r="T96" s="11">
        <f>R96+'Quarterly YTD'!T96-'Quarterly YTD'!P96</f>
        <v>0</v>
      </c>
      <c r="U96" s="11">
        <f>R96+'Quarterly YTD'!U96-'Quarterly YTD'!Q96</f>
        <v>0</v>
      </c>
      <c r="V96" s="0">
        <v>0</v>
      </c>
      <c r="W96" s="11">
        <f>V96+'Quarterly YTD'!W96-'Quarterly YTD'!S96</f>
        <v>0</v>
      </c>
      <c r="X96" s="11">
        <f>V96+'Quarterly YTD'!X96-'Quarterly YTD'!T96</f>
        <v>277.444</v>
      </c>
      <c r="Y96" s="11">
        <f>V96+'Quarterly YTD'!Y96-'Quarterly YTD'!U96</f>
        <v>278.836</v>
      </c>
      <c r="Z96" s="0">
        <v>278.836</v>
      </c>
      <c r="AA96" s="11">
        <f>Z96+'Quarterly YTD'!AA96-'Quarterly YTD'!W96</f>
        <v>278.836</v>
      </c>
      <c r="AB96" s="11">
        <f>Z96+'Quarterly YTD'!AB96-'Quarterly YTD'!X96</f>
        <v>1.392</v>
      </c>
      <c r="AC96" s="11">
        <f>Z96+'Quarterly YTD'!AC96-'Quarterly YTD'!Y96</f>
        <v>0</v>
      </c>
      <c r="AD96" s="0">
        <v>0</v>
      </c>
      <c r="AE96" s="11">
        <f>AD96+'Quarterly YTD'!AE96-'Quarterly YTD'!AA96</f>
        <v>0</v>
      </c>
      <c r="AF96" s="11">
        <f>AD96+'Quarterly YTD'!AF96-'Quarterly YTD'!AB96</f>
        <v>0</v>
      </c>
    </row>
    <row customHeight="1" ht="15">
      <c r="A97" s="9" t="s">
        <v>133</v>
      </c>
      <c r="B97" s="0">
        <v>0</v>
      </c>
      <c r="F97" s="0">
        <v>0</v>
      </c>
      <c r="G97" s="11">
        <f>F97+'Quarterly YTD'!G97-'Quarterly YTD'!C97</f>
        <v>0</v>
      </c>
      <c r="H97" s="11">
        <f>F97+'Quarterly YTD'!H97-'Quarterly YTD'!D97</f>
        <v>-5.228</v>
      </c>
      <c r="I97" s="11">
        <f>F97+'Quarterly YTD'!I97-'Quarterly YTD'!E97</f>
        <v>-7.151</v>
      </c>
      <c r="J97" s="0">
        <v>-15.578</v>
      </c>
      <c r="K97" s="11">
        <f>J97+'Quarterly YTD'!K97-'Quarterly YTD'!G97</f>
        <v>-16.078</v>
      </c>
      <c r="L97" s="11">
        <f>J97+'Quarterly YTD'!L97-'Quarterly YTD'!H97</f>
        <v>-10.85</v>
      </c>
      <c r="M97" s="11">
        <f>J97+'Quarterly YTD'!M97-'Quarterly YTD'!I97</f>
        <v>-8.93</v>
      </c>
      <c r="N97" s="0">
        <v>-0.509</v>
      </c>
      <c r="O97" s="11">
        <f>N97+'Quarterly YTD'!O97-'Quarterly YTD'!K97</f>
        <v>-0.862</v>
      </c>
      <c r="P97" s="11">
        <f>N97+'Quarterly YTD'!P97-'Quarterly YTD'!L97</f>
        <v>-10.713</v>
      </c>
      <c r="Q97" s="11">
        <f>N97+'Quarterly YTD'!Q97-'Quarterly YTD'!M97</f>
        <v>-55.598</v>
      </c>
      <c r="R97" s="0">
        <v>-64.702</v>
      </c>
      <c r="S97" s="11">
        <f>R97+'Quarterly YTD'!S97-'Quarterly YTD'!O97</f>
        <v>-63.849</v>
      </c>
      <c r="T97" s="11">
        <f>R97+'Quarterly YTD'!T97-'Quarterly YTD'!P97</f>
        <v>-73.856</v>
      </c>
      <c r="U97" s="11">
        <f>R97+'Quarterly YTD'!U97-'Quarterly YTD'!Q97</f>
        <v>-28.921</v>
      </c>
      <c r="V97" s="0">
        <v>-19.847</v>
      </c>
      <c r="W97" s="11">
        <f>V97+'Quarterly YTD'!W97-'Quarterly YTD'!S97</f>
        <v>-19.847</v>
      </c>
      <c r="X97" s="11">
        <f>V97+'Quarterly YTD'!X97-'Quarterly YTD'!T97</f>
        <v>-166.763</v>
      </c>
      <c r="Y97" s="11">
        <f>V97+'Quarterly YTD'!Y97-'Quarterly YTD'!U97</f>
        <v>-167.647</v>
      </c>
      <c r="Z97" s="0">
        <v>-167.611</v>
      </c>
      <c r="AA97" s="11">
        <f>Z97+'Quarterly YTD'!AA97-'Quarterly YTD'!W97</f>
        <v>-167.611</v>
      </c>
      <c r="AB97" s="11">
        <f>Z97+'Quarterly YTD'!AB97-'Quarterly YTD'!X97</f>
        <v>-0.836999999999989</v>
      </c>
      <c r="AC97" s="11">
        <f>Z97+'Quarterly YTD'!AC97-'Quarterly YTD'!Y97</f>
        <v>0</v>
      </c>
      <c r="AD97" s="0">
        <v>0</v>
      </c>
      <c r="AE97" s="11">
        <f>AD97+'Quarterly YTD'!AE97-'Quarterly YTD'!AA97</f>
        <v>0</v>
      </c>
      <c r="AF97" s="11">
        <f>AD97+'Quarterly YTD'!AF97-'Quarterly YTD'!AB97</f>
        <v>0</v>
      </c>
    </row>
    <row customHeight="1" ht="15">
      <c r="A98" s="9" t="s">
        <v>134</v>
      </c>
      <c r="B98" s="0">
        <v>0</v>
      </c>
      <c r="F98" s="0">
        <v>0</v>
      </c>
      <c r="G98" s="11">
        <f>F98+'Quarterly YTD'!G98-'Quarterly YTD'!C98</f>
        <v>0</v>
      </c>
      <c r="H98" s="11">
        <f>F98+'Quarterly YTD'!H98-'Quarterly YTD'!D98</f>
        <v>0</v>
      </c>
      <c r="I98" s="11">
        <f>F98+'Quarterly YTD'!I98-'Quarterly YTD'!E98</f>
        <v>0</v>
      </c>
      <c r="J98" s="0">
        <v>0</v>
      </c>
      <c r="K98" s="11">
        <f>J98+'Quarterly YTD'!K98-'Quarterly YTD'!G98</f>
        <v>0</v>
      </c>
      <c r="L98" s="11">
        <f>J98+'Quarterly YTD'!L98-'Quarterly YTD'!H98</f>
        <v>0</v>
      </c>
      <c r="M98" s="11">
        <f>J98+'Quarterly YTD'!M98-'Quarterly YTD'!I98</f>
        <v>0</v>
      </c>
      <c r="N98" s="0">
        <v>0</v>
      </c>
      <c r="O98" s="11">
        <f>N98+'Quarterly YTD'!O98-'Quarterly YTD'!K98</f>
        <v>0</v>
      </c>
      <c r="P98" s="11">
        <f>N98+'Quarterly YTD'!P98-'Quarterly YTD'!L98</f>
        <v>0</v>
      </c>
      <c r="Q98" s="11">
        <f>N98+'Quarterly YTD'!Q98-'Quarterly YTD'!M98</f>
        <v>0</v>
      </c>
      <c r="R98" s="0">
        <v>0</v>
      </c>
      <c r="S98" s="11">
        <f>R98+'Quarterly YTD'!S98-'Quarterly YTD'!O98</f>
        <v>0</v>
      </c>
      <c r="T98" s="11">
        <f>R98+'Quarterly YTD'!T98-'Quarterly YTD'!P98</f>
        <v>0</v>
      </c>
      <c r="U98" s="11">
        <f>R98+'Quarterly YTD'!U98-'Quarterly YTD'!Q98</f>
        <v>0</v>
      </c>
      <c r="V98" s="0">
        <v>0</v>
      </c>
      <c r="W98" s="11">
        <f>V98+'Quarterly YTD'!W98-'Quarterly YTD'!S98</f>
        <v>0</v>
      </c>
      <c r="X98" s="11">
        <f>V98+'Quarterly YTD'!X98-'Quarterly YTD'!T98</f>
        <v>0</v>
      </c>
      <c r="Y98" s="11">
        <f>V98+'Quarterly YTD'!Y98-'Quarterly YTD'!U98</f>
        <v>0</v>
      </c>
      <c r="Z98" s="0">
        <v>0</v>
      </c>
      <c r="AA98" s="11">
        <f>Z98+'Quarterly YTD'!AA98-'Quarterly YTD'!W98</f>
        <v>0</v>
      </c>
      <c r="AB98" s="11">
        <f>Z98+'Quarterly YTD'!AB98-'Quarterly YTD'!X98</f>
        <v>0</v>
      </c>
      <c r="AC98" s="11">
        <f>Z98+'Quarterly YTD'!AC98-'Quarterly YTD'!Y98</f>
        <v>0</v>
      </c>
      <c r="AD98" s="0">
        <v>0</v>
      </c>
      <c r="AE98" s="11">
        <f>AD98+'Quarterly YTD'!AE98-'Quarterly YTD'!AA98</f>
        <v>0</v>
      </c>
      <c r="AF98" s="11">
        <f>AD98+'Quarterly YTD'!AF98-'Quarterly YTD'!AB98</f>
        <v>-0.13</v>
      </c>
    </row>
    <row customHeight="1" ht="15">
      <c r="A99" s="9" t="s">
        <v>135</v>
      </c>
      <c r="B99" s="0">
        <v>-2.072</v>
      </c>
      <c r="F99" s="0">
        <v>-30.873</v>
      </c>
      <c r="G99" s="11">
        <f>F99+'Quarterly YTD'!G99-'Quarterly YTD'!C99</f>
        <v>-46.171</v>
      </c>
      <c r="H99" s="11">
        <f>F99+'Quarterly YTD'!H99-'Quarterly YTD'!D99</f>
        <v>-68.426</v>
      </c>
      <c r="I99" s="11">
        <f>F99+'Quarterly YTD'!I99-'Quarterly YTD'!E99</f>
        <v>-58.48</v>
      </c>
      <c r="J99" s="0">
        <v>-37.801</v>
      </c>
      <c r="K99" s="11">
        <f>J99+'Quarterly YTD'!K99-'Quarterly YTD'!G99</f>
        <v>-27.709</v>
      </c>
      <c r="L99" s="11">
        <f>J99+'Quarterly YTD'!L99-'Quarterly YTD'!H99</f>
        <v>-12.636</v>
      </c>
      <c r="M99" s="11">
        <f>J99+'Quarterly YTD'!M99-'Quarterly YTD'!I99</f>
        <v>-32.049</v>
      </c>
      <c r="N99" s="0">
        <v>-37.939</v>
      </c>
      <c r="O99" s="11">
        <f>N99+'Quarterly YTD'!O99-'Quarterly YTD'!K99</f>
        <v>-43.148</v>
      </c>
      <c r="P99" s="11">
        <f>N99+'Quarterly YTD'!P99-'Quarterly YTD'!L99</f>
        <v>-42.312</v>
      </c>
      <c r="Q99" s="11">
        <f>N99+'Quarterly YTD'!Q99-'Quarterly YTD'!M99</f>
        <v>-50.51</v>
      </c>
      <c r="R99" s="0">
        <v>-63.864</v>
      </c>
      <c r="S99" s="11">
        <f>R99+'Quarterly YTD'!S99-'Quarterly YTD'!O99</f>
        <v>-73.003</v>
      </c>
      <c r="T99" s="11">
        <f>R99+'Quarterly YTD'!T99-'Quarterly YTD'!P99</f>
        <v>-93.939</v>
      </c>
      <c r="U99" s="11">
        <f>R99+'Quarterly YTD'!U99-'Quarterly YTD'!Q99</f>
        <v>-118.09</v>
      </c>
      <c r="V99" s="0">
        <v>-151.442</v>
      </c>
      <c r="W99" s="11">
        <f>V99+'Quarterly YTD'!W99-'Quarterly YTD'!S99</f>
        <v>-181.258</v>
      </c>
      <c r="X99" s="11">
        <f>V99+'Quarterly YTD'!X99-'Quarterly YTD'!T99</f>
        <v>-218.147</v>
      </c>
      <c r="Y99" s="11">
        <f>V99+'Quarterly YTD'!Y99-'Quarterly YTD'!U99</f>
        <v>-245.789</v>
      </c>
      <c r="Z99" s="0">
        <v>-242.596</v>
      </c>
      <c r="AA99" s="11">
        <f>Z99+'Quarterly YTD'!AA99-'Quarterly YTD'!W99</f>
        <v>-269.766</v>
      </c>
      <c r="AB99" s="11">
        <f>Z99+'Quarterly YTD'!AB99-'Quarterly YTD'!X99</f>
        <v>-266.469</v>
      </c>
      <c r="AC99" s="11">
        <f>Z99+'Quarterly YTD'!AC99-'Quarterly YTD'!Y99</f>
        <v>-261.32</v>
      </c>
      <c r="AD99" s="0">
        <v>-252.388</v>
      </c>
      <c r="AE99" s="11">
        <f>AD99+'Quarterly YTD'!AE99-'Quarterly YTD'!AA99</f>
        <v>-215.643</v>
      </c>
      <c r="AF99" s="11">
        <f>AD99+'Quarterly YTD'!AF99-'Quarterly YTD'!AB99</f>
        <v>-192.443</v>
      </c>
    </row>
    <row customHeight="1" ht="15">
      <c r="A100" s="9" t="s">
        <v>136</v>
      </c>
      <c r="B100" s="11">
        <f>B82+SUM(B88:B91)+B94+B99</f>
        <v>5.191</v>
      </c>
      <c r="F100" s="11">
        <f>F83+F85+SUM(F88:F94)+F97+F99</f>
        <v>230.88</v>
      </c>
      <c r="G100" s="11">
        <f t="shared" si="11" ref="G100:AF100">SUM(G82:G99)</f>
        <v>213.272</v>
      </c>
      <c r="H100" s="11">
        <f t="shared" si="11"/>
        <v>174.382</v>
      </c>
      <c r="I100" s="11">
        <f t="shared" si="11"/>
        <v>190.451</v>
      </c>
      <c r="J100" s="11">
        <f>SUM(J83:J85)+SUM(J88:J93)+J97+J99</f>
        <v>-47.361</v>
      </c>
      <c r="K100" s="11">
        <f t="shared" si="11"/>
        <v>-37.865</v>
      </c>
      <c r="L100" s="11">
        <f t="shared" si="11"/>
        <v>-1.981</v>
      </c>
      <c r="M100" s="11">
        <f t="shared" si="11"/>
        <v>-10.993</v>
      </c>
      <c r="N100" s="11">
        <f>SUM(N83:N84)+N86+SUM(N88:N89)+SUM(N92:N93)+N97+N99</f>
        <v>287.524</v>
      </c>
      <c r="O100" s="11">
        <f t="shared" si="11"/>
        <v>282.131</v>
      </c>
      <c r="P100" s="11">
        <f t="shared" si="11"/>
        <v>233.921</v>
      </c>
      <c r="Q100" s="11">
        <f t="shared" si="11"/>
        <v>171.26</v>
      </c>
      <c r="R100" s="11">
        <f>R83+SUM(R87:R89)+SUM(R92:R93)+R97+R99</f>
        <v>-152.007</v>
      </c>
      <c r="S100" s="11">
        <f t="shared" si="11"/>
        <v>-165.687</v>
      </c>
      <c r="T100" s="11">
        <f t="shared" si="11"/>
        <v>-184.214</v>
      </c>
      <c r="U100" s="11">
        <f t="shared" si="11"/>
        <v>-156.472</v>
      </c>
      <c r="V100" s="11">
        <f>V83+SUM(V87:V89)+SUM(V92:V93)+SUM(V95:V97)+V99</f>
        <v>-208.611</v>
      </c>
      <c r="W100" s="11">
        <f t="shared" si="11"/>
        <v>-234.89</v>
      </c>
      <c r="X100" s="11">
        <f t="shared" si="11"/>
        <v>-124.31</v>
      </c>
      <c r="Y100" s="11">
        <f t="shared" si="11"/>
        <v>-162.241</v>
      </c>
      <c r="Z100" s="11">
        <f t="shared" si="12" ref="Z100:AD100">Z83+SUM(Z88:Z89)+SUM(Z92:Z93)+SUM(Z95:Z97)+Z99</f>
        <v>-125.341</v>
      </c>
      <c r="AA100" s="11">
        <f t="shared" si="11"/>
        <v>-126.499</v>
      </c>
      <c r="AB100" s="11">
        <f t="shared" si="11"/>
        <v>-217.558</v>
      </c>
      <c r="AC100" s="11">
        <f t="shared" si="11"/>
        <v>-211.642</v>
      </c>
      <c r="AD100" s="11">
        <f t="shared" si="12"/>
        <v>-183.715</v>
      </c>
      <c r="AE100" s="11">
        <f t="shared" si="11"/>
        <v>-144.536</v>
      </c>
      <c r="AF100" s="11">
        <f t="shared" si="11"/>
        <v>-77.031</v>
      </c>
    </row>
    <row customHeight="1" ht="15">
      <c r="A101" s="4" t="s">
        <v>137</v>
      </c>
      <c r="B101" s="7">
        <f t="shared" si="7"/>
        <v>5.191</v>
      </c>
      <c r="F101" s="7">
        <f t="shared" si="7"/>
        <v>230.88</v>
      </c>
      <c r="G101" s="7">
        <f t="shared" si="7"/>
        <v>213.272</v>
      </c>
      <c r="H101" s="7">
        <f t="shared" si="7"/>
        <v>174.382</v>
      </c>
      <c r="I101" s="7">
        <f t="shared" si="7"/>
        <v>190.451</v>
      </c>
      <c r="J101" s="7">
        <f t="shared" si="7"/>
        <v>-47.361</v>
      </c>
      <c r="K101" s="7">
        <f t="shared" si="7"/>
        <v>-37.865</v>
      </c>
      <c r="L101" s="7">
        <f t="shared" si="7"/>
        <v>-1.981</v>
      </c>
      <c r="M101" s="7">
        <f t="shared" si="7"/>
        <v>-10.993</v>
      </c>
      <c r="N101" s="7">
        <f t="shared" si="7"/>
        <v>287.524</v>
      </c>
      <c r="O101" s="7">
        <f t="shared" si="7"/>
        <v>282.131</v>
      </c>
      <c r="P101" s="7">
        <f t="shared" si="7"/>
        <v>233.921</v>
      </c>
      <c r="Q101" s="7">
        <f t="shared" si="7"/>
        <v>171.26</v>
      </c>
      <c r="R101" s="7">
        <f t="shared" si="7"/>
        <v>-152.007</v>
      </c>
      <c r="S101" s="7">
        <f t="shared" si="7"/>
        <v>-165.687</v>
      </c>
      <c r="T101" s="7">
        <f t="shared" si="7"/>
        <v>-184.214</v>
      </c>
      <c r="U101" s="7">
        <f t="shared" si="7"/>
        <v>-156.472</v>
      </c>
      <c r="V101" s="7">
        <f t="shared" si="7"/>
        <v>-208.611</v>
      </c>
      <c r="W101" s="7">
        <f t="shared" si="7"/>
        <v>-234.89</v>
      </c>
      <c r="X101" s="7">
        <f t="shared" si="7"/>
        <v>-124.31</v>
      </c>
      <c r="Y101" s="7">
        <f t="shared" si="7"/>
        <v>-162.241</v>
      </c>
      <c r="Z101" s="7">
        <f t="shared" si="7"/>
        <v>-125.341</v>
      </c>
      <c r="AA101" s="7">
        <f t="shared" si="7"/>
        <v>-126.499</v>
      </c>
      <c r="AB101" s="7">
        <f t="shared" si="7"/>
        <v>-217.558</v>
      </c>
      <c r="AC101" s="7">
        <f t="shared" si="7"/>
        <v>-211.642</v>
      </c>
      <c r="AD101" s="7">
        <f t="shared" si="7"/>
        <v>-183.715</v>
      </c>
      <c r="AE101" s="7">
        <f t="shared" si="7"/>
        <v>-144.536</v>
      </c>
      <c r="AF101" s="7">
        <f t="shared" si="7"/>
        <v>-77.031</v>
      </c>
    </row>
    <row customHeight="1" ht="15">
      <c r="A102" s="9" t="s">
        <v>138</v>
      </c>
      <c r="B102" s="0">
        <v>0</v>
      </c>
      <c r="F102" s="0">
        <v>0</v>
      </c>
      <c r="G102" s="11">
        <f>F102+'Quarterly YTD'!G102-'Quarterly YTD'!C102</f>
        <v>0</v>
      </c>
      <c r="H102" s="11">
        <f>F102+'Quarterly YTD'!H102-'Quarterly YTD'!D102</f>
        <v>0</v>
      </c>
      <c r="I102" s="11">
        <f>F102+'Quarterly YTD'!I102-'Quarterly YTD'!E102</f>
        <v>0</v>
      </c>
      <c r="J102" s="0">
        <v>0</v>
      </c>
      <c r="K102" s="11">
        <f>J102+'Quarterly YTD'!K102-'Quarterly YTD'!G102</f>
        <v>0</v>
      </c>
      <c r="L102" s="11">
        <f>J102+'Quarterly YTD'!L102-'Quarterly YTD'!H102</f>
        <v>0</v>
      </c>
      <c r="M102" s="11">
        <f>J102+'Quarterly YTD'!M102-'Quarterly YTD'!I102</f>
        <v>0</v>
      </c>
      <c r="N102" s="0">
        <v>0</v>
      </c>
      <c r="O102" s="11">
        <f>N102+'Quarterly YTD'!O102-'Quarterly YTD'!K102</f>
        <v>0</v>
      </c>
      <c r="P102" s="11">
        <f>N102+'Quarterly YTD'!P102-'Quarterly YTD'!L102</f>
        <v>0</v>
      </c>
      <c r="Q102" s="11">
        <f>N102+'Quarterly YTD'!Q102-'Quarterly YTD'!M102</f>
        <v>0</v>
      </c>
      <c r="R102" s="0">
        <v>2.336</v>
      </c>
      <c r="S102" s="11">
        <f>R102+'Quarterly YTD'!S102-'Quarterly YTD'!O102</f>
        <v>2.336</v>
      </c>
      <c r="T102" s="11">
        <f>R102+'Quarterly YTD'!T102-'Quarterly YTD'!P102</f>
        <v>2.336</v>
      </c>
      <c r="U102" s="11">
        <f>R102+'Quarterly YTD'!U102-'Quarterly YTD'!Q102</f>
        <v>2.336</v>
      </c>
      <c r="V102" s="0">
        <v>-3.534</v>
      </c>
      <c r="W102" s="11">
        <f>V102+'Quarterly YTD'!W102-'Quarterly YTD'!S102</f>
        <v>-1.651</v>
      </c>
      <c r="X102" s="11">
        <f>V102+'Quarterly YTD'!X102-'Quarterly YTD'!T102</f>
        <v>-0.074</v>
      </c>
      <c r="Y102" s="11">
        <f>V102+'Quarterly YTD'!Y102-'Quarterly YTD'!U102</f>
        <v>-8.503</v>
      </c>
      <c r="Z102" s="0">
        <v>6.316</v>
      </c>
      <c r="AA102" s="11">
        <f>Z102+'Quarterly YTD'!AA102-'Quarterly YTD'!W102</f>
        <v>1.846</v>
      </c>
      <c r="AB102" s="11">
        <f>Z102+'Quarterly YTD'!AB102-'Quarterly YTD'!X102</f>
        <v>-5.969</v>
      </c>
      <c r="AC102" s="11">
        <f>Z102+'Quarterly YTD'!AC102-'Quarterly YTD'!Y102</f>
        <v>1.911</v>
      </c>
      <c r="AD102" s="0">
        <v>-8.323</v>
      </c>
      <c r="AE102" s="11">
        <f>AD102+'Quarterly YTD'!AE102-'Quarterly YTD'!AA102</f>
        <v>-4.955</v>
      </c>
      <c r="AF102" s="11">
        <f>AD102+'Quarterly YTD'!AF102-'Quarterly YTD'!AB102</f>
        <v>1.105</v>
      </c>
    </row>
    <row customHeight="1" ht="15">
      <c r="A103" s="9" t="s">
        <v>139</v>
      </c>
      <c r="B103" s="0">
        <v>-11.516</v>
      </c>
      <c r="F103" s="0">
        <v>-16.634</v>
      </c>
      <c r="G103" s="11">
        <f>'Quarterly YTD'!C105</f>
        <v>-17.652</v>
      </c>
      <c r="H103" s="11">
        <f>'Quarterly YTD'!D105</f>
        <v>-19.453</v>
      </c>
      <c r="I103" s="11">
        <f>'Quarterly YTD'!E105</f>
        <v>-17.431</v>
      </c>
      <c r="J103" s="0">
        <v>212.089</v>
      </c>
      <c r="K103" s="11">
        <f>'Quarterly YTD'!G105</f>
        <v>131.015</v>
      </c>
      <c r="L103" s="11">
        <f>'Quarterly YTD'!H105</f>
        <v>220.232</v>
      </c>
      <c r="M103" s="11">
        <f>'Quarterly YTD'!I105</f>
        <v>214.642</v>
      </c>
      <c r="N103" s="0">
        <v>177.852</v>
      </c>
      <c r="O103" s="11">
        <f>'Quarterly YTD'!K105</f>
        <v>150.808</v>
      </c>
      <c r="P103" s="11">
        <f>'Quarterly YTD'!L105</f>
        <v>170.554</v>
      </c>
      <c r="Q103" s="11">
        <f>'Quarterly YTD'!M105</f>
        <v>165.42</v>
      </c>
      <c r="R103" s="0">
        <v>215.865</v>
      </c>
      <c r="S103" s="11">
        <f>'Quarterly YTD'!O105</f>
        <v>317.908</v>
      </c>
      <c r="T103" s="11">
        <f>'Quarterly YTD'!P105</f>
        <v>331.378</v>
      </c>
      <c r="U103" s="11">
        <f>'Quarterly YTD'!Q105</f>
        <v>293.28</v>
      </c>
      <c r="V103" s="0">
        <v>324.607</v>
      </c>
      <c r="W103" s="11">
        <f>'Quarterly YTD'!S105</f>
        <v>285.535</v>
      </c>
      <c r="X103" s="11">
        <f>'Quarterly YTD'!T105</f>
        <v>259.853</v>
      </c>
      <c r="Y103" s="11">
        <f>'Quarterly YTD'!U105</f>
        <v>283.627</v>
      </c>
      <c r="Z103" s="0">
        <v>200.553</v>
      </c>
      <c r="AA103" s="11">
        <f>'Quarterly YTD'!W105</f>
        <v>186.973</v>
      </c>
      <c r="AB103" s="11">
        <f>'Quarterly YTD'!X105</f>
        <v>298.691</v>
      </c>
      <c r="AC103" s="11">
        <f>'Quarterly YTD'!Y105</f>
        <v>278.735</v>
      </c>
      <c r="AD103" s="11">
        <f>'Quarterly YTD'!AB103</f>
        <v>184.701</v>
      </c>
      <c r="AE103" s="11">
        <f>'Quarterly YTD'!AA105</f>
        <v>130.613</v>
      </c>
      <c r="AF103" s="11">
        <f>'Quarterly YTD'!AB105</f>
        <v>195.715</v>
      </c>
    </row>
    <row customHeight="1" ht="15">
      <c r="A104" s="9" t="s">
        <v>140</v>
      </c>
      <c r="B104" s="11">
        <f t="shared" si="13" ref="B104:N104">B60+B81+B101</f>
        <v>-5.118</v>
      </c>
      <c r="F104" s="11">
        <f t="shared" si="13"/>
        <v>228.723</v>
      </c>
      <c r="G104" s="11">
        <f>F104+'Quarterly YTD'!G104-'Quarterly YTD'!C104</f>
        <v>148.667</v>
      </c>
      <c r="H104" s="11">
        <f>F104+'Quarterly YTD'!H104-'Quarterly YTD'!D104</f>
        <v>239.685</v>
      </c>
      <c r="I104" s="11">
        <f>F104+'Quarterly YTD'!I104-'Quarterly YTD'!E104</f>
        <v>232.073</v>
      </c>
      <c r="J104" s="11">
        <f t="shared" si="13"/>
        <v>-34.237</v>
      </c>
      <c r="K104" s="11">
        <f>J104+'Quarterly YTD'!K104-'Quarterly YTD'!G104</f>
        <v>19.793</v>
      </c>
      <c r="L104" s="11">
        <f>J104+'Quarterly YTD'!L104-'Quarterly YTD'!H104</f>
        <v>-49.678</v>
      </c>
      <c r="M104" s="11">
        <f>J104+'Quarterly YTD'!M104-'Quarterly YTD'!I104</f>
        <v>-49.222</v>
      </c>
      <c r="N104" s="11">
        <f t="shared" si="13"/>
        <v>38.013</v>
      </c>
      <c r="O104" s="11">
        <f>N104+'Quarterly YTD'!O104-'Quarterly YTD'!K104</f>
        <v>167.1</v>
      </c>
      <c r="P104" s="11">
        <f>N104+'Quarterly YTD'!P104-'Quarterly YTD'!L104</f>
        <v>160.824</v>
      </c>
      <c r="Q104" s="11">
        <f>N104+'Quarterly YTD'!Q104-'Quarterly YTD'!M104</f>
        <v>127.86</v>
      </c>
      <c r="R104" s="11">
        <f t="shared" si="14" ref="R104:AD104">R60+R81+SUM(R101:R102)</f>
        <v>108.742</v>
      </c>
      <c r="S104" s="11">
        <f>R104+'Quarterly YTD'!S104-'Quarterly YTD'!O104</f>
        <v>-32.373</v>
      </c>
      <c r="T104" s="11">
        <f>R104+'Quarterly YTD'!T104-'Quarterly YTD'!P104</f>
        <v>-71.525</v>
      </c>
      <c r="U104" s="11">
        <f>R104+'Quarterly YTD'!U104-'Quarterly YTD'!Q104</f>
        <v>-9.65300000000001</v>
      </c>
      <c r="V104" s="11">
        <f t="shared" si="14"/>
        <v>-124.054</v>
      </c>
      <c r="W104" s="11">
        <f>V104+'Quarterly YTD'!W104-'Quarterly YTD'!S104</f>
        <v>-98.562</v>
      </c>
      <c r="X104" s="11">
        <f>V104+'Quarterly YTD'!X104-'Quarterly YTD'!T104</f>
        <v>38.838</v>
      </c>
      <c r="Y104" s="11">
        <f>V104+'Quarterly YTD'!Y104-'Quarterly YTD'!U104</f>
        <v>-4.8919999999999</v>
      </c>
      <c r="Z104" s="11">
        <f t="shared" si="14"/>
        <v>-15.852</v>
      </c>
      <c r="AA104" s="11">
        <f>Z104+'Quarterly YTD'!AA104-'Quarterly YTD'!W104</f>
        <v>-56.36</v>
      </c>
      <c r="AB104" s="11">
        <f>Z104+'Quarterly YTD'!AB104-'Quarterly YTD'!X104</f>
        <v>-102.976</v>
      </c>
      <c r="AC104" s="11">
        <f>Z104+'Quarterly YTD'!AC104-'Quarterly YTD'!Y104</f>
        <v>-36.6010000000001</v>
      </c>
      <c r="AD104" s="11">
        <f t="shared" si="14"/>
        <v>-62.046</v>
      </c>
      <c r="AE104" s="11">
        <f>AD104+'Quarterly YTD'!AE104-'Quarterly YTD'!AA104</f>
        <v>-26.481</v>
      </c>
      <c r="AF104" s="11">
        <f>AD104+'Quarterly YTD'!AF104-'Quarterly YTD'!AB104</f>
        <v>-77.761</v>
      </c>
    </row>
    <row customHeight="1" ht="15">
      <c r="A105" s="4" t="s">
        <v>141</v>
      </c>
      <c r="B105" s="7">
        <f t="shared" si="1"/>
        <v>-16.634</v>
      </c>
      <c r="F105" s="7">
        <f t="shared" si="1"/>
        <v>212.089</v>
      </c>
      <c r="G105" s="7">
        <f t="shared" si="1"/>
        <v>131.015</v>
      </c>
      <c r="H105" s="7">
        <f t="shared" si="1"/>
        <v>220.232</v>
      </c>
      <c r="I105" s="7">
        <f t="shared" si="1"/>
        <v>214.642</v>
      </c>
      <c r="J105" s="7">
        <f t="shared" si="1"/>
        <v>177.852</v>
      </c>
      <c r="K105" s="7">
        <f t="shared" si="1"/>
        <v>150.808</v>
      </c>
      <c r="L105" s="7">
        <f t="shared" si="1"/>
        <v>170.554</v>
      </c>
      <c r="M105" s="7">
        <f t="shared" si="1"/>
        <v>165.42</v>
      </c>
      <c r="N105" s="7">
        <f t="shared" si="1"/>
        <v>215.865</v>
      </c>
      <c r="O105" s="7">
        <f t="shared" si="1"/>
        <v>317.908</v>
      </c>
      <c r="P105" s="7">
        <f t="shared" si="1"/>
        <v>331.378</v>
      </c>
      <c r="Q105" s="7">
        <f t="shared" si="1"/>
        <v>293.28</v>
      </c>
      <c r="R105" s="7">
        <f t="shared" si="1"/>
        <v>324.607</v>
      </c>
      <c r="S105" s="7">
        <f t="shared" si="1"/>
        <v>285.535</v>
      </c>
      <c r="T105" s="7">
        <f t="shared" si="1"/>
        <v>259.853</v>
      </c>
      <c r="U105" s="7">
        <f t="shared" si="1"/>
        <v>283.627</v>
      </c>
      <c r="V105" s="7">
        <f t="shared" si="1"/>
        <v>200.553</v>
      </c>
      <c r="W105" s="7">
        <f t="shared" si="1"/>
        <v>186.973</v>
      </c>
      <c r="X105" s="7">
        <f t="shared" si="1"/>
        <v>298.691</v>
      </c>
      <c r="Y105" s="7">
        <f t="shared" si="1"/>
        <v>278.735</v>
      </c>
      <c r="Z105" s="7">
        <f t="shared" si="1"/>
        <v>184.701</v>
      </c>
      <c r="AA105" s="7">
        <f t="shared" si="1"/>
        <v>130.613</v>
      </c>
      <c r="AB105" s="7">
        <f t="shared" si="1"/>
        <v>195.715</v>
      </c>
      <c r="AC105" s="7">
        <f t="shared" si="1"/>
        <v>242.134</v>
      </c>
      <c r="AD105" s="7">
        <f t="shared" si="1"/>
        <v>122.655</v>
      </c>
      <c r="AE105" s="7">
        <f t="shared" si="1"/>
        <v>104.132</v>
      </c>
      <c r="AF105" s="7">
        <f t="shared" si="1"/>
        <v>117.954</v>
      </c>
    </row>
    <row customHeight="1" ht="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customHeight="1" ht="15">
      <c r="A107" s="2" t="s">
        <v>142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customHeight="1" ht="15">
      <c r="A108" s="9" t="s">
        <v>143</v>
      </c>
      <c r="B108" s="0">
        <v>62.449</v>
      </c>
      <c r="F108" s="0">
        <v>363.286</v>
      </c>
      <c r="G108" s="11">
        <f>'Quarterly YTD'!G108</f>
        <v>405.787</v>
      </c>
      <c r="H108" s="11">
        <f>'Annual and Quarterly'!P108</f>
        <v>388.096</v>
      </c>
      <c r="I108" s="11">
        <f>'Annual and Quarterly'!Q108</f>
        <v>380.535</v>
      </c>
      <c r="J108" s="0">
        <v>352.931</v>
      </c>
      <c r="K108" s="11">
        <f>'Quarterly YTD'!K108</f>
        <v>364.592</v>
      </c>
      <c r="L108" s="11">
        <f>'Annual and Quarterly'!T108</f>
        <v>380.509</v>
      </c>
      <c r="M108" s="11">
        <f>'Annual and Quarterly'!U108</f>
        <v>396.674</v>
      </c>
      <c r="N108" s="0">
        <v>414.443</v>
      </c>
      <c r="O108" s="11">
        <f>'Quarterly YTD'!O108</f>
        <v>464.724</v>
      </c>
      <c r="P108" s="11">
        <f>'Annual and Quarterly'!X108</f>
        <v>573.566</v>
      </c>
      <c r="Q108" s="11">
        <f>'Annual and Quarterly'!Y108</f>
        <v>752.719</v>
      </c>
      <c r="R108" s="0">
        <v>776.321</v>
      </c>
      <c r="S108" s="11">
        <f>'Quarterly YTD'!S108</f>
        <v>953.524</v>
      </c>
      <c r="T108" s="11">
        <f>'Annual and Quarterly'!AB108</f>
        <v>1144.169</v>
      </c>
      <c r="U108" s="11">
        <f>'Annual and Quarterly'!AC108</f>
        <v>1299.404</v>
      </c>
      <c r="V108" s="0">
        <v>1410.635</v>
      </c>
      <c r="W108" s="11">
        <f>'Quarterly YTD'!W108</f>
        <v>1584.065</v>
      </c>
      <c r="X108" s="11">
        <f>'Annual and Quarterly'!AF108</f>
        <v>1670.091</v>
      </c>
      <c r="Y108" s="11">
        <f>'Annual and Quarterly'!AG108</f>
        <v>1671.461</v>
      </c>
      <c r="Z108" s="0">
        <v>1723.662</v>
      </c>
      <c r="AA108" s="11">
        <f>'Quarterly YTD'!AA108</f>
        <v>1604.095</v>
      </c>
      <c r="AB108" s="11">
        <f>'Annual and Quarterly'!AJ108</f>
        <v>1403.598</v>
      </c>
      <c r="AC108" s="11">
        <f>'Annual and Quarterly'!AK108</f>
        <v>1340.629</v>
      </c>
      <c r="AD108" s="0">
        <v>1084.449</v>
      </c>
      <c r="AE108" s="11">
        <f>'Quarterly YTD'!AE108</f>
        <v>1106.064</v>
      </c>
      <c r="AF108" s="11">
        <f>'Annual and Quarterly'!AN108</f>
        <v>939.053</v>
      </c>
    </row>
    <row customHeight="1" ht="15">
      <c r="A109" s="9" t="s">
        <v>144</v>
      </c>
      <c r="B109" s="0">
        <v>0</v>
      </c>
      <c r="F109" s="0">
        <v>11.842</v>
      </c>
      <c r="G109" s="11">
        <f>'Quarterly YTD'!G109</f>
        <v>12.645</v>
      </c>
      <c r="H109" s="11">
        <f>'Annual and Quarterly'!P109</f>
        <v>10.851</v>
      </c>
      <c r="I109" s="11">
        <f>'Annual and Quarterly'!Q109</f>
        <v>10.473</v>
      </c>
      <c r="J109" s="0">
        <v>10.132</v>
      </c>
      <c r="K109" s="11">
        <f>'Quarterly YTD'!K109</f>
        <v>13.356</v>
      </c>
      <c r="L109" s="11">
        <f>'Annual and Quarterly'!T109</f>
        <v>10.5</v>
      </c>
      <c r="M109" s="11">
        <f>'Annual and Quarterly'!U109</f>
        <v>11.599</v>
      </c>
      <c r="N109" s="0">
        <v>31.03</v>
      </c>
      <c r="O109" s="11">
        <f>'Quarterly YTD'!O109</f>
        <v>27.166</v>
      </c>
      <c r="P109" s="11">
        <f>'Annual and Quarterly'!X109</f>
        <v>28.21</v>
      </c>
      <c r="Q109" s="11">
        <f>'Annual and Quarterly'!Y109</f>
        <v>38.728</v>
      </c>
      <c r="R109" s="0">
        <v>41.64</v>
      </c>
      <c r="S109" s="11">
        <f>'Quarterly YTD'!S109</f>
        <v>43.62</v>
      </c>
      <c r="T109" s="11">
        <f>'Annual and Quarterly'!AB109</f>
        <v>43.159</v>
      </c>
      <c r="U109" s="11">
        <f>'Annual and Quarterly'!AC109</f>
        <v>41.398</v>
      </c>
      <c r="V109" s="0">
        <v>41.151</v>
      </c>
      <c r="W109" s="11">
        <f>'Quarterly YTD'!W109</f>
        <v>64.49</v>
      </c>
      <c r="X109" s="11">
        <f>'Annual and Quarterly'!AF109</f>
        <v>60.761</v>
      </c>
      <c r="Y109" s="11">
        <f>'Annual and Quarterly'!AG109</f>
        <v>60.181</v>
      </c>
      <c r="Z109" s="0">
        <v>59.644</v>
      </c>
      <c r="AA109" s="11">
        <f>'Quarterly YTD'!AA109</f>
        <v>58.938</v>
      </c>
      <c r="AB109" s="11">
        <f>'Annual and Quarterly'!AJ109</f>
        <v>55.613</v>
      </c>
      <c r="AC109" s="11">
        <f>'Annual and Quarterly'!AK109</f>
        <v>54.886</v>
      </c>
      <c r="AD109" s="0">
        <v>53.604</v>
      </c>
      <c r="AE109" s="11">
        <f>'Quarterly YTD'!AE109</f>
        <v>53.268</v>
      </c>
      <c r="AF109" s="11">
        <f>'Annual and Quarterly'!AN109</f>
        <v>52.892</v>
      </c>
    </row>
    <row customHeight="1" ht="15">
      <c r="A110" s="9" t="s">
        <v>145</v>
      </c>
      <c r="B110" s="0">
        <v>6.963</v>
      </c>
      <c r="F110" s="0">
        <v>74.412</v>
      </c>
      <c r="G110" s="11">
        <f>'Quarterly YTD'!G110</f>
        <v>94.381</v>
      </c>
      <c r="H110" s="11">
        <f>'Annual and Quarterly'!P110</f>
        <v>95.323</v>
      </c>
      <c r="I110" s="11">
        <f>'Annual and Quarterly'!Q110</f>
        <v>94.424</v>
      </c>
      <c r="J110" s="0">
        <v>102.777</v>
      </c>
      <c r="K110" s="11">
        <f>'Quarterly YTD'!K110</f>
        <v>107.53</v>
      </c>
      <c r="L110" s="11">
        <f>'Annual and Quarterly'!T110</f>
        <v>107.253</v>
      </c>
      <c r="M110" s="11">
        <f>'Annual and Quarterly'!U110</f>
        <v>108.882</v>
      </c>
      <c r="N110" s="0">
        <v>113.584</v>
      </c>
      <c r="O110" s="11">
        <f>'Quarterly YTD'!O110</f>
        <v>116.219</v>
      </c>
      <c r="P110" s="11">
        <f>'Annual and Quarterly'!X110</f>
        <v>117.558</v>
      </c>
      <c r="Q110" s="11">
        <f>'Annual and Quarterly'!Y110</f>
        <v>115.845</v>
      </c>
      <c r="R110" s="0">
        <v>110.215</v>
      </c>
      <c r="S110" s="11">
        <f>'Quarterly YTD'!S110</f>
        <v>110.473</v>
      </c>
      <c r="T110" s="11">
        <f>'Annual and Quarterly'!AB110</f>
        <v>130.668</v>
      </c>
      <c r="U110" s="11">
        <f>'Annual and Quarterly'!AC110</f>
        <v>136.333</v>
      </c>
      <c r="V110" s="0">
        <v>139.622</v>
      </c>
      <c r="W110" s="11">
        <f>'Quarterly YTD'!W110</f>
        <v>146.163</v>
      </c>
      <c r="X110" s="11">
        <f>'Annual and Quarterly'!AF110</f>
        <v>147.907</v>
      </c>
      <c r="Y110" s="11">
        <f>'Annual and Quarterly'!AG110</f>
        <v>148.537</v>
      </c>
      <c r="Z110" s="0">
        <v>151.848</v>
      </c>
      <c r="AA110" s="11">
        <f>'Quarterly YTD'!AA110</f>
        <v>150.29</v>
      </c>
      <c r="AB110" s="11">
        <f>'Annual and Quarterly'!AJ110</f>
        <v>145.31</v>
      </c>
      <c r="AC110" s="11">
        <f>'Annual and Quarterly'!AK110</f>
        <v>144.14</v>
      </c>
      <c r="AD110" s="0">
        <v>133.318</v>
      </c>
      <c r="AE110" s="11">
        <f>'Quarterly YTD'!AE110</f>
        <v>134.15</v>
      </c>
      <c r="AF110" s="11">
        <f>'Annual and Quarterly'!AN110</f>
        <v>132.969</v>
      </c>
    </row>
    <row customHeight="1" ht="15">
      <c r="A111" s="9" t="s">
        <v>146</v>
      </c>
      <c r="B111" s="0">
        <v>0.103</v>
      </c>
      <c r="F111" s="0">
        <v>47.034</v>
      </c>
      <c r="G111" s="11">
        <f>'Quarterly YTD'!G111</f>
        <v>48.816</v>
      </c>
      <c r="H111" s="11">
        <f>'Annual and Quarterly'!P111</f>
        <v>50.254</v>
      </c>
      <c r="I111" s="11">
        <f>'Annual and Quarterly'!Q111</f>
        <v>50.101</v>
      </c>
      <c r="J111" s="0">
        <v>43.68</v>
      </c>
      <c r="K111" s="11">
        <f>'Quarterly YTD'!K111</f>
        <v>46.333</v>
      </c>
      <c r="L111" s="11">
        <f>'Annual and Quarterly'!T111</f>
        <v>46.338</v>
      </c>
      <c r="M111" s="11">
        <f>'Annual and Quarterly'!U111</f>
        <v>48.208</v>
      </c>
      <c r="N111" s="0">
        <v>51.602</v>
      </c>
      <c r="O111" s="11">
        <f>'Quarterly YTD'!O111</f>
        <v>52.664</v>
      </c>
      <c r="P111" s="11">
        <f>'Annual and Quarterly'!X111</f>
        <v>56.224</v>
      </c>
      <c r="Q111" s="11">
        <f>'Annual and Quarterly'!Y111</f>
        <v>59.877</v>
      </c>
      <c r="R111" s="0">
        <v>0.349</v>
      </c>
      <c r="S111" s="11">
        <f>'Quarterly YTD'!S111</f>
        <v>0.349</v>
      </c>
      <c r="T111" s="11">
        <f>'Annual and Quarterly'!AB111</f>
        <v>0.358</v>
      </c>
      <c r="U111" s="11">
        <f>'Annual and Quarterly'!AC111</f>
        <v>0.358</v>
      </c>
      <c r="V111" s="0">
        <v>0.348</v>
      </c>
      <c r="W111" s="11">
        <f>'Quarterly YTD'!W111</f>
        <v>0.356</v>
      </c>
      <c r="X111" s="11">
        <f>'Annual and Quarterly'!AF111</f>
        <v>0.354</v>
      </c>
      <c r="Y111" s="11">
        <f>'Annual and Quarterly'!AG111</f>
        <v>0</v>
      </c>
      <c r="Z111" s="0">
        <v>0.368</v>
      </c>
      <c r="AA111" s="11">
        <f>'Quarterly YTD'!AA111</f>
        <v>0.359</v>
      </c>
      <c r="AB111" s="11">
        <f>'Annual and Quarterly'!AJ111</f>
        <v>0.353</v>
      </c>
      <c r="AC111" s="11">
        <f>'Annual and Quarterly'!AK111</f>
        <v>0.352</v>
      </c>
      <c r="AD111" s="0">
        <v>0.086</v>
      </c>
      <c r="AE111" s="11">
        <f>'Quarterly YTD'!AE111</f>
        <v>0.093</v>
      </c>
      <c r="AF111" s="11">
        <f>'Annual and Quarterly'!AN111</f>
        <v>0.103</v>
      </c>
    </row>
    <row customHeight="1" ht="15">
      <c r="A112" s="9" t="s">
        <v>147</v>
      </c>
      <c r="B112" s="0">
        <v>6.914</v>
      </c>
      <c r="F112" s="0">
        <v>9.615</v>
      </c>
      <c r="G112" s="11">
        <f>'Quarterly YTD'!G112</f>
        <v>15.222</v>
      </c>
      <c r="H112" s="11">
        <f>'Annual and Quarterly'!P112</f>
        <v>17.666</v>
      </c>
      <c r="I112" s="11">
        <f>'Annual and Quarterly'!Q112</f>
        <v>22.331</v>
      </c>
      <c r="J112" s="0">
        <v>17.161</v>
      </c>
      <c r="K112" s="11">
        <f>'Quarterly YTD'!K112</f>
        <v>18.559</v>
      </c>
      <c r="L112" s="11">
        <f>'Annual and Quarterly'!T112</f>
        <v>16.317</v>
      </c>
      <c r="M112" s="11">
        <f>'Annual and Quarterly'!U112</f>
        <v>16.438</v>
      </c>
      <c r="N112" s="0">
        <v>16.728</v>
      </c>
      <c r="O112" s="11">
        <f>'Quarterly YTD'!O112</f>
        <v>18.975</v>
      </c>
      <c r="P112" s="11">
        <f>'Annual and Quarterly'!X112</f>
        <v>17.458</v>
      </c>
      <c r="Q112" s="11">
        <f>'Annual and Quarterly'!Y112</f>
        <v>18.065</v>
      </c>
      <c r="R112" s="0">
        <v>17.646</v>
      </c>
      <c r="S112" s="11">
        <f>'Quarterly YTD'!S112</f>
        <v>25.679</v>
      </c>
      <c r="T112" s="11">
        <f>'Annual and Quarterly'!AB112</f>
        <v>24.404</v>
      </c>
      <c r="U112" s="11">
        <f>'Annual and Quarterly'!AC112</f>
        <v>30.234</v>
      </c>
      <c r="V112" s="0">
        <v>38.486</v>
      </c>
      <c r="W112" s="11">
        <f>'Quarterly YTD'!W112</f>
        <v>57.412</v>
      </c>
      <c r="X112" s="11">
        <f>'Annual and Quarterly'!AF112</f>
        <v>52.405</v>
      </c>
      <c r="Y112" s="11">
        <f>'Annual and Quarterly'!AG112</f>
        <v>43.533</v>
      </c>
      <c r="Z112" s="0">
        <v>72.029</v>
      </c>
      <c r="AA112" s="11">
        <f>'Quarterly YTD'!AA112</f>
        <v>84.194</v>
      </c>
      <c r="AB112" s="11">
        <f>'Annual and Quarterly'!AJ112</f>
        <v>66.137</v>
      </c>
      <c r="AC112" s="11">
        <f>'Annual and Quarterly'!AK112</f>
        <v>52.719</v>
      </c>
      <c r="AD112" s="0">
        <v>64.647</v>
      </c>
      <c r="AE112" s="11">
        <f>'Quarterly YTD'!AE112</f>
        <v>80.672</v>
      </c>
      <c r="AF112" s="11">
        <f>'Annual and Quarterly'!AN112</f>
        <v>84.819</v>
      </c>
    </row>
    <row customHeight="1" ht="15">
      <c r="A113" s="9" t="s">
        <v>148</v>
      </c>
      <c r="B113" s="0">
        <v>0</v>
      </c>
      <c r="F113" s="0">
        <v>0</v>
      </c>
      <c r="G113" s="11">
        <f>'Quarterly YTD'!G113</f>
        <v>0</v>
      </c>
      <c r="H113" s="11">
        <f>'Annual and Quarterly'!P113</f>
        <v>0.468</v>
      </c>
      <c r="I113" s="11">
        <f>'Annual and Quarterly'!Q113</f>
        <v>1.289</v>
      </c>
      <c r="J113" s="0">
        <v>0</v>
      </c>
      <c r="K113" s="11">
        <f>'Quarterly YTD'!K113</f>
        <v>3.246</v>
      </c>
      <c r="L113" s="11">
        <f>'Annual and Quarterly'!T113</f>
        <v>3.909</v>
      </c>
      <c r="M113" s="11">
        <f>'Annual and Quarterly'!U113</f>
        <v>5.334</v>
      </c>
      <c r="N113" s="0">
        <v>0</v>
      </c>
      <c r="O113" s="11">
        <f>'Quarterly YTD'!O113</f>
        <v>0</v>
      </c>
      <c r="P113" s="11">
        <f>'Annual and Quarterly'!X113</f>
        <v>0</v>
      </c>
      <c r="Q113" s="11">
        <f>'Annual and Quarterly'!Y113</f>
        <v>0</v>
      </c>
      <c r="R113" s="0">
        <v>0</v>
      </c>
      <c r="S113" s="11">
        <f>'Quarterly YTD'!S113</f>
        <v>0</v>
      </c>
      <c r="T113" s="11">
        <f>'Annual and Quarterly'!AB113</f>
        <v>0</v>
      </c>
      <c r="U113" s="11">
        <f>'Annual and Quarterly'!AC113</f>
        <v>0</v>
      </c>
      <c r="V113" s="0">
        <v>0</v>
      </c>
      <c r="W113" s="11">
        <f>'Quarterly YTD'!W113</f>
        <v>0</v>
      </c>
      <c r="X113" s="11">
        <f>'Annual and Quarterly'!AF113</f>
        <v>0</v>
      </c>
      <c r="Y113" s="11">
        <f>'Annual and Quarterly'!AG113</f>
        <v>0</v>
      </c>
      <c r="Z113" s="0">
        <v>0</v>
      </c>
      <c r="AA113" s="11">
        <f>'Quarterly YTD'!AA113</f>
        <v>0</v>
      </c>
      <c r="AB113" s="11">
        <f>'Annual and Quarterly'!AJ113</f>
        <v>0</v>
      </c>
      <c r="AC113" s="11">
        <f>'Annual and Quarterly'!AK113</f>
        <v>0</v>
      </c>
      <c r="AD113" s="0">
        <v>0</v>
      </c>
      <c r="AE113" s="11">
        <f>'Quarterly YTD'!AE113</f>
        <v>0</v>
      </c>
      <c r="AF113" s="11">
        <f>'Annual and Quarterly'!AN113</f>
        <v>0.012</v>
      </c>
    </row>
    <row customHeight="1" ht="15">
      <c r="A114" s="9" t="s">
        <v>149</v>
      </c>
      <c r="B114" s="0">
        <v>0</v>
      </c>
      <c r="F114" s="0">
        <v>0</v>
      </c>
      <c r="G114" s="11">
        <f>'Quarterly YTD'!G114</f>
        <v>0</v>
      </c>
      <c r="H114" s="11">
        <f>'Annual and Quarterly'!P114</f>
        <v>0</v>
      </c>
      <c r="I114" s="11">
        <f>'Annual and Quarterly'!Q114</f>
        <v>0</v>
      </c>
      <c r="J114" s="0">
        <v>1.231</v>
      </c>
      <c r="K114" s="11">
        <f>'Quarterly YTD'!K114</f>
        <v>0</v>
      </c>
      <c r="L114" s="11">
        <f>'Annual and Quarterly'!T114</f>
        <v>0</v>
      </c>
      <c r="M114" s="11">
        <f>'Annual and Quarterly'!U114</f>
        <v>0</v>
      </c>
      <c r="N114" s="0">
        <v>2.924</v>
      </c>
      <c r="O114" s="11">
        <f>'Quarterly YTD'!O114</f>
        <v>2.967</v>
      </c>
      <c r="P114" s="11">
        <f>'Annual and Quarterly'!X114</f>
        <v>2.967</v>
      </c>
      <c r="Q114" s="11">
        <f>'Annual and Quarterly'!Y114</f>
        <v>2.977</v>
      </c>
      <c r="R114" s="0">
        <v>1.649</v>
      </c>
      <c r="S114" s="11">
        <f>'Quarterly YTD'!S114</f>
        <v>1.531</v>
      </c>
      <c r="T114" s="11">
        <f>'Annual and Quarterly'!AB114</f>
        <v>1.507</v>
      </c>
      <c r="U114" s="11">
        <f>'Annual and Quarterly'!AC114</f>
        <v>1.506</v>
      </c>
      <c r="V114" s="0">
        <v>1.289</v>
      </c>
      <c r="W114" s="11">
        <f>'Quarterly YTD'!W114</f>
        <v>1.311</v>
      </c>
      <c r="X114" s="11">
        <f>'Annual and Quarterly'!AF114</f>
        <v>1.324</v>
      </c>
      <c r="Y114" s="11">
        <f>'Annual and Quarterly'!AG114</f>
        <v>1.617</v>
      </c>
      <c r="Z114" s="0">
        <v>0.01</v>
      </c>
      <c r="AA114" s="11">
        <f>'Quarterly YTD'!AA114</f>
        <v>0</v>
      </c>
      <c r="AB114" s="11">
        <f>'Annual and Quarterly'!AJ114</f>
        <v>0</v>
      </c>
      <c r="AC114" s="11">
        <f>'Annual and Quarterly'!AK114</f>
        <v>0.002</v>
      </c>
      <c r="AD114" s="0">
        <v>0</v>
      </c>
      <c r="AE114" s="11">
        <f>'Quarterly YTD'!AE114</f>
        <v>0.54</v>
      </c>
      <c r="AF114" s="11">
        <f>'Annual and Quarterly'!AN114</f>
        <v>0.54</v>
      </c>
    </row>
    <row customHeight="1" ht="15">
      <c r="A115" s="9" t="s">
        <v>150</v>
      </c>
      <c r="B115" s="0">
        <v>0</v>
      </c>
      <c r="F115" s="0">
        <v>3.672</v>
      </c>
      <c r="G115" s="11">
        <f>'Quarterly YTD'!G115</f>
        <v>7.665</v>
      </c>
      <c r="H115" s="11">
        <f>'Annual and Quarterly'!P115</f>
        <v>6.48</v>
      </c>
      <c r="I115" s="11">
        <f>'Annual and Quarterly'!Q115</f>
        <v>5.321</v>
      </c>
      <c r="J115" s="0">
        <v>3.563</v>
      </c>
      <c r="K115" s="11">
        <f>'Quarterly YTD'!K115</f>
        <v>4.707</v>
      </c>
      <c r="L115" s="11">
        <f>'Annual and Quarterly'!T115</f>
        <v>3.828</v>
      </c>
      <c r="M115" s="11">
        <f>'Annual and Quarterly'!U115</f>
        <v>4.471</v>
      </c>
      <c r="N115" s="0">
        <v>4.667</v>
      </c>
      <c r="O115" s="11">
        <f>'Quarterly YTD'!O115</f>
        <v>4.995</v>
      </c>
      <c r="P115" s="11">
        <f>'Annual and Quarterly'!X115</f>
        <v>7.577</v>
      </c>
      <c r="Q115" s="11">
        <f>'Annual and Quarterly'!Y115</f>
        <v>15.864</v>
      </c>
      <c r="R115" s="0">
        <v>5.513</v>
      </c>
      <c r="S115" s="11">
        <f>'Quarterly YTD'!S115</f>
        <v>4.719</v>
      </c>
      <c r="T115" s="11">
        <f>'Annual and Quarterly'!AB115</f>
        <v>3.854</v>
      </c>
      <c r="U115" s="11">
        <f>'Annual and Quarterly'!AC115</f>
        <v>6.568</v>
      </c>
      <c r="V115" s="0">
        <v>2.774</v>
      </c>
      <c r="W115" s="11">
        <f>'Quarterly YTD'!W115</f>
        <v>4.092</v>
      </c>
      <c r="X115" s="11">
        <f>'Annual and Quarterly'!AF115</f>
        <v>1.579</v>
      </c>
      <c r="Y115" s="11">
        <f>'Annual and Quarterly'!AG115</f>
        <v>0</v>
      </c>
      <c r="Z115" s="0">
        <v>6.023</v>
      </c>
      <c r="AA115" s="11">
        <f>'Quarterly YTD'!AA115</f>
        <v>0</v>
      </c>
      <c r="AB115" s="11">
        <f>'Annual and Quarterly'!AJ115</f>
        <v>0</v>
      </c>
      <c r="AC115" s="11">
        <f>'Annual and Quarterly'!AK115</f>
        <v>0</v>
      </c>
      <c r="AD115" s="0">
        <v>0</v>
      </c>
      <c r="AE115" s="11">
        <f>'Quarterly YTD'!AE115</f>
        <v>0</v>
      </c>
      <c r="AF115" s="11">
        <f>'Annual and Quarterly'!AN115</f>
        <v>0</v>
      </c>
    </row>
    <row customHeight="1" ht="15">
      <c r="A116" s="9" t="s">
        <v>151</v>
      </c>
      <c r="B116" s="0">
        <v>0</v>
      </c>
      <c r="F116" s="0">
        <v>0.983</v>
      </c>
      <c r="G116" s="11">
        <f>'Quarterly YTD'!G116</f>
        <v>0.997</v>
      </c>
      <c r="H116" s="11">
        <f>'Annual and Quarterly'!P116</f>
        <v>0.975</v>
      </c>
      <c r="I116" s="11">
        <f>'Annual and Quarterly'!Q116</f>
        <v>0.94</v>
      </c>
      <c r="J116" s="0">
        <v>1.226</v>
      </c>
      <c r="K116" s="11">
        <f>'Quarterly YTD'!K116</f>
        <v>1.523</v>
      </c>
      <c r="L116" s="11">
        <f>'Annual and Quarterly'!T116</f>
        <v>2.18</v>
      </c>
      <c r="M116" s="11">
        <f>'Annual and Quarterly'!U116</f>
        <v>2.244</v>
      </c>
      <c r="N116" s="0">
        <v>2.297</v>
      </c>
      <c r="O116" s="11">
        <f>'Quarterly YTD'!O116</f>
        <v>2.338</v>
      </c>
      <c r="P116" s="11">
        <f>'Annual and Quarterly'!X116</f>
        <v>0.895</v>
      </c>
      <c r="Q116" s="11">
        <f>'Annual and Quarterly'!Y116</f>
        <v>0.946</v>
      </c>
      <c r="R116" s="0">
        <v>0.859</v>
      </c>
      <c r="S116" s="11">
        <f>'Quarterly YTD'!S116</f>
        <v>0.854</v>
      </c>
      <c r="T116" s="11">
        <f>'Annual and Quarterly'!AB116</f>
        <v>0.858</v>
      </c>
      <c r="U116" s="11">
        <f>'Annual and Quarterly'!AC116</f>
        <v>0.866</v>
      </c>
      <c r="V116" s="0">
        <v>0.865</v>
      </c>
      <c r="W116" s="11">
        <f>'Quarterly YTD'!W116</f>
        <v>0.875</v>
      </c>
      <c r="X116" s="11">
        <f>'Annual and Quarterly'!AF116</f>
        <v>0.878</v>
      </c>
      <c r="Y116" s="11">
        <f>'Annual and Quarterly'!AG116</f>
        <v>0.866</v>
      </c>
      <c r="Z116" s="0">
        <v>0.362</v>
      </c>
      <c r="AA116" s="11">
        <f>'Quarterly YTD'!AA116</f>
        <v>0.006</v>
      </c>
      <c r="AB116" s="11">
        <f>'Annual and Quarterly'!AJ116</f>
        <v>0</v>
      </c>
      <c r="AC116" s="11">
        <f>'Annual and Quarterly'!AK116</f>
        <v>0.106</v>
      </c>
      <c r="AD116" s="0">
        <v>1.762</v>
      </c>
      <c r="AE116" s="11">
        <f>'Quarterly YTD'!AE116</f>
        <v>0.645</v>
      </c>
      <c r="AF116" s="11">
        <f>'Annual and Quarterly'!AN116</f>
        <v>3.397</v>
      </c>
    </row>
    <row customHeight="1" ht="15">
      <c r="A117" s="9" t="s">
        <v>152</v>
      </c>
      <c r="B117" s="0">
        <v>4.052</v>
      </c>
      <c r="F117" s="0">
        <v>40.319</v>
      </c>
      <c r="G117" s="11">
        <f>'Quarterly YTD'!G117</f>
        <v>47.791</v>
      </c>
      <c r="H117" s="11">
        <f>'Annual and Quarterly'!P117</f>
        <v>47.104</v>
      </c>
      <c r="I117" s="11">
        <f>'Annual and Quarterly'!Q117</f>
        <v>45.451</v>
      </c>
      <c r="J117" s="0">
        <v>42.091</v>
      </c>
      <c r="K117" s="11">
        <f>'Quarterly YTD'!K117</f>
        <v>43.301</v>
      </c>
      <c r="L117" s="11">
        <f>'Annual and Quarterly'!T117</f>
        <v>47.009</v>
      </c>
      <c r="M117" s="11">
        <f>'Annual and Quarterly'!U117</f>
        <v>55.884</v>
      </c>
      <c r="N117" s="0">
        <v>49.725</v>
      </c>
      <c r="O117" s="11">
        <f>'Quarterly YTD'!O117</f>
        <v>53.375</v>
      </c>
      <c r="P117" s="11">
        <f>'Annual and Quarterly'!X117</f>
        <v>59.674</v>
      </c>
      <c r="Q117" s="11">
        <f>'Annual and Quarterly'!Y117</f>
        <v>80.256</v>
      </c>
      <c r="R117" s="0">
        <v>81.12</v>
      </c>
      <c r="S117" s="11">
        <f>'Quarterly YTD'!S117</f>
        <v>92.223</v>
      </c>
      <c r="T117" s="11">
        <f>'Annual and Quarterly'!AB117</f>
        <v>106.504</v>
      </c>
      <c r="U117" s="11">
        <f>'Annual and Quarterly'!AC117</f>
        <v>111.652</v>
      </c>
      <c r="V117" s="0">
        <v>112.618</v>
      </c>
      <c r="W117" s="11">
        <f>'Quarterly YTD'!W117</f>
        <v>120.322</v>
      </c>
      <c r="X117" s="11">
        <f>'Annual and Quarterly'!AF117</f>
        <v>136.818</v>
      </c>
      <c r="Y117" s="11">
        <f>'Annual and Quarterly'!AG117</f>
        <v>147.712</v>
      </c>
      <c r="Z117" s="0">
        <v>134.58</v>
      </c>
      <c r="AA117" s="11">
        <f>'Quarterly YTD'!AA117</f>
        <v>114.172</v>
      </c>
      <c r="AB117" s="11">
        <f>'Annual and Quarterly'!AJ117</f>
        <v>107.278</v>
      </c>
      <c r="AC117" s="11">
        <f>'Annual and Quarterly'!AK117</f>
        <v>106.819</v>
      </c>
      <c r="AD117" s="0">
        <v>81.777</v>
      </c>
      <c r="AE117" s="11">
        <f>'Quarterly YTD'!AE117</f>
        <v>84.641</v>
      </c>
      <c r="AF117" s="11">
        <f>'Annual and Quarterly'!AN117</f>
        <v>75.186</v>
      </c>
    </row>
    <row customHeight="1" ht="15">
      <c r="A118" s="4" t="s">
        <v>153</v>
      </c>
      <c r="B118" s="7">
        <f>SUM(B108:B112)+SUM(B115:B117)</f>
        <v>80.481</v>
      </c>
      <c r="F118" s="7">
        <f t="shared" si="15" ref="F118:Z118">SUM(F108:F112)+SUM(F114:F117)</f>
        <v>551.163</v>
      </c>
      <c r="G118" s="7">
        <f>'Quarterly YTD'!G118</f>
        <v>633.304</v>
      </c>
      <c r="H118" s="7">
        <f>'Annual and Quarterly'!P118</f>
        <v>617.217</v>
      </c>
      <c r="I118" s="7">
        <f>'Annual and Quarterly'!Q118</f>
        <v>610.865</v>
      </c>
      <c r="J118" s="7">
        <f t="shared" si="15"/>
        <v>574.792</v>
      </c>
      <c r="K118" s="7">
        <f>'Quarterly YTD'!K118</f>
        <v>603.147</v>
      </c>
      <c r="L118" s="7">
        <f>'Annual and Quarterly'!T118</f>
        <v>617.843</v>
      </c>
      <c r="M118" s="7">
        <f>'Annual and Quarterly'!U118</f>
        <v>649.734</v>
      </c>
      <c r="N118" s="7">
        <f t="shared" si="15"/>
        <v>687</v>
      </c>
      <c r="O118" s="7">
        <f>'Quarterly YTD'!O118</f>
        <v>743.423</v>
      </c>
      <c r="P118" s="7">
        <f>'Annual and Quarterly'!X118</f>
        <v>864.129</v>
      </c>
      <c r="Q118" s="7">
        <f>'Annual and Quarterly'!Y118</f>
        <v>1085.277</v>
      </c>
      <c r="R118" s="7">
        <f t="shared" si="15"/>
        <v>1035.312</v>
      </c>
      <c r="S118" s="7">
        <f>'Quarterly YTD'!S118</f>
        <v>1232.972</v>
      </c>
      <c r="T118" s="7">
        <f>'Annual and Quarterly'!AB118</f>
        <v>1455.481</v>
      </c>
      <c r="U118" s="7">
        <f>'Annual and Quarterly'!AC118</f>
        <v>1628.319</v>
      </c>
      <c r="V118" s="7">
        <f t="shared" si="15"/>
        <v>1747.788</v>
      </c>
      <c r="W118" s="7">
        <f>'Quarterly YTD'!W118</f>
        <v>1979.086</v>
      </c>
      <c r="X118" s="7">
        <f>'Annual and Quarterly'!AF118</f>
        <v>2072.117</v>
      </c>
      <c r="Y118" s="7">
        <f>'Annual and Quarterly'!AG118</f>
        <v>2073.907</v>
      </c>
      <c r="Z118" s="7">
        <f t="shared" si="15"/>
        <v>2148.526</v>
      </c>
      <c r="AA118" s="7">
        <f>'Quarterly YTD'!AA118</f>
        <v>2012.054</v>
      </c>
      <c r="AB118" s="7">
        <f>'Annual and Quarterly'!AJ118</f>
        <v>1778.289</v>
      </c>
      <c r="AC118" s="7">
        <f>'Annual and Quarterly'!AK118</f>
        <v>1699.653</v>
      </c>
      <c r="AD118" s="7">
        <f>SUM(AD108:AD114)+SUM(AD116:AD117)</f>
        <v>1419.643</v>
      </c>
      <c r="AE118" s="7">
        <f>'Quarterly YTD'!AE118</f>
        <v>1460.073</v>
      </c>
      <c r="AF118" s="7">
        <f>'Annual and Quarterly'!AN118</f>
        <v>1288.971</v>
      </c>
    </row>
    <row customHeight="1" ht="15">
      <c r="A119" s="9" t="s">
        <v>86</v>
      </c>
      <c r="B119" s="0">
        <v>26.709</v>
      </c>
      <c r="F119" s="0">
        <v>95.847</v>
      </c>
      <c r="G119" s="11">
        <f>'Quarterly YTD'!G119</f>
        <v>39.111</v>
      </c>
      <c r="H119" s="11">
        <f>'Annual and Quarterly'!P119</f>
        <v>39.443</v>
      </c>
      <c r="I119" s="11">
        <f>'Annual and Quarterly'!Q119</f>
        <v>41.206</v>
      </c>
      <c r="J119" s="0">
        <v>38.976</v>
      </c>
      <c r="K119" s="11">
        <f>'Quarterly YTD'!K119</f>
        <v>44.288</v>
      </c>
      <c r="L119" s="11">
        <f>'Annual and Quarterly'!T119</f>
        <v>62.885</v>
      </c>
      <c r="M119" s="11">
        <f>'Annual and Quarterly'!U119</f>
        <v>77.206</v>
      </c>
      <c r="N119" s="0">
        <v>73.551</v>
      </c>
      <c r="O119" s="11">
        <f>'Quarterly YTD'!O119</f>
        <v>76.52</v>
      </c>
      <c r="P119" s="11">
        <f>'Annual and Quarterly'!X119</f>
        <v>110.29</v>
      </c>
      <c r="Q119" s="11">
        <f>'Annual and Quarterly'!Y119</f>
        <v>126.329</v>
      </c>
      <c r="R119" s="0">
        <v>89.855</v>
      </c>
      <c r="S119" s="11">
        <f>'Quarterly YTD'!S119</f>
        <v>94.526</v>
      </c>
      <c r="T119" s="11">
        <f>'Annual and Quarterly'!AB119</f>
        <v>109.463</v>
      </c>
      <c r="U119" s="11">
        <f>'Annual and Quarterly'!AC119</f>
        <v>133.908</v>
      </c>
      <c r="V119" s="0">
        <v>125.745</v>
      </c>
      <c r="W119" s="11">
        <f>'Quarterly YTD'!W119</f>
        <v>151.759</v>
      </c>
      <c r="X119" s="11">
        <f>'Annual and Quarterly'!AF119</f>
        <v>159.693</v>
      </c>
      <c r="Y119" s="11">
        <f>'Annual and Quarterly'!AG119</f>
        <v>200.006</v>
      </c>
      <c r="Z119" s="0">
        <v>248.835</v>
      </c>
      <c r="AA119" s="11">
        <f>'Quarterly YTD'!AA119</f>
        <v>223.859</v>
      </c>
      <c r="AB119" s="11">
        <f>'Annual and Quarterly'!AJ119</f>
        <v>209.073</v>
      </c>
      <c r="AC119" s="11">
        <f>'Annual and Quarterly'!AK119</f>
        <v>201.883</v>
      </c>
      <c r="AD119" s="0">
        <v>221.047</v>
      </c>
      <c r="AE119" s="11">
        <f>'Quarterly YTD'!AE119</f>
        <v>199.391</v>
      </c>
      <c r="AF119" s="11">
        <f>'Annual and Quarterly'!AN119</f>
        <v>190.585</v>
      </c>
    </row>
    <row customHeight="1" ht="15">
      <c r="A120" s="9" t="s">
        <v>152</v>
      </c>
      <c r="B120" s="0">
        <v>65.585</v>
      </c>
      <c r="F120" s="0">
        <v>142.85</v>
      </c>
      <c r="G120" s="11">
        <f>'Quarterly YTD'!G120</f>
        <v>183.817</v>
      </c>
      <c r="H120" s="11">
        <f>'Annual and Quarterly'!P120</f>
        <v>150.231</v>
      </c>
      <c r="I120" s="11">
        <f>'Annual and Quarterly'!Q120</f>
        <v>152.414</v>
      </c>
      <c r="J120" s="0">
        <v>116.824</v>
      </c>
      <c r="K120" s="11">
        <f>'Quarterly YTD'!K120</f>
        <v>140.147</v>
      </c>
      <c r="L120" s="11">
        <f>'Annual and Quarterly'!T120</f>
        <v>159.232</v>
      </c>
      <c r="M120" s="11">
        <f>'Annual and Quarterly'!U120</f>
        <v>203.359</v>
      </c>
      <c r="N120" s="0">
        <v>247.093</v>
      </c>
      <c r="O120" s="11">
        <f>'Quarterly YTD'!O120</f>
        <v>242.44</v>
      </c>
      <c r="P120" s="11">
        <f>'Annual and Quarterly'!X120</f>
        <v>269.332</v>
      </c>
      <c r="Q120" s="11">
        <f>'Annual and Quarterly'!Y120</f>
        <v>289.9</v>
      </c>
      <c r="R120" s="0">
        <v>259.04</v>
      </c>
      <c r="S120" s="11">
        <f>'Quarterly YTD'!S120</f>
        <v>305.529</v>
      </c>
      <c r="T120" s="11">
        <f>'Annual and Quarterly'!AB120</f>
        <v>338.024</v>
      </c>
      <c r="U120" s="11">
        <f>'Annual and Quarterly'!AC120</f>
        <v>340.762</v>
      </c>
      <c r="V120" s="0">
        <v>327.359</v>
      </c>
      <c r="W120" s="11">
        <f>'Quarterly YTD'!W120</f>
        <v>371.961</v>
      </c>
      <c r="X120" s="11">
        <f>'Annual and Quarterly'!AF120</f>
        <v>398.356</v>
      </c>
      <c r="Y120" s="11">
        <f>'Annual and Quarterly'!AG120</f>
        <v>383.022</v>
      </c>
      <c r="Z120" s="0">
        <v>335.482</v>
      </c>
      <c r="AA120" s="11">
        <f>'Quarterly YTD'!AA120</f>
        <v>354.854</v>
      </c>
      <c r="AB120" s="11">
        <f>'Annual and Quarterly'!AJ120</f>
        <v>349.648</v>
      </c>
      <c r="AC120" s="11">
        <f>'Annual and Quarterly'!AK120</f>
        <v>338.015</v>
      </c>
      <c r="AD120" s="0">
        <v>317.267</v>
      </c>
      <c r="AE120" s="11">
        <f>'Quarterly YTD'!AE120</f>
        <v>369.281</v>
      </c>
      <c r="AF120" s="11">
        <f>'Annual and Quarterly'!AN120</f>
        <v>335.079</v>
      </c>
    </row>
    <row customHeight="1" ht="15">
      <c r="A121" s="9" t="s">
        <v>150</v>
      </c>
      <c r="B121" s="0">
        <v>0</v>
      </c>
      <c r="F121" s="0">
        <v>0.377</v>
      </c>
      <c r="G121" s="11">
        <f>'Quarterly YTD'!G121</f>
        <v>0</v>
      </c>
      <c r="H121" s="11">
        <f>'Annual and Quarterly'!P121</f>
        <v>0</v>
      </c>
      <c r="I121" s="11">
        <f>'Annual and Quarterly'!Q121</f>
        <v>0</v>
      </c>
      <c r="J121" s="0">
        <v>0</v>
      </c>
      <c r="K121" s="11">
        <f>'Quarterly YTD'!K121</f>
        <v>0</v>
      </c>
      <c r="L121" s="11">
        <f>'Annual and Quarterly'!T121</f>
        <v>0</v>
      </c>
      <c r="M121" s="11">
        <f>'Annual and Quarterly'!U121</f>
        <v>0</v>
      </c>
      <c r="N121" s="0">
        <v>0</v>
      </c>
      <c r="O121" s="11">
        <f>'Quarterly YTD'!O121</f>
        <v>0</v>
      </c>
      <c r="P121" s="11">
        <f>'Annual and Quarterly'!X121</f>
        <v>0</v>
      </c>
      <c r="Q121" s="11">
        <f>'Annual and Quarterly'!Y121</f>
        <v>0</v>
      </c>
      <c r="R121" s="0">
        <v>0</v>
      </c>
      <c r="S121" s="11">
        <f>'Quarterly YTD'!S121</f>
        <v>0</v>
      </c>
      <c r="T121" s="11">
        <f>'Annual and Quarterly'!AB121</f>
        <v>0</v>
      </c>
      <c r="U121" s="11">
        <f>'Annual and Quarterly'!AC121</f>
        <v>0</v>
      </c>
      <c r="V121" s="0">
        <v>0</v>
      </c>
      <c r="W121" s="11">
        <f>'Quarterly YTD'!W121</f>
        <v>0</v>
      </c>
      <c r="X121" s="11">
        <f>'Annual and Quarterly'!AF121</f>
        <v>0</v>
      </c>
      <c r="Y121" s="11">
        <f>'Annual and Quarterly'!AG121</f>
        <v>0</v>
      </c>
      <c r="Z121" s="0">
        <v>0</v>
      </c>
      <c r="AA121" s="11">
        <f>'Quarterly YTD'!AA121</f>
        <v>0</v>
      </c>
      <c r="AB121" s="11">
        <f>'Annual and Quarterly'!AJ121</f>
        <v>0</v>
      </c>
      <c r="AC121" s="11">
        <f>'Annual and Quarterly'!AK121</f>
        <v>0</v>
      </c>
      <c r="AD121" s="0">
        <v>0</v>
      </c>
      <c r="AE121" s="11">
        <f>'Quarterly YTD'!AE121</f>
        <v>0</v>
      </c>
      <c r="AF121" s="11">
        <f>'Annual and Quarterly'!AN121</f>
        <v>0</v>
      </c>
    </row>
    <row customHeight="1" ht="15">
      <c r="A122" s="9" t="s">
        <v>149</v>
      </c>
      <c r="B122" s="0">
        <v>0</v>
      </c>
      <c r="F122" s="0">
        <v>0</v>
      </c>
      <c r="G122" s="11">
        <f>'Quarterly YTD'!G122</f>
        <v>0</v>
      </c>
      <c r="H122" s="11">
        <f>'Annual and Quarterly'!P122</f>
        <v>0</v>
      </c>
      <c r="I122" s="11">
        <f>'Annual and Quarterly'!Q122</f>
        <v>0</v>
      </c>
      <c r="J122" s="0">
        <v>0</v>
      </c>
      <c r="K122" s="11">
        <f>'Quarterly YTD'!K122</f>
        <v>0</v>
      </c>
      <c r="L122" s="11">
        <f>'Annual and Quarterly'!T122</f>
        <v>0</v>
      </c>
      <c r="M122" s="11">
        <f>'Annual and Quarterly'!U122</f>
        <v>0</v>
      </c>
      <c r="N122" s="0">
        <v>0.313</v>
      </c>
      <c r="O122" s="11">
        <f>'Quarterly YTD'!O122</f>
        <v>0.308</v>
      </c>
      <c r="P122" s="11">
        <f>'Annual and Quarterly'!X122</f>
        <v>0</v>
      </c>
      <c r="Q122" s="11">
        <f>'Annual and Quarterly'!Y122</f>
        <v>0</v>
      </c>
      <c r="R122" s="0">
        <v>0.6</v>
      </c>
      <c r="S122" s="11">
        <f>'Quarterly YTD'!S122</f>
        <v>0.588</v>
      </c>
      <c r="T122" s="11">
        <f>'Annual and Quarterly'!AB122</f>
        <v>0.118</v>
      </c>
      <c r="U122" s="11">
        <f>'Annual and Quarterly'!AC122</f>
        <v>0.272</v>
      </c>
      <c r="V122" s="0">
        <v>0.371</v>
      </c>
      <c r="W122" s="11">
        <f>'Quarterly YTD'!W122</f>
        <v>0.324</v>
      </c>
      <c r="X122" s="11">
        <f>'Annual and Quarterly'!AF122</f>
        <v>0.33</v>
      </c>
      <c r="Y122" s="11">
        <f>'Annual and Quarterly'!AG122</f>
        <v>0.316</v>
      </c>
      <c r="Z122" s="0">
        <v>0.016</v>
      </c>
      <c r="AA122" s="11">
        <f>'Quarterly YTD'!AA122</f>
        <v>0.016</v>
      </c>
      <c r="AB122" s="11">
        <f>'Annual and Quarterly'!AJ122</f>
        <v>0.079</v>
      </c>
      <c r="AC122" s="11">
        <f>'Annual and Quarterly'!AK122</f>
        <v>0.064</v>
      </c>
      <c r="AD122" s="0">
        <v>0.071</v>
      </c>
      <c r="AE122" s="11">
        <f>'Quarterly YTD'!AE122</f>
        <v>0.063</v>
      </c>
      <c r="AF122" s="11">
        <f>'Annual and Quarterly'!AN122</f>
        <v>0.07</v>
      </c>
    </row>
    <row customHeight="1" ht="15">
      <c r="A123" s="9" t="s">
        <v>154</v>
      </c>
      <c r="B123" s="0">
        <v>3.047</v>
      </c>
      <c r="F123" s="0">
        <v>7.376</v>
      </c>
      <c r="G123" s="11">
        <f>'Quarterly YTD'!G123</f>
        <v>10.924</v>
      </c>
      <c r="H123" s="11">
        <f>'Annual and Quarterly'!P123</f>
        <v>11.541</v>
      </c>
      <c r="I123" s="11">
        <f>'Annual and Quarterly'!Q123</f>
        <v>10.546</v>
      </c>
      <c r="J123" s="0">
        <v>10.128</v>
      </c>
      <c r="K123" s="11">
        <f>'Quarterly YTD'!K123</f>
        <v>18.258</v>
      </c>
      <c r="L123" s="11">
        <f>'Annual and Quarterly'!T123</f>
        <v>20.594</v>
      </c>
      <c r="M123" s="11">
        <f>'Annual and Quarterly'!U123</f>
        <v>18.908</v>
      </c>
      <c r="N123" s="0">
        <v>20.676</v>
      </c>
      <c r="O123" s="11">
        <f>'Quarterly YTD'!O123</f>
        <v>23.954</v>
      </c>
      <c r="P123" s="11">
        <f>'Annual and Quarterly'!X123</f>
        <v>21.026</v>
      </c>
      <c r="Q123" s="11">
        <f>'Annual and Quarterly'!Y123</f>
        <v>26.936</v>
      </c>
      <c r="R123" s="0">
        <v>24.701</v>
      </c>
      <c r="S123" s="11">
        <f>'Quarterly YTD'!S123</f>
        <v>23.512</v>
      </c>
      <c r="T123" s="11">
        <f>'Annual and Quarterly'!AB123</f>
        <v>29.142</v>
      </c>
      <c r="U123" s="11">
        <f>'Annual and Quarterly'!AC123</f>
        <v>28.263</v>
      </c>
      <c r="V123" s="0">
        <v>35.986</v>
      </c>
      <c r="W123" s="11">
        <f>'Quarterly YTD'!W123</f>
        <v>36.744</v>
      </c>
      <c r="X123" s="11">
        <f>'Annual and Quarterly'!AF123</f>
        <v>34.093</v>
      </c>
      <c r="Y123" s="11">
        <f>'Annual and Quarterly'!AG123</f>
        <v>29.294</v>
      </c>
      <c r="Z123" s="0">
        <v>41.957</v>
      </c>
      <c r="AA123" s="11">
        <f>'Quarterly YTD'!AA123</f>
        <v>24.748</v>
      </c>
      <c r="AB123" s="11">
        <f>'Annual and Quarterly'!AJ123</f>
        <v>20.555</v>
      </c>
      <c r="AC123" s="11">
        <f>'Annual and Quarterly'!AK123</f>
        <v>18.267</v>
      </c>
      <c r="AD123" s="0">
        <v>15.053</v>
      </c>
      <c r="AE123" s="11">
        <f>'Quarterly YTD'!AE123</f>
        <v>31.702</v>
      </c>
      <c r="AF123" s="11">
        <f>'Annual and Quarterly'!AN123</f>
        <v>24.2</v>
      </c>
    </row>
    <row customHeight="1" ht="15">
      <c r="A124" s="9" t="s">
        <v>155</v>
      </c>
      <c r="B124" s="0">
        <v>0</v>
      </c>
      <c r="F124" s="0">
        <v>0</v>
      </c>
      <c r="G124" s="11">
        <f>'Quarterly YTD'!G124</f>
        <v>0</v>
      </c>
      <c r="H124" s="11">
        <f>'Annual and Quarterly'!P124</f>
        <v>0</v>
      </c>
      <c r="I124" s="11">
        <f>'Annual and Quarterly'!Q124</f>
        <v>0</v>
      </c>
      <c r="J124" s="0">
        <v>0</v>
      </c>
      <c r="K124" s="11">
        <f>'Quarterly YTD'!K124</f>
        <v>0</v>
      </c>
      <c r="L124" s="11">
        <f>'Annual and Quarterly'!T124</f>
        <v>0.701</v>
      </c>
      <c r="M124" s="11">
        <f>'Annual and Quarterly'!U124</f>
        <v>0.642</v>
      </c>
      <c r="N124" s="0">
        <v>0</v>
      </c>
      <c r="O124" s="11">
        <f>'Quarterly YTD'!O124</f>
        <v>0</v>
      </c>
      <c r="P124" s="11">
        <f>'Annual and Quarterly'!X124</f>
        <v>0</v>
      </c>
      <c r="Q124" s="11">
        <f>'Annual and Quarterly'!Y124</f>
        <v>0</v>
      </c>
      <c r="R124" s="0">
        <v>0</v>
      </c>
      <c r="S124" s="11">
        <f>'Quarterly YTD'!S124</f>
        <v>0</v>
      </c>
      <c r="T124" s="11">
        <f>'Annual and Quarterly'!AB124</f>
        <v>0</v>
      </c>
      <c r="U124" s="11">
        <f>'Annual and Quarterly'!AC124</f>
        <v>0</v>
      </c>
      <c r="V124" s="0">
        <v>0</v>
      </c>
      <c r="W124" s="11">
        <f>'Quarterly YTD'!W124</f>
        <v>0</v>
      </c>
      <c r="X124" s="11">
        <f>'Annual and Quarterly'!AF124</f>
        <v>0</v>
      </c>
      <c r="Y124" s="11">
        <f>'Annual and Quarterly'!AG124</f>
        <v>0</v>
      </c>
      <c r="Z124" s="0">
        <v>0</v>
      </c>
      <c r="AA124" s="11">
        <f>'Quarterly YTD'!AA124</f>
        <v>0</v>
      </c>
      <c r="AB124" s="11">
        <f>'Annual and Quarterly'!AJ124</f>
        <v>0</v>
      </c>
      <c r="AC124" s="11">
        <f>'Annual and Quarterly'!AK124</f>
        <v>0</v>
      </c>
      <c r="AD124" s="0">
        <v>0</v>
      </c>
      <c r="AE124" s="11">
        <f>'Quarterly YTD'!AE124</f>
        <v>0</v>
      </c>
      <c r="AF124" s="11">
        <f>'Annual and Quarterly'!AN124</f>
        <v>0</v>
      </c>
    </row>
    <row customHeight="1" ht="15">
      <c r="A125" s="9" t="s">
        <v>156</v>
      </c>
      <c r="B125" s="0">
        <v>1.022</v>
      </c>
      <c r="F125" s="0">
        <v>1.156</v>
      </c>
      <c r="G125" s="11">
        <f>'Quarterly YTD'!G125</f>
        <v>2.494</v>
      </c>
      <c r="H125" s="11">
        <f>'Annual and Quarterly'!P125</f>
        <v>1.656</v>
      </c>
      <c r="I125" s="11">
        <f>'Annual and Quarterly'!Q125</f>
        <v>1.768</v>
      </c>
      <c r="J125" s="0">
        <v>1.699</v>
      </c>
      <c r="K125" s="11">
        <f>'Quarterly YTD'!K125</f>
        <v>1.696</v>
      </c>
      <c r="L125" s="11">
        <f>'Annual and Quarterly'!T125</f>
        <v>2.066</v>
      </c>
      <c r="M125" s="11">
        <f>'Annual and Quarterly'!U125</f>
        <v>2.038</v>
      </c>
      <c r="N125" s="0">
        <v>1.739</v>
      </c>
      <c r="O125" s="11">
        <f>'Quarterly YTD'!O125</f>
        <v>0.945</v>
      </c>
      <c r="P125" s="11">
        <f>'Annual and Quarterly'!X125</f>
        <v>1.163</v>
      </c>
      <c r="Q125" s="11">
        <f>'Annual and Quarterly'!Y125</f>
        <v>1.594</v>
      </c>
      <c r="R125" s="0">
        <v>4.41</v>
      </c>
      <c r="S125" s="11">
        <f>'Quarterly YTD'!S125</f>
        <v>2.086</v>
      </c>
      <c r="T125" s="11">
        <f>'Annual and Quarterly'!AB125</f>
        <v>2.091</v>
      </c>
      <c r="U125" s="11">
        <f>'Annual and Quarterly'!AC125</f>
        <v>4.242</v>
      </c>
      <c r="V125" s="0">
        <v>3.729</v>
      </c>
      <c r="W125" s="11">
        <f>'Quarterly YTD'!W125</f>
        <v>5.769</v>
      </c>
      <c r="X125" s="11">
        <f>'Annual and Quarterly'!AF125</f>
        <v>7.348</v>
      </c>
      <c r="Y125" s="11">
        <f>'Annual and Quarterly'!AG125</f>
        <v>5.781</v>
      </c>
      <c r="Z125" s="0">
        <v>0</v>
      </c>
      <c r="AA125" s="11">
        <f>'Quarterly YTD'!AA125</f>
        <v>3.563</v>
      </c>
      <c r="AB125" s="11">
        <f>'Annual and Quarterly'!AJ125</f>
        <v>5.5</v>
      </c>
      <c r="AC125" s="11">
        <f>'Annual and Quarterly'!AK125</f>
        <v>6.525</v>
      </c>
      <c r="AD125" s="0">
        <v>0</v>
      </c>
      <c r="AE125" s="11">
        <f>'Quarterly YTD'!AE125</f>
        <v>0</v>
      </c>
      <c r="AF125" s="11">
        <f>'Annual and Quarterly'!AN125</f>
        <v>0</v>
      </c>
    </row>
    <row customHeight="1" ht="15">
      <c r="A126" s="9" t="s">
        <v>157</v>
      </c>
      <c r="B126" s="0">
        <v>0</v>
      </c>
      <c r="F126" s="0">
        <v>84.011</v>
      </c>
      <c r="G126" s="11">
        <f>'Quarterly YTD'!G126</f>
        <v>172.597</v>
      </c>
      <c r="H126" s="11">
        <f>'Annual and Quarterly'!P126</f>
        <v>72.161</v>
      </c>
      <c r="I126" s="11">
        <f>'Annual and Quarterly'!Q126</f>
        <v>26.862</v>
      </c>
      <c r="J126" s="0">
        <v>25.519</v>
      </c>
      <c r="K126" s="11">
        <f>'Quarterly YTD'!K126</f>
        <v>25.881</v>
      </c>
      <c r="L126" s="11">
        <f>'Annual and Quarterly'!T126</f>
        <v>0</v>
      </c>
      <c r="M126" s="11">
        <f>'Annual and Quarterly'!U126</f>
        <v>0.009</v>
      </c>
      <c r="N126" s="0">
        <v>0</v>
      </c>
      <c r="O126" s="11">
        <f>'Quarterly YTD'!O126</f>
        <v>135.032</v>
      </c>
      <c r="P126" s="11">
        <f>'Annual and Quarterly'!X126</f>
        <v>88.51</v>
      </c>
      <c r="Q126" s="11">
        <f>'Annual and Quarterly'!Y126</f>
        <v>154.814</v>
      </c>
      <c r="R126" s="0">
        <v>0</v>
      </c>
      <c r="S126" s="11">
        <f>'Quarterly YTD'!S126</f>
        <v>0</v>
      </c>
      <c r="T126" s="11">
        <f>'Annual and Quarterly'!AB126</f>
        <v>0</v>
      </c>
      <c r="U126" s="11">
        <f>'Annual and Quarterly'!AC126</f>
        <v>0</v>
      </c>
      <c r="V126" s="0">
        <v>0</v>
      </c>
      <c r="W126" s="11">
        <f>'Quarterly YTD'!W126</f>
        <v>0</v>
      </c>
      <c r="X126" s="11">
        <f>'Annual and Quarterly'!AF126</f>
        <v>0</v>
      </c>
      <c r="Y126" s="11">
        <f>'Annual and Quarterly'!AG126</f>
        <v>0</v>
      </c>
      <c r="Z126" s="0">
        <v>0</v>
      </c>
      <c r="AA126" s="11">
        <f>'Quarterly YTD'!AA126</f>
        <v>0</v>
      </c>
      <c r="AB126" s="11">
        <f>'Annual and Quarterly'!AJ126</f>
        <v>0</v>
      </c>
      <c r="AC126" s="11">
        <f>'Annual and Quarterly'!AK126</f>
        <v>0</v>
      </c>
      <c r="AD126" s="0">
        <v>0</v>
      </c>
      <c r="AE126" s="11">
        <f>'Quarterly YTD'!AE126</f>
        <v>0</v>
      </c>
      <c r="AF126" s="11">
        <f>'Annual and Quarterly'!AN126</f>
        <v>0</v>
      </c>
    </row>
    <row customHeight="1" ht="15">
      <c r="A127" s="9" t="s">
        <v>158</v>
      </c>
      <c r="B127" s="0">
        <v>0</v>
      </c>
      <c r="F127" s="0">
        <v>0</v>
      </c>
      <c r="G127" s="11">
        <f>'Quarterly YTD'!G127</f>
        <v>0</v>
      </c>
      <c r="H127" s="11">
        <f>'Annual and Quarterly'!P127</f>
        <v>0</v>
      </c>
      <c r="I127" s="11">
        <f>'Annual and Quarterly'!Q127</f>
        <v>0</v>
      </c>
      <c r="J127" s="0">
        <v>0</v>
      </c>
      <c r="K127" s="11">
        <f>'Quarterly YTD'!K127</f>
        <v>0</v>
      </c>
      <c r="L127" s="11">
        <f>'Annual and Quarterly'!T127</f>
        <v>0</v>
      </c>
      <c r="M127" s="11">
        <f>'Annual and Quarterly'!U127</f>
        <v>0</v>
      </c>
      <c r="N127" s="0">
        <v>0</v>
      </c>
      <c r="O127" s="11">
        <f>'Quarterly YTD'!O127</f>
        <v>0</v>
      </c>
      <c r="P127" s="11">
        <f>'Annual and Quarterly'!X127</f>
        <v>0</v>
      </c>
      <c r="Q127" s="11">
        <f>'Annual and Quarterly'!Y127</f>
        <v>0</v>
      </c>
      <c r="R127" s="0">
        <v>0</v>
      </c>
      <c r="S127" s="11">
        <f>'Quarterly YTD'!S127</f>
        <v>0</v>
      </c>
      <c r="T127" s="11">
        <f>'Annual and Quarterly'!AB127</f>
        <v>0</v>
      </c>
      <c r="U127" s="11">
        <f>'Annual and Quarterly'!AC127</f>
        <v>0</v>
      </c>
      <c r="V127" s="0">
        <v>0</v>
      </c>
      <c r="W127" s="11">
        <f>'Quarterly YTD'!W127</f>
        <v>0</v>
      </c>
      <c r="X127" s="11">
        <f>'Annual and Quarterly'!AF127</f>
        <v>0</v>
      </c>
      <c r="Y127" s="11">
        <f>'Annual and Quarterly'!AG127</f>
        <v>0</v>
      </c>
      <c r="Z127" s="0">
        <v>3.123</v>
      </c>
      <c r="AA127" s="11">
        <f>'Quarterly YTD'!AA127</f>
        <v>0</v>
      </c>
      <c r="AB127" s="11">
        <f>'Annual and Quarterly'!AJ127</f>
        <v>0</v>
      </c>
      <c r="AC127" s="11">
        <f>'Annual and Quarterly'!AK127</f>
        <v>0</v>
      </c>
      <c r="AD127" s="0">
        <v>2.553</v>
      </c>
      <c r="AE127" s="11">
        <f>'Quarterly YTD'!AE127</f>
        <v>3.996</v>
      </c>
      <c r="AF127" s="11">
        <f>'Annual and Quarterly'!AN127</f>
        <v>4.307</v>
      </c>
    </row>
    <row customHeight="1" ht="15">
      <c r="A128" s="9" t="s">
        <v>159</v>
      </c>
      <c r="B128" s="0">
        <v>0</v>
      </c>
      <c r="F128" s="0">
        <v>0</v>
      </c>
      <c r="G128" s="11">
        <f>'Quarterly YTD'!G128</f>
        <v>0</v>
      </c>
      <c r="H128" s="11">
        <f>'Annual and Quarterly'!P128</f>
        <v>0</v>
      </c>
      <c r="I128" s="11">
        <f>'Annual and Quarterly'!Q128</f>
        <v>0</v>
      </c>
      <c r="J128" s="0">
        <v>0</v>
      </c>
      <c r="K128" s="11">
        <f>'Quarterly YTD'!K128</f>
        <v>0</v>
      </c>
      <c r="L128" s="11">
        <f>'Annual and Quarterly'!T128</f>
        <v>0</v>
      </c>
      <c r="M128" s="11">
        <f>'Annual and Quarterly'!U128</f>
        <v>0</v>
      </c>
      <c r="N128" s="0">
        <v>225.083</v>
      </c>
      <c r="O128" s="11">
        <f>'Quarterly YTD'!O128</f>
        <v>0</v>
      </c>
      <c r="P128" s="11">
        <f>'Annual and Quarterly'!X128</f>
        <v>0</v>
      </c>
      <c r="Q128" s="11">
        <f>'Annual and Quarterly'!Y128</f>
        <v>0</v>
      </c>
      <c r="R128" s="0">
        <v>1.504</v>
      </c>
      <c r="S128" s="11">
        <f>'Quarterly YTD'!S128</f>
        <v>0.099</v>
      </c>
      <c r="T128" s="11">
        <f>'Annual and Quarterly'!AB128</f>
        <v>0.099</v>
      </c>
      <c r="U128" s="11">
        <f>'Annual and Quarterly'!AC128</f>
        <v>0.17</v>
      </c>
      <c r="V128" s="0">
        <v>2.944</v>
      </c>
      <c r="W128" s="11">
        <f>'Quarterly YTD'!W128</f>
        <v>0.762</v>
      </c>
      <c r="X128" s="11">
        <f>'Annual and Quarterly'!AF128</f>
        <v>12.188</v>
      </c>
      <c r="Y128" s="11">
        <f>'Annual and Quarterly'!AG128</f>
        <v>21.145</v>
      </c>
      <c r="Z128" s="0">
        <v>3.616</v>
      </c>
      <c r="AA128" s="11">
        <f>'Quarterly YTD'!AA128</f>
        <v>0.924</v>
      </c>
      <c r="AB128" s="11">
        <f>'Annual and Quarterly'!AJ128</f>
        <v>1.1</v>
      </c>
      <c r="AC128" s="11">
        <f>'Annual and Quarterly'!AK128</f>
        <v>0.897</v>
      </c>
      <c r="AD128" s="0">
        <v>0.401</v>
      </c>
      <c r="AE128" s="11">
        <f>'Quarterly YTD'!AE128</f>
        <v>1.989</v>
      </c>
      <c r="AF128" s="11">
        <f>'Annual and Quarterly'!AN128</f>
        <v>5.716</v>
      </c>
    </row>
    <row customHeight="1" ht="15">
      <c r="A129" s="9" t="s">
        <v>160</v>
      </c>
      <c r="B129" s="0">
        <v>7.717</v>
      </c>
      <c r="F129" s="0">
        <v>217.252</v>
      </c>
      <c r="G129" s="11">
        <f>'Quarterly YTD'!G129</f>
        <v>136.283</v>
      </c>
      <c r="H129" s="11">
        <f>'Annual and Quarterly'!P129</f>
        <v>220.991</v>
      </c>
      <c r="I129" s="11">
        <f>'Annual and Quarterly'!Q129</f>
        <v>215.279</v>
      </c>
      <c r="J129" s="0">
        <v>178.352</v>
      </c>
      <c r="K129" s="11">
        <f>'Quarterly YTD'!K129</f>
        <v>150.808</v>
      </c>
      <c r="L129" s="11">
        <f>'Annual and Quarterly'!T129</f>
        <v>170.606</v>
      </c>
      <c r="M129" s="11">
        <f>'Annual and Quarterly'!U129</f>
        <v>165.53</v>
      </c>
      <c r="N129" s="0">
        <v>216.664</v>
      </c>
      <c r="O129" s="11">
        <f>'Quarterly YTD'!O129</f>
        <v>319.405</v>
      </c>
      <c r="P129" s="11">
        <f>'Annual and Quarterly'!X129</f>
        <v>331.377</v>
      </c>
      <c r="Q129" s="11">
        <f>'Annual and Quarterly'!Y129</f>
        <v>293.28</v>
      </c>
      <c r="R129" s="0">
        <v>324.718</v>
      </c>
      <c r="S129" s="11">
        <f>'Quarterly YTD'!S129</f>
        <v>285.348</v>
      </c>
      <c r="T129" s="11">
        <f>'Annual and Quarterly'!AB129</f>
        <v>259.666</v>
      </c>
      <c r="U129" s="11">
        <f>'Annual and Quarterly'!AC129</f>
        <v>283.627</v>
      </c>
      <c r="V129" s="0">
        <v>200.553</v>
      </c>
      <c r="W129" s="11">
        <f>'Quarterly YTD'!W129</f>
        <v>186.973</v>
      </c>
      <c r="X129" s="11">
        <f>'Annual and Quarterly'!AF129</f>
        <v>298.691</v>
      </c>
      <c r="Y129" s="11">
        <f>'Annual and Quarterly'!AG129</f>
        <v>280.34</v>
      </c>
      <c r="Z129" s="0">
        <v>184.701</v>
      </c>
      <c r="AA129" s="11">
        <f>'Quarterly YTD'!AA129</f>
        <v>135.303</v>
      </c>
      <c r="AB129" s="11">
        <f>'Annual and Quarterly'!AJ129</f>
        <v>198.281</v>
      </c>
      <c r="AC129" s="11">
        <f>'Annual and Quarterly'!AK129</f>
        <v>245.324</v>
      </c>
      <c r="AD129" s="0">
        <v>124.02</v>
      </c>
      <c r="AE129" s="11">
        <f>'Quarterly YTD'!AE129</f>
        <v>104.673</v>
      </c>
      <c r="AF129" s="11">
        <f>'Annual and Quarterly'!AN129</f>
        <v>120.47</v>
      </c>
    </row>
    <row customHeight="1" ht="15">
      <c r="A130" s="4" t="s">
        <v>161</v>
      </c>
      <c r="B130" s="7">
        <f t="shared" si="16" ref="B130:F130">SUM(B119:B121)+B123+SUM(B125:B126)+B129</f>
        <v>104.08</v>
      </c>
      <c r="F130" s="7">
        <f t="shared" si="16"/>
        <v>548.869</v>
      </c>
      <c r="G130" s="7">
        <f>'Quarterly YTD'!G130</f>
        <v>545.226</v>
      </c>
      <c r="H130" s="7">
        <f>'Annual and Quarterly'!P130</f>
        <v>496.023</v>
      </c>
      <c r="I130" s="7">
        <f>'Annual and Quarterly'!Q130</f>
        <v>448.075</v>
      </c>
      <c r="J130" s="7">
        <f>SUM(J119:J120)+SUM(J122:J123)+SUM(J125:J126)+J129</f>
        <v>371.498</v>
      </c>
      <c r="K130" s="7">
        <f>'Quarterly YTD'!K130</f>
        <v>381.078</v>
      </c>
      <c r="L130" s="7">
        <f>'Annual and Quarterly'!T130</f>
        <v>416.084</v>
      </c>
      <c r="M130" s="7">
        <f>'Annual and Quarterly'!U130</f>
        <v>467.692</v>
      </c>
      <c r="N130" s="7">
        <f t="shared" si="17" ref="N130:V130">SUM(N119:N120)+SUM(N122:N123)+N125+SUM(N128:N129)</f>
        <v>785.119</v>
      </c>
      <c r="O130" s="7">
        <f>'Quarterly YTD'!O130</f>
        <v>798.604</v>
      </c>
      <c r="P130" s="7">
        <f>'Annual and Quarterly'!X130</f>
        <v>821.698</v>
      </c>
      <c r="Q130" s="7">
        <f>'Annual and Quarterly'!Y130</f>
        <v>892.853</v>
      </c>
      <c r="R130" s="7">
        <f t="shared" si="17"/>
        <v>704.828</v>
      </c>
      <c r="S130" s="7">
        <f>'Quarterly YTD'!S130</f>
        <v>711.688</v>
      </c>
      <c r="T130" s="7">
        <f>'Annual and Quarterly'!AB130</f>
        <v>738.603</v>
      </c>
      <c r="U130" s="7">
        <f>'Annual and Quarterly'!AC130</f>
        <v>791.244</v>
      </c>
      <c r="V130" s="7">
        <f t="shared" si="17"/>
        <v>696.687</v>
      </c>
      <c r="W130" s="7">
        <f>'Quarterly YTD'!W130</f>
        <v>754.292</v>
      </c>
      <c r="X130" s="7">
        <f>'Annual and Quarterly'!AF130</f>
        <v>910.699</v>
      </c>
      <c r="Y130" s="7">
        <f>'Annual and Quarterly'!AG130</f>
        <v>919.904</v>
      </c>
      <c r="Z130" s="7">
        <f t="shared" si="18" ref="Z130:AD130">SUM(Z119:Z120)+SUM(Z122:Z123)+SUM(Z127:Z129)</f>
        <v>817.73</v>
      </c>
      <c r="AA130" s="7">
        <f>'Quarterly YTD'!AA130</f>
        <v>743.267</v>
      </c>
      <c r="AB130" s="7">
        <f>'Annual and Quarterly'!AJ130</f>
        <v>784.236</v>
      </c>
      <c r="AC130" s="7">
        <f>'Annual and Quarterly'!AK130</f>
        <v>810.975</v>
      </c>
      <c r="AD130" s="7">
        <f t="shared" si="18"/>
        <v>680.412</v>
      </c>
      <c r="AE130" s="7">
        <f>'Quarterly YTD'!AE130</f>
        <v>711.095</v>
      </c>
      <c r="AF130" s="7">
        <f>'Annual and Quarterly'!AN130</f>
        <v>680.427</v>
      </c>
    </row>
    <row customHeight="1" ht="15">
      <c r="A131" s="9" t="s">
        <v>162</v>
      </c>
      <c r="B131" s="0">
        <v>0</v>
      </c>
      <c r="F131" s="0">
        <v>0</v>
      </c>
      <c r="G131" s="11">
        <f>'Quarterly YTD'!G131</f>
        <v>0</v>
      </c>
      <c r="H131" s="11">
        <f>'Annual and Quarterly'!P131</f>
        <v>0</v>
      </c>
      <c r="I131" s="11">
        <f>'Annual and Quarterly'!Q131</f>
        <v>0</v>
      </c>
      <c r="J131" s="0">
        <v>0</v>
      </c>
      <c r="K131" s="11">
        <f>'Quarterly YTD'!K131</f>
        <v>0</v>
      </c>
      <c r="L131" s="11">
        <f>'Annual and Quarterly'!T131</f>
        <v>0</v>
      </c>
      <c r="M131" s="11">
        <f>'Annual and Quarterly'!U131</f>
        <v>0</v>
      </c>
      <c r="N131" s="0">
        <v>0</v>
      </c>
      <c r="O131" s="11">
        <f>'Quarterly YTD'!O131</f>
        <v>0</v>
      </c>
      <c r="P131" s="11">
        <f>'Annual and Quarterly'!X131</f>
        <v>0</v>
      </c>
      <c r="Q131" s="11">
        <f>'Annual and Quarterly'!Y131</f>
        <v>0</v>
      </c>
      <c r="R131" s="0">
        <v>14.162</v>
      </c>
      <c r="S131" s="11">
        <f>'Quarterly YTD'!S131</f>
        <v>0</v>
      </c>
      <c r="T131" s="11">
        <f>'Annual and Quarterly'!AB131</f>
        <v>0</v>
      </c>
      <c r="U131" s="11">
        <f>'Annual and Quarterly'!AC131</f>
        <v>0</v>
      </c>
      <c r="V131" s="0">
        <v>0</v>
      </c>
      <c r="W131" s="11">
        <f>'Quarterly YTD'!W131</f>
        <v>0</v>
      </c>
      <c r="X131" s="11">
        <f>'Annual and Quarterly'!AF131</f>
        <v>0</v>
      </c>
      <c r="Y131" s="11">
        <f>'Annual and Quarterly'!AG131</f>
        <v>0</v>
      </c>
      <c r="Z131" s="0">
        <v>15.399</v>
      </c>
      <c r="AA131" s="11">
        <f>'Quarterly YTD'!AA131</f>
        <v>1.83</v>
      </c>
      <c r="AB131" s="11">
        <f>'Annual and Quarterly'!AJ131</f>
        <v>0</v>
      </c>
      <c r="AC131" s="11">
        <f>'Annual and Quarterly'!AK131</f>
        <v>8.485</v>
      </c>
      <c r="AD131" s="0">
        <v>8.547</v>
      </c>
      <c r="AE131" s="11">
        <f>'Quarterly YTD'!AE131</f>
        <v>0</v>
      </c>
      <c r="AF131" s="11">
        <f>'Annual and Quarterly'!AN131</f>
        <v>0</v>
      </c>
    </row>
    <row customHeight="1" ht="15">
      <c r="A132" s="4" t="s">
        <v>163</v>
      </c>
      <c r="B132" s="7">
        <f t="shared" si="19" ref="B132:J132">B118+B130</f>
        <v>184.561</v>
      </c>
      <c r="F132" s="7">
        <f t="shared" si="19"/>
        <v>1100.032</v>
      </c>
      <c r="G132" s="7">
        <f>'Quarterly YTD'!G132</f>
        <v>1178.53</v>
      </c>
      <c r="H132" s="7">
        <f>'Annual and Quarterly'!P132</f>
        <v>1113.24</v>
      </c>
      <c r="I132" s="7">
        <f>'Annual and Quarterly'!Q132</f>
        <v>1058.94</v>
      </c>
      <c r="J132" s="7">
        <f t="shared" si="19"/>
        <v>946.29</v>
      </c>
      <c r="K132" s="7">
        <f>'Quarterly YTD'!K132</f>
        <v>984.225</v>
      </c>
      <c r="L132" s="7">
        <f>'Annual and Quarterly'!T132</f>
        <v>1033.927</v>
      </c>
      <c r="M132" s="7">
        <f>'Annual and Quarterly'!U132</f>
        <v>1117.426</v>
      </c>
      <c r="N132" s="7">
        <f t="shared" si="20" ref="N132:AD132">N118+SUM(N130:N131)</f>
        <v>1472.119</v>
      </c>
      <c r="O132" s="7">
        <f>'Quarterly YTD'!O132</f>
        <v>1542.027</v>
      </c>
      <c r="P132" s="7">
        <f>'Annual and Quarterly'!X132</f>
        <v>1685.827</v>
      </c>
      <c r="Q132" s="7">
        <f>'Annual and Quarterly'!Y132</f>
        <v>1978.13</v>
      </c>
      <c r="R132" s="7">
        <f t="shared" si="20"/>
        <v>1754.302</v>
      </c>
      <c r="S132" s="7">
        <f>'Quarterly YTD'!S132</f>
        <v>1944.66</v>
      </c>
      <c r="T132" s="7">
        <f>'Annual and Quarterly'!AB132</f>
        <v>2194.084</v>
      </c>
      <c r="U132" s="7">
        <f>'Annual and Quarterly'!AC132</f>
        <v>2419.563</v>
      </c>
      <c r="V132" s="7">
        <f t="shared" si="20"/>
        <v>2444.475</v>
      </c>
      <c r="W132" s="7">
        <f>'Quarterly YTD'!W132</f>
        <v>2733.378</v>
      </c>
      <c r="X132" s="7">
        <f>'Annual and Quarterly'!AF132</f>
        <v>2982.816</v>
      </c>
      <c r="Y132" s="7">
        <f>'Annual and Quarterly'!AG132</f>
        <v>2993.811</v>
      </c>
      <c r="Z132" s="7">
        <f t="shared" si="20"/>
        <v>2981.655</v>
      </c>
      <c r="AA132" s="7">
        <f>'Quarterly YTD'!AA132</f>
        <v>2757.151</v>
      </c>
      <c r="AB132" s="7">
        <f>'Annual and Quarterly'!AJ132</f>
        <v>2562.525</v>
      </c>
      <c r="AC132" s="7">
        <f>'Annual and Quarterly'!AK132</f>
        <v>2519.113</v>
      </c>
      <c r="AD132" s="7">
        <f t="shared" si="20"/>
        <v>2108.602</v>
      </c>
      <c r="AE132" s="7">
        <f>'Quarterly YTD'!AE132</f>
        <v>2171.168</v>
      </c>
      <c r="AF132" s="7">
        <f>'Annual and Quarterly'!AN132</f>
        <v>1969.398</v>
      </c>
    </row>
    <row customHeight="1" ht="15">
      <c r="A133" s="9" t="s">
        <v>164</v>
      </c>
      <c r="B133" s="0">
        <v>2.256</v>
      </c>
      <c r="F133" s="0">
        <v>22.556</v>
      </c>
      <c r="G133" s="11">
        <f>'Quarterly YTD'!G133</f>
        <v>22.556</v>
      </c>
      <c r="H133" s="11">
        <f>'Annual and Quarterly'!P133</f>
        <v>22.556</v>
      </c>
      <c r="I133" s="11">
        <f>'Annual and Quarterly'!Q133</f>
        <v>22.556</v>
      </c>
      <c r="J133" s="0">
        <v>22.556</v>
      </c>
      <c r="K133" s="11">
        <f>'Quarterly YTD'!K133</f>
        <v>22.556</v>
      </c>
      <c r="L133" s="11">
        <f>'Annual and Quarterly'!T133</f>
        <v>22.556</v>
      </c>
      <c r="M133" s="11">
        <f>'Annual and Quarterly'!U133</f>
        <v>22.556</v>
      </c>
      <c r="N133" s="0">
        <v>22.556</v>
      </c>
      <c r="O133" s="11">
        <f>'Quarterly YTD'!O133</f>
        <v>22.556</v>
      </c>
      <c r="P133" s="11">
        <f>'Annual and Quarterly'!X133</f>
        <v>22.556</v>
      </c>
      <c r="Q133" s="11">
        <f>'Annual and Quarterly'!Y133</f>
        <v>22.556</v>
      </c>
      <c r="R133" s="0">
        <v>22.556</v>
      </c>
      <c r="S133" s="11">
        <f>'Quarterly YTD'!S133</f>
        <v>22.556</v>
      </c>
      <c r="T133" s="11">
        <f>'Annual and Quarterly'!AB133</f>
        <v>22.556</v>
      </c>
      <c r="U133" s="11">
        <f>'Annual and Quarterly'!AC133</f>
        <v>22.556</v>
      </c>
      <c r="V133" s="0">
        <v>22.556</v>
      </c>
      <c r="W133" s="11">
        <f>'Quarterly YTD'!W133</f>
        <v>22.556</v>
      </c>
      <c r="X133" s="11">
        <f>'Annual and Quarterly'!AF133</f>
        <v>28.194</v>
      </c>
      <c r="Y133" s="11">
        <f>'Annual and Quarterly'!AG133</f>
        <v>28.194</v>
      </c>
      <c r="Z133" s="0">
        <v>28.194</v>
      </c>
      <c r="AA133" s="11">
        <f>'Quarterly YTD'!AA133</f>
        <v>28.194</v>
      </c>
      <c r="AB133" s="11">
        <f>'Annual and Quarterly'!AJ133</f>
        <v>28.194</v>
      </c>
      <c r="AC133" s="11">
        <f>'Annual and Quarterly'!AK133</f>
        <v>28.194</v>
      </c>
      <c r="AD133" s="0">
        <v>28.194</v>
      </c>
      <c r="AE133" s="11">
        <f>'Quarterly YTD'!AE133</f>
        <v>28.194</v>
      </c>
      <c r="AF133" s="11">
        <f>'Annual and Quarterly'!AN133</f>
        <v>28.194</v>
      </c>
    </row>
    <row customHeight="1" ht="15">
      <c r="A134" s="9" t="s">
        <v>165</v>
      </c>
      <c r="B134" s="0">
        <v>33.133</v>
      </c>
      <c r="F134" s="0">
        <v>282.158</v>
      </c>
      <c r="G134" s="11">
        <f>'Quarterly YTD'!G134</f>
        <v>282.158</v>
      </c>
      <c r="H134" s="11">
        <f>'Annual and Quarterly'!P134</f>
        <v>282.158</v>
      </c>
      <c r="I134" s="11">
        <f>'Annual and Quarterly'!Q134</f>
        <v>282.158</v>
      </c>
      <c r="J134" s="0">
        <v>282.158</v>
      </c>
      <c r="K134" s="11">
        <f>'Quarterly YTD'!K134</f>
        <v>282.158</v>
      </c>
      <c r="L134" s="11">
        <f>'Annual and Quarterly'!T134</f>
        <v>282.158</v>
      </c>
      <c r="M134" s="11">
        <f>'Annual and Quarterly'!U134</f>
        <v>282.158</v>
      </c>
      <c r="N134" s="0">
        <v>282.158</v>
      </c>
      <c r="O134" s="11">
        <f>'Quarterly YTD'!O134</f>
        <v>282.158</v>
      </c>
      <c r="P134" s="11">
        <f>'Annual and Quarterly'!X134</f>
        <v>282.158</v>
      </c>
      <c r="Q134" s="11">
        <f>'Annual and Quarterly'!Y134</f>
        <v>282.158</v>
      </c>
      <c r="R134" s="0">
        <v>282.158</v>
      </c>
      <c r="S134" s="11">
        <f>'Quarterly YTD'!S134</f>
        <v>0</v>
      </c>
      <c r="T134" s="11">
        <f>'Annual and Quarterly'!AB134</f>
        <v>0</v>
      </c>
      <c r="U134" s="11">
        <f>'Annual and Quarterly'!AC134</f>
        <v>0</v>
      </c>
      <c r="V134" s="0">
        <v>10</v>
      </c>
      <c r="W134" s="11">
        <f>'Quarterly YTD'!W134</f>
        <v>10</v>
      </c>
      <c r="X134" s="11">
        <f>'Annual and Quarterly'!AF134</f>
        <v>10</v>
      </c>
      <c r="Y134" s="11">
        <f>'Annual and Quarterly'!AG134</f>
        <v>10</v>
      </c>
      <c r="Z134" s="0">
        <v>10</v>
      </c>
      <c r="AA134" s="11">
        <f>'Quarterly YTD'!AA134</f>
        <v>10</v>
      </c>
      <c r="AB134" s="11">
        <f>'Annual and Quarterly'!AJ134</f>
        <v>10</v>
      </c>
      <c r="AC134" s="11">
        <f>'Annual and Quarterly'!AK134</f>
        <v>10</v>
      </c>
      <c r="AD134" s="0">
        <v>10</v>
      </c>
      <c r="AE134" s="11">
        <f>'Quarterly YTD'!AE134</f>
        <v>10</v>
      </c>
      <c r="AF134" s="11">
        <f>'Annual and Quarterly'!AN134</f>
        <v>10</v>
      </c>
    </row>
    <row customHeight="1" ht="15">
      <c r="A135" s="9" t="s">
        <v>166</v>
      </c>
      <c r="B135" s="0">
        <v>0.237</v>
      </c>
      <c r="F135" s="0">
        <v>0</v>
      </c>
      <c r="G135" s="11">
        <f>'Quarterly YTD'!G135</f>
        <v>0</v>
      </c>
      <c r="H135" s="11">
        <f>'Annual and Quarterly'!P135</f>
        <v>0</v>
      </c>
      <c r="I135" s="11">
        <f>'Annual and Quarterly'!Q135</f>
        <v>0</v>
      </c>
      <c r="J135" s="0">
        <v>0</v>
      </c>
      <c r="K135" s="11">
        <f>'Quarterly YTD'!K135</f>
        <v>0</v>
      </c>
      <c r="L135" s="11">
        <f>'Annual and Quarterly'!T135</f>
        <v>0</v>
      </c>
      <c r="M135" s="11">
        <f>'Annual and Quarterly'!U135</f>
        <v>0</v>
      </c>
      <c r="N135" s="0">
        <v>0</v>
      </c>
      <c r="O135" s="11">
        <f>'Quarterly YTD'!O135</f>
        <v>0</v>
      </c>
      <c r="P135" s="11">
        <f>'Annual and Quarterly'!X135</f>
        <v>0</v>
      </c>
      <c r="Q135" s="11">
        <f>'Annual and Quarterly'!Y135</f>
        <v>0</v>
      </c>
      <c r="R135" s="0">
        <v>0</v>
      </c>
      <c r="S135" s="11">
        <f>'Quarterly YTD'!S135</f>
        <v>0</v>
      </c>
      <c r="T135" s="11">
        <f>'Annual and Quarterly'!AB135</f>
        <v>0</v>
      </c>
      <c r="U135" s="11">
        <f>'Annual and Quarterly'!AC135</f>
        <v>0</v>
      </c>
      <c r="V135" s="0">
        <v>0</v>
      </c>
      <c r="W135" s="11">
        <f>'Quarterly YTD'!W135</f>
        <v>0</v>
      </c>
      <c r="X135" s="11">
        <f>'Annual and Quarterly'!AF135</f>
        <v>0</v>
      </c>
      <c r="Y135" s="11">
        <f>'Annual and Quarterly'!AG135</f>
        <v>0</v>
      </c>
      <c r="Z135" s="0">
        <v>0</v>
      </c>
      <c r="AA135" s="11">
        <f>'Quarterly YTD'!AA135</f>
        <v>0</v>
      </c>
      <c r="AB135" s="11">
        <f>'Annual and Quarterly'!AJ135</f>
        <v>0</v>
      </c>
      <c r="AC135" s="11">
        <f>'Annual and Quarterly'!AK135</f>
        <v>0</v>
      </c>
      <c r="AD135" s="0">
        <v>0</v>
      </c>
      <c r="AE135" s="11">
        <f>'Quarterly YTD'!AE135</f>
        <v>0</v>
      </c>
      <c r="AF135" s="11">
        <f>'Annual and Quarterly'!AN135</f>
        <v>0</v>
      </c>
    </row>
    <row customHeight="1" ht="15">
      <c r="A136" s="9" t="s">
        <v>167</v>
      </c>
      <c r="B136" s="0">
        <v>0</v>
      </c>
      <c r="F136" s="0">
        <v>0.06</v>
      </c>
      <c r="G136" s="11">
        <f>'Quarterly YTD'!G136</f>
        <v>0.132</v>
      </c>
      <c r="H136" s="11">
        <f>'Annual and Quarterly'!P136</f>
        <v>0.198</v>
      </c>
      <c r="I136" s="11">
        <f>'Annual and Quarterly'!Q136</f>
        <v>0.264</v>
      </c>
      <c r="J136" s="0">
        <v>0.331</v>
      </c>
      <c r="K136" s="11">
        <f>'Quarterly YTD'!K136</f>
        <v>0.397</v>
      </c>
      <c r="L136" s="11">
        <f>'Annual and Quarterly'!T136</f>
        <v>0.463</v>
      </c>
      <c r="M136" s="11">
        <f>'Annual and Quarterly'!U136</f>
        <v>0.529</v>
      </c>
      <c r="N136" s="0">
        <v>0.596</v>
      </c>
      <c r="O136" s="11">
        <f>'Quarterly YTD'!O136</f>
        <v>0.662</v>
      </c>
      <c r="P136" s="11">
        <f>'Annual and Quarterly'!X136</f>
        <v>0.728</v>
      </c>
      <c r="Q136" s="11">
        <f>'Annual and Quarterly'!Y136</f>
        <v>0.794</v>
      </c>
      <c r="R136" s="0">
        <v>0.86</v>
      </c>
      <c r="S136" s="11">
        <f>'Quarterly YTD'!S136</f>
        <v>0</v>
      </c>
      <c r="T136" s="11">
        <f>'Annual and Quarterly'!AB136</f>
        <v>0</v>
      </c>
      <c r="U136" s="11">
        <f>'Annual and Quarterly'!AC136</f>
        <v>0</v>
      </c>
      <c r="V136" s="0">
        <v>1.994</v>
      </c>
      <c r="W136" s="11">
        <f>'Quarterly YTD'!W136</f>
        <v>2.198</v>
      </c>
      <c r="X136" s="11">
        <f>'Annual and Quarterly'!AF136</f>
        <v>2.401</v>
      </c>
      <c r="Y136" s="11">
        <f>'Annual and Quarterly'!AG136</f>
        <v>2.605</v>
      </c>
      <c r="Z136" s="0">
        <v>1.994</v>
      </c>
      <c r="AA136" s="11">
        <f>'Quarterly YTD'!AA136</f>
        <v>1.994</v>
      </c>
      <c r="AB136" s="11">
        <f>'Annual and Quarterly'!AJ136</f>
        <v>1.994</v>
      </c>
      <c r="AC136" s="11">
        <f>'Annual and Quarterly'!AK136</f>
        <v>1.994</v>
      </c>
      <c r="AD136" s="0">
        <v>1.994</v>
      </c>
      <c r="AE136" s="11">
        <f>'Quarterly YTD'!AE136</f>
        <v>1.994</v>
      </c>
      <c r="AF136" s="11">
        <f>'Annual and Quarterly'!AN136</f>
        <v>1.994</v>
      </c>
    </row>
    <row customHeight="1" ht="15">
      <c r="A137" s="9" t="s">
        <v>168</v>
      </c>
      <c r="B137" s="0">
        <v>0</v>
      </c>
      <c r="F137" s="0">
        <v>-1.01</v>
      </c>
      <c r="G137" s="11">
        <f>'Quarterly YTD'!G137</f>
        <v>-1.01</v>
      </c>
      <c r="H137" s="11">
        <f>'Annual and Quarterly'!P137</f>
        <v>-1.165</v>
      </c>
      <c r="I137" s="11">
        <f>'Annual and Quarterly'!Q137</f>
        <v>-1.165</v>
      </c>
      <c r="J137" s="0">
        <v>-1.165</v>
      </c>
      <c r="K137" s="11">
        <f>'Quarterly YTD'!K137</f>
        <v>-0.791</v>
      </c>
      <c r="L137" s="11">
        <f>'Annual and Quarterly'!T137</f>
        <v>-0.324</v>
      </c>
      <c r="M137" s="11">
        <f>'Annual and Quarterly'!U137</f>
        <v>-0.212</v>
      </c>
      <c r="N137" s="0">
        <v>-0.012</v>
      </c>
      <c r="O137" s="11">
        <f>'Quarterly YTD'!O137</f>
        <v>-0.012</v>
      </c>
      <c r="P137" s="11">
        <f>'Annual and Quarterly'!X137</f>
        <v>-0.012</v>
      </c>
      <c r="Q137" s="11">
        <f>'Annual and Quarterly'!Y137</f>
        <v>-1.627</v>
      </c>
      <c r="R137" s="0">
        <v>-1.644</v>
      </c>
      <c r="S137" s="11">
        <f>'Quarterly YTD'!S137</f>
        <v>0</v>
      </c>
      <c r="T137" s="11">
        <f>'Annual and Quarterly'!AB137</f>
        <v>0</v>
      </c>
      <c r="U137" s="11">
        <f>'Annual and Quarterly'!AC137</f>
        <v>0</v>
      </c>
      <c r="V137" s="0">
        <v>0</v>
      </c>
      <c r="W137" s="11">
        <f>'Quarterly YTD'!W137</f>
        <v>0</v>
      </c>
      <c r="X137" s="11">
        <f>'Annual and Quarterly'!AF137</f>
        <v>0</v>
      </c>
      <c r="Y137" s="11">
        <f>'Annual and Quarterly'!AG137</f>
        <v>0</v>
      </c>
      <c r="Z137" s="0">
        <v>0</v>
      </c>
      <c r="AA137" s="11">
        <f>'Quarterly YTD'!AA137</f>
        <v>0</v>
      </c>
      <c r="AB137" s="11">
        <f>'Annual and Quarterly'!AJ137</f>
        <v>0</v>
      </c>
      <c r="AC137" s="11">
        <f>'Annual and Quarterly'!AK137</f>
        <v>0</v>
      </c>
      <c r="AD137" s="0">
        <v>0</v>
      </c>
      <c r="AE137" s="11">
        <f>'Quarterly YTD'!AE137</f>
        <v>0</v>
      </c>
      <c r="AF137" s="11">
        <f>'Annual and Quarterly'!AN137</f>
        <v>0</v>
      </c>
    </row>
    <row customHeight="1" ht="15">
      <c r="A138" s="9" t="s">
        <v>169</v>
      </c>
      <c r="B138" s="0">
        <v>-0.457</v>
      </c>
      <c r="F138" s="0">
        <v>-0.456</v>
      </c>
      <c r="G138" s="11">
        <f>'Quarterly YTD'!G138</f>
        <v>-0.456</v>
      </c>
      <c r="H138" s="11">
        <f>'Annual and Quarterly'!P138</f>
        <v>-0.456</v>
      </c>
      <c r="I138" s="11">
        <f>'Annual and Quarterly'!Q138</f>
        <v>-0.456</v>
      </c>
      <c r="J138" s="0">
        <v>-0.456</v>
      </c>
      <c r="K138" s="11">
        <f>'Quarterly YTD'!K138</f>
        <v>-0.456</v>
      </c>
      <c r="L138" s="11">
        <f>'Annual and Quarterly'!T138</f>
        <v>-0.456</v>
      </c>
      <c r="M138" s="11">
        <f>'Annual and Quarterly'!U138</f>
        <v>-0.456</v>
      </c>
      <c r="N138" s="0">
        <v>-0.456</v>
      </c>
      <c r="O138" s="11">
        <f>'Quarterly YTD'!O138</f>
        <v>-0.456</v>
      </c>
      <c r="P138" s="11">
        <f>'Annual and Quarterly'!X138</f>
        <v>-0.456</v>
      </c>
      <c r="Q138" s="11">
        <f>'Annual and Quarterly'!Y138</f>
        <v>-0.456</v>
      </c>
      <c r="R138" s="0">
        <v>-0.456</v>
      </c>
      <c r="S138" s="11">
        <f>'Quarterly YTD'!S138</f>
        <v>0</v>
      </c>
      <c r="T138" s="11">
        <f>'Annual and Quarterly'!AB138</f>
        <v>0</v>
      </c>
      <c r="U138" s="11">
        <f>'Annual and Quarterly'!AC138</f>
        <v>0</v>
      </c>
      <c r="V138" s="0">
        <v>-0.456</v>
      </c>
      <c r="W138" s="11">
        <f>'Quarterly YTD'!W138</f>
        <v>-0.456</v>
      </c>
      <c r="X138" s="11">
        <f>'Annual and Quarterly'!AF138</f>
        <v>-0.456</v>
      </c>
      <c r="Y138" s="11">
        <f>'Annual and Quarterly'!AG138</f>
        <v>-0.456</v>
      </c>
      <c r="Z138" s="0">
        <v>-0.456</v>
      </c>
      <c r="AA138" s="11">
        <f>'Quarterly YTD'!AA138</f>
        <v>-0.456</v>
      </c>
      <c r="AB138" s="11">
        <f>'Annual and Quarterly'!AJ138</f>
        <v>-0.456</v>
      </c>
      <c r="AC138" s="11">
        <f>'Annual and Quarterly'!AK138</f>
        <v>-0.456</v>
      </c>
      <c r="AD138" s="0">
        <v>-0.456</v>
      </c>
      <c r="AE138" s="11">
        <f>'Quarterly YTD'!AE138</f>
        <v>-0.456</v>
      </c>
      <c r="AF138" s="11">
        <f>'Annual and Quarterly'!AN138</f>
        <v>-0.456</v>
      </c>
    </row>
    <row customHeight="1" ht="15">
      <c r="A139" s="9" t="s">
        <v>170</v>
      </c>
      <c r="B139" s="0">
        <v>0.002</v>
      </c>
      <c r="F139" s="0">
        <v>-0.432</v>
      </c>
      <c r="G139" s="11">
        <f>'Quarterly YTD'!G139</f>
        <v>2.785</v>
      </c>
      <c r="H139" s="11">
        <f>'Annual and Quarterly'!P139</f>
        <v>4.638</v>
      </c>
      <c r="I139" s="11">
        <f>'Annual and Quarterly'!Q139</f>
        <v>4.279</v>
      </c>
      <c r="J139" s="0">
        <v>1.496</v>
      </c>
      <c r="K139" s="11">
        <f>'Quarterly YTD'!K139</f>
        <v>1.686</v>
      </c>
      <c r="L139" s="11">
        <f>'Annual and Quarterly'!T139</f>
        <v>1.474</v>
      </c>
      <c r="M139" s="11">
        <f>'Annual and Quarterly'!U139</f>
        <v>2.037</v>
      </c>
      <c r="N139" s="0">
        <v>2.042</v>
      </c>
      <c r="O139" s="11">
        <f>'Quarterly YTD'!O139</f>
        <v>1.368</v>
      </c>
      <c r="P139" s="11">
        <f>'Annual and Quarterly'!X139</f>
        <v>2.327</v>
      </c>
      <c r="Q139" s="11">
        <f>'Annual and Quarterly'!Y139</f>
        <v>2.964</v>
      </c>
      <c r="R139" s="0">
        <v>3.886</v>
      </c>
      <c r="S139" s="11">
        <f>'Quarterly YTD'!S139</f>
        <v>4.058</v>
      </c>
      <c r="T139" s="11">
        <f>'Annual and Quarterly'!AB139</f>
        <v>3.904</v>
      </c>
      <c r="U139" s="11">
        <f>'Annual and Quarterly'!AC139</f>
        <v>4.64</v>
      </c>
      <c r="V139" s="0">
        <v>3.496</v>
      </c>
      <c r="W139" s="11">
        <f>'Quarterly YTD'!W139</f>
        <v>3.782</v>
      </c>
      <c r="X139" s="11">
        <f>'Annual and Quarterly'!AF139</f>
        <v>0.773</v>
      </c>
      <c r="Y139" s="11">
        <f>'Annual and Quarterly'!AG139</f>
        <v>1.852</v>
      </c>
      <c r="Z139" s="0">
        <v>-0.051</v>
      </c>
      <c r="AA139" s="11">
        <f>'Quarterly YTD'!AA139</f>
        <v>0.101</v>
      </c>
      <c r="AB139" s="11">
        <f>'Annual and Quarterly'!AJ139</f>
        <v>-1.147</v>
      </c>
      <c r="AC139" s="11">
        <f>'Annual and Quarterly'!AK139</f>
        <v>-0.13</v>
      </c>
      <c r="AD139" s="0">
        <v>0.112</v>
      </c>
      <c r="AE139" s="11">
        <f>'Quarterly YTD'!AE139</f>
        <v>0.474</v>
      </c>
      <c r="AF139" s="11">
        <f>'Annual and Quarterly'!AN139</f>
        <v>-0.06</v>
      </c>
    </row>
    <row customHeight="1" ht="15">
      <c r="A140" s="9" t="s">
        <v>171</v>
      </c>
      <c r="B140" s="0">
        <v>-0.21</v>
      </c>
      <c r="F140" s="0">
        <v>-2.956</v>
      </c>
      <c r="G140" s="11">
        <f>'Quarterly YTD'!G140</f>
        <v>-2.971</v>
      </c>
      <c r="H140" s="11">
        <f>'Annual and Quarterly'!P140</f>
        <v>-7.432</v>
      </c>
      <c r="I140" s="11">
        <f>'Annual and Quarterly'!Q140</f>
        <v>-14.505</v>
      </c>
      <c r="J140" s="0">
        <v>-22.005</v>
      </c>
      <c r="K140" s="11">
        <f>'Quarterly YTD'!K140</f>
        <v>-11.181</v>
      </c>
      <c r="L140" s="11">
        <f>'Annual and Quarterly'!T140</f>
        <v>-14.181</v>
      </c>
      <c r="M140" s="11">
        <f>'Annual and Quarterly'!U140</f>
        <v>-8.179</v>
      </c>
      <c r="N140" s="0">
        <v>-3.221</v>
      </c>
      <c r="O140" s="11">
        <f>'Quarterly YTD'!O140</f>
        <v>-0.972</v>
      </c>
      <c r="P140" s="11">
        <f>'Annual and Quarterly'!X140</f>
        <v>11.047</v>
      </c>
      <c r="Q140" s="11">
        <f>'Annual and Quarterly'!Y140</f>
        <v>36.337</v>
      </c>
      <c r="R140" s="0">
        <v>2.353</v>
      </c>
      <c r="S140" s="11">
        <f>'Quarterly YTD'!S140</f>
        <v>-4.513</v>
      </c>
      <c r="T140" s="11">
        <f>'Annual and Quarterly'!AB140</f>
        <v>-1.467</v>
      </c>
      <c r="U140" s="11">
        <f>'Annual and Quarterly'!AC140</f>
        <v>5.27</v>
      </c>
      <c r="V140" s="0">
        <v>-9.069</v>
      </c>
      <c r="W140" s="11">
        <f>'Quarterly YTD'!W140</f>
        <v>-0.824</v>
      </c>
      <c r="X140" s="11">
        <f>'Annual and Quarterly'!AF140</f>
        <v>1.843</v>
      </c>
      <c r="Y140" s="11">
        <f>'Annual and Quarterly'!AG140</f>
        <v>-14.061</v>
      </c>
      <c r="Z140" s="0">
        <v>12.408</v>
      </c>
      <c r="AA140" s="11">
        <f>'Quarterly YTD'!AA140</f>
        <v>13.637</v>
      </c>
      <c r="AB140" s="11">
        <f>'Annual and Quarterly'!AJ140</f>
        <v>8.421</v>
      </c>
      <c r="AC140" s="11">
        <f>'Annual and Quarterly'!AK140</f>
        <v>3.916</v>
      </c>
      <c r="AD140" s="0">
        <v>3.725</v>
      </c>
      <c r="AE140" s="11">
        <f>'Quarterly YTD'!AE140</f>
        <v>8.223</v>
      </c>
      <c r="AF140" s="11">
        <f>'Annual and Quarterly'!AN140</f>
        <v>8.084</v>
      </c>
    </row>
    <row customHeight="1" ht="15">
      <c r="A141" s="9" t="s">
        <v>172</v>
      </c>
      <c r="B141" s="0">
        <v>30.456</v>
      </c>
      <c r="F141" s="0">
        <v>41.122</v>
      </c>
      <c r="G141" s="11">
        <f>'Quarterly YTD'!G141</f>
        <v>33.116</v>
      </c>
      <c r="H141" s="11">
        <f>'Annual and Quarterly'!P141</f>
        <v>28.954</v>
      </c>
      <c r="I141" s="11">
        <f>'Annual and Quarterly'!Q141</f>
        <v>9.55</v>
      </c>
      <c r="J141" s="0">
        <v>-11.97</v>
      </c>
      <c r="K141" s="11">
        <f>'Quarterly YTD'!K141</f>
        <v>-10.335</v>
      </c>
      <c r="L141" s="11">
        <f>'Annual and Quarterly'!T141</f>
        <v>2.281</v>
      </c>
      <c r="M141" s="11">
        <f>'Annual and Quarterly'!U141</f>
        <v>24.123</v>
      </c>
      <c r="N141" s="0">
        <v>21.449</v>
      </c>
      <c r="O141" s="11">
        <f>'Quarterly YTD'!O141</f>
        <v>7.628</v>
      </c>
      <c r="P141" s="11">
        <f>'Annual and Quarterly'!X141</f>
        <v>-5.021</v>
      </c>
      <c r="Q141" s="11">
        <f>'Annual and Quarterly'!Y141</f>
        <v>45.2</v>
      </c>
      <c r="R141" s="0">
        <v>1.816</v>
      </c>
      <c r="S141" s="11">
        <f>'Quarterly YTD'!S141</f>
        <v>250.369</v>
      </c>
      <c r="T141" s="11">
        <f>'Annual and Quarterly'!AB141</f>
        <v>280.233</v>
      </c>
      <c r="U141" s="11">
        <f>'Annual and Quarterly'!AC141</f>
        <v>353.96</v>
      </c>
      <c r="V141" s="0">
        <v>313.36</v>
      </c>
      <c r="W141" s="11">
        <f>'Quarterly YTD'!W141</f>
        <v>214.724</v>
      </c>
      <c r="X141" s="11">
        <f>'Annual and Quarterly'!AF141</f>
        <v>604.76</v>
      </c>
      <c r="Y141" s="11">
        <f>'Annual and Quarterly'!AG141</f>
        <v>688.651</v>
      </c>
      <c r="Z141" s="0">
        <v>541.978</v>
      </c>
      <c r="AA141" s="11">
        <f>'Quarterly YTD'!AA141</f>
        <v>418.805</v>
      </c>
      <c r="AB141" s="11">
        <f>'Annual and Quarterly'!AJ141</f>
        <v>429.145</v>
      </c>
      <c r="AC141" s="11">
        <f>'Annual and Quarterly'!AK141</f>
        <v>499.651</v>
      </c>
      <c r="AD141" s="0">
        <v>474.649</v>
      </c>
      <c r="AE141" s="11">
        <f>'Quarterly YTD'!AE141</f>
        <v>415.035</v>
      </c>
      <c r="AF141" s="11">
        <f>'Annual and Quarterly'!AN141</f>
        <v>391.958</v>
      </c>
    </row>
    <row customHeight="1" ht="15">
      <c r="A142" s="9" t="s">
        <v>173</v>
      </c>
      <c r="B142" s="11">
        <f t="shared" si="0"/>
        <v>65.417</v>
      </c>
      <c r="F142" s="11">
        <f t="shared" si="21" ref="F142:R142">SUM(F133:F134)+SUM(F136:F141)</f>
        <v>341.042</v>
      </c>
      <c r="G142" s="11">
        <f>'Quarterly YTD'!G142</f>
        <v>336.31</v>
      </c>
      <c r="H142" s="11">
        <f>'Annual and Quarterly'!P142</f>
        <v>329.451</v>
      </c>
      <c r="I142" s="11">
        <f>'Annual and Quarterly'!Q142</f>
        <v>302.681</v>
      </c>
      <c r="J142" s="11">
        <f t="shared" si="21"/>
        <v>270.945</v>
      </c>
      <c r="K142" s="11">
        <f>'Quarterly YTD'!K142</f>
        <v>284.034</v>
      </c>
      <c r="L142" s="11">
        <f>'Annual and Quarterly'!T142</f>
        <v>293.971</v>
      </c>
      <c r="M142" s="11">
        <f>'Annual and Quarterly'!U142</f>
        <v>322.556</v>
      </c>
      <c r="N142" s="11">
        <f t="shared" si="21"/>
        <v>325.112</v>
      </c>
      <c r="O142" s="11">
        <f>'Quarterly YTD'!O142</f>
        <v>312.932</v>
      </c>
      <c r="P142" s="11">
        <f>'Annual and Quarterly'!X142</f>
        <v>313.327</v>
      </c>
      <c r="Q142" s="11">
        <f>'Annual and Quarterly'!Y142</f>
        <v>387.926</v>
      </c>
      <c r="R142" s="11">
        <f t="shared" si="21"/>
        <v>311.529</v>
      </c>
      <c r="S142" s="11">
        <f>'Quarterly YTD'!S142</f>
        <v>272.47</v>
      </c>
      <c r="T142" s="11">
        <f>'Annual and Quarterly'!AB142</f>
        <v>305.226</v>
      </c>
      <c r="U142" s="11">
        <f>'Annual and Quarterly'!AC142</f>
        <v>386.426</v>
      </c>
      <c r="V142" s="11">
        <f t="shared" si="22" ref="V142:AD142">SUM(V133:V134)+V136+SUM(V138:V141)</f>
        <v>341.881</v>
      </c>
      <c r="W142" s="11">
        <f>'Quarterly YTD'!W142</f>
        <v>251.98</v>
      </c>
      <c r="X142" s="11">
        <f>'Annual and Quarterly'!AF142</f>
        <v>647.515</v>
      </c>
      <c r="Y142" s="11">
        <f>'Annual and Quarterly'!AG142</f>
        <v>716.785</v>
      </c>
      <c r="Z142" s="11">
        <f t="shared" si="22"/>
        <v>594.067</v>
      </c>
      <c r="AA142" s="11">
        <f>'Quarterly YTD'!AA142</f>
        <v>472.275</v>
      </c>
      <c r="AB142" s="11">
        <f>'Annual and Quarterly'!AJ142</f>
        <v>476.151</v>
      </c>
      <c r="AC142" s="11">
        <f>'Annual and Quarterly'!AK142</f>
        <v>543.169</v>
      </c>
      <c r="AD142" s="11">
        <f t="shared" si="22"/>
        <v>518.218</v>
      </c>
      <c r="AE142" s="11">
        <f>'Quarterly YTD'!AE142</f>
        <v>463.464</v>
      </c>
      <c r="AF142" s="11">
        <f>'Annual and Quarterly'!AN142</f>
        <v>439.714</v>
      </c>
    </row>
    <row customHeight="1" ht="15">
      <c r="A143" s="9" t="s">
        <v>174</v>
      </c>
      <c r="B143" s="0">
        <v>-0.662</v>
      </c>
      <c r="F143" s="0">
        <v>4.98</v>
      </c>
      <c r="G143" s="11">
        <f>'Quarterly YTD'!G143</f>
        <v>5.726</v>
      </c>
      <c r="H143" s="11">
        <f>'Annual and Quarterly'!P143</f>
        <v>10.047</v>
      </c>
      <c r="I143" s="11">
        <f>'Annual and Quarterly'!Q143</f>
        <v>10.925</v>
      </c>
      <c r="J143" s="0">
        <v>2.425</v>
      </c>
      <c r="K143" s="11">
        <f>'Quarterly YTD'!K143</f>
        <v>2.368</v>
      </c>
      <c r="L143" s="11">
        <f>'Annual and Quarterly'!T143</f>
        <v>2.565</v>
      </c>
      <c r="M143" s="11">
        <f>'Annual and Quarterly'!U143</f>
        <v>2.814</v>
      </c>
      <c r="N143" s="0">
        <v>3.267</v>
      </c>
      <c r="O143" s="11">
        <f>'Quarterly YTD'!O143</f>
        <v>4.152</v>
      </c>
      <c r="P143" s="11">
        <f>'Annual and Quarterly'!X143</f>
        <v>4.707</v>
      </c>
      <c r="Q143" s="11">
        <f>'Annual and Quarterly'!Y143</f>
        <v>14.78</v>
      </c>
      <c r="R143" s="0">
        <v>4.088</v>
      </c>
      <c r="S143" s="11">
        <f>'Quarterly YTD'!S143</f>
        <v>4.892</v>
      </c>
      <c r="T143" s="11">
        <f>'Annual and Quarterly'!AB143</f>
        <v>4.203</v>
      </c>
      <c r="U143" s="11">
        <f>'Annual and Quarterly'!AC143</f>
        <v>3.588</v>
      </c>
      <c r="V143" s="0">
        <v>6</v>
      </c>
      <c r="W143" s="11">
        <f>'Quarterly YTD'!W143</f>
        <v>7.15</v>
      </c>
      <c r="X143" s="11">
        <f>'Annual and Quarterly'!AF143</f>
        <v>7.369</v>
      </c>
      <c r="Y143" s="11">
        <f>'Annual and Quarterly'!AG143</f>
        <v>7.65</v>
      </c>
      <c r="Z143" s="0">
        <v>11.401</v>
      </c>
      <c r="AA143" s="11">
        <f>'Quarterly YTD'!AA143</f>
        <v>12.234</v>
      </c>
      <c r="AB143" s="11">
        <f>'Annual and Quarterly'!AJ143</f>
        <v>11.974</v>
      </c>
      <c r="AC143" s="11">
        <f>'Annual and Quarterly'!AK143</f>
        <v>9.575</v>
      </c>
      <c r="AD143" s="0">
        <v>11.045</v>
      </c>
      <c r="AE143" s="11">
        <f>'Quarterly YTD'!AE143</f>
        <v>11.065</v>
      </c>
      <c r="AF143" s="11">
        <f>'Annual and Quarterly'!AN143</f>
        <v>12.591</v>
      </c>
    </row>
    <row customHeight="1" ht="15">
      <c r="A144" s="4" t="s">
        <v>175</v>
      </c>
      <c r="B144" s="7">
        <f t="shared" si="1"/>
        <v>64.755</v>
      </c>
      <c r="F144" s="7">
        <f t="shared" si="1"/>
        <v>346.022</v>
      </c>
      <c r="G144" s="7">
        <f>'Quarterly YTD'!G144</f>
        <v>342.036</v>
      </c>
      <c r="H144" s="7">
        <f>'Annual and Quarterly'!P144</f>
        <v>339.498</v>
      </c>
      <c r="I144" s="7">
        <f>'Annual and Quarterly'!Q144</f>
        <v>313.606</v>
      </c>
      <c r="J144" s="7">
        <f t="shared" si="1"/>
        <v>273.37</v>
      </c>
      <c r="K144" s="7">
        <f>'Quarterly YTD'!K144</f>
        <v>286.402</v>
      </c>
      <c r="L144" s="7">
        <f>'Annual and Quarterly'!T144</f>
        <v>296.536</v>
      </c>
      <c r="M144" s="7">
        <f>'Annual and Quarterly'!U144</f>
        <v>325.37</v>
      </c>
      <c r="N144" s="7">
        <f t="shared" si="1"/>
        <v>328.379</v>
      </c>
      <c r="O144" s="7">
        <f>'Quarterly YTD'!O144</f>
        <v>317.084</v>
      </c>
      <c r="P144" s="7">
        <f>'Annual and Quarterly'!X144</f>
        <v>318.034</v>
      </c>
      <c r="Q144" s="7">
        <f>'Annual and Quarterly'!Y144</f>
        <v>402.706</v>
      </c>
      <c r="R144" s="7">
        <f t="shared" si="1"/>
        <v>315.617</v>
      </c>
      <c r="S144" s="7">
        <f>'Quarterly YTD'!S144</f>
        <v>277.362</v>
      </c>
      <c r="T144" s="7">
        <f>'Annual and Quarterly'!AB144</f>
        <v>309.429</v>
      </c>
      <c r="U144" s="7">
        <f>'Annual and Quarterly'!AC144</f>
        <v>390.014</v>
      </c>
      <c r="V144" s="7">
        <f t="shared" si="1"/>
        <v>347.881</v>
      </c>
      <c r="W144" s="7">
        <f>'Quarterly YTD'!W144</f>
        <v>259.13</v>
      </c>
      <c r="X144" s="7">
        <f>'Annual and Quarterly'!AF144</f>
        <v>654.884</v>
      </c>
      <c r="Y144" s="7">
        <f>'Annual and Quarterly'!AG144</f>
        <v>724.435</v>
      </c>
      <c r="Z144" s="7">
        <f t="shared" si="1"/>
        <v>605.468</v>
      </c>
      <c r="AA144" s="7">
        <f>'Quarterly YTD'!AA144</f>
        <v>484.509</v>
      </c>
      <c r="AB144" s="7">
        <f>'Annual and Quarterly'!AJ144</f>
        <v>488.125</v>
      </c>
      <c r="AC144" s="7">
        <f>'Annual and Quarterly'!AK144</f>
        <v>552.744</v>
      </c>
      <c r="AD144" s="7">
        <f t="shared" si="1"/>
        <v>529.263</v>
      </c>
      <c r="AE144" s="7">
        <f>'Quarterly YTD'!AE144</f>
        <v>474.529</v>
      </c>
      <c r="AF144" s="7">
        <f>'Annual and Quarterly'!AN144</f>
        <v>452.305</v>
      </c>
    </row>
    <row customHeight="1" ht="15">
      <c r="A145" s="9" t="s">
        <v>176</v>
      </c>
      <c r="B145" s="0">
        <v>0</v>
      </c>
      <c r="F145" s="0">
        <v>0</v>
      </c>
      <c r="G145" s="11">
        <f>'Quarterly YTD'!G145</f>
        <v>0</v>
      </c>
      <c r="H145" s="11">
        <f>'Annual and Quarterly'!P145</f>
        <v>0</v>
      </c>
      <c r="I145" s="11">
        <f>'Annual and Quarterly'!Q145</f>
        <v>0</v>
      </c>
      <c r="J145" s="0">
        <v>0</v>
      </c>
      <c r="K145" s="11">
        <f>'Quarterly YTD'!K145</f>
        <v>0</v>
      </c>
      <c r="L145" s="11">
        <f>'Annual and Quarterly'!T145</f>
        <v>0</v>
      </c>
      <c r="M145" s="11">
        <f>'Annual and Quarterly'!U145</f>
        <v>0</v>
      </c>
      <c r="N145" s="0">
        <v>300.92</v>
      </c>
      <c r="O145" s="11">
        <f>'Quarterly YTD'!O145</f>
        <v>306.856</v>
      </c>
      <c r="P145" s="11">
        <f>'Annual and Quarterly'!X145</f>
        <v>312.977</v>
      </c>
      <c r="Q145" s="11">
        <f>'Annual and Quarterly'!Y145</f>
        <v>319.288</v>
      </c>
      <c r="R145" s="0">
        <v>325.726</v>
      </c>
      <c r="S145" s="11">
        <f>'Quarterly YTD'!S145</f>
        <v>332.151</v>
      </c>
      <c r="T145" s="11">
        <f>'Annual and Quarterly'!AB145</f>
        <v>338.776</v>
      </c>
      <c r="U145" s="11">
        <f>'Annual and Quarterly'!AC145</f>
        <v>345.607</v>
      </c>
      <c r="V145" s="0">
        <v>352.576</v>
      </c>
      <c r="W145" s="11">
        <f>'Quarterly YTD'!W145</f>
        <v>359.608</v>
      </c>
      <c r="X145" s="11">
        <f>'Annual and Quarterly'!AF145</f>
        <v>0</v>
      </c>
      <c r="Y145" s="11">
        <f>'Annual and Quarterly'!AG145</f>
        <v>0</v>
      </c>
      <c r="Z145" s="0">
        <v>0</v>
      </c>
      <c r="AA145" s="11">
        <f>'Quarterly YTD'!AA145</f>
        <v>0</v>
      </c>
      <c r="AB145" s="11">
        <f>'Annual and Quarterly'!AJ145</f>
        <v>0</v>
      </c>
      <c r="AC145" s="11">
        <f>'Annual and Quarterly'!AK145</f>
        <v>0</v>
      </c>
      <c r="AD145" s="0">
        <v>0</v>
      </c>
      <c r="AE145" s="11">
        <f>'Quarterly YTD'!AE145</f>
        <v>0</v>
      </c>
      <c r="AF145" s="11">
        <f>'Annual and Quarterly'!AN145</f>
        <v>0</v>
      </c>
    </row>
    <row customHeight="1" ht="15">
      <c r="A146" s="9" t="s">
        <v>177</v>
      </c>
      <c r="B146" s="0">
        <v>0</v>
      </c>
      <c r="F146" s="0">
        <v>161.201</v>
      </c>
      <c r="G146" s="11">
        <f>'Quarterly YTD'!G146</f>
        <v>176.956</v>
      </c>
      <c r="H146" s="11">
        <f>'Annual and Quarterly'!P146</f>
        <v>156.342</v>
      </c>
      <c r="I146" s="11">
        <f>'Annual and Quarterly'!Q146</f>
        <v>143.171</v>
      </c>
      <c r="J146" s="0">
        <v>115.846</v>
      </c>
      <c r="K146" s="11">
        <f>'Quarterly YTD'!K146</f>
        <v>115.424</v>
      </c>
      <c r="L146" s="11">
        <f>'Annual and Quarterly'!T146</f>
        <v>126.875</v>
      </c>
      <c r="M146" s="11">
        <f>'Annual and Quarterly'!U146</f>
        <v>137.183</v>
      </c>
      <c r="N146" s="0">
        <v>126.529</v>
      </c>
      <c r="O146" s="11">
        <f>'Quarterly YTD'!O146</f>
        <v>163.68</v>
      </c>
      <c r="P146" s="11">
        <f>'Annual and Quarterly'!X146</f>
        <v>240.265</v>
      </c>
      <c r="Q146" s="11">
        <f>'Annual and Quarterly'!Y146</f>
        <v>401.568</v>
      </c>
      <c r="R146" s="0">
        <v>363.171</v>
      </c>
      <c r="S146" s="11">
        <f>'Quarterly YTD'!S146</f>
        <v>495.549</v>
      </c>
      <c r="T146" s="11">
        <f>'Annual and Quarterly'!AB146</f>
        <v>619.594</v>
      </c>
      <c r="U146" s="11">
        <f>'Annual and Quarterly'!AC146</f>
        <v>726.86</v>
      </c>
      <c r="V146" s="0">
        <v>786.959</v>
      </c>
      <c r="W146" s="11">
        <f>'Quarterly YTD'!W146</f>
        <v>985.896</v>
      </c>
      <c r="X146" s="11">
        <f>'Annual and Quarterly'!AF146</f>
        <v>1036.177</v>
      </c>
      <c r="Y146" s="11">
        <f>'Annual and Quarterly'!AG146</f>
        <v>983.634</v>
      </c>
      <c r="Z146" s="0">
        <v>1032.356</v>
      </c>
      <c r="AA146" s="11">
        <f>'Quarterly YTD'!AA146</f>
        <v>910.105</v>
      </c>
      <c r="AB146" s="11">
        <f>'Annual and Quarterly'!AJ146</f>
        <v>739.863</v>
      </c>
      <c r="AC146" s="11">
        <f>'Annual and Quarterly'!AK146</f>
        <v>689.379</v>
      </c>
      <c r="AD146" s="0">
        <v>445.296</v>
      </c>
      <c r="AE146" s="11">
        <f>'Quarterly YTD'!AE146</f>
        <v>436.199</v>
      </c>
      <c r="AF146" s="11">
        <f>'Annual and Quarterly'!AN146</f>
        <v>282.202</v>
      </c>
    </row>
    <row customHeight="1" ht="15">
      <c r="A147" s="9" t="s">
        <v>178</v>
      </c>
      <c r="B147" s="0">
        <v>15.888</v>
      </c>
      <c r="F147" s="0">
        <v>270.317</v>
      </c>
      <c r="G147" s="11">
        <f>'Quarterly YTD'!G147</f>
        <v>274.735</v>
      </c>
      <c r="H147" s="11">
        <f>'Annual and Quarterly'!P147</f>
        <v>260.38</v>
      </c>
      <c r="I147" s="11">
        <f>'Annual and Quarterly'!Q147</f>
        <v>248.659</v>
      </c>
      <c r="J147" s="0">
        <v>235.195</v>
      </c>
      <c r="K147" s="11">
        <f>'Quarterly YTD'!K147</f>
        <v>245.667</v>
      </c>
      <c r="L147" s="11">
        <f>'Annual and Quarterly'!T147</f>
        <v>257.194</v>
      </c>
      <c r="M147" s="11">
        <f>'Annual and Quarterly'!U147</f>
        <v>269.863</v>
      </c>
      <c r="N147" s="0">
        <v>281.613</v>
      </c>
      <c r="O147" s="11">
        <f>'Quarterly YTD'!O147</f>
        <v>290.701</v>
      </c>
      <c r="P147" s="11">
        <f>'Annual and Quarterly'!X147</f>
        <v>302.952</v>
      </c>
      <c r="Q147" s="11">
        <f>'Annual and Quarterly'!Y147</f>
        <v>259.431</v>
      </c>
      <c r="R147" s="0">
        <v>234.09</v>
      </c>
      <c r="S147" s="11">
        <f>'Quarterly YTD'!S147</f>
        <v>228.704</v>
      </c>
      <c r="T147" s="11">
        <f>'Annual and Quarterly'!AB147</f>
        <v>202.715</v>
      </c>
      <c r="U147" s="11">
        <f>'Annual and Quarterly'!AC147</f>
        <v>199.731</v>
      </c>
      <c r="V147" s="0">
        <v>29.985</v>
      </c>
      <c r="W147" s="11">
        <f>'Quarterly YTD'!W147</f>
        <v>30.187</v>
      </c>
      <c r="X147" s="11">
        <f>'Annual and Quarterly'!AF147</f>
        <v>316.706</v>
      </c>
      <c r="Y147" s="11">
        <f>'Annual and Quarterly'!AG147</f>
        <v>302.877</v>
      </c>
      <c r="Z147" s="0">
        <v>320.833</v>
      </c>
      <c r="AA147" s="11">
        <f>'Quarterly YTD'!AA147</f>
        <v>312.062</v>
      </c>
      <c r="AB147" s="11">
        <f>'Annual and Quarterly'!AJ147</f>
        <v>311.062</v>
      </c>
      <c r="AC147" s="11">
        <f>'Annual and Quarterly'!AK147</f>
        <v>308.647</v>
      </c>
      <c r="AD147" s="0">
        <v>338.77</v>
      </c>
      <c r="AE147" s="11">
        <f>'Quarterly YTD'!AE147</f>
        <v>356.723</v>
      </c>
      <c r="AF147" s="11">
        <f>'Annual and Quarterly'!AN147</f>
        <v>378.408</v>
      </c>
    </row>
    <row customHeight="1" ht="15">
      <c r="A148" s="9" t="s">
        <v>179</v>
      </c>
      <c r="B148" s="0">
        <v>1.016</v>
      </c>
      <c r="F148" s="0">
        <v>0.773</v>
      </c>
      <c r="G148" s="11">
        <f>'Quarterly YTD'!G148</f>
        <v>0.713</v>
      </c>
      <c r="H148" s="11">
        <f>'Annual and Quarterly'!P148</f>
        <v>0.654</v>
      </c>
      <c r="I148" s="11">
        <f>'Annual and Quarterly'!Q148</f>
        <v>0.594</v>
      </c>
      <c r="J148" s="0">
        <v>0.535</v>
      </c>
      <c r="K148" s="11">
        <f>'Quarterly YTD'!K148</f>
        <v>0.475</v>
      </c>
      <c r="L148" s="11">
        <f>'Annual and Quarterly'!T148</f>
        <v>0.416</v>
      </c>
      <c r="M148" s="11">
        <f>'Annual and Quarterly'!U148</f>
        <v>0.357</v>
      </c>
      <c r="N148" s="0">
        <v>0.298</v>
      </c>
      <c r="O148" s="11">
        <f>'Quarterly YTD'!O148</f>
        <v>0.244</v>
      </c>
      <c r="P148" s="11">
        <f>'Annual and Quarterly'!X148</f>
        <v>0.197</v>
      </c>
      <c r="Q148" s="11">
        <f>'Annual and Quarterly'!Y148</f>
        <v>0.151</v>
      </c>
      <c r="R148" s="0">
        <v>0</v>
      </c>
      <c r="S148" s="11">
        <f>'Quarterly YTD'!S148</f>
        <v>0.062</v>
      </c>
      <c r="T148" s="11">
        <f>'Annual and Quarterly'!AB148</f>
        <v>0.349</v>
      </c>
      <c r="U148" s="11">
        <f>'Annual and Quarterly'!AC148</f>
        <v>0.326</v>
      </c>
      <c r="V148" s="0">
        <v>0</v>
      </c>
      <c r="W148" s="11">
        <f>'Quarterly YTD'!W148</f>
        <v>0</v>
      </c>
      <c r="X148" s="11">
        <f>'Annual and Quarterly'!AF148</f>
        <v>0</v>
      </c>
      <c r="Y148" s="11">
        <f>'Annual and Quarterly'!AG148</f>
        <v>0</v>
      </c>
      <c r="Z148" s="0">
        <v>0</v>
      </c>
      <c r="AA148" s="11">
        <f>'Quarterly YTD'!AA148</f>
        <v>0</v>
      </c>
      <c r="AB148" s="11">
        <f>'Annual and Quarterly'!AJ148</f>
        <v>0</v>
      </c>
      <c r="AC148" s="11">
        <f>'Annual and Quarterly'!AK148</f>
        <v>0</v>
      </c>
      <c r="AD148" s="0">
        <v>0</v>
      </c>
      <c r="AE148" s="11">
        <f>'Quarterly YTD'!AE148</f>
        <v>0</v>
      </c>
      <c r="AF148" s="11">
        <f>'Annual and Quarterly'!AN148</f>
        <v>0</v>
      </c>
    </row>
    <row customHeight="1" ht="15">
      <c r="A149" s="9" t="s">
        <v>91</v>
      </c>
      <c r="B149" s="0">
        <v>0.363</v>
      </c>
      <c r="F149" s="0">
        <v>1.097</v>
      </c>
      <c r="G149" s="11">
        <f>'Quarterly YTD'!G149</f>
        <v>0.692</v>
      </c>
      <c r="H149" s="11">
        <f>'Annual and Quarterly'!P149</f>
        <v>0.743</v>
      </c>
      <c r="I149" s="11">
        <f>'Annual and Quarterly'!Q149</f>
        <v>0.687</v>
      </c>
      <c r="J149" s="0">
        <v>0.505</v>
      </c>
      <c r="K149" s="11">
        <f>'Quarterly YTD'!K149</f>
        <v>0.535</v>
      </c>
      <c r="L149" s="11">
        <f>'Annual and Quarterly'!T149</f>
        <v>1.125</v>
      </c>
      <c r="M149" s="11">
        <f>'Annual and Quarterly'!U149</f>
        <v>1.154</v>
      </c>
      <c r="N149" s="0">
        <v>0.385</v>
      </c>
      <c r="O149" s="11">
        <f>'Quarterly YTD'!O149</f>
        <v>0.295</v>
      </c>
      <c r="P149" s="11">
        <f>'Annual and Quarterly'!X149</f>
        <v>0.274</v>
      </c>
      <c r="Q149" s="11">
        <f>'Annual and Quarterly'!Y149</f>
        <v>1.068</v>
      </c>
      <c r="R149" s="0">
        <v>1.068</v>
      </c>
      <c r="S149" s="11">
        <f>'Quarterly YTD'!S149</f>
        <v>2.054</v>
      </c>
      <c r="T149" s="11">
        <f>'Annual and Quarterly'!AB149</f>
        <v>2.326</v>
      </c>
      <c r="U149" s="11">
        <f>'Annual and Quarterly'!AC149</f>
        <v>2.051</v>
      </c>
      <c r="V149" s="0">
        <v>0.845</v>
      </c>
      <c r="W149" s="11">
        <f>'Quarterly YTD'!W149</f>
        <v>0.9</v>
      </c>
      <c r="X149" s="11">
        <f>'Annual and Quarterly'!AF149</f>
        <v>1.915</v>
      </c>
      <c r="Y149" s="11">
        <f>'Annual and Quarterly'!AG149</f>
        <v>2.274</v>
      </c>
      <c r="Z149" s="0">
        <v>1.971</v>
      </c>
      <c r="AA149" s="11">
        <f>'Quarterly YTD'!AA149</f>
        <v>0.648</v>
      </c>
      <c r="AB149" s="11">
        <f>'Annual and Quarterly'!AJ149</f>
        <v>0.647</v>
      </c>
      <c r="AC149" s="11">
        <f>'Annual and Quarterly'!AK149</f>
        <v>0.653</v>
      </c>
      <c r="AD149" s="0">
        <v>0.429</v>
      </c>
      <c r="AE149" s="11">
        <f>'Quarterly YTD'!AE149</f>
        <v>0.465</v>
      </c>
      <c r="AF149" s="11">
        <f>'Annual and Quarterly'!AN149</f>
        <v>0.452</v>
      </c>
    </row>
    <row customHeight="1" ht="15">
      <c r="A150" s="9" t="s">
        <v>180</v>
      </c>
      <c r="B150" s="0">
        <v>0.432</v>
      </c>
      <c r="F150" s="0">
        <v>4.6</v>
      </c>
      <c r="G150" s="11">
        <f>'Quarterly YTD'!G150</f>
        <v>4.142</v>
      </c>
      <c r="H150" s="11">
        <f>'Annual and Quarterly'!P150</f>
        <v>3.468</v>
      </c>
      <c r="I150" s="11">
        <f>'Annual and Quarterly'!Q150</f>
        <v>3.41</v>
      </c>
      <c r="J150" s="0">
        <v>2.45</v>
      </c>
      <c r="K150" s="11">
        <f>'Quarterly YTD'!K150</f>
        <v>2.739</v>
      </c>
      <c r="L150" s="11">
        <f>'Annual and Quarterly'!T150</f>
        <v>5.838</v>
      </c>
      <c r="M150" s="11">
        <f>'Annual and Quarterly'!U150</f>
        <v>11.883</v>
      </c>
      <c r="N150" s="0">
        <v>18.537</v>
      </c>
      <c r="O150" s="11">
        <f>'Quarterly YTD'!O150</f>
        <v>18.196</v>
      </c>
      <c r="P150" s="11">
        <f>'Annual and Quarterly'!X150</f>
        <v>20.674</v>
      </c>
      <c r="Q150" s="11">
        <f>'Annual and Quarterly'!Y150</f>
        <v>23.688</v>
      </c>
      <c r="R150" s="0">
        <v>12.387</v>
      </c>
      <c r="S150" s="11">
        <f>'Quarterly YTD'!S150</f>
        <v>21.263</v>
      </c>
      <c r="T150" s="11">
        <f>'Annual and Quarterly'!AB150</f>
        <v>22.902</v>
      </c>
      <c r="U150" s="11">
        <f>'Annual and Quarterly'!AC150</f>
        <v>26.658</v>
      </c>
      <c r="V150" s="0">
        <v>7.705</v>
      </c>
      <c r="W150" s="11">
        <f>'Quarterly YTD'!W150</f>
        <v>7.648</v>
      </c>
      <c r="X150" s="11">
        <f>'Annual and Quarterly'!AF150</f>
        <v>7.138</v>
      </c>
      <c r="Y150" s="11">
        <f>'Annual and Quarterly'!AG150</f>
        <v>5.95</v>
      </c>
      <c r="Z150" s="0">
        <v>3.883</v>
      </c>
      <c r="AA150" s="11">
        <f>'Quarterly YTD'!AA150</f>
        <v>3.643</v>
      </c>
      <c r="AB150" s="11">
        <f>'Annual and Quarterly'!AJ150</f>
        <v>2.942</v>
      </c>
      <c r="AC150" s="11">
        <f>'Annual and Quarterly'!AK150</f>
        <v>3.666</v>
      </c>
      <c r="AD150" s="0">
        <v>3.748</v>
      </c>
      <c r="AE150" s="11">
        <f>'Quarterly YTD'!AE150</f>
        <v>3.497</v>
      </c>
      <c r="AF150" s="11">
        <f>'Annual and Quarterly'!AN150</f>
        <v>3.591</v>
      </c>
    </row>
    <row customHeight="1" ht="15">
      <c r="A151" s="9" t="s">
        <v>181</v>
      </c>
      <c r="B151" s="0">
        <v>0</v>
      </c>
      <c r="F151" s="0">
        <v>0</v>
      </c>
      <c r="G151" s="11">
        <f>'Quarterly YTD'!G151</f>
        <v>0</v>
      </c>
      <c r="H151" s="11">
        <f>'Annual and Quarterly'!P151</f>
        <v>0</v>
      </c>
      <c r="I151" s="11">
        <f>'Annual and Quarterly'!Q151</f>
        <v>0</v>
      </c>
      <c r="J151" s="0">
        <v>0</v>
      </c>
      <c r="K151" s="11">
        <f>'Quarterly YTD'!K151</f>
        <v>0</v>
      </c>
      <c r="L151" s="11">
        <f>'Annual and Quarterly'!T151</f>
        <v>0</v>
      </c>
      <c r="M151" s="11">
        <f>'Annual and Quarterly'!U151</f>
        <v>0</v>
      </c>
      <c r="N151" s="0">
        <v>0</v>
      </c>
      <c r="O151" s="11">
        <f>'Quarterly YTD'!O151</f>
        <v>0</v>
      </c>
      <c r="P151" s="11">
        <f>'Annual and Quarterly'!X151</f>
        <v>0</v>
      </c>
      <c r="Q151" s="11">
        <f>'Annual and Quarterly'!Y151</f>
        <v>0</v>
      </c>
      <c r="R151" s="0">
        <v>8.767</v>
      </c>
      <c r="S151" s="11">
        <f>'Quarterly YTD'!S151</f>
        <v>0</v>
      </c>
      <c r="T151" s="11">
        <f>'Annual and Quarterly'!AB151</f>
        <v>0</v>
      </c>
      <c r="U151" s="11">
        <f>'Annual and Quarterly'!AC151</f>
        <v>0</v>
      </c>
      <c r="V151" s="0">
        <v>15.813</v>
      </c>
      <c r="W151" s="11">
        <f>'Quarterly YTD'!W151</f>
        <v>16.832</v>
      </c>
      <c r="X151" s="11">
        <f>'Annual and Quarterly'!AF151</f>
        <v>15.567</v>
      </c>
      <c r="Y151" s="11">
        <f>'Annual and Quarterly'!AG151</f>
        <v>13.523</v>
      </c>
      <c r="Z151" s="0">
        <v>19.89</v>
      </c>
      <c r="AA151" s="11">
        <f>'Quarterly YTD'!AA151</f>
        <v>13.498</v>
      </c>
      <c r="AB151" s="11">
        <f>'Annual and Quarterly'!AJ151</f>
        <v>19.913</v>
      </c>
      <c r="AC151" s="11">
        <f>'Annual and Quarterly'!AK151</f>
        <v>22.214</v>
      </c>
      <c r="AD151" s="0">
        <v>22.792</v>
      </c>
      <c r="AE151" s="11">
        <f>'Quarterly YTD'!AE151</f>
        <v>16.695</v>
      </c>
      <c r="AF151" s="11">
        <f>'Annual and Quarterly'!AN151</f>
        <v>16.575</v>
      </c>
    </row>
    <row customHeight="1" ht="15">
      <c r="A152" s="9" t="s">
        <v>182</v>
      </c>
      <c r="B152" s="0">
        <v>1.606</v>
      </c>
      <c r="F152" s="0">
        <v>14.434</v>
      </c>
      <c r="G152" s="11">
        <f>'Quarterly YTD'!G152</f>
        <v>21.279</v>
      </c>
      <c r="H152" s="11">
        <f>'Annual and Quarterly'!P152</f>
        <v>19.693</v>
      </c>
      <c r="I152" s="11">
        <f>'Annual and Quarterly'!Q152</f>
        <v>20.372</v>
      </c>
      <c r="J152" s="0">
        <v>18.275</v>
      </c>
      <c r="K152" s="11">
        <f>'Quarterly YTD'!K152</f>
        <v>18.249</v>
      </c>
      <c r="L152" s="11">
        <f>'Annual and Quarterly'!T152</f>
        <v>9.143</v>
      </c>
      <c r="M152" s="11">
        <f>'Annual and Quarterly'!U152</f>
        <v>9.402</v>
      </c>
      <c r="N152" s="0">
        <v>11.626</v>
      </c>
      <c r="O152" s="11">
        <f>'Quarterly YTD'!O152</f>
        <v>8.797</v>
      </c>
      <c r="P152" s="11">
        <f>'Annual and Quarterly'!X152</f>
        <v>10.105</v>
      </c>
      <c r="Q152" s="11">
        <f>'Annual and Quarterly'!Y152</f>
        <v>11.423</v>
      </c>
      <c r="R152" s="0">
        <v>11.151</v>
      </c>
      <c r="S152" s="11">
        <f>'Quarterly YTD'!S152</f>
        <v>13.922</v>
      </c>
      <c r="T152" s="11">
        <f>'Annual and Quarterly'!AB152</f>
        <v>13.366</v>
      </c>
      <c r="U152" s="11">
        <f>'Annual and Quarterly'!AC152</f>
        <v>13.474</v>
      </c>
      <c r="V152" s="0">
        <v>17.161</v>
      </c>
      <c r="W152" s="11">
        <f>'Quarterly YTD'!W152</f>
        <v>20.193</v>
      </c>
      <c r="X152" s="11">
        <f>'Annual and Quarterly'!AF152</f>
        <v>17.216</v>
      </c>
      <c r="Y152" s="11">
        <f>'Annual and Quarterly'!AG152</f>
        <v>18.026</v>
      </c>
      <c r="Z152" s="0">
        <v>23.879</v>
      </c>
      <c r="AA152" s="11">
        <f>'Quarterly YTD'!AA152</f>
        <v>18.78</v>
      </c>
      <c r="AB152" s="11">
        <f>'Annual and Quarterly'!AJ152</f>
        <v>19.705</v>
      </c>
      <c r="AC152" s="11">
        <f>'Annual and Quarterly'!AK152</f>
        <v>19.065</v>
      </c>
      <c r="AD152" s="0">
        <v>20.088</v>
      </c>
      <c r="AE152" s="11">
        <f>'Quarterly YTD'!AE152</f>
        <v>21.475</v>
      </c>
      <c r="AF152" s="11">
        <f>'Annual and Quarterly'!AN152</f>
        <v>22.529</v>
      </c>
    </row>
    <row customHeight="1" ht="15">
      <c r="A153" s="9" t="s">
        <v>150</v>
      </c>
      <c r="B153" s="0">
        <v>0</v>
      </c>
      <c r="F153" s="0">
        <v>4.686</v>
      </c>
      <c r="G153" s="11">
        <f>'Quarterly YTD'!G153</f>
        <v>3.747</v>
      </c>
      <c r="H153" s="11">
        <f>'Annual and Quarterly'!P153</f>
        <v>4.893</v>
      </c>
      <c r="I153" s="11">
        <f>'Annual and Quarterly'!Q153</f>
        <v>8.25</v>
      </c>
      <c r="J153" s="0">
        <v>12.453</v>
      </c>
      <c r="K153" s="11">
        <f>'Quarterly YTD'!K153</f>
        <v>9.132</v>
      </c>
      <c r="L153" s="11">
        <f>'Annual and Quarterly'!T153</f>
        <v>9.855</v>
      </c>
      <c r="M153" s="11">
        <f>'Annual and Quarterly'!U153</f>
        <v>7.13</v>
      </c>
      <c r="N153" s="0">
        <v>5.865</v>
      </c>
      <c r="O153" s="11">
        <f>'Quarterly YTD'!O153</f>
        <v>5.003</v>
      </c>
      <c r="P153" s="11">
        <f>'Annual and Quarterly'!X153</f>
        <v>0</v>
      </c>
      <c r="Q153" s="11">
        <f>'Annual and Quarterly'!Y153</f>
        <v>0</v>
      </c>
      <c r="R153" s="0">
        <v>0.195</v>
      </c>
      <c r="S153" s="11">
        <f>'Quarterly YTD'!S153</f>
        <v>0.691</v>
      </c>
      <c r="T153" s="11">
        <f>'Annual and Quarterly'!AB153</f>
        <v>0.701</v>
      </c>
      <c r="U153" s="11">
        <f>'Annual and Quarterly'!AC153</f>
        <v>0</v>
      </c>
      <c r="V153" s="0">
        <v>1.464</v>
      </c>
      <c r="W153" s="11">
        <f>'Quarterly YTD'!W153</f>
        <v>0.054</v>
      </c>
      <c r="X153" s="11">
        <f>'Annual and Quarterly'!AF153</f>
        <v>0</v>
      </c>
      <c r="Y153" s="11">
        <f>'Annual and Quarterly'!AG153</f>
        <v>4.336</v>
      </c>
      <c r="Z153" s="0">
        <v>0</v>
      </c>
      <c r="AA153" s="11">
        <f>'Quarterly YTD'!AA153</f>
        <v>0.334</v>
      </c>
      <c r="AB153" s="11">
        <f>'Annual and Quarterly'!AJ153</f>
        <v>9.032</v>
      </c>
      <c r="AC153" s="11">
        <f>'Annual and Quarterly'!AK153</f>
        <v>7.825</v>
      </c>
      <c r="AD153" s="0">
        <v>7.515</v>
      </c>
      <c r="AE153" s="11">
        <f>'Quarterly YTD'!AE153</f>
        <v>5.191</v>
      </c>
      <c r="AF153" s="11">
        <f>'Annual and Quarterly'!AN153</f>
        <v>5.127</v>
      </c>
    </row>
    <row customHeight="1" ht="15">
      <c r="A154" s="4" t="s">
        <v>183</v>
      </c>
      <c r="B154" s="7">
        <f t="shared" si="23" ref="B154:F154">SUM(B146:B150)+SUM(B152:B153)</f>
        <v>19.305</v>
      </c>
      <c r="F154" s="7">
        <f t="shared" si="23"/>
        <v>457.108</v>
      </c>
      <c r="G154" s="7">
        <f>'Quarterly YTD'!G154</f>
        <v>482.264</v>
      </c>
      <c r="H154" s="7">
        <f>'Annual and Quarterly'!P154</f>
        <v>446.173</v>
      </c>
      <c r="I154" s="7">
        <f>'Annual and Quarterly'!Q154</f>
        <v>425.143</v>
      </c>
      <c r="J154" s="7">
        <f t="shared" si="24" ref="J154:AD164">SUM(J145:J150)+SUM(J152:J153)</f>
        <v>385.259</v>
      </c>
      <c r="K154" s="7">
        <f>'Quarterly YTD'!K154</f>
        <v>392.221</v>
      </c>
      <c r="L154" s="7">
        <f>'Annual and Quarterly'!T154</f>
        <v>410.446</v>
      </c>
      <c r="M154" s="7">
        <f>'Annual and Quarterly'!U154</f>
        <v>436.972</v>
      </c>
      <c r="N154" s="7">
        <f t="shared" si="24"/>
        <v>745.773</v>
      </c>
      <c r="O154" s="7">
        <f>'Quarterly YTD'!O154</f>
        <v>793.772</v>
      </c>
      <c r="P154" s="7">
        <f>'Annual and Quarterly'!X154</f>
        <v>887.444</v>
      </c>
      <c r="Q154" s="7">
        <f>'Annual and Quarterly'!Y154</f>
        <v>1016.617</v>
      </c>
      <c r="R154" s="7">
        <f t="shared" si="25" ref="R154:V154">SUM(R145:R147)+SUM(R149:R153)</f>
        <v>956.555</v>
      </c>
      <c r="S154" s="7">
        <f>'Quarterly YTD'!S154</f>
        <v>1094.396</v>
      </c>
      <c r="T154" s="7">
        <f>'Annual and Quarterly'!AB154</f>
        <v>1200.729</v>
      </c>
      <c r="U154" s="7">
        <f>'Annual and Quarterly'!AC154</f>
        <v>1314.707</v>
      </c>
      <c r="V154" s="7">
        <f t="shared" si="25"/>
        <v>1212.508</v>
      </c>
      <c r="W154" s="7">
        <f>'Quarterly YTD'!W154</f>
        <v>1421.318</v>
      </c>
      <c r="X154" s="7">
        <f>'Annual and Quarterly'!AF154</f>
        <v>1394.719</v>
      </c>
      <c r="Y154" s="7">
        <f>'Annual and Quarterly'!AG154</f>
        <v>1330.62</v>
      </c>
      <c r="Z154" s="7">
        <f t="shared" si="26" ref="Z154:AD154">SUM(Z146:Z147)+SUM(Z149:Z153)</f>
        <v>1402.812</v>
      </c>
      <c r="AA154" s="7">
        <f>'Quarterly YTD'!AA154</f>
        <v>1259.07</v>
      </c>
      <c r="AB154" s="7">
        <f>'Annual and Quarterly'!AJ154</f>
        <v>1103.164</v>
      </c>
      <c r="AC154" s="7">
        <f>'Annual and Quarterly'!AK154</f>
        <v>1051.449</v>
      </c>
      <c r="AD154" s="7">
        <f t="shared" si="26"/>
        <v>838.638</v>
      </c>
      <c r="AE154" s="7">
        <f>'Quarterly YTD'!AE154</f>
        <v>840.245</v>
      </c>
      <c r="AF154" s="7">
        <f>'Annual and Quarterly'!AN154</f>
        <v>708.884</v>
      </c>
    </row>
    <row customHeight="1" ht="15">
      <c r="A155" s="9" t="s">
        <v>180</v>
      </c>
      <c r="B155" s="0">
        <v>41.04</v>
      </c>
      <c r="F155" s="0">
        <v>121.769</v>
      </c>
      <c r="G155" s="11">
        <f>'Quarterly YTD'!G155</f>
        <v>179.378</v>
      </c>
      <c r="H155" s="11">
        <f>'Annual and Quarterly'!P155</f>
        <v>175.883</v>
      </c>
      <c r="I155" s="11">
        <f>'Annual and Quarterly'!Q155</f>
        <v>180.75</v>
      </c>
      <c r="J155" s="0">
        <v>164.928</v>
      </c>
      <c r="K155" s="11">
        <f>'Quarterly YTD'!K155</f>
        <v>180.752</v>
      </c>
      <c r="L155" s="11">
        <f>'Annual and Quarterly'!T155</f>
        <v>194.725</v>
      </c>
      <c r="M155" s="11">
        <f>'Annual and Quarterly'!U155</f>
        <v>209.582</v>
      </c>
      <c r="N155" s="0">
        <v>217.366</v>
      </c>
      <c r="O155" s="11">
        <f>'Quarterly YTD'!O155</f>
        <v>252.499</v>
      </c>
      <c r="P155" s="11">
        <f>'Annual and Quarterly'!X155</f>
        <v>267.528</v>
      </c>
      <c r="Q155" s="11">
        <f>'Annual and Quarterly'!Y155</f>
        <v>274.368</v>
      </c>
      <c r="R155" s="0">
        <v>238.744</v>
      </c>
      <c r="S155" s="11">
        <f>'Quarterly YTD'!S155</f>
        <v>286.91</v>
      </c>
      <c r="T155" s="11">
        <f>'Annual and Quarterly'!AB155</f>
        <v>306.421</v>
      </c>
      <c r="U155" s="11">
        <f>'Annual and Quarterly'!AC155</f>
        <v>331.729</v>
      </c>
      <c r="V155" s="0">
        <v>306.4</v>
      </c>
      <c r="W155" s="11">
        <f>'Quarterly YTD'!W155</f>
        <v>364.416</v>
      </c>
      <c r="X155" s="11">
        <f>'Annual and Quarterly'!AF155</f>
        <v>372.439</v>
      </c>
      <c r="Y155" s="11">
        <f>'Annual and Quarterly'!AG155</f>
        <v>403.781</v>
      </c>
      <c r="Z155" s="0">
        <v>409.09</v>
      </c>
      <c r="AA155" s="11">
        <f>'Quarterly YTD'!AA155</f>
        <v>420.052</v>
      </c>
      <c r="AB155" s="11">
        <f>'Annual and Quarterly'!AJ155</f>
        <v>408.194</v>
      </c>
      <c r="AC155" s="11">
        <f>'Annual and Quarterly'!AK155</f>
        <v>373.426</v>
      </c>
      <c r="AD155" s="0">
        <v>307.056</v>
      </c>
      <c r="AE155" s="11">
        <f>'Quarterly YTD'!AE155</f>
        <v>358.296</v>
      </c>
      <c r="AF155" s="11">
        <f>'Annual and Quarterly'!AN155</f>
        <v>351.293</v>
      </c>
    </row>
    <row customHeight="1" ht="15">
      <c r="A156" s="9" t="s">
        <v>181</v>
      </c>
      <c r="B156" s="0">
        <v>0</v>
      </c>
      <c r="F156" s="0">
        <v>0</v>
      </c>
      <c r="G156" s="11">
        <f>'Quarterly YTD'!G156</f>
        <v>0</v>
      </c>
      <c r="H156" s="11">
        <f>'Annual and Quarterly'!P156</f>
        <v>0</v>
      </c>
      <c r="I156" s="11">
        <f>'Annual and Quarterly'!Q156</f>
        <v>0</v>
      </c>
      <c r="J156" s="0">
        <v>0</v>
      </c>
      <c r="K156" s="11">
        <f>'Quarterly YTD'!K156</f>
        <v>0</v>
      </c>
      <c r="L156" s="11">
        <f>'Annual and Quarterly'!T156</f>
        <v>0</v>
      </c>
      <c r="M156" s="11">
        <f>'Annual and Quarterly'!U156</f>
        <v>0</v>
      </c>
      <c r="N156" s="0">
        <v>0</v>
      </c>
      <c r="O156" s="11">
        <f>'Quarterly YTD'!O156</f>
        <v>0</v>
      </c>
      <c r="P156" s="11">
        <f>'Annual and Quarterly'!X156</f>
        <v>0</v>
      </c>
      <c r="Q156" s="11">
        <f>'Annual and Quarterly'!Y156</f>
        <v>0</v>
      </c>
      <c r="R156" s="0">
        <v>19.309</v>
      </c>
      <c r="S156" s="11">
        <f>'Quarterly YTD'!S156</f>
        <v>0</v>
      </c>
      <c r="T156" s="11">
        <f>'Annual and Quarterly'!AB156</f>
        <v>0</v>
      </c>
      <c r="U156" s="11">
        <f>'Annual and Quarterly'!AC156</f>
        <v>0</v>
      </c>
      <c r="V156" s="0">
        <v>38.944</v>
      </c>
      <c r="W156" s="11">
        <f>'Quarterly YTD'!W156</f>
        <v>32.663</v>
      </c>
      <c r="X156" s="11">
        <f>'Annual and Quarterly'!AF156</f>
        <v>27.324</v>
      </c>
      <c r="Y156" s="11">
        <f>'Annual and Quarterly'!AG156</f>
        <v>26.309</v>
      </c>
      <c r="Z156" s="0">
        <v>50.496</v>
      </c>
      <c r="AA156" s="11">
        <f>'Quarterly YTD'!AA156</f>
        <v>47.306</v>
      </c>
      <c r="AB156" s="11">
        <f>'Annual and Quarterly'!AJ156</f>
        <v>32.963</v>
      </c>
      <c r="AC156" s="11">
        <f>'Annual and Quarterly'!AK156</f>
        <v>33.543</v>
      </c>
      <c r="AD156" s="0">
        <v>20.889</v>
      </c>
      <c r="AE156" s="11">
        <f>'Quarterly YTD'!AE156</f>
        <v>23.873</v>
      </c>
      <c r="AF156" s="11">
        <f>'Annual and Quarterly'!AN156</f>
        <v>21.3</v>
      </c>
    </row>
    <row customHeight="1" ht="15">
      <c r="A157" s="9" t="s">
        <v>177</v>
      </c>
      <c r="B157" s="0">
        <v>0</v>
      </c>
      <c r="F157" s="0">
        <v>75.992</v>
      </c>
      <c r="G157" s="11">
        <f>'Quarterly YTD'!G157</f>
        <v>89.06</v>
      </c>
      <c r="H157" s="11">
        <f>'Annual and Quarterly'!P157</f>
        <v>70.236</v>
      </c>
      <c r="I157" s="11">
        <f>'Annual and Quarterly'!Q157</f>
        <v>63.361</v>
      </c>
      <c r="J157" s="0">
        <v>49.978</v>
      </c>
      <c r="K157" s="11">
        <f>'Quarterly YTD'!K157</f>
        <v>39.767</v>
      </c>
      <c r="L157" s="11">
        <f>'Annual and Quarterly'!T157</f>
        <v>40.965</v>
      </c>
      <c r="M157" s="11">
        <f>'Annual and Quarterly'!U157</f>
        <v>44.755</v>
      </c>
      <c r="N157" s="0">
        <v>54.226</v>
      </c>
      <c r="O157" s="11">
        <f>'Quarterly YTD'!O157</f>
        <v>60.611</v>
      </c>
      <c r="P157" s="11">
        <f>'Annual and Quarterly'!X157</f>
        <v>80.701</v>
      </c>
      <c r="Q157" s="11">
        <f>'Annual and Quarterly'!Y157</f>
        <v>114.411</v>
      </c>
      <c r="R157" s="0">
        <v>106.285</v>
      </c>
      <c r="S157" s="11">
        <f>'Quarterly YTD'!S157</f>
        <v>134.131</v>
      </c>
      <c r="T157" s="11">
        <f>'Annual and Quarterly'!AB157</f>
        <v>153.455</v>
      </c>
      <c r="U157" s="11">
        <f>'Annual and Quarterly'!AC157</f>
        <v>192.188</v>
      </c>
      <c r="V157" s="0">
        <v>219.148</v>
      </c>
      <c r="W157" s="11">
        <f>'Quarterly YTD'!W157</f>
        <v>243.337</v>
      </c>
      <c r="X157" s="11">
        <f>'Annual and Quarterly'!AF157</f>
        <v>260.72</v>
      </c>
      <c r="Y157" s="11">
        <f>'Annual and Quarterly'!AG157</f>
        <v>258.393</v>
      </c>
      <c r="Z157" s="0">
        <v>310.354</v>
      </c>
      <c r="AA157" s="11">
        <f>'Quarterly YTD'!AA157</f>
        <v>282.136</v>
      </c>
      <c r="AB157" s="11">
        <f>'Annual and Quarterly'!AJ157</f>
        <v>240.277</v>
      </c>
      <c r="AC157" s="11">
        <f>'Annual and Quarterly'!AK157</f>
        <v>230.835</v>
      </c>
      <c r="AD157" s="0">
        <v>192.583</v>
      </c>
      <c r="AE157" s="11">
        <f>'Quarterly YTD'!AE157</f>
        <v>191.612</v>
      </c>
      <c r="AF157" s="11">
        <f>'Annual and Quarterly'!AN157</f>
        <v>138.128</v>
      </c>
    </row>
    <row customHeight="1" ht="15">
      <c r="A158" s="9" t="s">
        <v>178</v>
      </c>
      <c r="B158" s="0">
        <v>35.21</v>
      </c>
      <c r="F158" s="0">
        <v>6.817</v>
      </c>
      <c r="G158" s="11">
        <f>'Quarterly YTD'!G158</f>
        <v>6.749</v>
      </c>
      <c r="H158" s="11">
        <f>'Annual and Quarterly'!P158</f>
        <v>2.181</v>
      </c>
      <c r="I158" s="11">
        <f>'Annual and Quarterly'!Q158</f>
        <v>1.997</v>
      </c>
      <c r="J158" s="0">
        <v>5.565</v>
      </c>
      <c r="K158" s="11">
        <f>'Quarterly YTD'!K158</f>
        <v>5.906</v>
      </c>
      <c r="L158" s="11">
        <f>'Annual and Quarterly'!T158</f>
        <v>6.393</v>
      </c>
      <c r="M158" s="11">
        <f>'Annual and Quarterly'!U158</f>
        <v>9.357</v>
      </c>
      <c r="N158" s="0">
        <v>17.301</v>
      </c>
      <c r="O158" s="11">
        <f>'Quarterly YTD'!O158</f>
        <v>14.619</v>
      </c>
      <c r="P158" s="11">
        <f>'Annual and Quarterly'!X158</f>
        <v>15.224</v>
      </c>
      <c r="Q158" s="11">
        <f>'Annual and Quarterly'!Y158</f>
        <v>23.706</v>
      </c>
      <c r="R158" s="0">
        <v>14.307</v>
      </c>
      <c r="S158" s="11">
        <f>'Quarterly YTD'!S158</f>
        <v>10.513</v>
      </c>
      <c r="T158" s="11">
        <f>'Annual and Quarterly'!AB158</f>
        <v>9.139</v>
      </c>
      <c r="U158" s="11">
        <f>'Annual and Quarterly'!AC158</f>
        <v>26.412</v>
      </c>
      <c r="V158" s="0">
        <v>184.749</v>
      </c>
      <c r="W158" s="11">
        <f>'Quarterly YTD'!W158</f>
        <v>190.487</v>
      </c>
      <c r="X158" s="11">
        <f>'Annual and Quarterly'!AF158</f>
        <v>24.305</v>
      </c>
      <c r="Y158" s="11">
        <f>'Annual and Quarterly'!AG158</f>
        <v>32.635</v>
      </c>
      <c r="Z158" s="0">
        <v>35.866</v>
      </c>
      <c r="AA158" s="11">
        <f>'Quarterly YTD'!AA158</f>
        <v>69.749</v>
      </c>
      <c r="AB158" s="11">
        <f>'Annual and Quarterly'!AJ158</f>
        <v>64.278</v>
      </c>
      <c r="AC158" s="11">
        <f>'Annual and Quarterly'!AK158</f>
        <v>70.853</v>
      </c>
      <c r="AD158" s="0">
        <v>62.25</v>
      </c>
      <c r="AE158" s="11">
        <f>'Quarterly YTD'!AE158</f>
        <v>88.593</v>
      </c>
      <c r="AF158" s="11">
        <f>'Annual and Quarterly'!AN158</f>
        <v>134.658</v>
      </c>
    </row>
    <row customHeight="1" ht="15">
      <c r="A159" s="9" t="s">
        <v>184</v>
      </c>
      <c r="B159" s="0">
        <v>20.2</v>
      </c>
      <c r="F159" s="0">
        <v>66.098</v>
      </c>
      <c r="G159" s="11">
        <f>'Quarterly YTD'!G159</f>
        <v>45.621</v>
      </c>
      <c r="H159" s="11">
        <f>'Annual and Quarterly'!P159</f>
        <v>44.099</v>
      </c>
      <c r="I159" s="11">
        <f>'Annual and Quarterly'!Q159</f>
        <v>37.077</v>
      </c>
      <c r="J159" s="0">
        <v>33.36</v>
      </c>
      <c r="K159" s="11">
        <f>'Quarterly YTD'!K159</f>
        <v>45.299</v>
      </c>
      <c r="L159" s="11">
        <f>'Annual and Quarterly'!T159</f>
        <v>47.846</v>
      </c>
      <c r="M159" s="11">
        <f>'Annual and Quarterly'!U159</f>
        <v>61.557</v>
      </c>
      <c r="N159" s="0">
        <v>77.635</v>
      </c>
      <c r="O159" s="11">
        <f>'Quarterly YTD'!O159</f>
        <v>67.262</v>
      </c>
      <c r="P159" s="11">
        <f>'Annual and Quarterly'!X159</f>
        <v>77.068</v>
      </c>
      <c r="Q159" s="11">
        <f>'Annual and Quarterly'!Y159</f>
        <v>95.052</v>
      </c>
      <c r="R159" s="0">
        <v>57.327</v>
      </c>
      <c r="S159" s="11">
        <f>'Quarterly YTD'!S159</f>
        <v>98.228</v>
      </c>
      <c r="T159" s="11">
        <f>'Annual and Quarterly'!AB159</f>
        <v>164.798</v>
      </c>
      <c r="U159" s="11">
        <f>'Annual and Quarterly'!AC159</f>
        <v>116.265</v>
      </c>
      <c r="V159" s="0">
        <v>98.155</v>
      </c>
      <c r="W159" s="11">
        <f>'Quarterly YTD'!W159</f>
        <v>164.075</v>
      </c>
      <c r="X159" s="11">
        <f>'Annual and Quarterly'!AF159</f>
        <v>207.462</v>
      </c>
      <c r="Y159" s="11">
        <f>'Annual and Quarterly'!AG159</f>
        <v>164.236</v>
      </c>
      <c r="Z159" s="0">
        <v>117.02</v>
      </c>
      <c r="AA159" s="11">
        <f>'Quarterly YTD'!AA159</f>
        <v>141.184</v>
      </c>
      <c r="AB159" s="11">
        <f>'Annual and Quarterly'!AJ159</f>
        <v>178.652</v>
      </c>
      <c r="AC159" s="11">
        <f>'Annual and Quarterly'!AK159</f>
        <v>154.295</v>
      </c>
      <c r="AD159" s="0">
        <v>121.769</v>
      </c>
      <c r="AE159" s="11">
        <f>'Quarterly YTD'!AE159</f>
        <v>147.679</v>
      </c>
      <c r="AF159" s="11">
        <f>'Annual and Quarterly'!AN159</f>
        <v>122.905</v>
      </c>
    </row>
    <row customHeight="1" ht="15">
      <c r="A160" s="9" t="s">
        <v>91</v>
      </c>
      <c r="B160" s="0">
        <v>0.35</v>
      </c>
      <c r="F160" s="0">
        <v>7.123</v>
      </c>
      <c r="G160" s="11">
        <f>'Quarterly YTD'!G160</f>
        <v>8.891</v>
      </c>
      <c r="H160" s="11">
        <f>'Annual and Quarterly'!P160</f>
        <v>5.507</v>
      </c>
      <c r="I160" s="11">
        <f>'Annual and Quarterly'!Q160</f>
        <v>5.484</v>
      </c>
      <c r="J160" s="0">
        <v>3.914</v>
      </c>
      <c r="K160" s="11">
        <f>'Quarterly YTD'!K160</f>
        <v>3.615</v>
      </c>
      <c r="L160" s="11">
        <f>'Annual and Quarterly'!T160</f>
        <v>5.039</v>
      </c>
      <c r="M160" s="11">
        <f>'Annual and Quarterly'!U160</f>
        <v>4.114</v>
      </c>
      <c r="N160" s="0">
        <v>6.309</v>
      </c>
      <c r="O160" s="11">
        <f>'Quarterly YTD'!O160</f>
        <v>9.85</v>
      </c>
      <c r="P160" s="11">
        <f>'Annual and Quarterly'!X160</f>
        <v>12.998</v>
      </c>
      <c r="Q160" s="11">
        <f>'Annual and Quarterly'!Y160</f>
        <v>15.344</v>
      </c>
      <c r="R160" s="0">
        <v>11.282</v>
      </c>
      <c r="S160" s="11">
        <f>'Quarterly YTD'!S160</f>
        <v>17.282</v>
      </c>
      <c r="T160" s="11">
        <f>'Annual and Quarterly'!AB160</f>
        <v>23.015</v>
      </c>
      <c r="U160" s="11">
        <f>'Annual and Quarterly'!AC160</f>
        <v>18.977</v>
      </c>
      <c r="V160" s="0">
        <v>17.632</v>
      </c>
      <c r="W160" s="11">
        <f>'Quarterly YTD'!W160</f>
        <v>36.542</v>
      </c>
      <c r="X160" s="11">
        <f>'Annual and Quarterly'!AF160</f>
        <v>20.678</v>
      </c>
      <c r="Y160" s="11">
        <f>'Annual and Quarterly'!AG160</f>
        <v>20.606</v>
      </c>
      <c r="Z160" s="0">
        <v>19.718</v>
      </c>
      <c r="AA160" s="11">
        <f>'Quarterly YTD'!AA160</f>
        <v>21.062</v>
      </c>
      <c r="AB160" s="11">
        <f>'Annual and Quarterly'!AJ160</f>
        <v>21.091</v>
      </c>
      <c r="AC160" s="11">
        <f>'Annual and Quarterly'!AK160</f>
        <v>22.232</v>
      </c>
      <c r="AD160" s="0">
        <v>19.512</v>
      </c>
      <c r="AE160" s="11">
        <f>'Quarterly YTD'!AE160</f>
        <v>25.286</v>
      </c>
      <c r="AF160" s="11">
        <f>'Annual and Quarterly'!AN160</f>
        <v>19.353</v>
      </c>
    </row>
    <row customHeight="1" ht="15">
      <c r="A161" s="9" t="s">
        <v>150</v>
      </c>
      <c r="B161" s="0">
        <v>0</v>
      </c>
      <c r="F161" s="0">
        <v>0</v>
      </c>
      <c r="G161" s="11">
        <f>'Quarterly YTD'!G161</f>
        <v>0</v>
      </c>
      <c r="H161" s="11">
        <f>'Annual and Quarterly'!P161</f>
        <v>0.084</v>
      </c>
      <c r="I161" s="11">
        <f>'Annual and Quarterly'!Q161</f>
        <v>0.037</v>
      </c>
      <c r="J161" s="0">
        <v>0.137</v>
      </c>
      <c r="K161" s="11">
        <f>'Quarterly YTD'!K161</f>
        <v>0.235</v>
      </c>
      <c r="L161" s="11">
        <f>'Annual and Quarterly'!T161</f>
        <v>0</v>
      </c>
      <c r="M161" s="11">
        <f>'Annual and Quarterly'!U161</f>
        <v>0</v>
      </c>
      <c r="N161" s="0">
        <v>0</v>
      </c>
      <c r="O161" s="11">
        <f>'Quarterly YTD'!O161</f>
        <v>0</v>
      </c>
      <c r="P161" s="11">
        <f>'Annual and Quarterly'!X161</f>
        <v>0</v>
      </c>
      <c r="Q161" s="11">
        <f>'Annual and Quarterly'!Y161</f>
        <v>0</v>
      </c>
      <c r="R161" s="0">
        <v>0</v>
      </c>
      <c r="S161" s="11">
        <f>'Quarterly YTD'!S161</f>
        <v>0</v>
      </c>
      <c r="T161" s="11">
        <f>'Annual and Quarterly'!AB161</f>
        <v>0.501</v>
      </c>
      <c r="U161" s="11">
        <f>'Annual and Quarterly'!AC161</f>
        <v>0</v>
      </c>
      <c r="V161" s="0">
        <v>0.141</v>
      </c>
      <c r="W161" s="11">
        <f>'Quarterly YTD'!W161</f>
        <v>0.198</v>
      </c>
      <c r="X161" s="11">
        <f>'Annual and Quarterly'!AF161</f>
        <v>0</v>
      </c>
      <c r="Y161" s="11">
        <f>'Annual and Quarterly'!AG161</f>
        <v>0</v>
      </c>
      <c r="Z161" s="0">
        <v>0</v>
      </c>
      <c r="AA161" s="11">
        <f>'Quarterly YTD'!AA161</f>
        <v>0</v>
      </c>
      <c r="AB161" s="11">
        <f>'Annual and Quarterly'!AJ161</f>
        <v>0.786</v>
      </c>
      <c r="AC161" s="11">
        <f>'Annual and Quarterly'!AK161</f>
        <v>0.353</v>
      </c>
      <c r="AD161" s="0">
        <v>0</v>
      </c>
      <c r="AE161" s="11">
        <f>'Quarterly YTD'!AE161</f>
        <v>0</v>
      </c>
      <c r="AF161" s="11">
        <f>'Annual and Quarterly'!AN161</f>
        <v>0</v>
      </c>
    </row>
    <row customHeight="1" ht="15">
      <c r="A162" s="9" t="s">
        <v>179</v>
      </c>
      <c r="B162" s="0">
        <v>0</v>
      </c>
      <c r="F162" s="0">
        <v>0</v>
      </c>
      <c r="G162" s="11">
        <f>'Quarterly YTD'!G162</f>
        <v>0</v>
      </c>
      <c r="H162" s="11">
        <f>'Annual and Quarterly'!P162</f>
        <v>0</v>
      </c>
      <c r="I162" s="11">
        <f>'Annual and Quarterly'!Q162</f>
        <v>0</v>
      </c>
      <c r="J162" s="0">
        <v>0</v>
      </c>
      <c r="K162" s="11">
        <f>'Quarterly YTD'!K162</f>
        <v>0</v>
      </c>
      <c r="L162" s="11">
        <f>'Annual and Quarterly'!T162</f>
        <v>0</v>
      </c>
      <c r="M162" s="11">
        <f>'Annual and Quarterly'!U162</f>
        <v>0</v>
      </c>
      <c r="N162" s="0">
        <v>0</v>
      </c>
      <c r="O162" s="11">
        <f>'Quarterly YTD'!O162</f>
        <v>0</v>
      </c>
      <c r="P162" s="11">
        <f>'Annual and Quarterly'!X162</f>
        <v>0</v>
      </c>
      <c r="Q162" s="11">
        <f>'Annual and Quarterly'!Y162</f>
        <v>0</v>
      </c>
      <c r="R162" s="0">
        <v>0</v>
      </c>
      <c r="S162" s="11">
        <f>'Quarterly YTD'!S162</f>
        <v>0</v>
      </c>
      <c r="T162" s="11">
        <f>'Annual and Quarterly'!AB162</f>
        <v>0</v>
      </c>
      <c r="U162" s="11">
        <f>'Annual and Quarterly'!AC162</f>
        <v>0</v>
      </c>
      <c r="V162" s="0">
        <v>0</v>
      </c>
      <c r="W162" s="11">
        <f>'Quarterly YTD'!W162</f>
        <v>0</v>
      </c>
      <c r="X162" s="11">
        <f>'Annual and Quarterly'!AF162</f>
        <v>0</v>
      </c>
      <c r="Y162" s="11">
        <f>'Annual and Quarterly'!AG162</f>
        <v>0</v>
      </c>
      <c r="Z162" s="0">
        <v>0</v>
      </c>
      <c r="AA162" s="11">
        <f>'Quarterly YTD'!AA162</f>
        <v>0</v>
      </c>
      <c r="AB162" s="11">
        <f>'Annual and Quarterly'!AJ162</f>
        <v>0.651</v>
      </c>
      <c r="AC162" s="11">
        <f>'Annual and Quarterly'!AK162</f>
        <v>0.406</v>
      </c>
      <c r="AD162" s="0">
        <v>0.067</v>
      </c>
      <c r="AE162" s="11">
        <f>'Quarterly YTD'!AE162</f>
        <v>0.065</v>
      </c>
      <c r="AF162" s="11">
        <f>'Annual and Quarterly'!AN162</f>
        <v>0.115</v>
      </c>
    </row>
    <row customHeight="1" ht="15">
      <c r="A163" s="9" t="s">
        <v>185</v>
      </c>
      <c r="B163" s="0">
        <v>3.701</v>
      </c>
      <c r="F163" s="0">
        <v>19.103</v>
      </c>
      <c r="G163" s="11">
        <f>'Quarterly YTD'!G163</f>
        <v>24.531</v>
      </c>
      <c r="H163" s="11">
        <f>'Annual and Quarterly'!P163</f>
        <v>29.579</v>
      </c>
      <c r="I163" s="11">
        <f>'Annual and Quarterly'!Q163</f>
        <v>31.485</v>
      </c>
      <c r="J163" s="0">
        <v>29.779</v>
      </c>
      <c r="K163" s="11">
        <f>'Quarterly YTD'!K163</f>
        <v>30.028</v>
      </c>
      <c r="L163" s="11">
        <f>'Annual and Quarterly'!T163</f>
        <v>31.977</v>
      </c>
      <c r="M163" s="11">
        <f>'Annual and Quarterly'!U163</f>
        <v>25.719</v>
      </c>
      <c r="N163" s="0">
        <v>25.13</v>
      </c>
      <c r="O163" s="11">
        <f>'Quarterly YTD'!O163</f>
        <v>26.33</v>
      </c>
      <c r="P163" s="11">
        <f>'Annual and Quarterly'!X163</f>
        <v>26.83</v>
      </c>
      <c r="Q163" s="11">
        <f>'Annual and Quarterly'!Y163</f>
        <v>35.926</v>
      </c>
      <c r="R163" s="0">
        <v>26.118</v>
      </c>
      <c r="S163" s="11">
        <f>'Quarterly YTD'!S163</f>
        <v>25.838</v>
      </c>
      <c r="T163" s="11">
        <f>'Annual and Quarterly'!AB163</f>
        <v>26.597</v>
      </c>
      <c r="U163" s="11">
        <f>'Annual and Quarterly'!AC163</f>
        <v>29.271</v>
      </c>
      <c r="V163" s="0">
        <v>18.917</v>
      </c>
      <c r="W163" s="11">
        <f>'Quarterly YTD'!W163</f>
        <v>21.212</v>
      </c>
      <c r="X163" s="11">
        <f>'Annual and Quarterly'!AF163</f>
        <v>20.285</v>
      </c>
      <c r="Y163" s="11">
        <f>'Annual and Quarterly'!AG163</f>
        <v>32.796</v>
      </c>
      <c r="Z163" s="0">
        <v>30.831</v>
      </c>
      <c r="AA163" s="11">
        <f>'Quarterly YTD'!AA163</f>
        <v>32.083</v>
      </c>
      <c r="AB163" s="11">
        <f>'Annual and Quarterly'!AJ163</f>
        <v>24.344</v>
      </c>
      <c r="AC163" s="11">
        <f>'Annual and Quarterly'!AK163</f>
        <v>28.977</v>
      </c>
      <c r="AD163" s="0">
        <v>16.575</v>
      </c>
      <c r="AE163" s="11">
        <f>'Quarterly YTD'!AE163</f>
        <v>20.99</v>
      </c>
      <c r="AF163" s="11">
        <f>'Annual and Quarterly'!AN163</f>
        <v>20.457</v>
      </c>
    </row>
    <row customHeight="1" ht="15">
      <c r="A164" s="4" t="s">
        <v>186</v>
      </c>
      <c r="B164" s="7">
        <f t="shared" si="28" ref="B164:N164">B155+SUM(B157:B160)+B163</f>
        <v>100.501</v>
      </c>
      <c r="F164" s="7">
        <f t="shared" si="27" ref="F164:J164">F155+SUM(F157:F161)+F163</f>
        <v>296.902</v>
      </c>
      <c r="G164" s="7">
        <f>'Quarterly YTD'!G164</f>
        <v>354.23</v>
      </c>
      <c r="H164" s="7">
        <f>'Annual and Quarterly'!P164</f>
        <v>327.569</v>
      </c>
      <c r="I164" s="7">
        <f>'Annual and Quarterly'!Q164</f>
        <v>320.191</v>
      </c>
      <c r="J164" s="7">
        <f t="shared" si="27"/>
        <v>287.661</v>
      </c>
      <c r="K164" s="7">
        <f>'Quarterly YTD'!K164</f>
        <v>305.602</v>
      </c>
      <c r="L164" s="7">
        <f>'Annual and Quarterly'!T164</f>
        <v>326.945</v>
      </c>
      <c r="M164" s="7">
        <f>'Annual and Quarterly'!U164</f>
        <v>355.084</v>
      </c>
      <c r="N164" s="7">
        <f t="shared" si="28"/>
        <v>397.967</v>
      </c>
      <c r="O164" s="7">
        <f>'Quarterly YTD'!O164</f>
        <v>431.171</v>
      </c>
      <c r="P164" s="7">
        <f>'Annual and Quarterly'!X164</f>
        <v>480.349</v>
      </c>
      <c r="Q164" s="7">
        <f>'Annual and Quarterly'!Y164</f>
        <v>558.807</v>
      </c>
      <c r="R164" s="7">
        <f>SUM(R155:R160)+R163</f>
        <v>473.372</v>
      </c>
      <c r="S164" s="7">
        <f>'Quarterly YTD'!S164</f>
        <v>572.902</v>
      </c>
      <c r="T164" s="7">
        <f>'Annual and Quarterly'!AB164</f>
        <v>683.926</v>
      </c>
      <c r="U164" s="7">
        <f>'Annual and Quarterly'!AC164</f>
        <v>714.842</v>
      </c>
      <c r="V164" s="7">
        <f>SUM(V155:V161)+V163</f>
        <v>884.086</v>
      </c>
      <c r="W164" s="7">
        <f>'Quarterly YTD'!W164</f>
        <v>1052.93</v>
      </c>
      <c r="X164" s="7">
        <f>'Annual and Quarterly'!AF164</f>
        <v>933.213</v>
      </c>
      <c r="Y164" s="7">
        <f>'Annual and Quarterly'!AG164</f>
        <v>938.756</v>
      </c>
      <c r="Z164" s="7">
        <f t="shared" si="24"/>
        <v>973.375</v>
      </c>
      <c r="AA164" s="7">
        <f>'Quarterly YTD'!AA164</f>
        <v>1013.572</v>
      </c>
      <c r="AB164" s="7">
        <f>'Annual and Quarterly'!AJ164</f>
        <v>971.236</v>
      </c>
      <c r="AC164" s="7">
        <f>'Annual and Quarterly'!AK164</f>
        <v>914.92</v>
      </c>
      <c r="AD164" s="7">
        <f t="shared" si="24"/>
        <v>740.701</v>
      </c>
      <c r="AE164" s="7">
        <f>'Quarterly YTD'!AE164</f>
        <v>856.394</v>
      </c>
      <c r="AF164" s="7">
        <f>'Annual and Quarterly'!AN164</f>
        <v>808.209</v>
      </c>
    </row>
    <row customHeight="1" ht="15">
      <c r="A165" s="4" t="s">
        <v>187</v>
      </c>
      <c r="B165" s="7">
        <f t="shared" si="29" ref="B165:AD165">B154+B164</f>
        <v>119.806</v>
      </c>
      <c r="F165" s="7">
        <f t="shared" si="29"/>
        <v>754.01</v>
      </c>
      <c r="G165" s="7">
        <f>'Quarterly YTD'!G165</f>
        <v>836.494</v>
      </c>
      <c r="H165" s="7">
        <f>'Annual and Quarterly'!P165</f>
        <v>773.742</v>
      </c>
      <c r="I165" s="7">
        <f>'Annual and Quarterly'!Q165</f>
        <v>745.334</v>
      </c>
      <c r="J165" s="7">
        <f t="shared" si="29"/>
        <v>672.92</v>
      </c>
      <c r="K165" s="7">
        <f>'Quarterly YTD'!K165</f>
        <v>697.823</v>
      </c>
      <c r="L165" s="7">
        <f>'Annual and Quarterly'!T165</f>
        <v>737.391</v>
      </c>
      <c r="M165" s="7">
        <f>'Annual and Quarterly'!U165</f>
        <v>792.056</v>
      </c>
      <c r="N165" s="7">
        <f t="shared" si="29"/>
        <v>1143.74</v>
      </c>
      <c r="O165" s="7">
        <f>'Quarterly YTD'!O165</f>
        <v>1224.943</v>
      </c>
      <c r="P165" s="7">
        <f>'Annual and Quarterly'!X165</f>
        <v>1367.793</v>
      </c>
      <c r="Q165" s="7">
        <f>'Annual and Quarterly'!Y165</f>
        <v>1575.424</v>
      </c>
      <c r="R165" s="7">
        <f t="shared" si="29"/>
        <v>1429.927</v>
      </c>
      <c r="S165" s="7">
        <f>'Quarterly YTD'!S165</f>
        <v>1667.298</v>
      </c>
      <c r="T165" s="7">
        <f>'Annual and Quarterly'!AB165</f>
        <v>1884.655</v>
      </c>
      <c r="U165" s="7">
        <f>'Annual and Quarterly'!AC165</f>
        <v>2029.549</v>
      </c>
      <c r="V165" s="7">
        <f t="shared" si="29"/>
        <v>2096.594</v>
      </c>
      <c r="W165" s="7">
        <f>'Quarterly YTD'!W165</f>
        <v>2474.248</v>
      </c>
      <c r="X165" s="7">
        <f>'Annual and Quarterly'!AF165</f>
        <v>2327.932</v>
      </c>
      <c r="Y165" s="7">
        <f>'Annual and Quarterly'!AG165</f>
        <v>2269.376</v>
      </c>
      <c r="Z165" s="7">
        <f t="shared" si="29"/>
        <v>2376.187</v>
      </c>
      <c r="AA165" s="7">
        <f>'Quarterly YTD'!AA165</f>
        <v>2272.642</v>
      </c>
      <c r="AB165" s="7">
        <f>'Annual and Quarterly'!AJ165</f>
        <v>2074.4</v>
      </c>
      <c r="AC165" s="7">
        <f>'Annual and Quarterly'!AK165</f>
        <v>1966.369</v>
      </c>
      <c r="AD165" s="7">
        <f t="shared" si="29"/>
        <v>1579.339</v>
      </c>
      <c r="AE165" s="7">
        <f>'Quarterly YTD'!AE165</f>
        <v>1696.639</v>
      </c>
      <c r="AF165" s="7">
        <f>'Annual and Quarterly'!AN165</f>
        <v>1517.093</v>
      </c>
    </row>
    <row customHeight="1" ht="15">
      <c r="A166" s="9" t="s">
        <v>188</v>
      </c>
      <c r="B166" s="0">
        <v>0</v>
      </c>
      <c r="F166" s="0">
        <v>0</v>
      </c>
      <c r="G166" s="11">
        <f>'Quarterly YTD'!G166</f>
        <v>0</v>
      </c>
      <c r="H166" s="11">
        <f>'Annual and Quarterly'!P166</f>
        <v>0</v>
      </c>
      <c r="I166" s="11">
        <f>'Annual and Quarterly'!Q166</f>
        <v>0</v>
      </c>
      <c r="J166" s="0">
        <v>0</v>
      </c>
      <c r="K166" s="11">
        <f>'Quarterly YTD'!K166</f>
        <v>0</v>
      </c>
      <c r="L166" s="11">
        <f>'Annual and Quarterly'!T166</f>
        <v>0</v>
      </c>
      <c r="M166" s="11">
        <f>'Annual and Quarterly'!U166</f>
        <v>0</v>
      </c>
      <c r="N166" s="0">
        <v>0</v>
      </c>
      <c r="O166" s="11">
        <f>'Quarterly YTD'!O166</f>
        <v>0</v>
      </c>
      <c r="P166" s="11">
        <f>'Annual and Quarterly'!X166</f>
        <v>0</v>
      </c>
      <c r="Q166" s="11">
        <f>'Annual and Quarterly'!Y166</f>
        <v>0</v>
      </c>
      <c r="R166" s="0">
        <v>8.758</v>
      </c>
      <c r="S166" s="11">
        <f>'Quarterly YTD'!S166</f>
        <v>0</v>
      </c>
      <c r="T166" s="11">
        <f>'Annual and Quarterly'!AB166</f>
        <v>0</v>
      </c>
      <c r="U166" s="11">
        <f>'Annual and Quarterly'!AC166</f>
        <v>0</v>
      </c>
      <c r="V166" s="0">
        <v>0</v>
      </c>
      <c r="W166" s="11">
        <f>'Quarterly YTD'!W166</f>
        <v>0</v>
      </c>
      <c r="X166" s="11">
        <f>'Annual and Quarterly'!AF166</f>
        <v>0</v>
      </c>
      <c r="Y166" s="11">
        <f>'Annual and Quarterly'!AG166</f>
        <v>0</v>
      </c>
      <c r="Z166" s="0">
        <v>0</v>
      </c>
      <c r="AA166" s="11">
        <f>'Quarterly YTD'!AA166</f>
        <v>0</v>
      </c>
      <c r="AB166" s="11">
        <f>'Annual and Quarterly'!AJ166</f>
        <v>0</v>
      </c>
      <c r="AC166" s="11">
        <f>'Annual and Quarterly'!AK166</f>
        <v>0</v>
      </c>
      <c r="AD166" s="0">
        <v>0</v>
      </c>
      <c r="AE166" s="11">
        <f>'Quarterly YTD'!AE166</f>
        <v>0</v>
      </c>
      <c r="AF166" s="11">
        <f>'Annual and Quarterly'!AN166</f>
        <v>0</v>
      </c>
    </row>
    <row customHeight="1" ht="15">
      <c r="A167" s="4" t="s">
        <v>189</v>
      </c>
      <c r="B167" s="7">
        <f t="shared" si="30" ref="B167:AD167">B144+B165</f>
        <v>184.561</v>
      </c>
      <c r="F167" s="7">
        <f t="shared" si="30"/>
        <v>1100.032</v>
      </c>
      <c r="G167" s="7">
        <f>'Quarterly YTD'!G167</f>
        <v>1178.53</v>
      </c>
      <c r="H167" s="7">
        <f>'Annual and Quarterly'!P167</f>
        <v>1113.24</v>
      </c>
      <c r="I167" s="7">
        <f>'Annual and Quarterly'!Q167</f>
        <v>1058.94</v>
      </c>
      <c r="J167" s="7">
        <f t="shared" si="30"/>
        <v>946.29</v>
      </c>
      <c r="K167" s="7">
        <f>'Quarterly YTD'!K167</f>
        <v>984.225</v>
      </c>
      <c r="L167" s="7">
        <f>'Annual and Quarterly'!T167</f>
        <v>1033.927</v>
      </c>
      <c r="M167" s="7">
        <f>'Annual and Quarterly'!U167</f>
        <v>1117.426</v>
      </c>
      <c r="N167" s="7">
        <f t="shared" si="31" ref="N167:R167">N144+SUM(N165:N166)</f>
        <v>1472.119</v>
      </c>
      <c r="O167" s="7">
        <f>'Quarterly YTD'!O167</f>
        <v>1542.027</v>
      </c>
      <c r="P167" s="7">
        <f>'Annual and Quarterly'!X167</f>
        <v>1685.827</v>
      </c>
      <c r="Q167" s="7">
        <f>'Annual and Quarterly'!Y167</f>
        <v>1978.13</v>
      </c>
      <c r="R167" s="7">
        <f t="shared" si="31"/>
        <v>1754.302</v>
      </c>
      <c r="S167" s="7">
        <f>'Quarterly YTD'!S167</f>
        <v>1944.66</v>
      </c>
      <c r="T167" s="7">
        <f>'Annual and Quarterly'!AB167</f>
        <v>2194.084</v>
      </c>
      <c r="U167" s="7">
        <f>'Annual and Quarterly'!AC167</f>
        <v>2419.563</v>
      </c>
      <c r="V167" s="7">
        <f t="shared" si="30"/>
        <v>2444.475</v>
      </c>
      <c r="W167" s="7">
        <f>'Quarterly YTD'!W167</f>
        <v>2733.378</v>
      </c>
      <c r="X167" s="7">
        <f>'Annual and Quarterly'!AF167</f>
        <v>2982.816</v>
      </c>
      <c r="Y167" s="7">
        <f>'Annual and Quarterly'!AG167</f>
        <v>2993.811</v>
      </c>
      <c r="Z167" s="7">
        <f t="shared" si="30"/>
        <v>2981.655</v>
      </c>
      <c r="AA167" s="7">
        <f>'Quarterly YTD'!AA167</f>
        <v>2757.151</v>
      </c>
      <c r="AB167" s="7">
        <f>'Annual and Quarterly'!AJ167</f>
        <v>2562.525</v>
      </c>
      <c r="AC167" s="7">
        <f>'Annual and Quarterly'!AK167</f>
        <v>2519.113</v>
      </c>
      <c r="AD167" s="7">
        <f t="shared" si="30"/>
        <v>2108.602</v>
      </c>
      <c r="AE167" s="7">
        <f>'Quarterly YTD'!AE167</f>
        <v>2171.168</v>
      </c>
      <c r="AF167" s="7">
        <f>'Annual and Quarterly'!AN167</f>
        <v>1969.398</v>
      </c>
    </row>
    <row customHeight="1" ht="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customHeight="1" ht="15">
      <c r="A169" s="2" t="s">
        <v>190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customHeight="1" ht="15">
      <c r="A170" s="9" t="s">
        <v>191</v>
      </c>
      <c r="B170" s="0">
        <v>10.551</v>
      </c>
      <c r="F170" s="0">
        <v>10.417</v>
      </c>
      <c r="J170" s="0">
        <v>18.964</v>
      </c>
      <c r="N170" s="0">
        <v>35.787</v>
      </c>
      <c r="R170" s="0">
        <v>33.915</v>
      </c>
      <c r="V170" s="0">
        <v>32.902</v>
      </c>
      <c r="Z170" s="0">
        <v>52.284</v>
      </c>
      <c r="AD170" s="0">
        <v>126.892</v>
      </c>
    </row>
    <row customHeight="1" ht="15">
      <c r="A171" s="9" t="s">
        <v>177</v>
      </c>
      <c r="B171" s="0">
        <v>13.821</v>
      </c>
      <c r="F171" s="0">
        <v>237.193</v>
      </c>
      <c r="J171" s="0">
        <v>165.824</v>
      </c>
      <c r="N171" s="0">
        <v>180.755</v>
      </c>
      <c r="R171" s="0">
        <v>469.456</v>
      </c>
      <c r="V171" s="0">
        <v>1006.107</v>
      </c>
      <c r="Z171" s="0">
        <v>1342.71</v>
      </c>
      <c r="AD171" s="0">
        <v>637.879</v>
      </c>
    </row>
    <row customHeight="1" ht="15">
      <c r="A172" s="9" t="s">
        <v>192</v>
      </c>
      <c r="B172" s="0">
        <v>0</v>
      </c>
      <c r="F172" s="0">
        <v>261.411</v>
      </c>
      <c r="J172" s="0">
        <v>219.273</v>
      </c>
      <c r="N172" s="0">
        <v>238.204</v>
      </c>
      <c r="R172" s="0">
        <v>186.547</v>
      </c>
      <c r="V172" s="0">
        <v>162.767</v>
      </c>
      <c r="Z172" s="0">
        <v>285.525</v>
      </c>
      <c r="AD172" s="0">
        <v>253.591</v>
      </c>
    </row>
    <row customHeight="1" ht="15">
      <c r="A173" s="9" t="s">
        <v>193</v>
      </c>
      <c r="B173" s="0">
        <v>2.349</v>
      </c>
      <c r="F173" s="0">
        <v>0</v>
      </c>
      <c r="J173" s="0">
        <v>0</v>
      </c>
      <c r="N173" s="0">
        <v>0</v>
      </c>
      <c r="R173" s="0">
        <v>0</v>
      </c>
      <c r="V173" s="0">
        <v>0</v>
      </c>
      <c r="Z173" s="0">
        <v>0</v>
      </c>
      <c r="AD173" s="0">
        <v>0</v>
      </c>
    </row>
    <row customHeight="1" ht="15">
      <c r="A174" s="9" t="s">
        <v>194</v>
      </c>
      <c r="B174" s="0">
        <v>0.026</v>
      </c>
      <c r="F174" s="0">
        <v>0.143</v>
      </c>
      <c r="J174" s="0">
        <v>1.991</v>
      </c>
      <c r="N174" s="0">
        <v>12.378</v>
      </c>
      <c r="R174" s="0">
        <v>10.643</v>
      </c>
      <c r="V174" s="0">
        <v>0</v>
      </c>
      <c r="Z174" s="0">
        <v>0</v>
      </c>
      <c r="AD174" s="0">
        <v>0</v>
      </c>
    </row>
    <row customHeight="1" ht="15">
      <c r="A175" s="9" t="s">
        <v>195</v>
      </c>
      <c r="B175" s="0">
        <v>0</v>
      </c>
      <c r="F175" s="0">
        <v>0</v>
      </c>
      <c r="J175" s="0">
        <v>0.032</v>
      </c>
      <c r="N175" s="0">
        <v>11.746</v>
      </c>
      <c r="R175" s="0">
        <v>16.994</v>
      </c>
      <c r="V175" s="0">
        <v>19.065</v>
      </c>
      <c r="Z175" s="0">
        <v>18.89</v>
      </c>
      <c r="AD175" s="0">
        <v>19.172</v>
      </c>
    </row>
    <row customHeight="1" ht="15">
      <c r="A176" s="9" t="s">
        <v>196</v>
      </c>
      <c r="B176" s="0">
        <v>24.351</v>
      </c>
      <c r="F176" s="0">
        <v>5.163</v>
      </c>
      <c r="J176" s="0">
        <v>0.5</v>
      </c>
      <c r="N176" s="0">
        <v>0.799</v>
      </c>
      <c r="R176" s="0">
        <v>0.298</v>
      </c>
      <c r="V176" s="0">
        <v>0</v>
      </c>
      <c r="Z176" s="0">
        <v>0</v>
      </c>
      <c r="AD176" s="0">
        <v>1.365</v>
      </c>
    </row>
    <row customHeight="1" ht="15">
      <c r="A177" s="9" t="s">
        <v>197</v>
      </c>
      <c r="B177" s="11">
        <f>SUM(B170:B174)+B176</f>
        <v>51.098</v>
      </c>
      <c r="F177" s="11">
        <f t="shared" si="33" ref="F177:J177">SUM(F170:F176)</f>
        <v>514.327</v>
      </c>
      <c r="G177" s="11">
        <f t="shared" si="32" ref="G177:AF177">G146+G147+G157+G158</f>
        <v>547.5</v>
      </c>
      <c r="H177" s="11">
        <f t="shared" si="32"/>
        <v>489.139</v>
      </c>
      <c r="I177" s="11">
        <f t="shared" si="32"/>
        <v>457.188</v>
      </c>
      <c r="J177" s="11">
        <f t="shared" si="33"/>
        <v>406.584</v>
      </c>
      <c r="K177" s="11">
        <f t="shared" si="32"/>
        <v>406.764</v>
      </c>
      <c r="L177" s="11">
        <f t="shared" si="32"/>
        <v>431.427</v>
      </c>
      <c r="M177" s="11">
        <f t="shared" si="32"/>
        <v>461.158</v>
      </c>
      <c r="N177" s="11">
        <f t="shared" si="34" ref="N177:R177">SUM(N170:N172)+SUM(N174:N176)</f>
        <v>479.669</v>
      </c>
      <c r="O177" s="11">
        <f t="shared" si="32"/>
        <v>529.611</v>
      </c>
      <c r="P177" s="11">
        <f t="shared" si="32"/>
        <v>639.142</v>
      </c>
      <c r="Q177" s="11">
        <f t="shared" si="32"/>
        <v>799.116</v>
      </c>
      <c r="R177" s="11">
        <f t="shared" si="34"/>
        <v>717.853</v>
      </c>
      <c r="S177" s="11">
        <f t="shared" si="32"/>
        <v>868.897</v>
      </c>
      <c r="T177" s="11">
        <f t="shared" si="32"/>
        <v>984.903</v>
      </c>
      <c r="U177" s="11">
        <f t="shared" si="32"/>
        <v>1145.191</v>
      </c>
      <c r="V177" s="11">
        <f>SUM(V170:V172)+V175</f>
        <v>1220.841</v>
      </c>
      <c r="W177" s="11">
        <f t="shared" si="32"/>
        <v>1449.907</v>
      </c>
      <c r="X177" s="11">
        <f t="shared" si="32"/>
        <v>1637.908</v>
      </c>
      <c r="Y177" s="11">
        <f t="shared" si="32"/>
        <v>1577.539</v>
      </c>
      <c r="Z177" s="11">
        <f t="shared" si="35" ref="Z177:AD177">SUM(Z170:Z172)+SUM(Z175:Z176)</f>
        <v>1699.409</v>
      </c>
      <c r="AA177" s="11">
        <f t="shared" si="32"/>
        <v>1574.052</v>
      </c>
      <c r="AB177" s="11">
        <f t="shared" si="32"/>
        <v>1355.48</v>
      </c>
      <c r="AC177" s="11">
        <f t="shared" si="32"/>
        <v>1299.714</v>
      </c>
      <c r="AD177" s="11">
        <f t="shared" si="35"/>
        <v>1038.899</v>
      </c>
      <c r="AE177" s="11">
        <f t="shared" si="32"/>
        <v>1073.127</v>
      </c>
      <c r="AF177" s="11">
        <f t="shared" si="32"/>
        <v>933.396</v>
      </c>
    </row>
    <row customHeight="1" ht="15">
      <c r="A178" s="9" t="s">
        <v>198</v>
      </c>
      <c r="B178" s="15">
        <f t="shared" si="36" ref="B178:AF178">IF(B185&lt;=0,"NM",B177/B185)</f>
        <v>2.01856680097969</v>
      </c>
      <c r="F178" s="15">
        <f t="shared" si="37" ref="F178:AD178">IF(F186&lt;=0,"NM",F177/F186)</f>
        <v>2.39779487179487</v>
      </c>
      <c r="G178" s="15">
        <f t="shared" si="36"/>
        <v>5.99251346263298</v>
      </c>
      <c r="H178" s="15">
        <f t="shared" si="37"/>
        <v>2.42508180466039</v>
      </c>
      <c r="I178" s="15">
        <f t="shared" si="37"/>
        <v>3.65458033573141</v>
      </c>
      <c r="J178" s="15">
        <f t="shared" si="37"/>
        <v>3.7232967032967</v>
      </c>
      <c r="K178" s="15">
        <f t="shared" si="37"/>
        <v>4.19344329896907</v>
      </c>
      <c r="L178" s="15">
        <f t="shared" si="37"/>
        <v>5.18542067307692</v>
      </c>
      <c r="M178" s="15">
        <f t="shared" si="37"/>
        <v>3.87527731092437</v>
      </c>
      <c r="N178" s="15">
        <f t="shared" si="37"/>
        <v>3.09573719706993</v>
      </c>
      <c r="O178" s="15">
        <f t="shared" si="36"/>
        <v>2.83285638636449</v>
      </c>
      <c r="P178" s="15">
        <f t="shared" si="36"/>
        <v>2.85725397982038</v>
      </c>
      <c r="Q178" s="15">
        <f t="shared" si="36"/>
        <v>2.68798353134292</v>
      </c>
      <c r="R178" s="15">
        <f t="shared" si="37"/>
        <v>2.66467579325602</v>
      </c>
      <c r="S178" s="15">
        <f t="shared" si="36"/>
        <v>3.09678879463968</v>
      </c>
      <c r="T178" s="15">
        <f t="shared" si="36"/>
        <v>3.08317889833586</v>
      </c>
      <c r="U178" s="15">
        <f t="shared" si="36"/>
        <v>3.06370370766708</v>
      </c>
      <c r="V178" s="15">
        <f t="shared" si="37"/>
        <v>2.93556779736414</v>
      </c>
      <c r="W178" s="15">
        <f t="shared" si="36"/>
        <v>3.6999599357952</v>
      </c>
      <c r="X178" s="15">
        <f t="shared" si="36"/>
        <v>3.64385237786958</v>
      </c>
      <c r="Y178" s="15">
        <f t="shared" si="36"/>
        <v>3.19142191274231</v>
      </c>
      <c r="Z178" s="15">
        <f t="shared" si="37"/>
        <v>5.31601898165961</v>
      </c>
      <c r="AA178" s="15">
        <f t="shared" si="36"/>
        <v>2.88274184745781</v>
      </c>
      <c r="AB178" s="15">
        <f t="shared" si="36"/>
        <v>2.53282632459148</v>
      </c>
      <c r="AC178" s="15">
        <f t="shared" si="36"/>
        <v>2.95379475699692</v>
      </c>
      <c r="AD178" s="15">
        <f t="shared" si="37"/>
        <v>3.1852922690132</v>
      </c>
      <c r="AE178" s="15">
        <f t="shared" si="36"/>
        <v>2.42687336748194</v>
      </c>
      <c r="AF178" s="15">
        <f t="shared" si="36"/>
        <v>2.55624782619412</v>
      </c>
    </row>
    <row customHeight="1" ht="15">
      <c r="A179" s="9" t="s">
        <v>199</v>
      </c>
      <c r="N179" s="15">
        <f t="shared" si="38" ref="N179:AD179">IF(N187&lt;=0,"NM",N177/N187)</f>
        <v>3.09296252353563</v>
      </c>
      <c r="R179" s="15">
        <f t="shared" si="38"/>
        <v>2.49103149128134</v>
      </c>
      <c r="V179" s="15">
        <f t="shared" si="38"/>
        <v>3.11350867483952</v>
      </c>
      <c r="Z179" s="15">
        <f t="shared" si="38"/>
        <v>5.26334877785899</v>
      </c>
      <c r="AD179" s="15">
        <f t="shared" si="38"/>
        <v>2.87977502862037</v>
      </c>
    </row>
    <row customHeight="1" ht="15">
      <c r="A180" s="9" t="s">
        <v>200</v>
      </c>
      <c r="B180" s="11">
        <f t="shared" si="39" ref="B180:AF180">B177-B129</f>
        <v>43.381</v>
      </c>
      <c r="F180" s="11">
        <f t="shared" si="39"/>
        <v>297.075</v>
      </c>
      <c r="G180" s="11">
        <f t="shared" si="39"/>
        <v>411.217</v>
      </c>
      <c r="H180" s="11">
        <f t="shared" si="39"/>
        <v>268.148</v>
      </c>
      <c r="I180" s="11">
        <f t="shared" si="39"/>
        <v>241.909</v>
      </c>
      <c r="J180" s="11">
        <f t="shared" si="39"/>
        <v>228.232</v>
      </c>
      <c r="K180" s="11">
        <f t="shared" si="39"/>
        <v>255.956</v>
      </c>
      <c r="L180" s="11">
        <f t="shared" si="39"/>
        <v>260.821</v>
      </c>
      <c r="M180" s="11">
        <f t="shared" si="39"/>
        <v>295.628</v>
      </c>
      <c r="N180" s="11">
        <f t="shared" si="39"/>
        <v>263.005</v>
      </c>
      <c r="O180" s="11">
        <f t="shared" si="39"/>
        <v>210.206</v>
      </c>
      <c r="P180" s="11">
        <f t="shared" si="39"/>
        <v>307.765</v>
      </c>
      <c r="Q180" s="11">
        <f t="shared" si="39"/>
        <v>505.836</v>
      </c>
      <c r="R180" s="11">
        <f t="shared" si="39"/>
        <v>393.135</v>
      </c>
      <c r="S180" s="11">
        <f t="shared" si="39"/>
        <v>583.549</v>
      </c>
      <c r="T180" s="11">
        <f t="shared" si="39"/>
        <v>725.237</v>
      </c>
      <c r="U180" s="11">
        <f t="shared" si="39"/>
        <v>861.564</v>
      </c>
      <c r="V180" s="11">
        <f t="shared" si="39"/>
        <v>1020.288</v>
      </c>
      <c r="W180" s="11">
        <f t="shared" si="39"/>
        <v>1262.934</v>
      </c>
      <c r="X180" s="11">
        <f t="shared" si="39"/>
        <v>1339.217</v>
      </c>
      <c r="Y180" s="11">
        <f t="shared" si="39"/>
        <v>1297.199</v>
      </c>
      <c r="Z180" s="11">
        <f t="shared" si="39"/>
        <v>1514.708</v>
      </c>
      <c r="AA180" s="11">
        <f t="shared" si="39"/>
        <v>1438.749</v>
      </c>
      <c r="AB180" s="11">
        <f t="shared" si="39"/>
        <v>1157.199</v>
      </c>
      <c r="AC180" s="11">
        <f t="shared" si="39"/>
        <v>1054.39</v>
      </c>
      <c r="AD180" s="11">
        <f t="shared" si="39"/>
        <v>914.879</v>
      </c>
      <c r="AE180" s="11">
        <f t="shared" si="39"/>
        <v>968.454</v>
      </c>
      <c r="AF180" s="11">
        <f t="shared" si="39"/>
        <v>812.926</v>
      </c>
    </row>
    <row customHeight="1" ht="15">
      <c r="A181" s="4" t="s">
        <v>201</v>
      </c>
      <c r="B181" s="17">
        <f t="shared" si="40" ref="B181:AF181">IF(B185&lt;=0,"NM",B180/B185)</f>
        <v>1.71371573042585</v>
      </c>
      <c r="F181" s="17">
        <f t="shared" si="41" ref="F181:AD181">IF(F186&lt;=0,"NM",F180/F186)</f>
        <v>1.38496503496503</v>
      </c>
      <c r="G181" s="17">
        <f t="shared" si="40"/>
        <v>4.50086467317542</v>
      </c>
      <c r="H181" s="17">
        <f t="shared" si="41"/>
        <v>1.32943976202281</v>
      </c>
      <c r="I181" s="17">
        <f t="shared" si="41"/>
        <v>1.93372501998401</v>
      </c>
      <c r="J181" s="17">
        <f t="shared" si="41"/>
        <v>2.09003663003663</v>
      </c>
      <c r="K181" s="17">
        <f t="shared" si="41"/>
        <v>2.63872164948454</v>
      </c>
      <c r="L181" s="17">
        <f t="shared" si="41"/>
        <v>3.13486778846154</v>
      </c>
      <c r="M181" s="17">
        <f t="shared" si="41"/>
        <v>2.48426890756302</v>
      </c>
      <c r="N181" s="17">
        <f t="shared" si="41"/>
        <v>1.69740875794637</v>
      </c>
      <c r="O181" s="17">
        <f t="shared" si="40"/>
        <v>1.12437885457842</v>
      </c>
      <c r="P181" s="17">
        <f t="shared" si="40"/>
        <v>1.37584882717678</v>
      </c>
      <c r="Q181" s="17">
        <f t="shared" si="40"/>
        <v>1.70147868089286</v>
      </c>
      <c r="R181" s="17">
        <f t="shared" si="41"/>
        <v>1.45932010868758</v>
      </c>
      <c r="S181" s="17">
        <f t="shared" si="40"/>
        <v>2.07979542376506</v>
      </c>
      <c r="T181" s="17">
        <f t="shared" si="40"/>
        <v>2.27031028912736</v>
      </c>
      <c r="U181" s="17">
        <f t="shared" si="40"/>
        <v>2.30492277811516</v>
      </c>
      <c r="V181" s="17">
        <f t="shared" si="41"/>
        <v>2.45332897309073</v>
      </c>
      <c r="W181" s="17">
        <f t="shared" si="40"/>
        <v>3.2228309826448</v>
      </c>
      <c r="X181" s="17">
        <f t="shared" si="40"/>
        <v>2.97935479278041</v>
      </c>
      <c r="Y181" s="17">
        <f t="shared" si="40"/>
        <v>2.62428333866067</v>
      </c>
      <c r="Z181" s="17">
        <f t="shared" si="41"/>
        <v>4.73824516621465</v>
      </c>
      <c r="AA181" s="17">
        <f t="shared" si="40"/>
        <v>2.63494595495453</v>
      </c>
      <c r="AB181" s="17">
        <f t="shared" si="40"/>
        <v>2.16232190072221</v>
      </c>
      <c r="AC181" s="17">
        <f t="shared" si="40"/>
        <v>2.39625921843574</v>
      </c>
      <c r="AD181" s="17">
        <f t="shared" si="41"/>
        <v>2.8050436142325</v>
      </c>
      <c r="AE181" s="17">
        <f t="shared" si="40"/>
        <v>2.19015570406052</v>
      </c>
      <c r="AF181" s="17">
        <f t="shared" si="40"/>
        <v>2.22632229017125</v>
      </c>
    </row>
    <row customHeight="1" ht="15">
      <c r="A182" s="9" t="s">
        <v>202</v>
      </c>
      <c r="N182" s="15">
        <f t="shared" si="42" ref="N182:AD182">IF(N187&lt;=0,"NM",N180/N187)</f>
        <v>1.69588739005958</v>
      </c>
      <c r="R182" s="15">
        <f t="shared" si="42"/>
        <v>1.36422312830745</v>
      </c>
      <c r="V182" s="15">
        <f t="shared" si="42"/>
        <v>2.60203870842695</v>
      </c>
      <c r="Z182" s="15">
        <f t="shared" si="42"/>
        <v>4.69129944622703</v>
      </c>
      <c r="AD182" s="15">
        <f t="shared" si="42"/>
        <v>2.53599791549436</v>
      </c>
    </row>
    <row customHeight="1" ht="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customHeight="1" ht="15">
      <c r="A184" s="2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customHeight="1" ht="15">
      <c r="A185" s="9" t="s">
        <v>204</v>
      </c>
      <c r="B185" s="11">
        <f t="shared" si="43" ref="B185:AF185">B12+B273+B274</f>
        <v>25.314</v>
      </c>
      <c r="F185" s="11">
        <f t="shared" si="43"/>
        <v>65.424</v>
      </c>
      <c r="G185" s="11">
        <f t="shared" si="43"/>
        <v>91.3640000000001</v>
      </c>
      <c r="H185" s="11">
        <f t="shared" si="43"/>
        <v>127.773</v>
      </c>
      <c r="I185" s="11">
        <f t="shared" si="43"/>
        <v>136.82</v>
      </c>
      <c r="J185" s="11">
        <f t="shared" si="43"/>
        <v>110.214</v>
      </c>
      <c r="K185" s="11">
        <f t="shared" si="43"/>
        <v>109.444</v>
      </c>
      <c r="L185" s="11">
        <f t="shared" si="43"/>
        <v>100.107</v>
      </c>
      <c r="M185" s="11">
        <f t="shared" si="43"/>
        <v>140.097</v>
      </c>
      <c r="N185" s="11">
        <f t="shared" si="43"/>
        <v>172.46</v>
      </c>
      <c r="O185" s="11">
        <f t="shared" si="43"/>
        <v>186.953</v>
      </c>
      <c r="P185" s="11">
        <f t="shared" si="43"/>
        <v>223.691</v>
      </c>
      <c r="Q185" s="11">
        <f t="shared" si="43"/>
        <v>297.292</v>
      </c>
      <c r="R185" s="11">
        <f t="shared" si="43"/>
        <v>302.644</v>
      </c>
      <c r="S185" s="11">
        <f t="shared" si="43"/>
        <v>280.58</v>
      </c>
      <c r="T185" s="11">
        <f t="shared" si="43"/>
        <v>319.444</v>
      </c>
      <c r="U185" s="11">
        <f t="shared" si="43"/>
        <v>373.793</v>
      </c>
      <c r="V185" s="11">
        <f t="shared" si="43"/>
        <v>403.159</v>
      </c>
      <c r="W185" s="11">
        <f t="shared" si="43"/>
        <v>391.871</v>
      </c>
      <c r="X185" s="11">
        <f t="shared" si="43"/>
        <v>449.499</v>
      </c>
      <c r="Y185" s="11">
        <f t="shared" si="43"/>
        <v>494.306</v>
      </c>
      <c r="Z185" s="11">
        <f t="shared" si="43"/>
        <v>521.938</v>
      </c>
      <c r="AA185" s="11">
        <f t="shared" si="43"/>
        <v>546.026</v>
      </c>
      <c r="AB185" s="11">
        <f t="shared" si="43"/>
        <v>535.165</v>
      </c>
      <c r="AC185" s="11">
        <f t="shared" si="43"/>
        <v>440.015</v>
      </c>
      <c r="AD185" s="11">
        <f t="shared" si="43"/>
        <v>449.057</v>
      </c>
      <c r="AE185" s="11">
        <f t="shared" si="43"/>
        <v>442.185</v>
      </c>
      <c r="AF185" s="11">
        <f t="shared" si="43"/>
        <v>365.143</v>
      </c>
    </row>
    <row customHeight="1" ht="15">
      <c r="A186" s="4" t="s">
        <v>205</v>
      </c>
      <c r="F186" s="7">
        <f t="shared" si="44" ref="F186:AD186">F239</f>
        <v>214.5</v>
      </c>
      <c r="H186" s="7">
        <f t="shared" si="44"/>
        <v>201.7</v>
      </c>
      <c r="I186" s="7">
        <f t="shared" si="44"/>
        <v>125.1</v>
      </c>
      <c r="J186" s="7">
        <f t="shared" si="44"/>
        <v>109.2</v>
      </c>
      <c r="K186" s="7">
        <f t="shared" si="44"/>
        <v>97</v>
      </c>
      <c r="L186" s="7">
        <f t="shared" si="44"/>
        <v>83.2</v>
      </c>
      <c r="M186" s="7">
        <f t="shared" si="44"/>
        <v>119</v>
      </c>
      <c r="N186" s="7">
        <f t="shared" si="44"/>
        <v>154.945</v>
      </c>
      <c r="R186" s="7">
        <f t="shared" si="44"/>
        <v>269.396</v>
      </c>
      <c r="V186" s="7">
        <f t="shared" si="44"/>
        <v>415.879</v>
      </c>
      <c r="Z186" s="7">
        <f t="shared" si="44"/>
        <v>319.677</v>
      </c>
      <c r="AD186" s="7">
        <f t="shared" si="44"/>
        <v>326.155</v>
      </c>
    </row>
    <row customHeight="1" ht="15">
      <c r="A187" s="4" t="s">
        <v>206</v>
      </c>
      <c r="N187" s="5">
        <v>155.084</v>
      </c>
      <c r="R187" s="5">
        <v>288.175</v>
      </c>
      <c r="V187" s="5">
        <v>392.111</v>
      </c>
      <c r="Z187" s="5">
        <v>322.876</v>
      </c>
      <c r="AD187" s="5">
        <v>360.757</v>
      </c>
    </row>
    <row customHeight="1" ht="15">
      <c r="A188" s="9" t="s">
        <v>207</v>
      </c>
      <c r="N188" s="11">
        <f t="shared" si="45" ref="N188:AD188">N187-N185</f>
        <v>-17.376</v>
      </c>
      <c r="R188" s="11">
        <f t="shared" si="45"/>
        <v>-14.469</v>
      </c>
      <c r="V188" s="11">
        <f t="shared" si="45"/>
        <v>-11.048</v>
      </c>
      <c r="Z188" s="11">
        <f t="shared" si="45"/>
        <v>-199.062</v>
      </c>
      <c r="AD188" s="11">
        <f t="shared" si="45"/>
        <v>-88.3</v>
      </c>
    </row>
    <row customHeight="1" ht="15">
      <c r="A189" s="9" t="s">
        <v>208</v>
      </c>
      <c r="N189" s="19">
        <f t="shared" si="46" ref="N189:AD189">IF(N188=0,0,IF(N185&lt;=0,"NM",N188/N185))</f>
        <v>-0.100753797982141</v>
      </c>
      <c r="R189" s="19">
        <f t="shared" si="46"/>
        <v>-0.0478086464625104</v>
      </c>
      <c r="V189" s="19">
        <f t="shared" si="46"/>
        <v>-0.0274035802251717</v>
      </c>
      <c r="Z189" s="19">
        <f t="shared" si="46"/>
        <v>-0.381390126796669</v>
      </c>
      <c r="AD189" s="19">
        <f t="shared" si="46"/>
        <v>-0.196634280280677</v>
      </c>
    </row>
    <row customHeight="1" ht="15">
      <c r="A190" s="9" t="s">
        <v>209</v>
      </c>
      <c r="F190" s="19">
        <f t="shared" si="47" ref="F190:AD190">IF(OR(F186=0,F186="NM",F185="NM"),"NM",F185/F186)</f>
        <v>0.305006993006993</v>
      </c>
      <c r="H190" s="19">
        <f t="shared" si="47"/>
        <v>0.633480416460089</v>
      </c>
      <c r="I190" s="19">
        <f t="shared" si="47"/>
        <v>1.09368505195843</v>
      </c>
      <c r="J190" s="19">
        <f t="shared" si="47"/>
        <v>1.00928571428571</v>
      </c>
      <c r="K190" s="19">
        <f t="shared" si="47"/>
        <v>1.12828865979381</v>
      </c>
      <c r="L190" s="19">
        <f t="shared" si="47"/>
        <v>1.20320913461538</v>
      </c>
      <c r="M190" s="19">
        <f t="shared" si="47"/>
        <v>1.17728571428571</v>
      </c>
      <c r="N190" s="19">
        <f t="shared" si="47"/>
        <v>1.11304011100713</v>
      </c>
      <c r="R190" s="19">
        <f t="shared" si="47"/>
        <v>1.12341682875767</v>
      </c>
      <c r="V190" s="19">
        <f t="shared" si="47"/>
        <v>0.969414180566944</v>
      </c>
      <c r="Z190" s="19">
        <f t="shared" si="47"/>
        <v>1.63270426086331</v>
      </c>
      <c r="AD190" s="19">
        <f t="shared" si="47"/>
        <v>1.37682083671874</v>
      </c>
    </row>
    <row customHeight="1" ht="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customHeight="1" ht="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customHeight="1" ht="15">
      <c r="A193" s="9" t="s">
        <v>211</v>
      </c>
      <c r="B193" s="11">
        <f t="shared" si="49" ref="B193:B196">B198+B203+B222</f>
        <v>36.361</v>
      </c>
      <c r="F193" s="11">
        <f t="shared" si="48" ref="F193:AD193">F198+F203+F208+F213+F218+F222</f>
        <v>143.311</v>
      </c>
      <c r="G193" s="11">
        <f>F193+'Quarterly YTD'!G193-'Quarterly YTD'!C193</f>
        <v>222.186</v>
      </c>
      <c r="H193" s="11">
        <f>F193+'Quarterly YTD'!H193-'Quarterly YTD'!D193</f>
        <v>308.755</v>
      </c>
      <c r="I193" s="11">
        <f>F193+'Quarterly YTD'!I193-'Quarterly YTD'!E193</f>
        <v>379.627</v>
      </c>
      <c r="J193" s="11">
        <f t="shared" si="48"/>
        <v>367.178</v>
      </c>
      <c r="K193" s="11">
        <f>J193+'Quarterly YTD'!K193-'Quarterly YTD'!G193</f>
        <v>386.435</v>
      </c>
      <c r="L193" s="11">
        <f>J193+'Quarterly YTD'!L193-'Quarterly YTD'!H193</f>
        <v>418.51</v>
      </c>
      <c r="M193" s="11">
        <f>J193+'Quarterly YTD'!M193-'Quarterly YTD'!I193</f>
        <v>544.987</v>
      </c>
      <c r="N193" s="11">
        <f t="shared" si="48"/>
        <v>653.797</v>
      </c>
      <c r="O193" s="11">
        <f>N193+'Quarterly YTD'!O193-'Quarterly YTD'!K193</f>
        <v>747.161</v>
      </c>
      <c r="P193" s="11">
        <f>N193+'Quarterly YTD'!P193-'Quarterly YTD'!L193</f>
        <v>941.863</v>
      </c>
      <c r="Q193" s="11">
        <f>N193+'Quarterly YTD'!Q193-'Quarterly YTD'!M193</f>
        <v>1141.52</v>
      </c>
      <c r="R193" s="11">
        <f t="shared" si="48"/>
        <v>1255.68</v>
      </c>
      <c r="S193" s="11">
        <f>R193+'Quarterly YTD'!S193-'Quarterly YTD'!O193</f>
        <v>1304.873</v>
      </c>
      <c r="T193" s="11">
        <f>R193+'Quarterly YTD'!T193-'Quarterly YTD'!P193</f>
        <v>1369.106</v>
      </c>
      <c r="U193" s="11">
        <f>R193+'Quarterly YTD'!U193-'Quarterly YTD'!Q193</f>
        <v>1478.056</v>
      </c>
      <c r="V193" s="11">
        <f t="shared" si="48"/>
        <v>1562.148</v>
      </c>
      <c r="W193" s="11">
        <f>V193+'Quarterly YTD'!W193-'Quarterly YTD'!S193</f>
        <v>1641.817</v>
      </c>
      <c r="X193" s="11">
        <f>V193+'Quarterly YTD'!X193-'Quarterly YTD'!T193</f>
        <v>1764.194</v>
      </c>
      <c r="Y193" s="11">
        <f>V193+'Quarterly YTD'!Y193-'Quarterly YTD'!U193</f>
        <v>1877.704</v>
      </c>
      <c r="Z193" s="11">
        <f t="shared" si="48"/>
        <v>1298.154</v>
      </c>
      <c r="AA193" s="11">
        <f>Z193+'Quarterly YTD'!AA193-'Quarterly YTD'!W193</f>
        <v>1217.829</v>
      </c>
      <c r="AB193" s="11">
        <f>Z193+'Quarterly YTD'!AB193-'Quarterly YTD'!X193</f>
        <v>1055.799</v>
      </c>
      <c r="AC193" s="11">
        <f>Z193+'Quarterly YTD'!AC193-'Quarterly YTD'!Y193</f>
        <v>1109.721</v>
      </c>
      <c r="AD193" s="11">
        <f t="shared" si="48"/>
        <v>1312.196</v>
      </c>
      <c r="AE193" s="11">
        <f>AD193+'Quarterly YTD'!AE193-'Quarterly YTD'!AA193</f>
        <v>1345.038</v>
      </c>
      <c r="AF193" s="11">
        <f>AD193+'Quarterly YTD'!AF193-'Quarterly YTD'!AB193</f>
        <v>1279.288</v>
      </c>
    </row>
    <row customHeight="1" ht="15">
      <c r="A194" s="9" t="s">
        <v>212</v>
      </c>
      <c r="B194" s="11">
        <f t="shared" si="49"/>
        <v>0</v>
      </c>
      <c r="F194" s="11">
        <f t="shared" si="50" ref="F194:AD194">F199+F204+F209+F214+F223</f>
        <v>69.784</v>
      </c>
      <c r="G194" s="11">
        <f>F194+'Quarterly YTD'!G194-'Quarterly YTD'!C194</f>
        <v>157.505</v>
      </c>
      <c r="H194" s="11">
        <f>F194+'Quarterly YTD'!H194-'Quarterly YTD'!D194</f>
        <v>159.233</v>
      </c>
      <c r="I194" s="11">
        <f>F194+'Quarterly YTD'!I194-'Quarterly YTD'!E194</f>
        <v>161.388</v>
      </c>
      <c r="J194" s="11">
        <f t="shared" si="50"/>
        <v>88.308</v>
      </c>
      <c r="K194" s="11">
        <f>J194+'Quarterly YTD'!K194-'Quarterly YTD'!G194</f>
        <v>3.669</v>
      </c>
      <c r="L194" s="11">
        <f>J194+'Quarterly YTD'!L194-'Quarterly YTD'!H194</f>
        <v>4.35900000000001</v>
      </c>
      <c r="M194" s="11">
        <f>J194+'Quarterly YTD'!M194-'Quarterly YTD'!I194</f>
        <v>5.67500000000001</v>
      </c>
      <c r="N194" s="11">
        <f t="shared" si="50"/>
        <v>0.576</v>
      </c>
      <c r="O194" s="11">
        <f>N194+'Quarterly YTD'!O194-'Quarterly YTD'!K194</f>
        <v>-2.506</v>
      </c>
      <c r="P194" s="11">
        <f>N194+'Quarterly YTD'!P194-'Quarterly YTD'!L194</f>
        <v>-4.924</v>
      </c>
      <c r="Q194" s="11">
        <f>N194+'Quarterly YTD'!Q194-'Quarterly YTD'!M194</f>
        <v>-8.395</v>
      </c>
      <c r="R194" s="11">
        <f t="shared" si="50"/>
        <v>0</v>
      </c>
      <c r="S194" s="11">
        <f>R194+'Quarterly YTD'!S194-'Quarterly YTD'!O194</f>
        <v>0</v>
      </c>
      <c r="T194" s="11">
        <f>R194+'Quarterly YTD'!T194-'Quarterly YTD'!P194</f>
        <v>0</v>
      </c>
      <c r="U194" s="11">
        <f>R194+'Quarterly YTD'!U194-'Quarterly YTD'!Q194</f>
        <v>0</v>
      </c>
      <c r="V194" s="11">
        <f t="shared" si="50"/>
        <v>0</v>
      </c>
      <c r="W194" s="11">
        <f>V194+'Quarterly YTD'!W194-'Quarterly YTD'!S194</f>
        <v>0</v>
      </c>
      <c r="X194" s="11">
        <f>V194+'Quarterly YTD'!X194-'Quarterly YTD'!T194</f>
        <v>0</v>
      </c>
      <c r="Y194" s="11">
        <f>V194+'Quarterly YTD'!Y194-'Quarterly YTD'!U194</f>
        <v>0</v>
      </c>
      <c r="Z194" s="11">
        <f t="shared" si="50"/>
        <v>0</v>
      </c>
      <c r="AA194" s="11">
        <f>Z194+'Quarterly YTD'!AA194-'Quarterly YTD'!W194</f>
        <v>0</v>
      </c>
      <c r="AB194" s="11">
        <f>Z194+'Quarterly YTD'!AB194-'Quarterly YTD'!X194</f>
        <v>0</v>
      </c>
      <c r="AC194" s="11">
        <f>Z194+'Quarterly YTD'!AC194-'Quarterly YTD'!Y194</f>
        <v>0</v>
      </c>
      <c r="AD194" s="11">
        <f t="shared" si="50"/>
        <v>0</v>
      </c>
      <c r="AE194" s="11">
        <f>AD194+'Quarterly YTD'!AE194-'Quarterly YTD'!AA194</f>
        <v>0</v>
      </c>
      <c r="AF194" s="11">
        <f>AD194+'Quarterly YTD'!AF194-'Quarterly YTD'!AB194</f>
        <v>0</v>
      </c>
    </row>
    <row customHeight="1" ht="15">
      <c r="A195" s="9" t="s">
        <v>213</v>
      </c>
      <c r="B195" s="11">
        <f t="shared" si="49"/>
        <v>394.523</v>
      </c>
      <c r="F195" s="11">
        <f t="shared" si="51" ref="F195:AD196">F200+F205+F210+F215+F219+F224</f>
        <v>393.253</v>
      </c>
      <c r="G195" s="11">
        <f>F195+'Quarterly YTD'!G195-'Quarterly YTD'!C195</f>
        <v>398.148</v>
      </c>
      <c r="H195" s="11">
        <f>F195+'Quarterly YTD'!H195-'Quarterly YTD'!D195</f>
        <v>329.257</v>
      </c>
      <c r="I195" s="11">
        <f>F195+'Quarterly YTD'!I195-'Quarterly YTD'!E195</f>
        <v>266.92</v>
      </c>
      <c r="J195" s="11">
        <f t="shared" si="51"/>
        <v>228.601</v>
      </c>
      <c r="K195" s="11">
        <f>J195+'Quarterly YTD'!K195-'Quarterly YTD'!G195</f>
        <v>189.012</v>
      </c>
      <c r="L195" s="11">
        <f>J195+'Quarterly YTD'!L195-'Quarterly YTD'!H195</f>
        <v>227.973</v>
      </c>
      <c r="M195" s="11">
        <f>J195+'Quarterly YTD'!M195-'Quarterly YTD'!I195</f>
        <v>271.355</v>
      </c>
      <c r="N195" s="11">
        <f t="shared" si="51"/>
        <v>327.27</v>
      </c>
      <c r="O195" s="11">
        <f>N195+'Quarterly YTD'!O195-'Quarterly YTD'!K195</f>
        <v>386.402</v>
      </c>
      <c r="P195" s="11">
        <f>N195+'Quarterly YTD'!P195-'Quarterly YTD'!L195</f>
        <v>462.364</v>
      </c>
      <c r="Q195" s="11">
        <f>N195+'Quarterly YTD'!Q195-'Quarterly YTD'!M195</f>
        <v>525.196</v>
      </c>
      <c r="R195" s="11">
        <f t="shared" si="51"/>
        <v>562.023</v>
      </c>
      <c r="S195" s="11">
        <f>R195+'Quarterly YTD'!S195-'Quarterly YTD'!O195</f>
        <v>600.311</v>
      </c>
      <c r="T195" s="11">
        <f>R195+'Quarterly YTD'!T195-'Quarterly YTD'!P195</f>
        <v>612.203</v>
      </c>
      <c r="U195" s="11">
        <f>R195+'Quarterly YTD'!U195-'Quarterly YTD'!Q195</f>
        <v>630.898</v>
      </c>
      <c r="V195" s="11">
        <f t="shared" si="51"/>
        <v>660.367</v>
      </c>
      <c r="W195" s="11">
        <f>V195+'Quarterly YTD'!W195-'Quarterly YTD'!S195</f>
        <v>682.734</v>
      </c>
      <c r="X195" s="11">
        <f>V195+'Quarterly YTD'!X195-'Quarterly YTD'!T195</f>
        <v>725.085</v>
      </c>
      <c r="Y195" s="11">
        <f>V195+'Quarterly YTD'!Y195-'Quarterly YTD'!U195</f>
        <v>756.032</v>
      </c>
      <c r="Z195" s="11">
        <f t="shared" si="51"/>
        <v>740.442</v>
      </c>
      <c r="AA195" s="11">
        <f>Z195+'Quarterly YTD'!AA195-'Quarterly YTD'!W195</f>
        <v>770.728</v>
      </c>
      <c r="AB195" s="11">
        <f>Z195+'Quarterly YTD'!AB195-'Quarterly YTD'!X195</f>
        <v>783.52</v>
      </c>
      <c r="AC195" s="11">
        <f>Z195+'Quarterly YTD'!AC195-'Quarterly YTD'!Y195</f>
        <v>792.906</v>
      </c>
      <c r="AD195" s="11">
        <f t="shared" si="51"/>
        <v>829.329</v>
      </c>
      <c r="AE195" s="11">
        <f>AD195+'Quarterly YTD'!AE195-'Quarterly YTD'!AA195</f>
        <v>860.802</v>
      </c>
      <c r="AF195" s="11">
        <f>AD195+'Quarterly YTD'!AF195-'Quarterly YTD'!AB195</f>
        <v>946.162</v>
      </c>
    </row>
    <row customHeight="1" ht="15">
      <c r="A196" s="9" t="s">
        <v>214</v>
      </c>
      <c r="B196" s="11">
        <f t="shared" si="49"/>
        <v>1.59</v>
      </c>
      <c r="F196" s="11">
        <f t="shared" si="51"/>
        <v>0.948</v>
      </c>
      <c r="G196" s="11">
        <f>F196+'Quarterly YTD'!G196-'Quarterly YTD'!C196</f>
        <v>3.606</v>
      </c>
      <c r="H196" s="11">
        <f>F196+'Quarterly YTD'!H196-'Quarterly YTD'!D196</f>
        <v>4.664</v>
      </c>
      <c r="I196" s="11">
        <f>F196+'Quarterly YTD'!I196-'Quarterly YTD'!E196</f>
        <v>7.258</v>
      </c>
      <c r="J196" s="11">
        <f t="shared" si="51"/>
        <v>11.585</v>
      </c>
      <c r="K196" s="11">
        <f>J196+'Quarterly YTD'!K196-'Quarterly YTD'!G196</f>
        <v>13.694</v>
      </c>
      <c r="L196" s="11">
        <f>J196+'Quarterly YTD'!L196-'Quarterly YTD'!H196</f>
        <v>19.89</v>
      </c>
      <c r="M196" s="11">
        <f>J196+'Quarterly YTD'!M196-'Quarterly YTD'!I196</f>
        <v>24.807</v>
      </c>
      <c r="N196" s="11">
        <f t="shared" si="51"/>
        <v>33.248</v>
      </c>
      <c r="O196" s="11">
        <f>N196+'Quarterly YTD'!O196-'Quarterly YTD'!K196</f>
        <v>41.728</v>
      </c>
      <c r="P196" s="11">
        <f>N196+'Quarterly YTD'!P196-'Quarterly YTD'!L196</f>
        <v>39.97</v>
      </c>
      <c r="Q196" s="11">
        <f>N196+'Quarterly YTD'!Q196-'Quarterly YTD'!M196</f>
        <v>42.325</v>
      </c>
      <c r="R196" s="11">
        <f t="shared" si="51"/>
        <v>34.983</v>
      </c>
      <c r="S196" s="11">
        <f>R196+'Quarterly YTD'!S196-'Quarterly YTD'!O196</f>
        <v>36.281</v>
      </c>
      <c r="T196" s="11">
        <f>R196+'Quarterly YTD'!T196-'Quarterly YTD'!P196</f>
        <v>43.138</v>
      </c>
      <c r="U196" s="11">
        <f>R196+'Quarterly YTD'!U196-'Quarterly YTD'!Q196</f>
        <v>41.533</v>
      </c>
      <c r="V196" s="11">
        <f t="shared" si="51"/>
        <v>40.258</v>
      </c>
      <c r="W196" s="11">
        <f>V196+'Quarterly YTD'!W196-'Quarterly YTD'!S196</f>
        <v>48.521</v>
      </c>
      <c r="X196" s="11">
        <f>V196+'Quarterly YTD'!X196-'Quarterly YTD'!T196</f>
        <v>59.82</v>
      </c>
      <c r="Y196" s="11">
        <f>V196+'Quarterly YTD'!Y196-'Quarterly YTD'!U196</f>
        <v>73.053</v>
      </c>
      <c r="Z196" s="11">
        <f t="shared" si="51"/>
        <v>64.676</v>
      </c>
      <c r="AA196" s="11">
        <f>Z196+'Quarterly YTD'!AA196-'Quarterly YTD'!W196</f>
        <v>66.838</v>
      </c>
      <c r="AB196" s="11">
        <f>Z196+'Quarterly YTD'!AB196-'Quarterly YTD'!X196</f>
        <v>61.079</v>
      </c>
      <c r="AC196" s="11">
        <f>Z196+'Quarterly YTD'!AC196-'Quarterly YTD'!Y196</f>
        <v>56.239</v>
      </c>
      <c r="AD196" s="11">
        <f t="shared" si="51"/>
        <v>47.787</v>
      </c>
      <c r="AE196" s="11">
        <f>AD196+'Quarterly YTD'!AE196-'Quarterly YTD'!AA196</f>
        <v>44.627</v>
      </c>
      <c r="AF196" s="11">
        <f>AD196+'Quarterly YTD'!AF196-'Quarterly YTD'!AB196</f>
        <v>47.062</v>
      </c>
    </row>
    <row customHeight="1" ht="15">
      <c r="A197" s="4" t="s">
        <v>215</v>
      </c>
      <c r="B197" s="7">
        <f t="shared" si="53" ref="B197:AD226">B193+SUM(B195:B196)</f>
        <v>432.474</v>
      </c>
      <c r="F197" s="7">
        <f t="shared" si="52" ref="F197:AF197">SUM(F193:F196)+F228</f>
        <v>607.296</v>
      </c>
      <c r="G197" s="7">
        <f t="shared" si="52"/>
        <v>781.669</v>
      </c>
      <c r="H197" s="7">
        <f t="shared" si="52"/>
        <v>803.123</v>
      </c>
      <c r="I197" s="7">
        <f t="shared" si="52"/>
        <v>821.487</v>
      </c>
      <c r="J197" s="7">
        <f t="shared" si="6"/>
        <v>695.672</v>
      </c>
      <c r="K197" s="7">
        <f t="shared" si="52"/>
        <v>589.947</v>
      </c>
      <c r="L197" s="7">
        <f t="shared" si="52"/>
        <v>663.396</v>
      </c>
      <c r="M197" s="7">
        <f t="shared" si="52"/>
        <v>829.319</v>
      </c>
      <c r="N197" s="7">
        <f t="shared" si="6"/>
        <v>1014.891</v>
      </c>
      <c r="O197" s="7">
        <f t="shared" si="52"/>
        <v>1169.876</v>
      </c>
      <c r="P197" s="7">
        <f t="shared" si="52"/>
        <v>1426.955</v>
      </c>
      <c r="Q197" s="7">
        <f t="shared" si="52"/>
        <v>1691.144</v>
      </c>
      <c r="R197" s="7">
        <f t="shared" si="53"/>
        <v>1852.686</v>
      </c>
      <c r="S197" s="7">
        <f t="shared" si="52"/>
        <v>1940.333</v>
      </c>
      <c r="T197" s="7">
        <f t="shared" si="52"/>
        <v>2026.729</v>
      </c>
      <c r="U197" s="7">
        <f t="shared" si="52"/>
        <v>2150.36</v>
      </c>
      <c r="V197" s="7">
        <f t="shared" si="53"/>
        <v>2262.773</v>
      </c>
      <c r="W197" s="7">
        <f t="shared" si="52"/>
        <v>2366.775</v>
      </c>
      <c r="X197" s="7">
        <f t="shared" si="52"/>
        <v>2536.989</v>
      </c>
      <c r="Y197" s="7">
        <f t="shared" si="52"/>
        <v>2677.959</v>
      </c>
      <c r="Z197" s="7">
        <f t="shared" si="53"/>
        <v>2103.272</v>
      </c>
      <c r="AA197" s="7">
        <f t="shared" si="52"/>
        <v>2051.985</v>
      </c>
      <c r="AB197" s="7">
        <f t="shared" si="52"/>
        <v>1892.82</v>
      </c>
      <c r="AC197" s="7">
        <f t="shared" si="52"/>
        <v>1959.001</v>
      </c>
      <c r="AD197" s="7">
        <f t="shared" si="53"/>
        <v>2189.312</v>
      </c>
      <c r="AE197" s="7">
        <f t="shared" si="52"/>
        <v>2254.669</v>
      </c>
      <c r="AF197" s="7">
        <f t="shared" si="52"/>
        <v>2285.39</v>
      </c>
    </row>
    <row customHeight="1" ht="15">
      <c r="A198" s="9" t="s">
        <v>216</v>
      </c>
      <c r="B198" s="0">
        <v>36.36</v>
      </c>
      <c r="F198" s="0">
        <v>108.266</v>
      </c>
      <c r="J198" s="0">
        <v>278.514</v>
      </c>
      <c r="N198" s="0">
        <v>547.494</v>
      </c>
      <c r="R198" s="0">
        <v>1022.234</v>
      </c>
      <c r="V198" s="0">
        <v>993.109</v>
      </c>
      <c r="Z198" s="0">
        <v>650.066</v>
      </c>
      <c r="AD198" s="0">
        <v>562.365</v>
      </c>
    </row>
    <row customHeight="1" ht="15">
      <c r="A199" s="9" t="s">
        <v>217</v>
      </c>
      <c r="B199" s="0">
        <v>0</v>
      </c>
      <c r="F199" s="0">
        <v>67.102</v>
      </c>
      <c r="J199" s="0">
        <v>86.004</v>
      </c>
      <c r="N199" s="0">
        <v>0.43</v>
      </c>
      <c r="R199" s="0">
        <v>0</v>
      </c>
      <c r="V199" s="0">
        <v>0</v>
      </c>
      <c r="Z199" s="0">
        <v>0</v>
      </c>
      <c r="AD199" s="0">
        <v>0</v>
      </c>
    </row>
    <row customHeight="1" ht="15">
      <c r="A200" s="9" t="s">
        <v>218</v>
      </c>
      <c r="B200" s="0">
        <v>381.931</v>
      </c>
      <c r="F200" s="0">
        <v>263.858</v>
      </c>
      <c r="J200" s="0">
        <v>150.951</v>
      </c>
      <c r="N200" s="0">
        <v>225.551</v>
      </c>
      <c r="R200" s="0">
        <v>438.339</v>
      </c>
      <c r="V200" s="0">
        <v>495.443</v>
      </c>
      <c r="Z200" s="0">
        <v>582.346</v>
      </c>
      <c r="AD200" s="0">
        <v>629.038</v>
      </c>
    </row>
    <row customHeight="1" ht="15">
      <c r="A201" s="9" t="s">
        <v>219</v>
      </c>
      <c r="B201" s="0">
        <v>1.59</v>
      </c>
      <c r="F201" s="0">
        <v>0.905</v>
      </c>
      <c r="J201" s="0">
        <v>11.517</v>
      </c>
      <c r="N201" s="0">
        <v>33.179</v>
      </c>
      <c r="R201" s="0">
        <v>34.117</v>
      </c>
      <c r="V201" s="0">
        <v>37.469</v>
      </c>
      <c r="Z201" s="0">
        <v>49.909</v>
      </c>
      <c r="AD201" s="0">
        <v>40.017</v>
      </c>
    </row>
    <row customHeight="1" ht="15">
      <c r="A202" s="9" t="s">
        <v>220</v>
      </c>
      <c r="B202" s="11">
        <f t="shared" si="53"/>
        <v>419.881</v>
      </c>
      <c r="F202" s="11">
        <f t="shared" si="6"/>
        <v>440.131</v>
      </c>
      <c r="J202" s="11">
        <f t="shared" si="6"/>
        <v>526.986</v>
      </c>
      <c r="N202" s="11">
        <f t="shared" si="6"/>
        <v>806.654</v>
      </c>
      <c r="R202" s="11">
        <f t="shared" si="53"/>
        <v>1494.69</v>
      </c>
      <c r="V202" s="11">
        <f t="shared" si="53"/>
        <v>1526.021</v>
      </c>
      <c r="Z202" s="11">
        <f t="shared" si="53"/>
        <v>1282.321</v>
      </c>
      <c r="AD202" s="11">
        <f t="shared" si="53"/>
        <v>1231.42</v>
      </c>
    </row>
    <row customHeight="1" ht="15">
      <c r="A203" s="9" t="s">
        <v>221</v>
      </c>
      <c r="B203" s="0">
        <v>0</v>
      </c>
      <c r="F203" s="0">
        <v>24.303</v>
      </c>
      <c r="J203" s="0">
        <v>41.587</v>
      </c>
      <c r="N203" s="0">
        <v>36.185</v>
      </c>
      <c r="R203" s="0">
        <v>105.755</v>
      </c>
      <c r="V203" s="0">
        <v>350.006</v>
      </c>
      <c r="Z203" s="0">
        <v>290.903</v>
      </c>
      <c r="AD203" s="0">
        <v>435.915</v>
      </c>
    </row>
    <row customHeight="1" ht="15">
      <c r="A204" s="9" t="s">
        <v>222</v>
      </c>
      <c r="B204" s="0">
        <v>0</v>
      </c>
      <c r="F204" s="0">
        <v>0</v>
      </c>
      <c r="J204" s="0">
        <v>0.021</v>
      </c>
      <c r="N204" s="0">
        <v>0.031</v>
      </c>
      <c r="R204" s="0">
        <v>0</v>
      </c>
      <c r="V204" s="0">
        <v>0</v>
      </c>
      <c r="Z204" s="0">
        <v>0</v>
      </c>
      <c r="AD204" s="0">
        <v>0</v>
      </c>
    </row>
    <row customHeight="1" ht="15">
      <c r="A205" s="9" t="s">
        <v>223</v>
      </c>
      <c r="B205" s="0">
        <v>3.77</v>
      </c>
      <c r="F205" s="0">
        <v>46.652</v>
      </c>
      <c r="J205" s="0">
        <v>30.389</v>
      </c>
      <c r="N205" s="0">
        <v>43.609</v>
      </c>
      <c r="R205" s="0">
        <v>76.425</v>
      </c>
      <c r="V205" s="0">
        <v>95.769</v>
      </c>
      <c r="Z205" s="0">
        <v>98.18</v>
      </c>
      <c r="AD205" s="0">
        <v>133.068</v>
      </c>
    </row>
    <row customHeight="1" ht="15">
      <c r="A206" s="9" t="s">
        <v>224</v>
      </c>
      <c r="B206" s="0">
        <v>0</v>
      </c>
      <c r="F206" s="0">
        <v>0.009</v>
      </c>
      <c r="J206" s="0">
        <v>0.012</v>
      </c>
      <c r="N206" s="0">
        <v>0.011</v>
      </c>
      <c r="R206" s="0">
        <v>0.399</v>
      </c>
      <c r="V206" s="0">
        <v>1.362</v>
      </c>
      <c r="Z206" s="0">
        <v>9.584</v>
      </c>
      <c r="AD206" s="0">
        <v>3.687</v>
      </c>
    </row>
    <row customHeight="1" ht="15">
      <c r="A207" s="9" t="s">
        <v>225</v>
      </c>
      <c r="B207" s="11">
        <f t="shared" si="53"/>
        <v>3.77</v>
      </c>
      <c r="F207" s="11">
        <f t="shared" si="6"/>
        <v>70.964</v>
      </c>
      <c r="J207" s="11">
        <f t="shared" si="6"/>
        <v>72.009</v>
      </c>
      <c r="N207" s="11">
        <f t="shared" si="6"/>
        <v>79.836</v>
      </c>
      <c r="R207" s="11">
        <f t="shared" si="53"/>
        <v>182.579</v>
      </c>
      <c r="V207" s="11">
        <f t="shared" si="53"/>
        <v>447.137</v>
      </c>
      <c r="Z207" s="11">
        <f t="shared" si="53"/>
        <v>398.667</v>
      </c>
      <c r="AD207" s="11">
        <f t="shared" si="53"/>
        <v>572.67</v>
      </c>
    </row>
    <row customHeight="1" ht="15">
      <c r="A208" s="9" t="s">
        <v>226</v>
      </c>
      <c r="B208" s="0">
        <v>0</v>
      </c>
      <c r="F208" s="0">
        <v>4.057</v>
      </c>
      <c r="J208" s="0">
        <v>22.214</v>
      </c>
      <c r="N208" s="0">
        <v>35.634</v>
      </c>
      <c r="R208" s="0">
        <v>68.323</v>
      </c>
      <c r="V208" s="0">
        <v>97.761</v>
      </c>
      <c r="Z208" s="0">
        <v>266.351</v>
      </c>
      <c r="AD208" s="0">
        <v>189.297</v>
      </c>
    </row>
    <row customHeight="1" ht="15">
      <c r="A209" s="9" t="s">
        <v>227</v>
      </c>
      <c r="F209" s="0">
        <v>0</v>
      </c>
      <c r="J209" s="0">
        <v>0</v>
      </c>
      <c r="N209" s="0">
        <v>0</v>
      </c>
      <c r="R209" s="0">
        <v>0</v>
      </c>
      <c r="V209" s="0">
        <v>0</v>
      </c>
      <c r="Z209" s="0">
        <v>0</v>
      </c>
      <c r="AD209" s="0">
        <v>0</v>
      </c>
    </row>
    <row customHeight="1" ht="15">
      <c r="A210" s="9" t="s">
        <v>228</v>
      </c>
      <c r="B210" s="0">
        <v>0</v>
      </c>
      <c r="F210" s="0">
        <v>6.912</v>
      </c>
      <c r="J210" s="0">
        <v>5.186</v>
      </c>
      <c r="N210" s="0">
        <v>9.588</v>
      </c>
      <c r="R210" s="0">
        <v>24.031</v>
      </c>
      <c r="V210" s="0">
        <v>30.278</v>
      </c>
      <c r="Z210" s="0">
        <v>36.287</v>
      </c>
      <c r="AD210" s="0">
        <v>28.15</v>
      </c>
    </row>
    <row customHeight="1" ht="15">
      <c r="A211" s="9" t="s">
        <v>229</v>
      </c>
      <c r="F211" s="0">
        <v>0</v>
      </c>
      <c r="J211" s="0">
        <v>0</v>
      </c>
      <c r="N211" s="0">
        <v>0</v>
      </c>
      <c r="R211" s="0">
        <v>0.135</v>
      </c>
      <c r="V211" s="0">
        <v>0.549</v>
      </c>
      <c r="Z211" s="0">
        <v>2.635</v>
      </c>
      <c r="AD211" s="0">
        <v>1.819</v>
      </c>
    </row>
    <row customHeight="1" ht="15">
      <c r="A212" s="9" t="s">
        <v>230</v>
      </c>
      <c r="B212" s="11">
        <f t="shared" si="54" ref="B212:B217">B208+B210</f>
        <v>0</v>
      </c>
      <c r="F212" s="11">
        <f t="shared" si="6"/>
        <v>10.969</v>
      </c>
      <c r="J212" s="11">
        <f t="shared" si="6"/>
        <v>27.4</v>
      </c>
      <c r="N212" s="11">
        <f t="shared" si="6"/>
        <v>45.222</v>
      </c>
      <c r="R212" s="11">
        <f t="shared" si="53"/>
        <v>92.489</v>
      </c>
      <c r="V212" s="11">
        <f t="shared" si="53"/>
        <v>128.588</v>
      </c>
      <c r="Z212" s="11">
        <f t="shared" si="53"/>
        <v>305.273</v>
      </c>
      <c r="AD212" s="11">
        <f t="shared" si="53"/>
        <v>219.266</v>
      </c>
    </row>
    <row customHeight="1" ht="15">
      <c r="A213" s="9" t="s">
        <v>231</v>
      </c>
      <c r="B213" s="0">
        <v>0</v>
      </c>
      <c r="F213" s="0">
        <v>5.321</v>
      </c>
      <c r="J213" s="0">
        <v>23.765</v>
      </c>
      <c r="N213" s="0">
        <v>33.236</v>
      </c>
      <c r="R213" s="0">
        <v>59.079</v>
      </c>
      <c r="V213" s="0">
        <v>65.574</v>
      </c>
      <c r="Z213" s="0">
        <v>54.864</v>
      </c>
      <c r="AD213" s="0">
        <v>70.458</v>
      </c>
    </row>
    <row customHeight="1" ht="15">
      <c r="A214" s="9" t="s">
        <v>232</v>
      </c>
      <c r="F214" s="0">
        <v>0.361</v>
      </c>
      <c r="J214" s="0">
        <v>0</v>
      </c>
      <c r="N214" s="0">
        <v>0</v>
      </c>
      <c r="R214" s="0">
        <v>0</v>
      </c>
      <c r="V214" s="0">
        <v>0</v>
      </c>
      <c r="Z214" s="0">
        <v>0</v>
      </c>
      <c r="AD214" s="0">
        <v>0</v>
      </c>
    </row>
    <row customHeight="1" ht="15">
      <c r="A215" s="9" t="s">
        <v>233</v>
      </c>
      <c r="B215" s="0">
        <v>0</v>
      </c>
      <c r="F215" s="0">
        <v>16.157</v>
      </c>
      <c r="J215" s="0">
        <v>7.343</v>
      </c>
      <c r="N215" s="0">
        <v>9.294</v>
      </c>
      <c r="R215" s="0">
        <v>7.456</v>
      </c>
      <c r="V215" s="0">
        <v>18.937</v>
      </c>
      <c r="Z215" s="0">
        <v>15.046</v>
      </c>
      <c r="AD215" s="0">
        <v>25.793</v>
      </c>
    </row>
    <row customHeight="1" ht="15">
      <c r="A216" s="9" t="s">
        <v>234</v>
      </c>
      <c r="F216" s="0">
        <v>0</v>
      </c>
      <c r="J216" s="0">
        <v>0</v>
      </c>
      <c r="N216" s="0">
        <v>0</v>
      </c>
      <c r="R216" s="0">
        <v>0.033</v>
      </c>
      <c r="V216" s="0">
        <v>0.085</v>
      </c>
      <c r="Z216" s="0">
        <v>0.764</v>
      </c>
      <c r="AD216" s="0">
        <v>0.68</v>
      </c>
    </row>
    <row customHeight="1" ht="15">
      <c r="A217" s="9" t="s">
        <v>235</v>
      </c>
      <c r="B217" s="11">
        <f t="shared" si="54"/>
        <v>0</v>
      </c>
      <c r="F217" s="11">
        <f t="shared" si="6"/>
        <v>21.839</v>
      </c>
      <c r="J217" s="11">
        <f t="shared" si="6"/>
        <v>31.108</v>
      </c>
      <c r="N217" s="11">
        <f t="shared" si="6"/>
        <v>42.53</v>
      </c>
      <c r="R217" s="11">
        <f t="shared" si="53"/>
        <v>66.568</v>
      </c>
      <c r="V217" s="11">
        <f t="shared" si="53"/>
        <v>84.596</v>
      </c>
      <c r="Z217" s="11">
        <f t="shared" si="53"/>
        <v>70.674</v>
      </c>
      <c r="AD217" s="11">
        <f t="shared" si="53"/>
        <v>96.931</v>
      </c>
    </row>
    <row customHeight="1" ht="15">
      <c r="A218" s="9" t="s">
        <v>236</v>
      </c>
      <c r="B218" s="0">
        <v>0</v>
      </c>
      <c r="F218" s="0">
        <v>0.728</v>
      </c>
      <c r="J218" s="0">
        <v>0.677</v>
      </c>
      <c r="N218" s="0">
        <v>0.782</v>
      </c>
      <c r="R218" s="0">
        <v>0.128</v>
      </c>
      <c r="V218" s="0">
        <v>42.064</v>
      </c>
      <c r="Z218" s="0">
        <v>35.56</v>
      </c>
      <c r="AD218" s="0">
        <v>46.812</v>
      </c>
    </row>
    <row customHeight="1" ht="15">
      <c r="A219" s="9" t="s">
        <v>237</v>
      </c>
      <c r="B219" s="0">
        <v>0</v>
      </c>
      <c r="F219" s="0">
        <v>0.127</v>
      </c>
      <c r="J219" s="0">
        <v>0.07</v>
      </c>
      <c r="N219" s="0">
        <v>0.466</v>
      </c>
      <c r="R219" s="0">
        <v>3.294</v>
      </c>
      <c r="V219" s="0">
        <v>5.265</v>
      </c>
      <c r="Z219" s="0">
        <v>0.458</v>
      </c>
      <c r="AD219" s="0">
        <v>0.915</v>
      </c>
    </row>
    <row customHeight="1" ht="15">
      <c r="A220" s="9" t="s">
        <v>238</v>
      </c>
      <c r="F220" s="0">
        <v>0</v>
      </c>
      <c r="J220" s="0">
        <v>0</v>
      </c>
      <c r="N220" s="0">
        <v>0</v>
      </c>
      <c r="R220" s="0">
        <v>0.003</v>
      </c>
      <c r="V220" s="0">
        <v>0.008</v>
      </c>
      <c r="Z220" s="0">
        <v>0.333</v>
      </c>
      <c r="AD220" s="0">
        <v>0.125</v>
      </c>
    </row>
    <row customHeight="1" ht="15">
      <c r="A221" s="9" t="s">
        <v>239</v>
      </c>
      <c r="B221" s="11">
        <f>SUM(B218:B219)</f>
        <v>0</v>
      </c>
      <c r="F221" s="11">
        <f t="shared" si="55" ref="F221:AD221">SUM(F218:F220)</f>
        <v>0.855</v>
      </c>
      <c r="J221" s="11">
        <f t="shared" si="55"/>
        <v>0.747</v>
      </c>
      <c r="N221" s="11">
        <f t="shared" si="55"/>
        <v>1.248</v>
      </c>
      <c r="R221" s="11">
        <f t="shared" si="55"/>
        <v>3.425</v>
      </c>
      <c r="V221" s="11">
        <f t="shared" si="55"/>
        <v>47.337</v>
      </c>
      <c r="Z221" s="11">
        <f t="shared" si="55"/>
        <v>36.351</v>
      </c>
      <c r="AD221" s="11">
        <f t="shared" si="55"/>
        <v>47.852</v>
      </c>
    </row>
    <row customHeight="1" ht="15">
      <c r="A222" s="9" t="s">
        <v>240</v>
      </c>
      <c r="B222" s="0">
        <v>0.001</v>
      </c>
      <c r="F222" s="0">
        <v>0.636</v>
      </c>
      <c r="J222" s="0">
        <v>0.421</v>
      </c>
      <c r="N222" s="0">
        <v>0.466</v>
      </c>
      <c r="R222" s="0">
        <v>0.161</v>
      </c>
      <c r="V222" s="0">
        <v>13.634</v>
      </c>
      <c r="Z222" s="0">
        <v>0.41</v>
      </c>
      <c r="AD222" s="0">
        <v>7.349</v>
      </c>
    </row>
    <row customHeight="1" ht="15">
      <c r="A223" s="9" t="s">
        <v>241</v>
      </c>
      <c r="B223" s="0">
        <v>0</v>
      </c>
      <c r="F223" s="0">
        <v>2.321</v>
      </c>
      <c r="J223" s="0">
        <v>2.283</v>
      </c>
      <c r="N223" s="0">
        <v>0.115</v>
      </c>
      <c r="R223" s="0">
        <v>0</v>
      </c>
      <c r="V223" s="0">
        <v>0</v>
      </c>
      <c r="Z223" s="0">
        <v>0</v>
      </c>
      <c r="AD223" s="0">
        <v>0</v>
      </c>
    </row>
    <row customHeight="1" ht="15">
      <c r="A224" s="9" t="s">
        <v>242</v>
      </c>
      <c r="B224" s="0">
        <v>8.822</v>
      </c>
      <c r="F224" s="0">
        <v>59.547</v>
      </c>
      <c r="J224" s="0">
        <v>34.662</v>
      </c>
      <c r="N224" s="0">
        <v>38.762</v>
      </c>
      <c r="R224" s="0">
        <v>12.478</v>
      </c>
      <c r="V224" s="0">
        <v>14.675</v>
      </c>
      <c r="Z224" s="0">
        <v>8.125</v>
      </c>
      <c r="AD224" s="0">
        <v>12.365</v>
      </c>
    </row>
    <row customHeight="1" ht="15">
      <c r="A225" s="9" t="s">
        <v>243</v>
      </c>
      <c r="B225" s="0">
        <v>0</v>
      </c>
      <c r="F225" s="0">
        <v>0.034</v>
      </c>
      <c r="J225" s="0">
        <v>0.056</v>
      </c>
      <c r="N225" s="0">
        <v>0.058</v>
      </c>
      <c r="R225" s="0">
        <v>0.296</v>
      </c>
      <c r="V225" s="0">
        <v>0.785</v>
      </c>
      <c r="Z225" s="0">
        <v>1.451</v>
      </c>
      <c r="AD225" s="0">
        <v>1.459</v>
      </c>
    </row>
    <row customHeight="1" ht="15">
      <c r="A226" s="9" t="s">
        <v>244</v>
      </c>
      <c r="B226" s="11">
        <f t="shared" si="53"/>
        <v>8.823</v>
      </c>
      <c r="F226" s="11">
        <f t="shared" si="6"/>
        <v>62.538</v>
      </c>
      <c r="J226" s="11">
        <f t="shared" si="6"/>
        <v>37.422</v>
      </c>
      <c r="N226" s="11">
        <f t="shared" si="6"/>
        <v>39.401</v>
      </c>
      <c r="R226" s="11">
        <f t="shared" si="53"/>
        <v>12.935</v>
      </c>
      <c r="V226" s="11">
        <f t="shared" si="53"/>
        <v>29.094</v>
      </c>
      <c r="Z226" s="11">
        <f t="shared" si="53"/>
        <v>9.986</v>
      </c>
      <c r="AD226" s="11">
        <f t="shared" si="53"/>
        <v>21.173</v>
      </c>
    </row>
    <row customHeight="1" ht="15">
      <c r="A227" s="4" t="s">
        <v>245</v>
      </c>
      <c r="B227" s="7">
        <f>B202+B207+B226</f>
        <v>432.474</v>
      </c>
      <c r="F227" s="7">
        <f t="shared" si="56" ref="F227:AD227">F202+F207+F212+F217+F221+F226</f>
        <v>607.296</v>
      </c>
      <c r="J227" s="7">
        <f t="shared" si="56"/>
        <v>695.672</v>
      </c>
      <c r="N227" s="7">
        <f t="shared" si="56"/>
        <v>1014.891</v>
      </c>
      <c r="R227" s="7">
        <f t="shared" si="56"/>
        <v>1852.686</v>
      </c>
      <c r="V227" s="7">
        <f t="shared" si="56"/>
        <v>2262.773</v>
      </c>
      <c r="Z227" s="7">
        <f t="shared" si="56"/>
        <v>2103.272</v>
      </c>
      <c r="AD227" s="7">
        <f t="shared" si="56"/>
        <v>2189.312</v>
      </c>
    </row>
    <row customHeight="1" ht="15">
      <c r="A228" s="9" t="s">
        <v>246</v>
      </c>
      <c r="B228" s="0">
        <v>0</v>
      </c>
      <c r="F228" s="0">
        <v>0</v>
      </c>
      <c r="G228" s="11">
        <f>F228+'Quarterly YTD'!G228-'Quarterly YTD'!C228</f>
        <v>0.224</v>
      </c>
      <c r="H228" s="11">
        <f>F228+'Quarterly YTD'!H228-'Quarterly YTD'!D228</f>
        <v>1.214</v>
      </c>
      <c r="I228" s="11">
        <f>F228+'Quarterly YTD'!I228-'Quarterly YTD'!E228</f>
        <v>6.294</v>
      </c>
      <c r="J228" s="0">
        <v>0</v>
      </c>
      <c r="K228" s="11">
        <f>J228+'Quarterly YTD'!K228-'Quarterly YTD'!G228</f>
        <v>-2.863</v>
      </c>
      <c r="L228" s="11">
        <f>J228+'Quarterly YTD'!L228-'Quarterly YTD'!H228</f>
        <v>-7.336</v>
      </c>
      <c r="M228" s="11">
        <f>J228+'Quarterly YTD'!M228-'Quarterly YTD'!I228</f>
        <v>-17.505</v>
      </c>
      <c r="N228" s="0">
        <v>0</v>
      </c>
      <c r="O228" s="11">
        <f>N228+'Quarterly YTD'!O228-'Quarterly YTD'!K228</f>
        <v>-2.909</v>
      </c>
      <c r="P228" s="11">
        <f>N228+'Quarterly YTD'!P228-'Quarterly YTD'!L228</f>
        <v>-12.318</v>
      </c>
      <c r="Q228" s="11">
        <f>N228+'Quarterly YTD'!Q228-'Quarterly YTD'!M228</f>
        <v>-9.502</v>
      </c>
      <c r="R228" s="0">
        <v>0</v>
      </c>
      <c r="S228" s="11">
        <f>R228+'Quarterly YTD'!S228-'Quarterly YTD'!O228</f>
        <v>-1.132</v>
      </c>
      <c r="T228" s="11">
        <f>R228+'Quarterly YTD'!T228-'Quarterly YTD'!P228</f>
        <v>2.282</v>
      </c>
      <c r="U228" s="11">
        <f>R228+'Quarterly YTD'!U228-'Quarterly YTD'!Q228</f>
        <v>-0.126999999999995</v>
      </c>
      <c r="V228" s="0">
        <v>0</v>
      </c>
      <c r="W228" s="11">
        <f>V228+'Quarterly YTD'!W228-'Quarterly YTD'!S228</f>
        <v>-6.297</v>
      </c>
      <c r="X228" s="11">
        <f>V228+'Quarterly YTD'!X228-'Quarterly YTD'!T228</f>
        <v>-12.11</v>
      </c>
      <c r="Y228" s="11">
        <f>V228+'Quarterly YTD'!Y228-'Quarterly YTD'!U228</f>
        <v>-28.83</v>
      </c>
      <c r="Z228" s="0">
        <v>0</v>
      </c>
      <c r="AA228" s="11">
        <f>Z228+'Quarterly YTD'!AA228-'Quarterly YTD'!W228</f>
        <v>-3.41</v>
      </c>
      <c r="AB228" s="11">
        <f>Z228+'Quarterly YTD'!AB228-'Quarterly YTD'!X228</f>
        <v>-7.578</v>
      </c>
      <c r="AC228" s="11">
        <f>Z228+'Quarterly YTD'!AC228-'Quarterly YTD'!Y228</f>
        <v>0.135000000000005</v>
      </c>
      <c r="AD228" s="0">
        <v>0</v>
      </c>
      <c r="AE228" s="11">
        <f>AD228+'Quarterly YTD'!AE228-'Quarterly YTD'!AA228</f>
        <v>4.202</v>
      </c>
      <c r="AF228" s="11">
        <f>AD228+'Quarterly YTD'!AF228-'Quarterly YTD'!AB228</f>
        <v>12.878</v>
      </c>
    </row>
    <row customHeight="1" ht="15">
      <c r="A229" s="9" t="s">
        <v>247</v>
      </c>
      <c r="F229" s="0">
        <v>31.7</v>
      </c>
      <c r="H229" s="11">
        <f>F229+'Quarterly YTD'!H229-'Quarterly YTD'!D229</f>
        <v>16.8</v>
      </c>
      <c r="I229" s="11">
        <f>F229+'Quarterly YTD'!I229-'Quarterly YTD'!E229</f>
        <v>6.7</v>
      </c>
      <c r="J229" s="0">
        <v>11.9</v>
      </c>
      <c r="K229" s="11">
        <f>J229+'Quarterly YTD'!K229-'Quarterly YTD'!G229</f>
        <v>2.4</v>
      </c>
      <c r="L229" s="11">
        <f>J229+'Quarterly YTD'!L229-'Quarterly YTD'!H229</f>
        <v>13.4</v>
      </c>
      <c r="M229" s="11">
        <f>J229+'Quarterly YTD'!M229-'Quarterly YTD'!I229</f>
        <v>21.4</v>
      </c>
      <c r="N229" s="0">
        <v>0</v>
      </c>
      <c r="R229" s="0">
        <v>0</v>
      </c>
      <c r="V229" s="0">
        <v>0</v>
      </c>
      <c r="Z229" s="0">
        <v>0</v>
      </c>
      <c r="AD229" s="0">
        <v>0</v>
      </c>
    </row>
    <row customHeight="1" ht="15">
      <c r="A230" s="9" t="s">
        <v>248</v>
      </c>
      <c r="F230" s="0">
        <v>149.2</v>
      </c>
      <c r="H230" s="11">
        <f>F230+'Quarterly YTD'!H230-'Quarterly YTD'!D230</f>
        <v>147.7</v>
      </c>
      <c r="I230" s="11">
        <f>F230+'Quarterly YTD'!I230-'Quarterly YTD'!E230</f>
        <v>78.7</v>
      </c>
      <c r="J230" s="0">
        <v>81.3</v>
      </c>
      <c r="K230" s="11">
        <f>J230+'Quarterly YTD'!K230-'Quarterly YTD'!G230</f>
        <v>96.8</v>
      </c>
      <c r="L230" s="11">
        <f>J230+'Quarterly YTD'!L230-'Quarterly YTD'!H230</f>
        <v>68.3</v>
      </c>
      <c r="M230" s="11">
        <f>J230+'Quarterly YTD'!M230-'Quarterly YTD'!I230</f>
        <v>93.4</v>
      </c>
      <c r="N230" s="0">
        <v>0</v>
      </c>
      <c r="R230" s="0">
        <v>0</v>
      </c>
      <c r="V230" s="0">
        <v>0</v>
      </c>
      <c r="Z230" s="0">
        <v>0</v>
      </c>
      <c r="AD230" s="0">
        <v>0</v>
      </c>
    </row>
    <row customHeight="1" ht="15">
      <c r="A231" s="9" t="s">
        <v>249</v>
      </c>
      <c r="F231" s="0">
        <v>33</v>
      </c>
      <c r="H231" s="11">
        <f>F231+'Quarterly YTD'!H231-'Quarterly YTD'!D231</f>
        <v>38.6</v>
      </c>
      <c r="I231" s="11">
        <f>F231+'Quarterly YTD'!I231-'Quarterly YTD'!E231</f>
        <v>37.2</v>
      </c>
      <c r="J231" s="0">
        <v>22.4</v>
      </c>
      <c r="K231" s="11">
        <f>J231+'Quarterly YTD'!K231-'Quarterly YTD'!G231</f>
        <v>2.1</v>
      </c>
      <c r="L231" s="11">
        <f>J231+'Quarterly YTD'!L231-'Quarterly YTD'!H231</f>
        <v>5</v>
      </c>
      <c r="M231" s="11">
        <f>J231+'Quarterly YTD'!M231-'Quarterly YTD'!I231</f>
        <v>6.2</v>
      </c>
      <c r="N231" s="0">
        <v>0</v>
      </c>
      <c r="R231" s="0">
        <v>0</v>
      </c>
      <c r="V231" s="0">
        <v>0</v>
      </c>
      <c r="Z231" s="0">
        <v>0</v>
      </c>
      <c r="AD231" s="0">
        <v>0</v>
      </c>
    </row>
    <row customHeight="1" ht="15">
      <c r="A232" s="9" t="s">
        <v>214</v>
      </c>
      <c r="F232" s="0">
        <v>-1.6</v>
      </c>
      <c r="H232" s="11">
        <f>F232+'Quarterly YTD'!H232-'Quarterly YTD'!D232</f>
        <v>-3.9</v>
      </c>
      <c r="I232" s="11">
        <f>F232+'Quarterly YTD'!I232-'Quarterly YTD'!E232</f>
        <v>-2</v>
      </c>
      <c r="J232" s="0">
        <v>14.7</v>
      </c>
      <c r="K232" s="11">
        <f>J232+'Quarterly YTD'!K232-'Quarterly YTD'!G232</f>
        <v>17.6</v>
      </c>
      <c r="L232" s="11">
        <f>J232+'Quarterly YTD'!L232-'Quarterly YTD'!H232</f>
        <v>19.4</v>
      </c>
      <c r="M232" s="11">
        <f>J232+'Quarterly YTD'!M232-'Quarterly YTD'!I232</f>
        <v>23.1</v>
      </c>
      <c r="N232" s="0">
        <v>0</v>
      </c>
      <c r="R232" s="0">
        <v>0</v>
      </c>
      <c r="V232" s="0">
        <v>0</v>
      </c>
      <c r="Z232" s="0">
        <v>0</v>
      </c>
      <c r="AD232" s="0">
        <v>0</v>
      </c>
    </row>
    <row customHeight="1" ht="15">
      <c r="A233" s="9" t="s">
        <v>250</v>
      </c>
      <c r="F233" s="0">
        <v>2.2</v>
      </c>
      <c r="H233" s="11">
        <f>F233+'Quarterly YTD'!H233-'Quarterly YTD'!D233</f>
        <v>2.5</v>
      </c>
      <c r="I233" s="11">
        <f>F233+'Quarterly YTD'!I233-'Quarterly YTD'!E233</f>
        <v>4.5</v>
      </c>
      <c r="J233" s="0">
        <v>-21.1</v>
      </c>
      <c r="K233" s="11">
        <f>J233+'Quarterly YTD'!K233-'Quarterly YTD'!G233</f>
        <v>-21.9</v>
      </c>
      <c r="L233" s="11">
        <f>J233+'Quarterly YTD'!L233-'Quarterly YTD'!H233</f>
        <v>-22.9</v>
      </c>
      <c r="M233" s="11">
        <f>J233+'Quarterly YTD'!M233-'Quarterly YTD'!I233</f>
        <v>-25.1</v>
      </c>
      <c r="N233" s="0">
        <v>0</v>
      </c>
      <c r="R233" s="0">
        <v>0</v>
      </c>
      <c r="V233" s="0">
        <v>0</v>
      </c>
      <c r="Z233" s="0">
        <v>0</v>
      </c>
      <c r="AD233" s="0">
        <v>0</v>
      </c>
    </row>
    <row customHeight="1" ht="15">
      <c r="A234" s="9" t="s">
        <v>251</v>
      </c>
      <c r="F234" s="0">
        <v>0</v>
      </c>
      <c r="H234" s="11">
        <f>F234+'Quarterly YTD'!H234-'Quarterly YTD'!D234</f>
        <v>0</v>
      </c>
      <c r="I234" s="11">
        <f>F234+'Quarterly YTD'!I234-'Quarterly YTD'!E234</f>
        <v>0</v>
      </c>
      <c r="J234" s="0">
        <v>0</v>
      </c>
      <c r="K234" s="11">
        <f>J234+'Quarterly YTD'!K234-'Quarterly YTD'!G234</f>
        <v>0</v>
      </c>
      <c r="L234" s="11">
        <f>J234+'Quarterly YTD'!L234-'Quarterly YTD'!H234</f>
        <v>0</v>
      </c>
      <c r="M234" s="11">
        <f>J234+'Quarterly YTD'!M234-'Quarterly YTD'!I234</f>
        <v>0</v>
      </c>
      <c r="N234" s="0">
        <v>133.785</v>
      </c>
      <c r="R234" s="0">
        <v>233.488</v>
      </c>
      <c r="V234" s="0">
        <v>336.296</v>
      </c>
      <c r="Z234" s="0">
        <v>219.564</v>
      </c>
      <c r="AD234" s="0">
        <v>237.609</v>
      </c>
    </row>
    <row customHeight="1" ht="15">
      <c r="A235" s="9" t="s">
        <v>252</v>
      </c>
      <c r="F235" s="0">
        <v>0</v>
      </c>
      <c r="H235" s="11">
        <f>F235+'Quarterly YTD'!H235-'Quarterly YTD'!D235</f>
        <v>0</v>
      </c>
      <c r="I235" s="11">
        <f>F235+'Quarterly YTD'!I235-'Quarterly YTD'!E235</f>
        <v>0</v>
      </c>
      <c r="J235" s="0">
        <v>0</v>
      </c>
      <c r="K235" s="11">
        <f>J235+'Quarterly YTD'!K235-'Quarterly YTD'!G235</f>
        <v>0</v>
      </c>
      <c r="L235" s="11">
        <f>J235+'Quarterly YTD'!L235-'Quarterly YTD'!H235</f>
        <v>0</v>
      </c>
      <c r="M235" s="11">
        <f>J235+'Quarterly YTD'!M235-'Quarterly YTD'!I235</f>
        <v>0</v>
      </c>
      <c r="N235" s="0">
        <v>21.16</v>
      </c>
      <c r="R235" s="0">
        <v>35.908</v>
      </c>
      <c r="V235" s="0">
        <v>79.583</v>
      </c>
      <c r="Z235" s="0">
        <v>100.113</v>
      </c>
      <c r="AD235" s="0">
        <v>88.546</v>
      </c>
    </row>
    <row customHeight="1" ht="15">
      <c r="A236" s="9" t="s">
        <v>253</v>
      </c>
      <c r="N236" s="0">
        <v>127.998</v>
      </c>
      <c r="R236" s="0">
        <v>232.063</v>
      </c>
      <c r="V236" s="0">
        <v>330.076</v>
      </c>
      <c r="Z236" s="0">
        <v>228.78</v>
      </c>
      <c r="AD236" s="0">
        <v>266.88</v>
      </c>
    </row>
    <row customHeight="1" ht="15">
      <c r="A237" s="9" t="s">
        <v>254</v>
      </c>
      <c r="N237" s="0">
        <v>18.858</v>
      </c>
      <c r="R237" s="0">
        <v>42.531</v>
      </c>
      <c r="V237" s="0">
        <v>77.596</v>
      </c>
      <c r="Z237" s="0">
        <v>99.306</v>
      </c>
      <c r="AD237" s="0">
        <v>95.697</v>
      </c>
    </row>
    <row customHeight="1" ht="15">
      <c r="A238" s="4" t="s">
        <v>255</v>
      </c>
      <c r="N238" s="7">
        <f t="shared" si="1"/>
        <v>146.856</v>
      </c>
      <c r="R238" s="7">
        <f t="shared" si="1"/>
        <v>274.594</v>
      </c>
      <c r="V238" s="7">
        <f t="shared" si="1"/>
        <v>407.672</v>
      </c>
      <c r="Z238" s="7">
        <f t="shared" si="1"/>
        <v>328.086</v>
      </c>
      <c r="AD238" s="7">
        <f t="shared" si="1"/>
        <v>362.577</v>
      </c>
    </row>
    <row customHeight="1" ht="15">
      <c r="A239" s="4" t="s">
        <v>256</v>
      </c>
      <c r="F239" s="7">
        <f>SUM(F229:F233)</f>
        <v>214.5</v>
      </c>
      <c r="H239" s="7">
        <f t="shared" si="57" ref="H239:M239">SUM(H229:H235)</f>
        <v>201.7</v>
      </c>
      <c r="I239" s="7">
        <f t="shared" si="57"/>
        <v>125.1</v>
      </c>
      <c r="J239" s="7">
        <f t="shared" si="57"/>
        <v>109.2</v>
      </c>
      <c r="K239" s="7">
        <f t="shared" si="57"/>
        <v>97</v>
      </c>
      <c r="L239" s="7">
        <f t="shared" si="57"/>
        <v>83.2</v>
      </c>
      <c r="M239" s="7">
        <f t="shared" si="57"/>
        <v>119</v>
      </c>
      <c r="N239" s="7">
        <f t="shared" si="58" ref="N239:AD239">SUM(N234:N235)</f>
        <v>154.945</v>
      </c>
      <c r="R239" s="7">
        <f t="shared" si="58"/>
        <v>269.396</v>
      </c>
      <c r="V239" s="7">
        <f t="shared" si="58"/>
        <v>415.879</v>
      </c>
      <c r="Z239" s="7">
        <f t="shared" si="58"/>
        <v>319.677</v>
      </c>
      <c r="AD239" s="7">
        <f t="shared" si="58"/>
        <v>326.155</v>
      </c>
    </row>
    <row customHeight="1" ht="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customHeight="1" ht="15">
      <c r="A241" s="2" t="s">
        <v>257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customHeight="1" ht="15">
      <c r="A242" s="9" t="s">
        <v>258</v>
      </c>
      <c r="J242" s="20">
        <v>10682</v>
      </c>
      <c r="N242" s="20">
        <v>35796</v>
      </c>
      <c r="R242" s="20">
        <v>143810</v>
      </c>
      <c r="V242" s="20">
        <v>260966</v>
      </c>
      <c r="Z242" s="20">
        <v>235827</v>
      </c>
      <c r="AD242" s="20">
        <v>264542</v>
      </c>
    </row>
    <row customHeight="1" ht="15">
      <c r="A243" s="9" t="s">
        <v>259</v>
      </c>
      <c r="J243" s="20">
        <v>30813</v>
      </c>
      <c r="N243" s="20">
        <v>35596</v>
      </c>
      <c r="R243" s="20">
        <v>39937</v>
      </c>
      <c r="V243" s="20">
        <v>35337</v>
      </c>
      <c r="Z243" s="20">
        <v>28827</v>
      </c>
      <c r="AD243" s="20">
        <v>23932</v>
      </c>
    </row>
    <row customHeight="1" ht="15">
      <c r="A244" s="9" t="s">
        <v>260</v>
      </c>
      <c r="Z244" s="20">
        <v>161134</v>
      </c>
      <c r="AD244" s="20">
        <v>69208</v>
      </c>
    </row>
    <row customHeight="1" ht="15">
      <c r="A245" s="9" t="s">
        <v>261</v>
      </c>
      <c r="B245" s="0">
        <v>7</v>
      </c>
      <c r="F245" s="0">
        <v>54</v>
      </c>
      <c r="J245" s="0">
        <v>54</v>
      </c>
      <c r="N245" s="0">
        <v>93</v>
      </c>
      <c r="R245" s="0">
        <v>173</v>
      </c>
      <c r="V245" s="0">
        <v>200</v>
      </c>
      <c r="Z245" s="0">
        <v>220</v>
      </c>
      <c r="AD245" s="0">
        <v>142</v>
      </c>
    </row>
    <row customHeight="1" ht="15">
      <c r="A246" s="9" t="s">
        <v>262</v>
      </c>
      <c r="B246" s="20">
        <v>2006</v>
      </c>
      <c r="F246" s="20">
        <v>22158</v>
      </c>
      <c r="J246" s="20">
        <v>41495</v>
      </c>
    </row>
    <row customHeight="1" ht="15">
      <c r="A247" s="9" t="s">
        <v>263</v>
      </c>
      <c r="B247" s="0">
        <v>497.855</v>
      </c>
      <c r="F247" s="0">
        <v>692.785</v>
      </c>
      <c r="J247" s="0">
        <v>547.629</v>
      </c>
    </row>
    <row customHeight="1" ht="15">
      <c r="A248" s="9" t="s">
        <v>264</v>
      </c>
      <c r="B248" s="0">
        <v>80.201</v>
      </c>
      <c r="F248" s="0">
        <v>77.862</v>
      </c>
      <c r="J248" s="0">
        <v>62.203</v>
      </c>
    </row>
    <row customHeight="1" ht="15">
      <c r="A249" s="9" t="s">
        <v>265</v>
      </c>
      <c r="B249" s="0">
        <v>14.268</v>
      </c>
      <c r="F249" s="0">
        <v>17.228</v>
      </c>
      <c r="J249" s="0">
        <v>13.932</v>
      </c>
    </row>
    <row customHeight="1" ht="15">
      <c r="A250" s="9" t="s">
        <v>266</v>
      </c>
      <c r="B250" s="20">
        <v>31</v>
      </c>
      <c r="F250" s="20">
        <v>33</v>
      </c>
      <c r="J250" s="20">
        <v>64</v>
      </c>
    </row>
    <row customHeight="1" ht="15">
      <c r="A251" s="9" t="s">
        <v>267</v>
      </c>
      <c r="B251" s="0">
        <v>18.645</v>
      </c>
      <c r="F251" s="0">
        <v>18.103</v>
      </c>
      <c r="J251" s="0">
        <v>39.3</v>
      </c>
      <c r="N251" s="0">
        <v>85</v>
      </c>
      <c r="R251" s="0">
        <v>161</v>
      </c>
      <c r="V251" s="0">
        <v>174</v>
      </c>
      <c r="Z251" s="0">
        <v>194</v>
      </c>
      <c r="AD251" s="0">
        <v>197</v>
      </c>
    </row>
    <row customHeight="1" ht="15">
      <c r="A252" s="9" t="s">
        <v>268</v>
      </c>
      <c r="B252" s="0">
        <v>2160.809</v>
      </c>
      <c r="F252" s="0">
        <v>1893.76</v>
      </c>
      <c r="J252" s="0">
        <v>4300</v>
      </c>
      <c r="N252" s="0">
        <v>6300</v>
      </c>
    </row>
    <row customHeight="1" ht="15">
      <c r="A253" s="9" t="s">
        <v>269</v>
      </c>
      <c r="B253" s="0">
        <v>253394</v>
      </c>
      <c r="F253" s="0">
        <v>225603</v>
      </c>
      <c r="J253" s="0">
        <v>69175</v>
      </c>
    </row>
    <row customHeight="1" ht="15">
      <c r="A254" s="9" t="s">
        <v>270</v>
      </c>
      <c r="B254" s="0">
        <v>9238.521</v>
      </c>
      <c r="F254" s="0">
        <v>9887.853</v>
      </c>
      <c r="J254" s="0">
        <v>8589.15</v>
      </c>
    </row>
    <row customHeight="1" ht="15">
      <c r="A255" s="9" t="s">
        <v>271</v>
      </c>
      <c r="B255" s="0">
        <v>66881</v>
      </c>
      <c r="F255" s="0">
        <v>221500</v>
      </c>
      <c r="J255" s="0">
        <v>623329</v>
      </c>
    </row>
    <row customHeight="1" ht="15">
      <c r="A256" s="9" t="s">
        <v>272</v>
      </c>
      <c r="J256" s="22">
        <v>623</v>
      </c>
      <c r="N256" s="22">
        <v>799</v>
      </c>
    </row>
    <row customHeight="1" ht="15">
      <c r="A257" s="9" t="s">
        <v>273</v>
      </c>
      <c r="B257" s="0">
        <v>394</v>
      </c>
      <c r="F257" s="0">
        <v>1199</v>
      </c>
      <c r="J257" s="0">
        <v>2295</v>
      </c>
      <c r="N257" s="0">
        <v>2390</v>
      </c>
    </row>
    <row customHeight="1" ht="15">
      <c r="A258" s="9" t="s">
        <v>274</v>
      </c>
      <c r="B258" s="0">
        <v>15.152</v>
      </c>
      <c r="F258" s="0">
        <v>14.368</v>
      </c>
      <c r="J258" s="0">
        <v>6.242</v>
      </c>
    </row>
    <row customHeight="1" ht="15">
      <c r="A259" s="9" t="s">
        <v>275</v>
      </c>
      <c r="B259" s="0">
        <v>17.911</v>
      </c>
      <c r="F259" s="0">
        <v>31.046</v>
      </c>
      <c r="J259" s="0">
        <v>13.741</v>
      </c>
    </row>
    <row customHeight="1" ht="15">
      <c r="A260" s="9" t="s">
        <v>276</v>
      </c>
      <c r="B260" s="0">
        <v>11.504</v>
      </c>
      <c r="F260" s="0">
        <v>14.866</v>
      </c>
      <c r="J260" s="0">
        <v>12.313</v>
      </c>
    </row>
    <row customHeight="1" ht="15">
      <c r="A261" s="9" t="s">
        <v>277</v>
      </c>
      <c r="B261" s="0">
        <v>3.024</v>
      </c>
      <c r="F261" s="0">
        <v>3.064</v>
      </c>
      <c r="J261" s="0">
        <v>3.661</v>
      </c>
    </row>
    <row customHeight="1" ht="15">
      <c r="A262" s="9" t="s">
        <v>278</v>
      </c>
      <c r="J262" s="0">
        <v>35.9</v>
      </c>
      <c r="N262" s="0">
        <v>39</v>
      </c>
      <c r="R262" s="0">
        <v>73</v>
      </c>
      <c r="V262" s="0">
        <v>60</v>
      </c>
      <c r="Z262" s="0">
        <v>63</v>
      </c>
      <c r="AD262" s="0">
        <v>42</v>
      </c>
    </row>
    <row customHeight="1" ht="15">
      <c r="A263" s="9" t="s">
        <v>279</v>
      </c>
      <c r="B263" s="0">
        <v>4</v>
      </c>
      <c r="F263" s="0">
        <v>5</v>
      </c>
      <c r="J263" s="0">
        <v>6</v>
      </c>
      <c r="N263" s="0">
        <v>8</v>
      </c>
      <c r="R263" s="0">
        <v>10</v>
      </c>
      <c r="V263" s="0">
        <v>13</v>
      </c>
      <c r="Z263" s="0">
        <v>17</v>
      </c>
      <c r="AD263" s="0">
        <v>17</v>
      </c>
    </row>
    <row customHeight="1" ht="15">
      <c r="A264" s="9" t="s">
        <v>280</v>
      </c>
      <c r="J264" s="0">
        <v>624</v>
      </c>
      <c r="N264" s="0">
        <v>744</v>
      </c>
      <c r="R264" s="0">
        <v>810</v>
      </c>
      <c r="V264" s="0">
        <v>1334</v>
      </c>
      <c r="Z264" s="0">
        <v>1381</v>
      </c>
      <c r="AD264" s="0">
        <v>1590</v>
      </c>
    </row>
    <row customHeight="1" ht="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customHeight="1" ht="15">
      <c r="A266" s="2" t="s">
        <v>281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customHeight="1" ht="15">
      <c r="A267" s="9" t="s">
        <v>282</v>
      </c>
      <c r="B267" s="19">
        <f t="shared" si="59" ref="B267:AD267">IF(B3&lt;0.05,"NM",(B3+B5)/B3)</f>
        <v>0.277230538714466</v>
      </c>
      <c r="F267" s="19">
        <f t="shared" si="59"/>
        <v>0.320596081014326</v>
      </c>
      <c r="G267" s="19">
        <f>IF(G3&lt;0.05,"NM",((F3+F5)+('Quarterly YTD'!G3+'Quarterly YTD'!G5)-('Quarterly YTD'!C3+'Quarterly YTD'!C5))/G3)</f>
        <v>0.315000006396537</v>
      </c>
      <c r="H267" s="19">
        <f>IF(H3&lt;0.05,"NM",((F3+F5)+('Quarterly YTD'!H3+'Quarterly YTD'!H5)-('Quarterly YTD'!D3+'Quarterly YTD'!D5))/H3)</f>
        <v>0.348203957780027</v>
      </c>
      <c r="I267" s="19">
        <f>IF(I3&lt;0.05,"NM",((F3+F5)+('Quarterly YTD'!I3+'Quarterly YTD'!I5)-('Quarterly YTD'!E3+'Quarterly YTD'!E5))/I3)</f>
        <v>0.370079526129927</v>
      </c>
      <c r="J267" s="19">
        <f t="shared" si="59"/>
        <v>0.398614576984556</v>
      </c>
      <c r="K267" s="19">
        <f>IF(K3&lt;0.05,"NM",((J3+J5)+('Quarterly YTD'!K3+'Quarterly YTD'!K5)-('Quarterly YTD'!G3+'Quarterly YTD'!G5))/K3)</f>
        <v>0.443758507120131</v>
      </c>
      <c r="L267" s="19">
        <f>IF(L3&lt;0.05,"NM",((J3+J5)+('Quarterly YTD'!L3+'Quarterly YTD'!L5)-('Quarterly YTD'!H3+'Quarterly YTD'!H5))/L3)</f>
        <v>0.408531254333762</v>
      </c>
      <c r="M267" s="19">
        <f>IF(M3&lt;0.05,"NM",((J3+J5)+('Quarterly YTD'!M3+'Quarterly YTD'!M5)-('Quarterly YTD'!I3+'Quarterly YTD'!I5))/M3)</f>
        <v>0.395033756612353</v>
      </c>
      <c r="N267" s="19">
        <f t="shared" si="59"/>
        <v>0.393742776317851</v>
      </c>
      <c r="O267" s="19">
        <f>IF(O3&lt;0.05,"NM",((N3+N5)+('Quarterly YTD'!O3+'Quarterly YTD'!O5)-('Quarterly YTD'!K3+'Quarterly YTD'!K5))/O3)</f>
        <v>0.37685361525495</v>
      </c>
      <c r="P267" s="19">
        <f>IF(P3&lt;0.05,"NM",((N3+N5)+('Quarterly YTD'!P3+'Quarterly YTD'!P5)-('Quarterly YTD'!L3+'Quarterly YTD'!L5))/P3)</f>
        <v>0.363460655731961</v>
      </c>
      <c r="Q267" s="19">
        <f>IF(Q3&lt;0.05,"NM",((N3+N5)+('Quarterly YTD'!Q3+'Quarterly YTD'!Q5)-('Quarterly YTD'!M3+'Quarterly YTD'!M5))/Q3)</f>
        <v>0.366390443392165</v>
      </c>
      <c r="R267" s="19">
        <f t="shared" si="59"/>
        <v>0.355850370758995</v>
      </c>
      <c r="S267" s="19">
        <f>IF(S3&lt;0.05,"NM",((R3+R5)+('Quarterly YTD'!S3+'Quarterly YTD'!S5)-('Quarterly YTD'!O3+'Quarterly YTD'!O5))/S3)</f>
        <v>0.349243145377623</v>
      </c>
      <c r="T267" s="19">
        <f>IF(T3&lt;0.05,"NM",((R3+R5)+('Quarterly YTD'!T3+'Quarterly YTD'!T5)-('Quarterly YTD'!P3+'Quarterly YTD'!P5))/T3)</f>
        <v>0.367074236368059</v>
      </c>
      <c r="U267" s="19">
        <f>IF(U3&lt;0.05,"NM",((R3+R5)+('Quarterly YTD'!U3+'Quarterly YTD'!U5)-('Quarterly YTD'!Q3+'Quarterly YTD'!Q5))/U3)</f>
        <v>0.38455188898603</v>
      </c>
      <c r="V267" s="19">
        <f t="shared" si="59"/>
        <v>0.378391027292618</v>
      </c>
      <c r="W267" s="19">
        <f>IF(W3&lt;0.05,"NM",((V3+V5)+('Quarterly YTD'!W3+'Quarterly YTD'!W5)-('Quarterly YTD'!S3+'Quarterly YTD'!S5))/W3)</f>
        <v>0.370870910838588</v>
      </c>
      <c r="X267" s="19">
        <f>IF(X3&lt;0.05,"NM",((V3+V5)+('Quarterly YTD'!X3+'Quarterly YTD'!X5)-('Quarterly YTD'!T3+'Quarterly YTD'!T5))/X3)</f>
        <v>0.383411201231066</v>
      </c>
      <c r="Y267" s="19">
        <f>IF(Y3&lt;0.05,"NM",((V3+V5)+('Quarterly YTD'!Y3+'Quarterly YTD'!Y5)-('Quarterly YTD'!U3+'Quarterly YTD'!U5))/Y3)</f>
        <v>0.394969825900994</v>
      </c>
      <c r="Z267" s="19">
        <f t="shared" si="59"/>
        <v>0.435428228018059</v>
      </c>
      <c r="AA267" s="19">
        <f>IF(AA3&lt;0.05,"NM",((Z3+Z5)+('Quarterly YTD'!AA3+'Quarterly YTD'!AA5)-('Quarterly YTD'!W3+'Quarterly YTD'!W5))/AA3)</f>
        <v>0.455189974585584</v>
      </c>
      <c r="AB267" s="19">
        <f>IF(AB3&lt;0.05,"NM",((Z3+Z5)+('Quarterly YTD'!AB3+'Quarterly YTD'!AB5)-('Quarterly YTD'!X3+'Quarterly YTD'!X5))/AB3)</f>
        <v>0.468746632009383</v>
      </c>
      <c r="AC267" s="19">
        <f>IF(AC3&lt;0.05,"NM",((Z3+Z5)+('Quarterly YTD'!AC3+'Quarterly YTD'!AC5)-('Quarterly YTD'!Y3+'Quarterly YTD'!Y5))/AC3)</f>
        <v>0.451430601617865</v>
      </c>
      <c r="AD267" s="19">
        <f t="shared" si="59"/>
        <v>0.450607770843078</v>
      </c>
      <c r="AE267" s="19">
        <f>IF(AE3&lt;0.05,"NM",((AD3+AD5)+('Quarterly YTD'!AE3+'Quarterly YTD'!AE5)-('Quarterly YTD'!AA3+'Quarterly YTD'!AA5))/AE3)</f>
        <v>0.450145897247002</v>
      </c>
      <c r="AF267" s="19">
        <f>IF(AF3&lt;0.05,"NM",((AD3+AD5)+('Quarterly YTD'!AF3+'Quarterly YTD'!AF5)-('Quarterly YTD'!AB3+'Quarterly YTD'!AB5))/AF3)</f>
        <v>0.421833910186008</v>
      </c>
    </row>
    <row customHeight="1" ht="15">
      <c r="A268" s="9" t="s">
        <v>283</v>
      </c>
      <c r="B268" s="19">
        <f t="shared" si="60" ref="B268:AF268">IF(B3&lt;0.05,"NM",B185/B3)</f>
        <v>0.0585329985155177</v>
      </c>
      <c r="F268" s="19">
        <f t="shared" si="61" ref="F268:AD268">IF(F3&lt;0.05,"NM",F186/F3)</f>
        <v>0.353202700477524</v>
      </c>
      <c r="G268" s="19">
        <f t="shared" si="60"/>
        <v>0.11688263506607</v>
      </c>
      <c r="H268" s="19">
        <f t="shared" si="61"/>
        <v>0.251143343456265</v>
      </c>
      <c r="I268" s="19">
        <f t="shared" si="61"/>
        <v>0.152284078583941</v>
      </c>
      <c r="J268" s="19">
        <f t="shared" si="61"/>
        <v>0.156970526339999</v>
      </c>
      <c r="K268" s="19">
        <f t="shared" si="61"/>
        <v>0.164421549732434</v>
      </c>
      <c r="L268" s="19">
        <f t="shared" si="61"/>
        <v>0.125415287399984</v>
      </c>
      <c r="M268" s="19">
        <f t="shared" si="61"/>
        <v>0.143491225933567</v>
      </c>
      <c r="N268" s="19">
        <f t="shared" si="61"/>
        <v>0.152671567685594</v>
      </c>
      <c r="O268" s="19">
        <f t="shared" si="60"/>
        <v>0.159805825574676</v>
      </c>
      <c r="P268" s="19">
        <f t="shared" si="60"/>
        <v>0.15676107515654</v>
      </c>
      <c r="Q268" s="19">
        <f t="shared" si="60"/>
        <v>0.175793427407719</v>
      </c>
      <c r="R268" s="19">
        <f t="shared" si="61"/>
        <v>0.14540834226631</v>
      </c>
      <c r="S268" s="19">
        <f t="shared" si="60"/>
        <v>0.144604044769635</v>
      </c>
      <c r="T268" s="19">
        <f t="shared" si="60"/>
        <v>0.157615547021827</v>
      </c>
      <c r="U268" s="19">
        <f t="shared" si="60"/>
        <v>0.173828103201324</v>
      </c>
      <c r="V268" s="19">
        <f t="shared" si="61"/>
        <v>0.183791745791558</v>
      </c>
      <c r="W268" s="19">
        <f t="shared" si="60"/>
        <v>0.165571716787612</v>
      </c>
      <c r="X268" s="19">
        <f t="shared" si="60"/>
        <v>0.177178143066446</v>
      </c>
      <c r="Y268" s="19">
        <f t="shared" si="60"/>
        <v>0.18458310974888</v>
      </c>
      <c r="Z268" s="19">
        <f t="shared" si="61"/>
        <v>0.151990327451704</v>
      </c>
      <c r="AA268" s="19">
        <f t="shared" si="60"/>
        <v>0.266096487060091</v>
      </c>
      <c r="AB268" s="19">
        <f t="shared" si="60"/>
        <v>0.282734227237667</v>
      </c>
      <c r="AC268" s="19">
        <f t="shared" si="60"/>
        <v>0.224611932306313</v>
      </c>
      <c r="AD268" s="19">
        <f t="shared" si="61"/>
        <v>0.148976025344949</v>
      </c>
      <c r="AE268" s="19">
        <f t="shared" si="60"/>
        <v>0.196119696505341</v>
      </c>
      <c r="AF268" s="19">
        <f t="shared" si="60"/>
        <v>0.159772730256105</v>
      </c>
    </row>
    <row customHeight="1" ht="15">
      <c r="A269" s="9" t="s">
        <v>284</v>
      </c>
      <c r="N269" s="19">
        <f t="shared" si="62" ref="N269:AD269">IF(N3&lt;0.05,"NM",N187/N3)</f>
        <v>0.152808528206477</v>
      </c>
      <c r="R269" s="19">
        <f t="shared" si="62"/>
        <v>0.155544436563994</v>
      </c>
      <c r="V269" s="19">
        <f t="shared" si="62"/>
        <v>0.173287819856433</v>
      </c>
      <c r="Z269" s="19">
        <f t="shared" si="62"/>
        <v>0.153511290979008</v>
      </c>
      <c r="AD269" s="19">
        <f t="shared" si="62"/>
        <v>0.164780990557764</v>
      </c>
    </row>
    <row customHeight="1" ht="15">
      <c r="A270" s="9" t="s">
        <v>285</v>
      </c>
      <c r="B270" s="19">
        <f t="shared" si="63" ref="B270:AF270">IF(B3&lt;0.05,"NM",B12/B3)</f>
        <v>0.0336158936722208</v>
      </c>
      <c r="F270" s="19">
        <f t="shared" si="63"/>
        <v>0.0424287831384818</v>
      </c>
      <c r="G270" s="19">
        <f t="shared" si="63"/>
        <v>0.0345464151889602</v>
      </c>
      <c r="H270" s="19">
        <f t="shared" si="63"/>
        <v>0.0397122746464756</v>
      </c>
      <c r="I270" s="19">
        <f t="shared" si="63"/>
        <v>0.0227184473110478</v>
      </c>
      <c r="J270" s="19">
        <f t="shared" si="63"/>
        <v>-0.0262120654561345</v>
      </c>
      <c r="K270" s="19">
        <f t="shared" si="63"/>
        <v>-0.0163540114620467</v>
      </c>
      <c r="L270" s="19">
        <f t="shared" si="63"/>
        <v>-0.00476186169346815</v>
      </c>
      <c r="M270" s="19">
        <f t="shared" si="63"/>
        <v>0.0523115954174449</v>
      </c>
      <c r="N270" s="19">
        <f t="shared" si="63"/>
        <v>0.0787966392450027</v>
      </c>
      <c r="O270" s="19">
        <f t="shared" si="63"/>
        <v>0.0651983629034188</v>
      </c>
      <c r="P270" s="19">
        <f t="shared" si="63"/>
        <v>0.0751957840296295</v>
      </c>
      <c r="Q270" s="19">
        <f t="shared" si="63"/>
        <v>0.0975741864678584</v>
      </c>
      <c r="R270" s="19">
        <f t="shared" si="63"/>
        <v>0.0874281988421136</v>
      </c>
      <c r="S270" s="19">
        <f t="shared" si="63"/>
        <v>0.0695344561990133</v>
      </c>
      <c r="T270" s="19">
        <f t="shared" si="63"/>
        <v>0.073648228253506</v>
      </c>
      <c r="U270" s="19">
        <f t="shared" si="63"/>
        <v>0.080321899588906</v>
      </c>
      <c r="V270" s="19">
        <f t="shared" si="63"/>
        <v>0.0705581160814629</v>
      </c>
      <c r="W270" s="19">
        <f t="shared" si="63"/>
        <v>0.0460698629992289</v>
      </c>
      <c r="X270" s="19">
        <f t="shared" si="63"/>
        <v>0.0491302879121667</v>
      </c>
      <c r="Y270" s="19">
        <f t="shared" si="63"/>
        <v>0.0524933354095414</v>
      </c>
      <c r="Z270" s="19">
        <f t="shared" si="63"/>
        <v>0.0442667424850423</v>
      </c>
      <c r="AA270" s="19">
        <f t="shared" si="63"/>
        <v>0.0488054249909234</v>
      </c>
      <c r="AB270" s="19">
        <f t="shared" si="63"/>
        <v>0.0531508542809142</v>
      </c>
      <c r="AC270" s="19">
        <f t="shared" si="63"/>
        <v>0.00159366942640647</v>
      </c>
      <c r="AD270" s="19">
        <f t="shared" si="63"/>
        <v>-0.0303730121608981</v>
      </c>
      <c r="AE270" s="19">
        <f t="shared" si="63"/>
        <v>-0.0219291612205606</v>
      </c>
      <c r="AF270" s="19">
        <f t="shared" si="63"/>
        <v>-0.0670016933652462</v>
      </c>
    </row>
    <row customHeight="1" ht="15">
      <c r="A271" s="9" t="s">
        <v>286</v>
      </c>
      <c r="B271" s="19">
        <f t="shared" si="64" ref="B271:AF271">IF(B3&lt;0.05,"NM",B17/B3)</f>
        <v>0.0292341273695066</v>
      </c>
      <c r="F271" s="19">
        <f t="shared" si="64"/>
        <v>0.0293792194961304</v>
      </c>
      <c r="G271" s="19">
        <f t="shared" si="64"/>
        <v>0.0143806937171939</v>
      </c>
      <c r="H271" s="19">
        <f t="shared" si="64"/>
        <v>0.0153213626238441</v>
      </c>
      <c r="I271" s="19">
        <f t="shared" si="64"/>
        <v>-0.00985890289729285</v>
      </c>
      <c r="J271" s="19">
        <f t="shared" si="64"/>
        <v>-0.0658485608160167</v>
      </c>
      <c r="K271" s="19">
        <f t="shared" si="64"/>
        <v>-0.0580509774606871</v>
      </c>
      <c r="L271" s="19">
        <f t="shared" si="64"/>
        <v>-0.0454419381485568</v>
      </c>
      <c r="M271" s="19">
        <f t="shared" si="64"/>
        <v>0.0173322931224294</v>
      </c>
      <c r="N271" s="19">
        <f t="shared" si="64"/>
        <v>0.0439731951510064</v>
      </c>
      <c r="O271" s="19">
        <f t="shared" si="64"/>
        <v>0.0246684263973276</v>
      </c>
      <c r="P271" s="19">
        <f t="shared" si="64"/>
        <v>0.0312217273845356</v>
      </c>
      <c r="Q271" s="19">
        <f t="shared" si="64"/>
        <v>0.0470610427024547</v>
      </c>
      <c r="R271" s="19">
        <f t="shared" si="64"/>
        <v>0.0148141671065685</v>
      </c>
      <c r="S271" s="19">
        <f t="shared" si="64"/>
        <v>0.000370039575681076</v>
      </c>
      <c r="T271" s="19">
        <f t="shared" si="64"/>
        <v>0.00678137037561509</v>
      </c>
      <c r="U271" s="19">
        <f t="shared" si="64"/>
        <v>0.0160042969549285</v>
      </c>
      <c r="V271" s="19">
        <f t="shared" si="64"/>
        <v>0.0318772585672535</v>
      </c>
      <c r="W271" s="19">
        <f t="shared" si="64"/>
        <v>-0.000770246432381612</v>
      </c>
      <c r="X271" s="19">
        <f t="shared" si="64"/>
        <v>0.0254005831322091</v>
      </c>
      <c r="Y271" s="19">
        <f t="shared" si="64"/>
        <v>0.0336532411437218</v>
      </c>
      <c r="Z271" s="19">
        <f t="shared" si="64"/>
        <v>0.0280443993929458</v>
      </c>
      <c r="AA271" s="19">
        <f t="shared" si="64"/>
        <v>0.0440042203037547</v>
      </c>
      <c r="AB271" s="19">
        <f t="shared" si="64"/>
        <v>0.0312459716190657</v>
      </c>
      <c r="AC271" s="19">
        <f t="shared" si="64"/>
        <v>-0.0320265278067751</v>
      </c>
      <c r="AD271" s="19">
        <f t="shared" si="64"/>
        <v>-0.0661509186447615</v>
      </c>
      <c r="AE271" s="19">
        <f t="shared" si="64"/>
        <v>-0.0594486374718418</v>
      </c>
      <c r="AF271" s="19">
        <f t="shared" si="64"/>
        <v>-0.110632320960536</v>
      </c>
    </row>
    <row customHeight="1" ht="15">
      <c r="A272" s="9" t="s">
        <v>287</v>
      </c>
      <c r="B272" s="19">
        <f t="shared" si="65" ref="B272:AF272">IF(B3&lt;0.05,"NM",B21/B3)</f>
        <v>0.0224082835037482</v>
      </c>
      <c r="F272" s="19">
        <f t="shared" si="65"/>
        <v>0.0199736538778199</v>
      </c>
      <c r="G272" s="19">
        <f t="shared" si="65"/>
        <v>0.00529889096847416</v>
      </c>
      <c r="H272" s="19">
        <f t="shared" si="65"/>
        <v>0.00217400236824313</v>
      </c>
      <c r="I272" s="19">
        <f t="shared" si="65"/>
        <v>-0.0209704062491251</v>
      </c>
      <c r="J272" s="19">
        <f t="shared" si="65"/>
        <v>-0.074180073367909</v>
      </c>
      <c r="K272" s="19">
        <f t="shared" si="65"/>
        <v>-0.0719556163519774</v>
      </c>
      <c r="L272" s="19">
        <f t="shared" si="65"/>
        <v>-0.045630362558713</v>
      </c>
      <c r="M272" s="19">
        <f t="shared" si="65"/>
        <v>0.0115842034247376</v>
      </c>
      <c r="N272" s="19">
        <f t="shared" si="65"/>
        <v>0.0338637351203233</v>
      </c>
      <c r="O272" s="19">
        <f t="shared" si="65"/>
        <v>0.0167940875785126</v>
      </c>
      <c r="P272" s="19">
        <f t="shared" si="65"/>
        <v>0.017425917425567</v>
      </c>
      <c r="Q272" s="19">
        <f t="shared" si="65"/>
        <v>0.0313249492651128</v>
      </c>
      <c r="R272" s="19">
        <f t="shared" si="65"/>
        <v>0.00629734342462781</v>
      </c>
      <c r="S272" s="19">
        <f t="shared" si="65"/>
        <v>-0.00459044916516908</v>
      </c>
      <c r="T272" s="19">
        <f t="shared" si="65"/>
        <v>0.00180142485749205</v>
      </c>
      <c r="U272" s="19">
        <f t="shared" si="65"/>
        <v>0.0126523000799866</v>
      </c>
      <c r="V272" s="19">
        <f t="shared" si="65"/>
        <v>0.0301338225266078</v>
      </c>
      <c r="W272" s="19">
        <f t="shared" si="65"/>
        <v>0.001762736212779</v>
      </c>
      <c r="X272" s="19">
        <f t="shared" si="65"/>
        <v>0.0276264500949748</v>
      </c>
      <c r="Y272" s="19">
        <f t="shared" si="65"/>
        <v>0.0301434786716301</v>
      </c>
      <c r="Z272" s="19">
        <f t="shared" si="65"/>
        <v>-0.0297550673426928</v>
      </c>
      <c r="AA272" s="19">
        <f t="shared" si="65"/>
        <v>-0.0424593747030315</v>
      </c>
      <c r="AB272" s="19">
        <f t="shared" si="65"/>
        <v>-0.0911756004268763</v>
      </c>
      <c r="AC272" s="19">
        <f t="shared" si="65"/>
        <v>-0.0949213400095253</v>
      </c>
      <c r="AD272" s="19">
        <f t="shared" si="65"/>
        <v>-0.029035148941768</v>
      </c>
      <c r="AE272" s="19">
        <f t="shared" si="65"/>
        <v>-0.000613393806363586</v>
      </c>
      <c r="AF272" s="19">
        <f t="shared" si="65"/>
        <v>-0.0150411964697491</v>
      </c>
    </row>
    <row customHeight="1" ht="15">
      <c r="A273" s="9" t="s">
        <v>288</v>
      </c>
      <c r="B273" s="11">
        <f t="shared" si="66" ref="B273:AF274">B26</f>
        <v>6.853</v>
      </c>
      <c r="F273" s="11">
        <f t="shared" si="66"/>
        <v>34.732</v>
      </c>
      <c r="G273" s="11">
        <f t="shared" si="66"/>
        <v>58.435</v>
      </c>
      <c r="H273" s="11">
        <f t="shared" si="66"/>
        <v>81.797</v>
      </c>
      <c r="I273" s="11">
        <f t="shared" si="66"/>
        <v>102.758</v>
      </c>
      <c r="J273" s="11">
        <f t="shared" si="66"/>
        <v>99.205</v>
      </c>
      <c r="K273" s="11">
        <f t="shared" si="66"/>
        <v>90.606</v>
      </c>
      <c r="L273" s="11">
        <f t="shared" si="66"/>
        <v>81.074</v>
      </c>
      <c r="M273" s="11">
        <f t="shared" si="66"/>
        <v>75.793</v>
      </c>
      <c r="N273" s="11">
        <f t="shared" si="66"/>
        <v>74.338</v>
      </c>
      <c r="O273" s="11">
        <f t="shared" si="66"/>
        <v>77.978</v>
      </c>
      <c r="P273" s="11">
        <f t="shared" si="66"/>
        <v>87.428</v>
      </c>
      <c r="Q273" s="11">
        <f t="shared" si="66"/>
        <v>104.522</v>
      </c>
      <c r="R273" s="11">
        <f t="shared" si="66"/>
        <v>114.781</v>
      </c>
      <c r="S273" s="11">
        <f t="shared" si="66"/>
        <v>135.075</v>
      </c>
      <c r="T273" s="11">
        <f t="shared" si="66"/>
        <v>158.608</v>
      </c>
      <c r="U273" s="11">
        <f t="shared" si="66"/>
        <v>186.978</v>
      </c>
      <c r="V273" s="11">
        <f t="shared" si="66"/>
        <v>239.28</v>
      </c>
      <c r="W273" s="11">
        <f t="shared" si="66"/>
        <v>279.013</v>
      </c>
      <c r="X273" s="11">
        <f t="shared" si="66"/>
        <v>318.581</v>
      </c>
      <c r="Y273" s="11">
        <f t="shared" si="66"/>
        <v>347.969</v>
      </c>
      <c r="Z273" s="11">
        <f t="shared" si="66"/>
        <v>364.599</v>
      </c>
      <c r="AA273" s="11">
        <f t="shared" si="66"/>
        <v>385.21</v>
      </c>
      <c r="AB273" s="11">
        <f t="shared" si="66"/>
        <v>386.114</v>
      </c>
      <c r="AC273" s="11">
        <f t="shared" si="66"/>
        <v>383.519</v>
      </c>
      <c r="AD273" s="11">
        <f t="shared" si="66"/>
        <v>353.946</v>
      </c>
      <c r="AE273" s="11">
        <f t="shared" si="66"/>
        <v>324.167</v>
      </c>
      <c r="AF273" s="11">
        <f t="shared" si="66"/>
        <v>292.857</v>
      </c>
    </row>
    <row customHeight="1" ht="15">
      <c r="A274" s="9" t="s">
        <v>289</v>
      </c>
      <c r="B274" s="11">
        <f t="shared" si="66"/>
        <v>3.923</v>
      </c>
      <c r="F274" s="11">
        <f t="shared" si="66"/>
        <v>4.925</v>
      </c>
      <c r="G274" s="11">
        <f t="shared" si="66"/>
        <v>5.925</v>
      </c>
      <c r="H274" s="11">
        <f t="shared" si="66"/>
        <v>14.082</v>
      </c>
      <c r="I274" s="11">
        <f t="shared" si="66"/>
        <v>15.399</v>
      </c>
      <c r="J274" s="11">
        <f t="shared" si="66"/>
        <v>29.244</v>
      </c>
      <c r="K274" s="11">
        <f t="shared" si="66"/>
        <v>28.486</v>
      </c>
      <c r="L274" s="11">
        <f t="shared" si="66"/>
        <v>22.192</v>
      </c>
      <c r="M274" s="11">
        <f t="shared" si="66"/>
        <v>20.921</v>
      </c>
      <c r="N274" s="11">
        <f t="shared" si="66"/>
        <v>18.152</v>
      </c>
      <c r="O274" s="11">
        <f t="shared" si="66"/>
        <v>32.701</v>
      </c>
      <c r="P274" s="11">
        <f t="shared" si="66"/>
        <v>28.962</v>
      </c>
      <c r="Q274" s="11">
        <f t="shared" si="66"/>
        <v>27.758</v>
      </c>
      <c r="R274" s="11">
        <f t="shared" si="66"/>
        <v>25.886</v>
      </c>
      <c r="S274" s="11">
        <f t="shared" si="66"/>
        <v>10.585</v>
      </c>
      <c r="T274" s="11">
        <f t="shared" si="66"/>
        <v>11.571</v>
      </c>
      <c r="U274" s="11">
        <f t="shared" si="66"/>
        <v>14.094</v>
      </c>
      <c r="V274" s="11">
        <f t="shared" si="66"/>
        <v>4.222</v>
      </c>
      <c r="W274" s="11">
        <f t="shared" si="66"/>
        <v>3.821</v>
      </c>
      <c r="X274" s="11">
        <f t="shared" si="66"/>
        <v>6.275</v>
      </c>
      <c r="Y274" s="11">
        <f t="shared" si="66"/>
        <v>5.762</v>
      </c>
      <c r="Z274" s="11">
        <f t="shared" si="66"/>
        <v>64.234</v>
      </c>
      <c r="AA274" s="11">
        <f t="shared" si="66"/>
        <v>60.668</v>
      </c>
      <c r="AB274" s="11">
        <f t="shared" si="66"/>
        <v>48.446</v>
      </c>
      <c r="AC274" s="11">
        <f t="shared" si="66"/>
        <v>53.374</v>
      </c>
      <c r="AD274" s="11">
        <f t="shared" si="66"/>
        <v>161.607</v>
      </c>
      <c r="AE274" s="11">
        <f t="shared" si="66"/>
        <v>167.461</v>
      </c>
      <c r="AF274" s="11">
        <f t="shared" si="66"/>
        <v>225.411</v>
      </c>
    </row>
    <row customHeight="1" ht="15">
      <c r="A275" s="9" t="s">
        <v>290</v>
      </c>
      <c r="F275" s="19">
        <f t="shared" si="67" ref="F275:AD275">F273/(((B108+B110)+(F108+F110))/2)</f>
        <v>0.136980142375422</v>
      </c>
      <c r="J275" s="19">
        <f t="shared" si="67"/>
        <v>0.22208268133413</v>
      </c>
      <c r="K275" s="19">
        <f>K273/((('Quarterly YTD'!G108+'Quarterly YTD'!G110)+(K108+K110))/2)</f>
        <v>0.186376492610229</v>
      </c>
      <c r="L275" s="19">
        <f>L273/((('Quarterly YTD'!H108+'Quarterly YTD'!H110)+(L108+L110))/2)</f>
        <v>0.166959608970933</v>
      </c>
      <c r="M275" s="19">
        <f>M273/((('Annual and Quarterly'!Q108+'Annual and Quarterly'!Q110)+(M108+M110))/2)</f>
        <v>0.154598348826892</v>
      </c>
      <c r="N275" s="19">
        <f t="shared" si="67"/>
        <v>0.151134197726014</v>
      </c>
      <c r="O275" s="19">
        <f>O273/((('Quarterly YTD'!K108+'Quarterly YTD'!K110)+(O108+O110))/2)</f>
        <v>0.148097220969266</v>
      </c>
      <c r="P275" s="19">
        <f>P273/((('Quarterly YTD'!L108+'Quarterly YTD'!L110)+(P108+P110))/2)</f>
        <v>0.148323077888787</v>
      </c>
      <c r="Q275" s="19">
        <f>Q273/((('Annual and Quarterly'!U108+'Annual and Quarterly'!U110)+(Q108+Q110))/2)</f>
        <v>0.152129362792187</v>
      </c>
      <c r="R275" s="19">
        <f t="shared" si="67"/>
        <v>0.162284748010516</v>
      </c>
      <c r="S275" s="19">
        <f>S273/((('Quarterly YTD'!O108+'Quarterly YTD'!O110)+(S108+S110))/2)</f>
        <v>0.164230914197478</v>
      </c>
      <c r="T275" s="19">
        <f>T273/((('Quarterly YTD'!P108+'Quarterly YTD'!P110)+(T108+T110))/2)</f>
        <v>0.161354167249503</v>
      </c>
      <c r="U275" s="19">
        <f>U273/((('Annual and Quarterly'!Y108+'Annual and Quarterly'!Y110)+(U108+U110))/2)</f>
        <v>0.162286090228664</v>
      </c>
      <c r="V275" s="19">
        <f t="shared" si="67"/>
        <v>0.196389270652041</v>
      </c>
      <c r="W275" s="19">
        <f>W273/((('Quarterly YTD'!S108+'Quarterly YTD'!S110)+(W108+W110))/2)</f>
        <v>0.199706895471911</v>
      </c>
      <c r="X275" s="19">
        <f>X273/((('Quarterly YTD'!T108+'Quarterly YTD'!T110)+(X108+X110))/2)</f>
        <v>0.206012283228818</v>
      </c>
      <c r="Y275" s="19">
        <f>Y273/((('Annual and Quarterly'!AC108+'Annual and Quarterly'!AC110)+(Y108+Y110))/2)</f>
        <v>0.213757569335342</v>
      </c>
      <c r="Z275" s="19">
        <f t="shared" si="67"/>
        <v>0.212856858040842</v>
      </c>
      <c r="AA275" s="19">
        <f>AA273/((('Quarterly YTD'!W108+'Quarterly YTD'!W110)+(AA108+AA110))/2)</f>
        <v>0.22109198352873</v>
      </c>
      <c r="AB275" s="19">
        <f>AB273/((('Quarterly YTD'!X108+'Quarterly YTD'!X110)+(AB108+AB110))/2)</f>
        <v>0.229358348584724</v>
      </c>
      <c r="AC275" s="19">
        <f>AC273/((('Annual and Quarterly'!AG108+'Annual and Quarterly'!AG110)+(AC108+AC110))/2)</f>
        <v>0.23210047788543</v>
      </c>
      <c r="AD275" s="19">
        <f t="shared" si="67"/>
        <v>0.228848564160274</v>
      </c>
      <c r="AE275" s="19">
        <f>AE273/((('Quarterly YTD'!AA108+'Quarterly YTD'!AA110)+(AE108+AE110))/2)</f>
        <v>0.216501107493858</v>
      </c>
      <c r="AF275" s="19">
        <f>AF273/((('Quarterly YTD'!AB108+'Quarterly YTD'!AB110)+(AF108+AF110))/2)</f>
        <v>0.223475636510704</v>
      </c>
    </row>
    <row customHeight="1" ht="15">
      <c r="A276" s="9" t="s">
        <v>291</v>
      </c>
      <c r="B276" s="11">
        <f t="shared" si="68" ref="B276:AF276">SUM(B61:B62)</f>
        <v>-25.222</v>
      </c>
      <c r="F276" s="11">
        <f t="shared" si="68"/>
        <v>-39.674</v>
      </c>
      <c r="G276" s="11">
        <f t="shared" si="68"/>
        <v>-54.687</v>
      </c>
      <c r="H276" s="11">
        <f t="shared" si="68"/>
        <v>-72.426</v>
      </c>
      <c r="I276" s="11">
        <f t="shared" si="68"/>
        <v>-104.927</v>
      </c>
      <c r="J276" s="11">
        <f t="shared" si="68"/>
        <v>-93.132</v>
      </c>
      <c r="K276" s="11">
        <f t="shared" si="68"/>
        <v>-100.839</v>
      </c>
      <c r="L276" s="11">
        <f t="shared" si="68"/>
        <v>-81.998</v>
      </c>
      <c r="M276" s="11">
        <f t="shared" si="68"/>
        <v>-73.472</v>
      </c>
      <c r="N276" s="11">
        <f t="shared" si="68"/>
        <v>-70.253</v>
      </c>
      <c r="O276" s="11">
        <f t="shared" si="68"/>
        <v>-65.65</v>
      </c>
      <c r="P276" s="11">
        <f t="shared" si="68"/>
        <v>-71.656</v>
      </c>
      <c r="Q276" s="11">
        <f t="shared" si="68"/>
        <v>-81.119</v>
      </c>
      <c r="R276" s="11">
        <f t="shared" si="68"/>
        <v>-159.07</v>
      </c>
      <c r="S276" s="11">
        <f t="shared" si="68"/>
        <v>-173.987</v>
      </c>
      <c r="T276" s="11">
        <f t="shared" si="68"/>
        <v>-214.106</v>
      </c>
      <c r="U276" s="11">
        <f t="shared" si="68"/>
        <v>-227.746</v>
      </c>
      <c r="V276" s="11">
        <f t="shared" si="68"/>
        <v>-213.784</v>
      </c>
      <c r="W276" s="11">
        <f t="shared" si="68"/>
        <v>-222.11</v>
      </c>
      <c r="X276" s="11">
        <f t="shared" si="68"/>
        <v>-206.305</v>
      </c>
      <c r="Y276" s="11">
        <f t="shared" si="68"/>
        <v>-247.318</v>
      </c>
      <c r="Z276" s="11">
        <f t="shared" si="68"/>
        <v>-240.345</v>
      </c>
      <c r="AA276" s="11">
        <f t="shared" si="68"/>
        <v>-244.194</v>
      </c>
      <c r="AB276" s="11">
        <f t="shared" si="68"/>
        <v>-232.348</v>
      </c>
      <c r="AC276" s="11">
        <f t="shared" si="68"/>
        <v>-193.8</v>
      </c>
      <c r="AD276" s="11">
        <f t="shared" si="68"/>
        <v>-169.115</v>
      </c>
      <c r="AE276" s="11">
        <f t="shared" si="68"/>
        <v>-133.875</v>
      </c>
      <c r="AF276" s="11">
        <f t="shared" si="68"/>
        <v>-162.547</v>
      </c>
    </row>
    <row customHeight="1" ht="15">
      <c r="A277" s="9" t="s">
        <v>292</v>
      </c>
      <c r="B277" s="11">
        <f t="shared" si="69" ref="B277:AF277">SUM(B61:B63)</f>
        <v>-25.007</v>
      </c>
      <c r="F277" s="11">
        <f t="shared" si="69"/>
        <v>-36.252</v>
      </c>
      <c r="G277" s="11">
        <f t="shared" si="69"/>
        <v>-51.16</v>
      </c>
      <c r="H277" s="11">
        <f t="shared" si="69"/>
        <v>-68.804</v>
      </c>
      <c r="I277" s="11">
        <f t="shared" si="69"/>
        <v>-101.368</v>
      </c>
      <c r="J277" s="11">
        <f t="shared" si="69"/>
        <v>-83.987</v>
      </c>
      <c r="K277" s="11">
        <f t="shared" si="69"/>
        <v>-92.077</v>
      </c>
      <c r="L277" s="11">
        <f t="shared" si="69"/>
        <v>-73.154</v>
      </c>
      <c r="M277" s="11">
        <f t="shared" si="69"/>
        <v>-64.405</v>
      </c>
      <c r="N277" s="11">
        <f t="shared" si="69"/>
        <v>-66.124</v>
      </c>
      <c r="O277" s="11">
        <f t="shared" si="69"/>
        <v>-59.595</v>
      </c>
      <c r="P277" s="11">
        <f t="shared" si="69"/>
        <v>-65.9</v>
      </c>
      <c r="Q277" s="11">
        <f t="shared" si="69"/>
        <v>-54.291</v>
      </c>
      <c r="R277" s="11">
        <f t="shared" si="69"/>
        <v>-155.17</v>
      </c>
      <c r="S277" s="11">
        <f t="shared" si="69"/>
        <v>-172.01</v>
      </c>
      <c r="T277" s="11">
        <f t="shared" si="69"/>
        <v>-212.229</v>
      </c>
      <c r="U277" s="11">
        <f t="shared" si="69"/>
        <v>-247.028</v>
      </c>
      <c r="V277" s="11">
        <f t="shared" si="69"/>
        <v>-192.632</v>
      </c>
      <c r="W277" s="11">
        <f t="shared" si="69"/>
        <v>-200.97</v>
      </c>
      <c r="X277" s="11">
        <f t="shared" si="69"/>
        <v>-183.799</v>
      </c>
      <c r="Y277" s="11">
        <f t="shared" si="69"/>
        <v>-220.936</v>
      </c>
      <c r="Z277" s="11">
        <f t="shared" si="69"/>
        <v>-233.826</v>
      </c>
      <c r="AA277" s="11">
        <f t="shared" si="69"/>
        <v>-228.451</v>
      </c>
      <c r="AB277" s="11">
        <f t="shared" si="69"/>
        <v>-211.534</v>
      </c>
      <c r="AC277" s="11">
        <f t="shared" si="69"/>
        <v>-181.123</v>
      </c>
      <c r="AD277" s="11">
        <f t="shared" si="69"/>
        <v>-150.212</v>
      </c>
      <c r="AE277" s="11">
        <f t="shared" si="69"/>
        <v>-123.94</v>
      </c>
      <c r="AF277" s="11">
        <f t="shared" si="69"/>
        <v>-156.714</v>
      </c>
    </row>
    <row customHeight="1" ht="15">
      <c r="A278" s="9" t="s">
        <v>293</v>
      </c>
      <c r="B278" s="19">
        <f t="shared" si="70" ref="B278:AF278">IF(B3=0,"NM",-B276/B3)</f>
        <v>0.0583202689641458</v>
      </c>
      <c r="F278" s="19">
        <f t="shared" si="70"/>
        <v>0.0653285032109336</v>
      </c>
      <c r="G278" s="19">
        <f t="shared" si="70"/>
        <v>0.0699614800562384</v>
      </c>
      <c r="H278" s="19">
        <f t="shared" si="70"/>
        <v>0.0901800088902502</v>
      </c>
      <c r="I278" s="19">
        <f t="shared" si="70"/>
        <v>0.127727510100537</v>
      </c>
      <c r="J278" s="19">
        <f t="shared" si="70"/>
        <v>0.133873434607114</v>
      </c>
      <c r="K278" s="19">
        <f t="shared" si="70"/>
        <v>0.170928913953287</v>
      </c>
      <c r="L278" s="19">
        <f t="shared" si="70"/>
        <v>0.123603398271922</v>
      </c>
      <c r="M278" s="19">
        <f t="shared" si="70"/>
        <v>0.0885931710234542</v>
      </c>
      <c r="N278" s="19">
        <f t="shared" si="70"/>
        <v>0.0692222120405048</v>
      </c>
      <c r="O278" s="19">
        <f t="shared" si="70"/>
        <v>0.0561170585600525</v>
      </c>
      <c r="P278" s="19">
        <f t="shared" si="70"/>
        <v>0.0502160194259805</v>
      </c>
      <c r="Q278" s="19">
        <f t="shared" si="70"/>
        <v>0.0479669383565208</v>
      </c>
      <c r="R278" s="19">
        <f t="shared" si="70"/>
        <v>0.0858591256154578</v>
      </c>
      <c r="S278" s="19">
        <f t="shared" si="70"/>
        <v>0.0896686290446021</v>
      </c>
      <c r="T278" s="19">
        <f t="shared" si="70"/>
        <v>0.105641158734098</v>
      </c>
      <c r="U278" s="19">
        <f t="shared" si="70"/>
        <v>0.105910638218717</v>
      </c>
      <c r="V278" s="19">
        <f t="shared" si="70"/>
        <v>0.0944787656561219</v>
      </c>
      <c r="W278" s="19">
        <f t="shared" si="70"/>
        <v>0.0938450000528145</v>
      </c>
      <c r="X278" s="19">
        <f t="shared" si="70"/>
        <v>0.0813188389859002</v>
      </c>
      <c r="Y278" s="19">
        <f t="shared" si="70"/>
        <v>0.0923531689618848</v>
      </c>
      <c r="Z278" s="19">
        <f t="shared" si="70"/>
        <v>0.114271953413539</v>
      </c>
      <c r="AA278" s="19">
        <f t="shared" si="70"/>
        <v>0.119003793887382</v>
      </c>
      <c r="AB278" s="19">
        <f t="shared" si="70"/>
        <v>0.122752295516742</v>
      </c>
      <c r="AC278" s="19">
        <f t="shared" si="70"/>
        <v>0.0989279740030761</v>
      </c>
      <c r="AD278" s="19">
        <f t="shared" si="70"/>
        <v>0.0772457283384004</v>
      </c>
      <c r="AE278" s="19">
        <f t="shared" si="70"/>
        <v>0.0593767865704456</v>
      </c>
      <c r="AF278" s="19">
        <f t="shared" si="70"/>
        <v>0.0711244032747146</v>
      </c>
    </row>
    <row customHeight="1" ht="15">
      <c r="A279" s="9" t="s">
        <v>294</v>
      </c>
      <c r="F279" s="19">
        <f t="shared" si="71" ref="F279:AD279">IF(B108=0,"NM",-(F61+F63)/B108)</f>
        <v>0.580505692645199</v>
      </c>
      <c r="J279" s="19">
        <f t="shared" si="71"/>
        <v>0.231186998673222</v>
      </c>
      <c r="K279" s="19">
        <f>IF('Quarterly YTD'!G108=0,"NM",-(K61+K63)/'Quarterly YTD'!G108)</f>
        <v>0.226909684144637</v>
      </c>
      <c r="L279" s="19">
        <f>IF('Quarterly YTD'!H108=0,"NM",-(L61+L63)/'Quarterly YTD'!H108)</f>
        <v>0.188494599274406</v>
      </c>
      <c r="M279" s="19">
        <f>IF('Quarterly YTD'!I108=0,"NM",-(M61+M63)/'Quarterly YTD'!I108)</f>
        <v>0.169248557951305</v>
      </c>
      <c r="N279" s="19">
        <f t="shared" si="71"/>
        <v>0.187356735452539</v>
      </c>
      <c r="O279" s="19">
        <f>IF('Quarterly YTD'!K108=0,"NM",-(O61+O63)/'Quarterly YTD'!K108)</f>
        <v>0.16345668582964</v>
      </c>
      <c r="P279" s="19">
        <f>IF('Quarterly YTD'!L108=0,"NM",-(P61+P63)/'Quarterly YTD'!L108)</f>
        <v>0.173189070429346</v>
      </c>
      <c r="Q279" s="19">
        <f>IF('Quarterly YTD'!M108=0,"NM",-(Q61+Q63)/'Quarterly YTD'!M108)</f>
        <v>0.136865536939653</v>
      </c>
      <c r="R279" s="19">
        <f t="shared" si="71"/>
        <v>0.363914941258508</v>
      </c>
      <c r="S279" s="19">
        <f>IF('Quarterly YTD'!O108=0,"NM",-(S61+S63)/'Quarterly YTD'!O108)</f>
        <v>0.356088775273065</v>
      </c>
      <c r="T279" s="19">
        <f>IF('Quarterly YTD'!P108=0,"NM",-(T61+T63)/'Quarterly YTD'!P108)</f>
        <v>0.354477078487916</v>
      </c>
      <c r="U279" s="19">
        <f>IF('Quarterly YTD'!Q108=0,"NM",-(U61+U63)/'Quarterly YTD'!Q108)</f>
        <v>0.313947170192329</v>
      </c>
      <c r="V279" s="19">
        <f t="shared" si="71"/>
        <v>0.236590276444924</v>
      </c>
      <c r="W279" s="19">
        <f>IF('Quarterly YTD'!S108=0,"NM",-(W61+W63)/'Quarterly YTD'!S108)</f>
        <v>0.201599540231814</v>
      </c>
      <c r="X279" s="19">
        <f>IF('Quarterly YTD'!T108=0,"NM",-(X61+X63)/'Quarterly YTD'!T108)</f>
        <v>0.152997502991254</v>
      </c>
      <c r="Y279" s="19">
        <f>IF('Quarterly YTD'!U108=0,"NM",-(Y61+Y63)/'Quarterly YTD'!U108)</f>
        <v>0.162612243767142</v>
      </c>
      <c r="Z279" s="19">
        <f t="shared" si="71"/>
        <v>0.159016329525356</v>
      </c>
      <c r="AA279" s="19">
        <f>IF('Quarterly YTD'!W108=0,"NM",-(AA61+AA63)/'Quarterly YTD'!W108)</f>
        <v>0.138626887154252</v>
      </c>
      <c r="AB279" s="19">
        <f>IF('Quarterly YTD'!X108=0,"NM",-(AB61+AB63)/'Quarterly YTD'!X108)</f>
        <v>0.122131668274364</v>
      </c>
      <c r="AC279" s="19">
        <f>IF('Quarterly YTD'!Y108=0,"NM",-(AC61+AC63)/'Quarterly YTD'!Y108)</f>
        <v>0.104609679795101</v>
      </c>
      <c r="AD279" s="19">
        <f t="shared" si="71"/>
        <v>0.0833133178082478</v>
      </c>
      <c r="AE279" s="19">
        <f>IF('Quarterly YTD'!AA108=0,"NM",-(AE61+AE63)/'Quarterly YTD'!AA108)</f>
        <v>0.0730337043628962</v>
      </c>
      <c r="AF279" s="19">
        <f>IF('Quarterly YTD'!AB108=0,"NM",-(AF61+AF63)/'Quarterly YTD'!AB108)</f>
        <v>0.106356663375126</v>
      </c>
    </row>
    <row customHeight="1" ht="15">
      <c r="A280" s="9" t="s">
        <v>295</v>
      </c>
      <c r="B280" s="19">
        <f t="shared" si="72" ref="B280:AF280">IF(B273=0,"NM",-B276/B273)</f>
        <v>3.68043192762294</v>
      </c>
      <c r="F280" s="19">
        <f t="shared" si="72"/>
        <v>1.142289531268</v>
      </c>
      <c r="G280" s="19">
        <f t="shared" si="72"/>
        <v>0.93586035766236</v>
      </c>
      <c r="H280" s="19">
        <f t="shared" si="72"/>
        <v>0.885435896182012</v>
      </c>
      <c r="I280" s="19">
        <f t="shared" si="72"/>
        <v>1.02110784561786</v>
      </c>
      <c r="J280" s="19">
        <f t="shared" si="72"/>
        <v>0.938783327453253</v>
      </c>
      <c r="K280" s="19">
        <f t="shared" si="72"/>
        <v>1.11293954042779</v>
      </c>
      <c r="L280" s="19">
        <f t="shared" si="72"/>
        <v>1.01139699533759</v>
      </c>
      <c r="M280" s="19">
        <f t="shared" si="72"/>
        <v>0.969377119259034</v>
      </c>
      <c r="N280" s="19">
        <f t="shared" si="72"/>
        <v>0.945048292932282</v>
      </c>
      <c r="O280" s="19">
        <f t="shared" si="72"/>
        <v>0.841904126804996</v>
      </c>
      <c r="P280" s="19">
        <f t="shared" si="72"/>
        <v>0.819600128105412</v>
      </c>
      <c r="Q280" s="19">
        <f t="shared" si="72"/>
        <v>0.776094984787892</v>
      </c>
      <c r="R280" s="19">
        <f t="shared" si="72"/>
        <v>1.38585654420157</v>
      </c>
      <c r="S280" s="19">
        <f t="shared" si="72"/>
        <v>1.28807699426245</v>
      </c>
      <c r="T280" s="19">
        <f t="shared" si="72"/>
        <v>1.34990668818723</v>
      </c>
      <c r="U280" s="19">
        <f t="shared" si="72"/>
        <v>1.21803634652205</v>
      </c>
      <c r="V280" s="19">
        <f t="shared" si="72"/>
        <v>0.893447007689736</v>
      </c>
      <c r="W280" s="19">
        <f t="shared" si="72"/>
        <v>0.79605609774455</v>
      </c>
      <c r="X280" s="19">
        <f t="shared" si="72"/>
        <v>0.647574714122939</v>
      </c>
      <c r="Y280" s="19">
        <f t="shared" si="72"/>
        <v>0.71074722173527</v>
      </c>
      <c r="Z280" s="19">
        <f t="shared" si="72"/>
        <v>0.659203673076448</v>
      </c>
      <c r="AA280" s="19">
        <f t="shared" si="72"/>
        <v>0.633924352950339</v>
      </c>
      <c r="AB280" s="19">
        <f t="shared" si="72"/>
        <v>0.601760101938806</v>
      </c>
      <c r="AC280" s="19">
        <f t="shared" si="72"/>
        <v>0.505320466521867</v>
      </c>
      <c r="AD280" s="19">
        <f t="shared" si="72"/>
        <v>0.477798873274454</v>
      </c>
      <c r="AE280" s="19">
        <f t="shared" si="72"/>
        <v>0.412981580481665</v>
      </c>
      <c r="AF280" s="19">
        <f t="shared" si="72"/>
        <v>0.555038807336004</v>
      </c>
    </row>
    <row customHeight="1" ht="15">
      <c r="A281" s="9" t="s">
        <v>296</v>
      </c>
      <c r="F281" s="19">
        <f t="shared" si="73" ref="F281:AD281">-F62/B110</f>
        <v>0</v>
      </c>
      <c r="J281" s="19">
        <f t="shared" si="73"/>
        <v>0</v>
      </c>
      <c r="K281" s="19">
        <f>-K62/'Quarterly YTD'!G110</f>
        <v>0</v>
      </c>
      <c r="L281" s="19">
        <f>-L62/'Quarterly YTD'!H110</f>
        <v>0</v>
      </c>
      <c r="M281" s="19">
        <f>-M62/'Annual and Quarterly'!Q110</f>
        <v>0</v>
      </c>
      <c r="N281" s="19">
        <f t="shared" si="73"/>
        <v>0</v>
      </c>
      <c r="O281" s="19">
        <f>-O62/'Quarterly YTD'!K110</f>
        <v>0</v>
      </c>
      <c r="P281" s="19">
        <f>-P62/'Quarterly YTD'!L110</f>
        <v>0</v>
      </c>
      <c r="Q281" s="19">
        <f>-Q62/'Annual and Quarterly'!U110</f>
        <v>0</v>
      </c>
      <c r="R281" s="19">
        <f t="shared" si="73"/>
        <v>0.038280039442175</v>
      </c>
      <c r="S281" s="19">
        <f>-S62/'Quarterly YTD'!O110</f>
        <v>0.0561612128825751</v>
      </c>
      <c r="T281" s="19">
        <f>-T62/'Quarterly YTD'!P110</f>
        <v>0.0758178941458684</v>
      </c>
      <c r="U281" s="19">
        <f>-U62/'Annual and Quarterly'!Y110</f>
        <v>0.0924856489274462</v>
      </c>
      <c r="V281" s="19">
        <f t="shared" si="73"/>
        <v>0.0813137957628272</v>
      </c>
      <c r="W281" s="19">
        <f>-W62/'Quarterly YTD'!S110</f>
        <v>0.0791143537334914</v>
      </c>
      <c r="X281" s="19">
        <f>-X62/'Quarterly YTD'!T110</f>
        <v>0.0669176845134233</v>
      </c>
      <c r="Y281" s="19">
        <f>-Y62/'Annual and Quarterly'!AC110</f>
        <v>0.0706872143941672</v>
      </c>
      <c r="Z281" s="19">
        <f t="shared" si="73"/>
        <v>0.0681267995015112</v>
      </c>
      <c r="AA281" s="19">
        <f>-AA62/'Quarterly YTD'!W110</f>
        <v>0.060596731046845</v>
      </c>
      <c r="AB281" s="19">
        <f>-AB62/'Quarterly YTD'!X110</f>
        <v>0.051133482526182</v>
      </c>
      <c r="AC281" s="19">
        <f>-AC62/'Annual and Quarterly'!AG110</f>
        <v>0.0422251694863906</v>
      </c>
      <c r="AD281" s="19">
        <f t="shared" si="73"/>
        <v>0.0435172014119382</v>
      </c>
      <c r="AE281" s="19">
        <f>-AE62/'Quarterly YTD'!AA110</f>
        <v>0.0451593585734247</v>
      </c>
      <c r="AF281" s="19">
        <f>-AF62/'Quarterly YTD'!AB110</f>
        <v>0.0511458261647512</v>
      </c>
    </row>
    <row customHeight="1" ht="15">
      <c r="A282" s="9" t="s">
        <v>297</v>
      </c>
      <c r="B282" s="11">
        <f t="shared" si="74" ref="B282:V282">B60-(SUM(B49:B54))</f>
        <v>22.069</v>
      </c>
      <c r="F282" s="11">
        <f t="shared" si="74"/>
        <v>52.562</v>
      </c>
      <c r="G282" s="11">
        <f>G60-((SUM(F49:F54))+(SUM('Quarterly YTD'!G49:G54))-('Quarterly YTD'!C49+'Quarterly YTD'!C50+SUM('Quarterly YTD'!C52:C54)))</f>
        <v>77.575</v>
      </c>
      <c r="H282" s="11">
        <f>H60-((SUM(F49:F54))+(SUM('Quarterly YTD'!H49:H54))-('Quarterly YTD'!D49+'Quarterly YTD'!D50+SUM('Quarterly YTD'!D52:D54)))</f>
        <v>97.527</v>
      </c>
      <c r="I282" s="11">
        <f>I60-((SUM(F49:F54))+(SUM('Quarterly YTD'!I49:I54))-('Quarterly YTD'!E49+'Quarterly YTD'!E50+SUM('Quarterly YTD'!E52:E54)))</f>
        <v>93.698</v>
      </c>
      <c r="J282" s="11">
        <f t="shared" si="74"/>
        <v>46.713</v>
      </c>
      <c r="K282" s="11">
        <f>K60-((SUM(J49:J54))+(SUM('Quarterly YTD'!K49:K54))-(SUM('Quarterly YTD'!G49:G54)))</f>
        <v>40.614</v>
      </c>
      <c r="L282" s="11">
        <f>L60-((SUM(J49:J54))+(SUM('Quarterly YTD'!L49:L54))-(SUM('Quarterly YTD'!H49:H54)))</f>
        <v>30.407</v>
      </c>
      <c r="M282" s="11">
        <f>M60-((SUM(J49:J54))+(SUM('Quarterly YTD'!M49:M54))-(SUM('Quarterly YTD'!I49:I54)))</f>
        <v>70.614</v>
      </c>
      <c r="N282" s="11">
        <f t="shared" si="74"/>
        <v>115.108</v>
      </c>
      <c r="O282" s="11">
        <f>O60-((SUM(N49:N54))+(SUM('Quarterly YTD'!O49:O54))-(SUM('Quarterly YTD'!K49:K54)))</f>
        <v>111.417</v>
      </c>
      <c r="P282" s="11">
        <f>P60-((SUM(N49:N54))+(SUM('Quarterly YTD'!P49:P54))-(SUM('Quarterly YTD'!L49:L54)))</f>
        <v>159.012</v>
      </c>
      <c r="Q282" s="11">
        <f>Q60-((SUM(N49:N54))+(SUM('Quarterly YTD'!Q49:Q54))-(SUM('Quarterly YTD'!M49:M54)))</f>
        <v>231.661</v>
      </c>
      <c r="R282" s="11">
        <f t="shared" si="74"/>
        <v>216.244</v>
      </c>
      <c r="S282" s="11">
        <f>S60-((SUM(R49:R54))+(SUM('Quarterly YTD'!S49:S54))-(SUM('Quarterly YTD'!O49:O54)))</f>
        <v>189.13</v>
      </c>
      <c r="T282" s="11">
        <f>T60-((SUM(R49:R54))+(SUM('Quarterly YTD'!T49:T54))-(SUM('Quarterly YTD'!P49:P54)))</f>
        <v>222.112</v>
      </c>
      <c r="U282" s="11">
        <f>U60-((SUM(R49:R54))+(SUM('Quarterly YTD'!U49:U54))-(SUM('Quarterly YTD'!Q49:Q54)))</f>
        <v>264.944</v>
      </c>
      <c r="V282" s="11">
        <f t="shared" si="74"/>
        <v>282.883</v>
      </c>
      <c r="W282" s="11">
        <f>W60-((SUM(V49:V54))+(SUM('Quarterly YTD'!W49:W51)+'Quarterly YTD'!W53+'Quarterly YTD'!W54)-(SUM('Quarterly YTD'!S49:S54)))</f>
        <v>266.146</v>
      </c>
      <c r="X282" s="11">
        <f>X60-((SUM(V49:V54))+(SUM('Quarterly YTD'!X49:X54))-(SUM('Quarterly YTD'!T49:T54)))</f>
        <v>301.847</v>
      </c>
      <c r="Y282" s="11">
        <f>Y60-((SUM(V49:V54))+(SUM('Quarterly YTD'!Y49:Y54))-(SUM('Quarterly YTD'!U49:U54)))</f>
        <v>330.843</v>
      </c>
      <c r="Z282" s="11">
        <f t="shared" si="75" ref="Z282:AD282">Z60-(SUM(Z49:Z51)+Z53+Z54)</f>
        <v>295.274</v>
      </c>
      <c r="AA282" s="11">
        <f>AA60-((SUM(Z49:Z51)+Z53+Z54)+(SUM('Quarterly YTD'!AA49:AA51)+'Quarterly YTD'!AA53+'Quarterly YTD'!AA54)-(SUM('Quarterly YTD'!W49:W51)+'Quarterly YTD'!W53+'Quarterly YTD'!W54))</f>
        <v>291.02</v>
      </c>
      <c r="AB282" s="11">
        <f>AB60-((SUM(Z49:Z51)+Z53+Z54)+(SUM('Quarterly YTD'!AB49:AB51)+'Quarterly YTD'!AB53+'Quarterly YTD'!AB54)-(SUM('Quarterly YTD'!X49:X54)))</f>
        <v>227.222</v>
      </c>
      <c r="AC282" s="11">
        <f>AC60-((SUM(Z49:Z51)+Z53+Z54)+(SUM('Quarterly YTD'!AC49:AC54))-(SUM('Quarterly YTD'!Y49:Y54)))</f>
        <v>226.645</v>
      </c>
      <c r="AD282" s="11">
        <f t="shared" si="75"/>
        <v>216.205</v>
      </c>
      <c r="AE282" s="11">
        <f>AE60-((SUM(AD49:AD51)+AD53+AD54)+(SUM('Quarterly YTD'!AE49:AE51)+'Quarterly YTD'!AE53+'Quarterly YTD'!AE54)-(SUM('Quarterly YTD'!AA49:AA51)+'Quarterly YTD'!AA53+'Quarterly YTD'!AA54))</f>
        <v>259.239</v>
      </c>
      <c r="AF282" s="11">
        <f>AF60-((SUM(AD49:AD51)+AD53+AD54)+(SUM('Quarterly YTD'!AF49:AF51)+'Quarterly YTD'!AF53+'Quarterly YTD'!AF54)-(SUM('Quarterly YTD'!AB49:AB51)+'Quarterly YTD'!AB53+'Quarterly YTD'!AB54))</f>
        <v>205.869</v>
      </c>
    </row>
    <row customHeight="1" ht="15">
      <c r="A283" s="4" t="s">
        <v>298</v>
      </c>
      <c r="B283" s="7">
        <f t="shared" si="76" ref="B283:AF283">B60+B276+B99</f>
        <v>-6.823</v>
      </c>
      <c r="F283" s="7">
        <f t="shared" si="76"/>
        <v>-31.352</v>
      </c>
      <c r="G283" s="7">
        <f t="shared" si="76"/>
        <v>-11.054</v>
      </c>
      <c r="H283" s="7">
        <f t="shared" si="76"/>
        <v>1.63300000000001</v>
      </c>
      <c r="I283" s="7">
        <f t="shared" si="76"/>
        <v>-54.792</v>
      </c>
      <c r="J283" s="7">
        <f t="shared" si="76"/>
        <v>-33.562</v>
      </c>
      <c r="K283" s="7">
        <f t="shared" si="76"/>
        <v>-76.545</v>
      </c>
      <c r="L283" s="7">
        <f t="shared" si="76"/>
        <v>-97.179</v>
      </c>
      <c r="M283" s="7">
        <f t="shared" si="76"/>
        <v>-56.727</v>
      </c>
      <c r="N283" s="7">
        <f t="shared" si="76"/>
        <v>-65.511</v>
      </c>
      <c r="O283" s="7">
        <f t="shared" si="76"/>
        <v>-34.38</v>
      </c>
      <c r="P283" s="7">
        <f t="shared" si="76"/>
        <v>-14.551</v>
      </c>
      <c r="Q283" s="7">
        <f t="shared" si="76"/>
        <v>43.858</v>
      </c>
      <c r="R283" s="7">
        <f t="shared" si="76"/>
        <v>-49.413</v>
      </c>
      <c r="S283" s="7">
        <f t="shared" si="76"/>
        <v>-112.707</v>
      </c>
      <c r="T283" s="7">
        <f t="shared" si="76"/>
        <v>-102.868</v>
      </c>
      <c r="U283" s="7">
        <f t="shared" si="76"/>
        <v>-129.461</v>
      </c>
      <c r="V283" s="7">
        <f t="shared" si="76"/>
        <v>-97.012</v>
      </c>
      <c r="W283" s="7">
        <f t="shared" si="76"/>
        <v>-79.787</v>
      </c>
      <c r="X283" s="7">
        <f t="shared" si="76"/>
        <v>-99.53</v>
      </c>
      <c r="Y283" s="7">
        <f t="shared" si="76"/>
        <v>-125.822</v>
      </c>
      <c r="Z283" s="7">
        <f t="shared" si="76"/>
        <v>-189.247</v>
      </c>
      <c r="AA283" s="7">
        <f t="shared" si="76"/>
        <v>-253.393</v>
      </c>
      <c r="AB283" s="7">
        <f t="shared" si="76"/>
        <v>-225.315</v>
      </c>
      <c r="AC283" s="7">
        <f t="shared" si="76"/>
        <v>-168.369</v>
      </c>
      <c r="AD283" s="7">
        <f t="shared" si="76"/>
        <v>-177.455</v>
      </c>
      <c r="AE283" s="7">
        <f t="shared" si="76"/>
        <v>-94.083</v>
      </c>
      <c r="AF283" s="7">
        <f t="shared" si="76"/>
        <v>-164.24</v>
      </c>
    </row>
    <row customHeight="1" ht="15">
      <c r="A284" s="9" t="s">
        <v>299</v>
      </c>
      <c r="B284" s="11">
        <f t="shared" si="77" ref="B284:AF284">B283-B294-B99</f>
        <v>-3.296</v>
      </c>
      <c r="F284" s="11">
        <f t="shared" si="77"/>
        <v>7.237</v>
      </c>
      <c r="G284" s="11">
        <f t="shared" si="77"/>
        <v>46.673</v>
      </c>
      <c r="H284" s="11">
        <f t="shared" si="77"/>
        <v>95.73</v>
      </c>
      <c r="I284" s="11">
        <f t="shared" si="77"/>
        <v>24.869</v>
      </c>
      <c r="J284" s="11">
        <f t="shared" si="77"/>
        <v>32.871</v>
      </c>
      <c r="K284" s="11">
        <f t="shared" si="77"/>
        <v>-22.703</v>
      </c>
      <c r="L284" s="11">
        <f t="shared" si="77"/>
        <v>-62.401</v>
      </c>
      <c r="M284" s="11">
        <f t="shared" si="77"/>
        <v>4.301</v>
      </c>
      <c r="N284" s="11">
        <f t="shared" si="77"/>
        <v>-1.71599999999999</v>
      </c>
      <c r="O284" s="11">
        <f t="shared" si="77"/>
        <v>35.737</v>
      </c>
      <c r="P284" s="11">
        <f t="shared" si="77"/>
        <v>58.615</v>
      </c>
      <c r="Q284" s="11">
        <f t="shared" si="77"/>
        <v>129.467</v>
      </c>
      <c r="R284" s="11">
        <f t="shared" si="77"/>
        <v>56.302</v>
      </c>
      <c r="S284" s="11">
        <f t="shared" si="77"/>
        <v>8.55900000000001</v>
      </c>
      <c r="T284" s="11">
        <f t="shared" si="77"/>
        <v>47.106</v>
      </c>
      <c r="U284" s="11">
        <f t="shared" si="77"/>
        <v>53.565</v>
      </c>
      <c r="V284" s="11">
        <f t="shared" si="77"/>
        <v>128.991</v>
      </c>
      <c r="W284" s="11">
        <f t="shared" si="77"/>
        <v>190.126</v>
      </c>
      <c r="X284" s="11">
        <f t="shared" si="77"/>
        <v>216.108</v>
      </c>
      <c r="Y284" s="11">
        <f t="shared" si="77"/>
        <v>229.325</v>
      </c>
      <c r="Z284" s="11">
        <f t="shared" si="77"/>
        <v>177.412</v>
      </c>
      <c r="AA284" s="11">
        <f t="shared" si="77"/>
        <v>141.154</v>
      </c>
      <c r="AB284" s="11">
        <f t="shared" si="77"/>
        <v>171.759</v>
      </c>
      <c r="AC284" s="11">
        <f t="shared" si="77"/>
        <v>215.604</v>
      </c>
      <c r="AD284" s="11">
        <f t="shared" si="77"/>
        <v>183.387</v>
      </c>
      <c r="AE284" s="11">
        <f t="shared" si="77"/>
        <v>218.445</v>
      </c>
      <c r="AF284" s="11">
        <f t="shared" si="77"/>
        <v>116.062</v>
      </c>
    </row>
    <row customHeight="1" ht="15">
      <c r="A285" s="9" t="s">
        <v>300</v>
      </c>
      <c r="B285" s="19">
        <f t="shared" si="78" ref="B285:AF285">IF(B180&lt;=0,"NM",B282/B180)</f>
        <v>0.508725017864964</v>
      </c>
      <c r="F285" s="19">
        <f t="shared" si="78"/>
        <v>0.176931751241269</v>
      </c>
      <c r="G285" s="19">
        <f t="shared" si="78"/>
        <v>0.188647356505203</v>
      </c>
      <c r="H285" s="19">
        <f t="shared" si="78"/>
        <v>0.363705863925892</v>
      </c>
      <c r="I285" s="19">
        <f t="shared" si="78"/>
        <v>0.38732746611329</v>
      </c>
      <c r="J285" s="19">
        <f t="shared" si="78"/>
        <v>0.204673314872586</v>
      </c>
      <c r="K285" s="19">
        <f t="shared" si="78"/>
        <v>0.158675709887637</v>
      </c>
      <c r="L285" s="19">
        <f t="shared" si="78"/>
        <v>0.116581870324859</v>
      </c>
      <c r="M285" s="19">
        <f t="shared" si="78"/>
        <v>0.238861000987728</v>
      </c>
      <c r="N285" s="19">
        <f t="shared" si="78"/>
        <v>0.437664683180928</v>
      </c>
      <c r="O285" s="19">
        <f t="shared" si="78"/>
        <v>0.530037201602238</v>
      </c>
      <c r="P285" s="19">
        <f t="shared" si="78"/>
        <v>0.516666937436031</v>
      </c>
      <c r="Q285" s="19">
        <f t="shared" si="78"/>
        <v>0.457976498311706</v>
      </c>
      <c r="R285" s="19">
        <f t="shared" si="78"/>
        <v>0.550050237195874</v>
      </c>
      <c r="S285" s="19">
        <f t="shared" si="78"/>
        <v>0.324103031622023</v>
      </c>
      <c r="T285" s="19">
        <f t="shared" si="78"/>
        <v>0.306261263559361</v>
      </c>
      <c r="U285" s="19">
        <f t="shared" si="78"/>
        <v>0.30751517008603</v>
      </c>
      <c r="V285" s="19">
        <f t="shared" si="78"/>
        <v>0.277257989900891</v>
      </c>
      <c r="W285" s="19">
        <f t="shared" si="78"/>
        <v>0.210736269670466</v>
      </c>
      <c r="X285" s="19">
        <f t="shared" si="78"/>
        <v>0.225390657376661</v>
      </c>
      <c r="Y285" s="19">
        <f t="shared" si="78"/>
        <v>0.255044137406828</v>
      </c>
      <c r="Z285" s="19">
        <f t="shared" si="78"/>
        <v>0.194937902222739</v>
      </c>
      <c r="AA285" s="19">
        <f t="shared" si="78"/>
        <v>0.202272946844794</v>
      </c>
      <c r="AB285" s="19">
        <f t="shared" si="78"/>
        <v>0.19635516449634</v>
      </c>
      <c r="AC285" s="19">
        <f t="shared" si="78"/>
        <v>0.214953669894441</v>
      </c>
      <c r="AD285" s="19">
        <f t="shared" si="78"/>
        <v>0.23632086866132</v>
      </c>
      <c r="AE285" s="19">
        <f t="shared" si="78"/>
        <v>0.267683338599459</v>
      </c>
      <c r="AF285" s="19">
        <f t="shared" si="78"/>
        <v>0.253244452754617</v>
      </c>
    </row>
    <row customHeight="1" ht="15">
      <c r="A286" s="9" t="s">
        <v>301</v>
      </c>
      <c r="B286" s="19">
        <f t="shared" si="79" ref="B286:AF286">IF(B180&lt;=0,"NM",B283/B180)</f>
        <v>-0.15728083723289</v>
      </c>
      <c r="F286" s="19">
        <f t="shared" si="79"/>
        <v>-0.105535639148363</v>
      </c>
      <c r="G286" s="19">
        <f t="shared" si="79"/>
        <v>-0.0268811843868323</v>
      </c>
      <c r="H286" s="19">
        <f t="shared" si="79"/>
        <v>0.00608992049166882</v>
      </c>
      <c r="I286" s="19">
        <f t="shared" si="79"/>
        <v>-0.226498394024199</v>
      </c>
      <c r="J286" s="19">
        <f t="shared" si="79"/>
        <v>-0.147052122401767</v>
      </c>
      <c r="K286" s="19">
        <f t="shared" si="79"/>
        <v>-0.299055306380784</v>
      </c>
      <c r="L286" s="19">
        <f t="shared" si="79"/>
        <v>-0.372588863626779</v>
      </c>
      <c r="M286" s="19">
        <f t="shared" si="79"/>
        <v>-0.191886424831207</v>
      </c>
      <c r="N286" s="19">
        <f t="shared" si="79"/>
        <v>-0.249086519267695</v>
      </c>
      <c r="O286" s="19">
        <f t="shared" si="79"/>
        <v>-0.163553847178482</v>
      </c>
      <c r="P286" s="19">
        <f t="shared" si="79"/>
        <v>-0.0472795801991779</v>
      </c>
      <c r="Q286" s="19">
        <f t="shared" si="79"/>
        <v>0.0867039910168513</v>
      </c>
      <c r="R286" s="19">
        <f t="shared" si="79"/>
        <v>-0.125689648593994</v>
      </c>
      <c r="S286" s="19">
        <f t="shared" si="79"/>
        <v>-0.193140593163556</v>
      </c>
      <c r="T286" s="19">
        <f t="shared" si="79"/>
        <v>-0.141840529371778</v>
      </c>
      <c r="U286" s="19">
        <f t="shared" si="79"/>
        <v>-0.150262777924797</v>
      </c>
      <c r="V286" s="19">
        <f t="shared" si="79"/>
        <v>-0.0950829569690127</v>
      </c>
      <c r="W286" s="19">
        <f t="shared" si="79"/>
        <v>-0.0631759062627184</v>
      </c>
      <c r="X286" s="19">
        <f t="shared" si="79"/>
        <v>-0.0743195464215284</v>
      </c>
      <c r="Y286" s="19">
        <f t="shared" si="79"/>
        <v>-0.0969951410693348</v>
      </c>
      <c r="Z286" s="19">
        <f t="shared" si="79"/>
        <v>-0.124939592317463</v>
      </c>
      <c r="AA286" s="19">
        <f t="shared" si="79"/>
        <v>-0.176120365678795</v>
      </c>
      <c r="AB286" s="19">
        <f t="shared" si="79"/>
        <v>-0.194707219760819</v>
      </c>
      <c r="AC286" s="19">
        <f t="shared" si="79"/>
        <v>-0.159683798215082</v>
      </c>
      <c r="AD286" s="19">
        <f t="shared" si="79"/>
        <v>-0.193965540798291</v>
      </c>
      <c r="AE286" s="19">
        <f t="shared" si="79"/>
        <v>-0.0971476187821001</v>
      </c>
      <c r="AF286" s="19">
        <f t="shared" si="79"/>
        <v>-0.202035609637286</v>
      </c>
    </row>
    <row customHeight="1" ht="15">
      <c r="A287" s="9" t="s">
        <v>302</v>
      </c>
      <c r="B287" s="19">
        <f t="shared" si="80" ref="B287:AF287">IF(B180&lt;=0,"NM",B284/B180)</f>
        <v>-0.0759779627025656</v>
      </c>
      <c r="F287" s="19">
        <f t="shared" si="80"/>
        <v>0.0243608516367921</v>
      </c>
      <c r="G287" s="19">
        <f t="shared" si="80"/>
        <v>0.113499685081113</v>
      </c>
      <c r="H287" s="19">
        <f t="shared" si="80"/>
        <v>0.357004340886376</v>
      </c>
      <c r="I287" s="19">
        <f t="shared" si="80"/>
        <v>0.102803120181556</v>
      </c>
      <c r="J287" s="19">
        <f t="shared" si="80"/>
        <v>0.144024501384556</v>
      </c>
      <c r="K287" s="19">
        <f t="shared" si="80"/>
        <v>-0.0886988388629296</v>
      </c>
      <c r="L287" s="19">
        <f t="shared" si="80"/>
        <v>-0.239248373405516</v>
      </c>
      <c r="M287" s="19">
        <f t="shared" si="80"/>
        <v>0.0145486895693236</v>
      </c>
      <c r="N287" s="19">
        <f t="shared" si="80"/>
        <v>-0.00652459078724735</v>
      </c>
      <c r="O287" s="19">
        <f t="shared" si="80"/>
        <v>0.170009419331513</v>
      </c>
      <c r="P287" s="19">
        <f t="shared" si="80"/>
        <v>0.19045375530031</v>
      </c>
      <c r="Q287" s="19">
        <f t="shared" si="80"/>
        <v>0.25594659138535</v>
      </c>
      <c r="R287" s="19">
        <f t="shared" si="80"/>
        <v>0.14321289124601</v>
      </c>
      <c r="S287" s="19">
        <f t="shared" si="80"/>
        <v>0.014667148774139</v>
      </c>
      <c r="T287" s="19">
        <f t="shared" si="80"/>
        <v>0.064952560335449</v>
      </c>
      <c r="U287" s="19">
        <f t="shared" si="80"/>
        <v>0.0621718177639734</v>
      </c>
      <c r="V287" s="19">
        <f t="shared" si="80"/>
        <v>0.12642606793376</v>
      </c>
      <c r="W287" s="19">
        <f t="shared" si="80"/>
        <v>0.150543100431218</v>
      </c>
      <c r="X287" s="19">
        <f t="shared" si="80"/>
        <v>0.161368919301353</v>
      </c>
      <c r="Y287" s="19">
        <f t="shared" si="80"/>
        <v>0.176784749294441</v>
      </c>
      <c r="Z287" s="19">
        <f t="shared" si="80"/>
        <v>0.117126205182781</v>
      </c>
      <c r="AA287" s="19">
        <f t="shared" si="80"/>
        <v>0.0981088431686138</v>
      </c>
      <c r="AB287" s="19">
        <f t="shared" si="80"/>
        <v>0.148426502269705</v>
      </c>
      <c r="AC287" s="19">
        <f t="shared" si="80"/>
        <v>0.204482212464079</v>
      </c>
      <c r="AD287" s="19">
        <f t="shared" si="80"/>
        <v>0.200449458343672</v>
      </c>
      <c r="AE287" s="19">
        <f t="shared" si="80"/>
        <v>0.225560532560142</v>
      </c>
      <c r="AF287" s="19">
        <f t="shared" si="80"/>
        <v>0.142770682694366</v>
      </c>
    </row>
    <row customHeight="1" ht="15">
      <c r="A288" s="9" t="s">
        <v>303</v>
      </c>
      <c r="B288" s="22">
        <v>365</v>
      </c>
      <c r="C288" s="22">
        <v>365</v>
      </c>
      <c r="D288" s="22">
        <v>365</v>
      </c>
      <c r="E288" s="22">
        <v>365</v>
      </c>
      <c r="F288" s="22">
        <v>365</v>
      </c>
      <c r="G288" s="22">
        <v>366</v>
      </c>
      <c r="H288" s="22">
        <v>366</v>
      </c>
      <c r="I288" s="22">
        <v>366</v>
      </c>
      <c r="J288" s="22">
        <v>366</v>
      </c>
      <c r="K288" s="22">
        <v>365</v>
      </c>
      <c r="L288" s="22">
        <v>365</v>
      </c>
      <c r="M288" s="22">
        <v>365</v>
      </c>
      <c r="N288" s="22">
        <v>365</v>
      </c>
      <c r="O288" s="22">
        <v>365</v>
      </c>
      <c r="P288" s="22">
        <v>365</v>
      </c>
      <c r="Q288" s="22">
        <v>365</v>
      </c>
      <c r="R288" s="22">
        <v>365</v>
      </c>
      <c r="S288" s="22">
        <v>365</v>
      </c>
      <c r="T288" s="22">
        <v>365</v>
      </c>
      <c r="U288" s="22">
        <v>365</v>
      </c>
      <c r="V288" s="22">
        <v>365</v>
      </c>
      <c r="W288" s="22">
        <v>366</v>
      </c>
      <c r="X288" s="22">
        <v>366</v>
      </c>
      <c r="Y288" s="22">
        <v>366</v>
      </c>
      <c r="Z288" s="22">
        <v>366</v>
      </c>
      <c r="AA288" s="22">
        <v>365</v>
      </c>
      <c r="AB288" s="22">
        <v>365</v>
      </c>
      <c r="AC288" s="22">
        <v>365</v>
      </c>
      <c r="AD288" s="22">
        <v>365</v>
      </c>
      <c r="AE288" s="22">
        <v>365</v>
      </c>
      <c r="AF288" s="22">
        <v>365</v>
      </c>
    </row>
    <row customHeight="1" ht="15">
      <c r="A289" s="9" t="s">
        <v>304</v>
      </c>
      <c r="F289" s="26">
        <f t="shared" si="81" ref="F289:AD289">IF(F3&lt;0.05,"NM",(B120+F120)/2/F3*F288)</f>
        <v>62.636896920797</v>
      </c>
      <c r="J289" s="26">
        <f t="shared" si="81"/>
        <v>68.3085448314723</v>
      </c>
      <c r="K289" s="26">
        <f>IF(K3&lt;0.05,"NM",(('Quarterly YTD'!G120)+K120)/2/K3*K288)</f>
        <v>100.218206042238</v>
      </c>
      <c r="L289" s="26">
        <f>IF(L3&lt;0.05,"NM",(('Annual and Quarterly'!P120)+L120)/2/L3*L288)</f>
        <v>85.1331595306574</v>
      </c>
      <c r="M289" s="26">
        <f>IF(M3&lt;0.05,"NM",(('Annual and Quarterly'!Q120)+M120)/2/M3*M288)</f>
        <v>78.291432488584</v>
      </c>
      <c r="N289" s="26">
        <f t="shared" si="81"/>
        <v>65.4403798043337</v>
      </c>
      <c r="O289" s="26">
        <f>IF(O3&lt;0.05,"NM",(('Quarterly YTD'!K120)+O120)/2/O3*O288)</f>
        <v>59.6833574669452</v>
      </c>
      <c r="P289" s="26">
        <f>IF(P3&lt;0.05,"NM",(('Annual and Quarterly'!T120)+P120)/2/P3*P288)</f>
        <v>54.8110697253943</v>
      </c>
      <c r="Q289" s="26">
        <f>IF(Q3&lt;0.05,"NM",(('Annual and Quarterly'!U120)+Q120)/2/Q3*Q288)</f>
        <v>53.2301019310005</v>
      </c>
      <c r="R289" s="26">
        <f t="shared" si="81"/>
        <v>49.8569495856287</v>
      </c>
      <c r="S289" s="26">
        <f>IF(S3&lt;0.05,"NM",(('Quarterly YTD'!O120)+S120)/2/S3*S288)</f>
        <v>51.5397833773893</v>
      </c>
      <c r="T289" s="26">
        <f>IF(T3&lt;0.05,"NM",(('Annual and Quarterly'!X120)+T120)/2/T3*T288)</f>
        <v>54.6903261363507</v>
      </c>
      <c r="U289" s="26">
        <f>IF(U3&lt;0.05,"NM",(('Annual and Quarterly'!Y120)+U120)/2/U3*U288)</f>
        <v>53.5239750553396</v>
      </c>
      <c r="V289" s="26">
        <f t="shared" si="81"/>
        <v>47.2949860635601</v>
      </c>
      <c r="W289" s="26">
        <f>IF(W3&lt;0.05,"NM",(('Quarterly YTD'!S120)+W120)/2/W3*W288)</f>
        <v>52.3838007415154</v>
      </c>
      <c r="X289" s="26">
        <f>IF(X3&lt;0.05,"NM",(('Annual and Quarterly'!AB120)+X120)/2/X3*X288)</f>
        <v>53.1171163927002</v>
      </c>
      <c r="Y289" s="26">
        <f>IF(Y3&lt;0.05,"NM",(('Annual and Quarterly'!AC120)+Y120)/2/Y3*Y288)</f>
        <v>49.4602314673227</v>
      </c>
      <c r="Z289" s="26">
        <f t="shared" si="81"/>
        <v>57.6720001026971</v>
      </c>
      <c r="AA289" s="26">
        <f>IF(AA3&lt;0.05,"NM",(('Quarterly YTD'!W120)+AA120)/2/AA3*AA288)</f>
        <v>64.6416701389143</v>
      </c>
      <c r="AB289" s="26">
        <f>IF(AB3&lt;0.05,"NM",(('Annual and Quarterly'!AF120)+AB120)/2/AB3*AB288)</f>
        <v>72.1202914170391</v>
      </c>
      <c r="AC289" s="26">
        <f>IF(AC3&lt;0.05,"NM",(('Annual and Quarterly'!AG120)+AC120)/2/AC3*AC288)</f>
        <v>67.1716106832003</v>
      </c>
      <c r="AD289" s="26">
        <f t="shared" si="81"/>
        <v>54.4128440806975</v>
      </c>
      <c r="AE289" s="26">
        <f>IF(AE3&lt;0.05,"NM",(('Quarterly YTD'!AA120)+AE120)/2/AE3*AE288)</f>
        <v>58.6137643707347</v>
      </c>
      <c r="AF289" s="26">
        <f>IF(AF3&lt;0.05,"NM",(('Annual and Quarterly'!AJ120)+AF120)/2/AF3*AF288)</f>
        <v>54.6789289792989</v>
      </c>
    </row>
    <row customHeight="1" ht="15">
      <c r="A290" s="9" t="s">
        <v>305</v>
      </c>
      <c r="F290" s="26">
        <f t="shared" si="82" ref="F290:AD290">IF(F5&gt;-0.05,"NM",(B119+F119)/2/-F5*F288)</f>
        <v>54.2083412101735</v>
      </c>
      <c r="J290" s="26">
        <f t="shared" si="82"/>
        <v>58.9736021244505</v>
      </c>
      <c r="K290" s="26">
        <f>IF((J5+('Quarterly YTD'!K5)-('Quarterly YTD'!G5))&gt;-0.05,"NM",('Quarterly YTD'!G119+K119)/2/-(J5+('Quarterly YTD'!K5)-('Quarterly YTD'!G5))*K288)</f>
        <v>46.3817716126319</v>
      </c>
      <c r="L290" s="26">
        <f>IF((J5+('Quarterly YTD'!L5)-('Quarterly YTD'!H5))&gt;-0.05,"NM",('Annual and Quarterly'!P119+L119)/2/-(J5+('Quarterly YTD'!L5)-('Quarterly YTD'!H5))*L288)</f>
        <v>47.5940547125476</v>
      </c>
      <c r="M290" s="26">
        <f>IF((J5+('Quarterly YTD'!M5)-('Quarterly YTD'!I5))&gt;-0.05,"NM",('Annual and Quarterly'!Q119+M119)/2/-(J5+('Quarterly YTD'!M5)-('Quarterly YTD'!I5))*M288)</f>
        <v>43.0730701002571</v>
      </c>
      <c r="N290" s="26">
        <f t="shared" si="82"/>
        <v>33.3766912894025</v>
      </c>
      <c r="O290" s="26">
        <f>IF((N5+('Quarterly YTD'!O5)-('Quarterly YTD'!K5))&gt;-0.05,"NM",('Quarterly YTD'!K119+O119)/2/-(N5+('Quarterly YTD'!O5)-('Quarterly YTD'!K5))*O288)</f>
        <v>30.243263411449</v>
      </c>
      <c r="P290" s="26">
        <f>IF((N5+('Quarterly YTD'!P5)-('Quarterly YTD'!L5))&gt;-0.05,"NM",('Annual and Quarterly'!T119+P119)/2/-(N5+('Quarterly YTD'!P5)-('Quarterly YTD'!L5))*P288)</f>
        <v>34.7946550363146</v>
      </c>
      <c r="Q290" s="26">
        <f>IF((N5+('Quarterly YTD'!Q5)-('Quarterly YTD'!M5))&gt;-0.05,"NM",('Annual and Quarterly'!U119+Q119)/2/-(N5+('Quarterly YTD'!Q5)-('Quarterly YTD'!M5))*Q288)</f>
        <v>34.665675089242</v>
      </c>
      <c r="R290" s="26">
        <f t="shared" si="82"/>
        <v>24.98862081419</v>
      </c>
      <c r="S290" s="26">
        <f>IF((R5+('Quarterly YTD'!S5)-('Quarterly YTD'!O5))&gt;-0.05,"NM",('Quarterly YTD'!O119+S119)/2/-(R5+('Quarterly YTD'!S5)-('Quarterly YTD'!O5))*S288)</f>
        <v>24.72183878006</v>
      </c>
      <c r="T290" s="26">
        <f>IF((R5+('Quarterly YTD'!T5)-('Quarterly YTD'!P5))&gt;-0.05,"NM",('Annual and Quarterly'!X119+T119)/2/-(R5+('Quarterly YTD'!T5)-('Quarterly YTD'!P5))*T288)</f>
        <v>31.2643371487774</v>
      </c>
      <c r="U290" s="26">
        <f>IF((R5+('Quarterly YTD'!U5)-('Quarterly YTD'!Q5))&gt;-0.05,"NM",('Annual and Quarterly'!Y119+U119)/2/-(R5+('Quarterly YTD'!U5)-('Quarterly YTD'!Q5))*U288)</f>
        <v>35.8863506707923</v>
      </c>
      <c r="V290" s="26">
        <f t="shared" si="82"/>
        <v>27.9739221931521</v>
      </c>
      <c r="W290" s="26">
        <f>IF((V5+('Quarterly YTD'!W5)-('Quarterly YTD'!S5))&gt;-0.05,"NM",('Quarterly YTD'!S119+W119)/2/-(V5+('Quarterly YTD'!W5)-('Quarterly YTD'!S5))*W288)</f>
        <v>30.2685984686439</v>
      </c>
      <c r="X290" s="26">
        <f>IF((V5+('Quarterly YTD'!X5)-('Quarterly YTD'!T5))&gt;-0.05,"NM",('Annual and Quarterly'!AB119+X119)/2/-(V5+('Quarterly YTD'!X5)-('Quarterly YTD'!T5))*X288)</f>
        <v>31.4877000841921</v>
      </c>
      <c r="Y290" s="26">
        <f>IF((V5+('Quarterly YTD'!Y5)-('Quarterly YTD'!U5))&gt;-0.05,"NM",('Annual and Quarterly'!AC119+Y119)/2/-(V5+('Quarterly YTD'!Y5)-('Quarterly YTD'!U5))*Y288)</f>
        <v>37.7141878455494</v>
      </c>
      <c r="Z290" s="26">
        <f t="shared" si="82"/>
        <v>57.7272773207753</v>
      </c>
      <c r="AA290" s="26">
        <f>IF((Z5+('Quarterly YTD'!AA5)-('Quarterly YTD'!W5))&gt;-0.05,"NM",('Quarterly YTD'!W119+AA119)/2/-(Z5+('Quarterly YTD'!AA5)-('Quarterly YTD'!W5))*AA288)</f>
        <v>61.3182839539082</v>
      </c>
      <c r="AB290" s="26">
        <f>IF((Z5+('Quarterly YTD'!AB5)-('Quarterly YTD'!X5))&gt;-0.05,"NM",('Annual and Quarterly'!AF119+AB119)/2/-(Z5+('Quarterly YTD'!AB5)-('Quarterly YTD'!X5))*AB288)</f>
        <v>66.9272112151652</v>
      </c>
      <c r="AC290" s="26">
        <f>IF((Z5+('Quarterly YTD'!AC5)-('Quarterly YTD'!Y5))&gt;-0.05,"NM",('Annual and Quarterly'!AG119+AC119)/2/-(Z5+('Quarterly YTD'!AC5)-('Quarterly YTD'!Y5))*AC288)</f>
        <v>68.2500153538647</v>
      </c>
      <c r="AD290" s="26">
        <f t="shared" si="82"/>
        <v>71.2953996163922</v>
      </c>
      <c r="AE290" s="26">
        <f>IF((AD5+('Quarterly YTD'!AE5)-('Quarterly YTD'!AA5))&gt;-0.05,"NM",('Quarterly YTD'!AA119+AE119)/2/-(AD5+('Quarterly YTD'!AE5)-('Quarterly YTD'!AA5))*AE288)</f>
        <v>62.3059571409789</v>
      </c>
      <c r="AF290" s="26">
        <f>IF((AD5+('Quarterly YTD'!AF5)-('Quarterly YTD'!AB5))&gt;-0.05,"NM",('Annual and Quarterly'!AJ119+AF119)/2/-(AD5+('Quarterly YTD'!AF5)-('Quarterly YTD'!AB5))*AF288)</f>
        <v>55.1999190212929</v>
      </c>
    </row>
    <row customHeight="1" ht="15">
      <c r="A291" s="9" t="s">
        <v>306</v>
      </c>
      <c r="F291" s="26">
        <f t="shared" si="83" ref="F291:AD291">IF((F3-F185+F11)&lt;0.05,"NM",(B155+F155)/2/(F3-F185+F11)*F288)</f>
        <v>54.7026921788183</v>
      </c>
      <c r="J291" s="26">
        <f t="shared" si="83"/>
        <v>87.8115398198096</v>
      </c>
      <c r="K291" s="26">
        <f>IF((K3-K185+K11)&lt;0.05,"NM",(('Quarterly YTD'!G155)+K155)/2/(K3-K185+K11)*K288)</f>
        <v>129.986402832166</v>
      </c>
      <c r="L291" s="26">
        <f>IF((L3-L185+L11)&lt;0.05,"NM",(('Annual and Quarterly'!P155)+L155)/2/(L3-L185+L11)*L288)</f>
        <v>114.172017744647</v>
      </c>
      <c r="M291" s="26">
        <f>IF((M3-M185+M11)&lt;0.05,"NM",(('Annual and Quarterly'!Q155)+M155)/2/(M3-M185+M11)*M288)</f>
        <v>98.8124707837379</v>
      </c>
      <c r="N291" s="26">
        <f t="shared" si="83"/>
        <v>79.2258439980469</v>
      </c>
      <c r="O291" s="26">
        <f>IF((O3-O185+O11)&lt;0.05,"NM",(('Quarterly YTD'!K155)+O155)/2/(O3-O185+O11)*O288)</f>
        <v>76.9610373366842</v>
      </c>
      <c r="P291" s="26">
        <f>IF((P3-P185+P11)&lt;0.05,"NM",(('Annual and Quarterly'!T155)+P155)/2/(P3-P185+P11)*P288)</f>
        <v>67.7771263412028</v>
      </c>
      <c r="Q291" s="26">
        <f>IF((Q3-Q185+Q11)&lt;0.05,"NM",(('Annual and Quarterly'!U155)+Q155)/2/(Q3-Q185+Q11)*Q288)</f>
        <v>61.1733608998601</v>
      </c>
      <c r="R291" s="26">
        <f t="shared" si="83"/>
        <v>52.7809023852203</v>
      </c>
      <c r="S291" s="26">
        <f>IF((S3-S185+S11)&lt;0.05,"NM",(('Quarterly YTD'!O155)+S155)/2/(S3-S185+S11)*S288)</f>
        <v>58.928724074829</v>
      </c>
      <c r="T291" s="26">
        <f>IF((T3-T185+T11)&lt;0.05,"NM",(('Annual and Quarterly'!X155)+T155)/2/(T3-T185+T11)*T288)</f>
        <v>61.102249705268</v>
      </c>
      <c r="U291" s="26">
        <f>IF((U3-U185+U11)&lt;0.05,"NM",(('Annual and Quarterly'!Y155)+U155)/2/(U3-U185+U11)*U288)</f>
        <v>62.2681481519011</v>
      </c>
      <c r="V291" s="26">
        <f t="shared" si="83"/>
        <v>52.4669803086883</v>
      </c>
      <c r="W291" s="26">
        <f>IF((W3-W185+W11)&lt;0.05,"NM",(('Quarterly YTD'!S155)+W155)/2/(W3-W185+W11)*W288)</f>
        <v>59.0503494688114</v>
      </c>
      <c r="X291" s="26">
        <f>IF((X3-X185+X11)&lt;0.05,"NM",(('Annual and Quarterly'!AB155)+X155)/2/(X3-X185+X11)*X288)</f>
        <v>58.2429693598408</v>
      </c>
      <c r="Y291" s="26">
        <f>IF((Y3-Y185+Y11)&lt;0.05,"NM",(('Annual and Quarterly'!AC155)+Y155)/2/(Y3-Y185+Y11)*Y288)</f>
        <v>60.5213760915116</v>
      </c>
      <c r="Z291" s="26">
        <f t="shared" si="83"/>
        <v>82.6319283734908</v>
      </c>
      <c r="AA291" s="26">
        <f>IF((AA3-AA185+AA11)&lt;0.05,"NM",(('Quarterly YTD'!W155)+AA155)/2/(AA3-AA185+AA11)*AA288)</f>
        <v>95.6294465578107</v>
      </c>
      <c r="AB291" s="26">
        <f>IF((AB3-AB185+AB11)&lt;0.05,"NM",(('Annual and Quarterly'!AF155)+AB155)/2/(AB3-AB185+AB11)*AB288)</f>
        <v>105.793481618668</v>
      </c>
      <c r="AC291" s="26">
        <f>IF((AC3-AC185+AC11)&lt;0.05,"NM",(('Annual and Quarterly'!AG155)+AC155)/2/(AC3-AC185+AC11)*AC288)</f>
        <v>93.7072615057745</v>
      </c>
      <c r="AD291" s="26">
        <f t="shared" si="83"/>
        <v>74.3537091620116</v>
      </c>
      <c r="AE291" s="26">
        <f>IF((AE3-AE185+AE11)&lt;0.05,"NM",(('Quarterly YTD'!AA155)+AE155)/2/(AE3-AE185+AE11)*AE288)</f>
        <v>77.4782303252047</v>
      </c>
      <c r="AF291" s="26">
        <f>IF((AF3-AF185+AF11)&lt;0.05,"NM",(('Annual and Quarterly'!AJ155)+AF155)/2/(AF3-AF185+AF11)*AF288)</f>
        <v>71.2156859974619</v>
      </c>
    </row>
    <row customHeight="1" ht="15">
      <c r="A292" s="9" t="s">
        <v>307</v>
      </c>
      <c r="B292" s="11">
        <f t="shared" si="84" ref="B292:AF292">B119+B120-B155</f>
        <v>51.254</v>
      </c>
      <c r="F292" s="11">
        <f t="shared" si="84"/>
        <v>116.928</v>
      </c>
      <c r="G292" s="11">
        <f t="shared" si="84"/>
        <v>43.55</v>
      </c>
      <c r="H292" s="11">
        <f t="shared" si="84"/>
        <v>13.791</v>
      </c>
      <c r="I292" s="11">
        <f t="shared" si="84"/>
        <v>12.87</v>
      </c>
      <c r="J292" s="11">
        <f t="shared" si="84"/>
        <v>-9.12799999999999</v>
      </c>
      <c r="K292" s="11">
        <f t="shared" si="84"/>
        <v>3.68299999999999</v>
      </c>
      <c r="L292" s="11">
        <f t="shared" si="84"/>
        <v>27.392</v>
      </c>
      <c r="M292" s="11">
        <f t="shared" si="84"/>
        <v>70.983</v>
      </c>
      <c r="N292" s="11">
        <f t="shared" si="84"/>
        <v>103.278</v>
      </c>
      <c r="O292" s="11">
        <f t="shared" si="84"/>
        <v>66.461</v>
      </c>
      <c r="P292" s="11">
        <f t="shared" si="84"/>
        <v>112.094</v>
      </c>
      <c r="Q292" s="11">
        <f t="shared" si="84"/>
        <v>141.861</v>
      </c>
      <c r="R292" s="11">
        <f t="shared" si="84"/>
        <v>110.151</v>
      </c>
      <c r="S292" s="11">
        <f t="shared" si="84"/>
        <v>113.145</v>
      </c>
      <c r="T292" s="11">
        <f t="shared" si="84"/>
        <v>141.066</v>
      </c>
      <c r="U292" s="11">
        <f t="shared" si="84"/>
        <v>142.941</v>
      </c>
      <c r="V292" s="11">
        <f t="shared" si="84"/>
        <v>146.704</v>
      </c>
      <c r="W292" s="11">
        <f t="shared" si="84"/>
        <v>159.304</v>
      </c>
      <c r="X292" s="11">
        <f t="shared" si="84"/>
        <v>185.61</v>
      </c>
      <c r="Y292" s="11">
        <f t="shared" si="84"/>
        <v>179.247</v>
      </c>
      <c r="Z292" s="11">
        <f t="shared" si="84"/>
        <v>175.227</v>
      </c>
      <c r="AA292" s="11">
        <f t="shared" si="84"/>
        <v>158.661</v>
      </c>
      <c r="AB292" s="11">
        <f t="shared" si="84"/>
        <v>150.527</v>
      </c>
      <c r="AC292" s="11">
        <f t="shared" si="84"/>
        <v>166.472</v>
      </c>
      <c r="AD292" s="11">
        <f t="shared" si="84"/>
        <v>231.258</v>
      </c>
      <c r="AE292" s="11">
        <f t="shared" si="84"/>
        <v>210.376</v>
      </c>
      <c r="AF292" s="11">
        <f t="shared" si="84"/>
        <v>174.371</v>
      </c>
    </row>
    <row customHeight="1" ht="15">
      <c r="A293" s="9" t="s">
        <v>308</v>
      </c>
      <c r="B293" s="11">
        <f t="shared" si="85" ref="B293:AF293">SUM(B49:B50)+B53</f>
        <v>-1.954</v>
      </c>
      <c r="F293" s="11">
        <f t="shared" si="85"/>
        <v>-14.834</v>
      </c>
      <c r="G293" s="11">
        <f t="shared" si="85"/>
        <v>9.291</v>
      </c>
      <c r="H293" s="11">
        <f t="shared" si="85"/>
        <v>41.987</v>
      </c>
      <c r="I293" s="11">
        <f t="shared" si="85"/>
        <v>13.114</v>
      </c>
      <c r="J293" s="11">
        <f t="shared" si="85"/>
        <v>48.988</v>
      </c>
      <c r="K293" s="11">
        <f t="shared" si="85"/>
        <v>10.757</v>
      </c>
      <c r="L293" s="11">
        <f t="shared" si="85"/>
        <v>-33.791</v>
      </c>
      <c r="M293" s="11">
        <f t="shared" si="85"/>
        <v>-17.317</v>
      </c>
      <c r="N293" s="11">
        <f t="shared" si="85"/>
        <v>-60.524</v>
      </c>
      <c r="O293" s="11">
        <f t="shared" si="85"/>
        <v>-23.559</v>
      </c>
      <c r="P293" s="11">
        <f t="shared" si="85"/>
        <v>-44.493</v>
      </c>
      <c r="Q293" s="11">
        <f t="shared" si="85"/>
        <v>-43.291</v>
      </c>
      <c r="R293" s="11">
        <f t="shared" si="85"/>
        <v>-22.413</v>
      </c>
      <c r="S293" s="11">
        <f t="shared" si="85"/>
        <v>-26.552</v>
      </c>
      <c r="T293" s="11">
        <f t="shared" si="85"/>
        <v>10.556</v>
      </c>
      <c r="U293" s="11">
        <f t="shared" si="85"/>
        <v>-16.782</v>
      </c>
      <c r="V293" s="11">
        <f t="shared" si="85"/>
        <v>10.797</v>
      </c>
      <c r="W293" s="11">
        <f t="shared" si="85"/>
        <v>59.143</v>
      </c>
      <c r="X293" s="11">
        <f t="shared" si="85"/>
        <v>37.266</v>
      </c>
      <c r="Y293" s="11">
        <f t="shared" si="85"/>
        <v>53.959</v>
      </c>
      <c r="Z293" s="11">
        <f t="shared" si="85"/>
        <v>-0.302999999999997</v>
      </c>
      <c r="AA293" s="11">
        <f t="shared" si="85"/>
        <v>-14.368</v>
      </c>
      <c r="AB293" s="11">
        <f t="shared" si="85"/>
        <v>42.007</v>
      </c>
      <c r="AC293" s="11">
        <f t="shared" si="85"/>
        <v>44.202</v>
      </c>
      <c r="AD293" s="11">
        <f t="shared" si="85"/>
        <v>14.494</v>
      </c>
      <c r="AE293" s="11">
        <f t="shared" si="85"/>
        <v>-21.601</v>
      </c>
      <c r="AF293" s="11">
        <f t="shared" si="85"/>
        <v>-27.429</v>
      </c>
    </row>
    <row customHeight="1" ht="15">
      <c r="A294" s="9" t="s">
        <v>309</v>
      </c>
      <c r="B294" s="11">
        <f t="shared" si="86" ref="B294:AF294">B56+B57</f>
        <v>-1.455</v>
      </c>
      <c r="F294" s="11">
        <f t="shared" si="86"/>
        <v>-7.716</v>
      </c>
      <c r="G294" s="11">
        <f t="shared" si="86"/>
        <v>-11.556</v>
      </c>
      <c r="H294" s="11">
        <f t="shared" si="86"/>
        <v>-25.671</v>
      </c>
      <c r="I294" s="11">
        <f t="shared" si="86"/>
        <v>-21.181</v>
      </c>
      <c r="J294" s="11">
        <f t="shared" si="86"/>
        <v>-28.632</v>
      </c>
      <c r="K294" s="11">
        <f t="shared" si="86"/>
        <v>-26.133</v>
      </c>
      <c r="L294" s="11">
        <f t="shared" si="86"/>
        <v>-22.142</v>
      </c>
      <c r="M294" s="11">
        <f t="shared" si="86"/>
        <v>-28.979</v>
      </c>
      <c r="N294" s="11">
        <f t="shared" si="86"/>
        <v>-25.856</v>
      </c>
      <c r="O294" s="11">
        <f t="shared" si="86"/>
        <v>-26.969</v>
      </c>
      <c r="P294" s="11">
        <f t="shared" si="86"/>
        <v>-30.854</v>
      </c>
      <c r="Q294" s="11">
        <f t="shared" si="86"/>
        <v>-35.099</v>
      </c>
      <c r="R294" s="11">
        <f t="shared" si="86"/>
        <v>-41.851</v>
      </c>
      <c r="S294" s="11">
        <f t="shared" si="86"/>
        <v>-48.263</v>
      </c>
      <c r="T294" s="11">
        <f t="shared" si="86"/>
        <v>-56.035</v>
      </c>
      <c r="U294" s="11">
        <f t="shared" si="86"/>
        <v>-64.936</v>
      </c>
      <c r="V294" s="11">
        <f t="shared" si="86"/>
        <v>-74.561</v>
      </c>
      <c r="W294" s="11">
        <f t="shared" si="86"/>
        <v>-88.655</v>
      </c>
      <c r="X294" s="11">
        <f t="shared" si="86"/>
        <v>-97.491</v>
      </c>
      <c r="Y294" s="11">
        <f t="shared" si="86"/>
        <v>-109.358</v>
      </c>
      <c r="Z294" s="11">
        <f t="shared" si="86"/>
        <v>-124.063</v>
      </c>
      <c r="AA294" s="11">
        <f t="shared" si="86"/>
        <v>-124.781</v>
      </c>
      <c r="AB294" s="11">
        <f t="shared" si="86"/>
        <v>-130.605</v>
      </c>
      <c r="AC294" s="11">
        <f t="shared" si="86"/>
        <v>-122.653</v>
      </c>
      <c r="AD294" s="11">
        <f t="shared" si="86"/>
        <v>-108.454</v>
      </c>
      <c r="AE294" s="11">
        <f t="shared" si="86"/>
        <v>-96.885</v>
      </c>
      <c r="AF294" s="11">
        <f t="shared" si="86"/>
        <v>-87.859</v>
      </c>
    </row>
    <row customHeight="1" ht="15">
      <c r="A295" s="9" t="s">
        <v>310</v>
      </c>
      <c r="F295" s="27">
        <f t="shared" si="87" ref="F295:AD295">IF((B177+F177)=0,"NM",-F294/((B177+F177)/2))</f>
        <v>0.0272927443958085</v>
      </c>
      <c r="J295" s="27">
        <f t="shared" si="87"/>
        <v>0.0621819046574533</v>
      </c>
      <c r="K295" s="27">
        <f>IF(('Quarterly YTD'!G177+K177)=0,"NM",-K294/(('Quarterly YTD'!G177+K177)/2))</f>
        <v>0.0547710067654234</v>
      </c>
      <c r="L295" s="27">
        <f>IF(('Annual and Quarterly'!P177+L177)=0,"NM",-L294/(('Annual and Quarterly'!P177+L177)/2))</f>
        <v>0.0481051874607578</v>
      </c>
      <c r="M295" s="27">
        <f>IF(('Annual and Quarterly'!Q177+M177)=0,"NM",-M294/(('Annual and Quarterly'!Q177+M177)/2))</f>
        <v>0.0631112892090781</v>
      </c>
      <c r="N295" s="27">
        <f t="shared" si="87"/>
        <v>0.0583490267451845</v>
      </c>
      <c r="O295" s="27">
        <f>IF(('Quarterly YTD'!K177+O177)=0,"NM",-O294/(('Quarterly YTD'!K177+O177)/2))</f>
        <v>0.0576029902549726</v>
      </c>
      <c r="P295" s="27">
        <f>IF(('Annual and Quarterly'!T177+P177)=0,"NM",-P294/(('Annual and Quarterly'!T177+P177)/2))</f>
        <v>0.0576403762858816</v>
      </c>
      <c r="Q295" s="27">
        <f>IF(('Annual and Quarterly'!U177+Q177)=0,"NM",-Q294/(('Annual and Quarterly'!U177+Q177)/2))</f>
        <v>0.0557005857456394</v>
      </c>
      <c r="R295" s="27">
        <f t="shared" si="87"/>
        <v>0.0698960019106121</v>
      </c>
      <c r="S295" s="27">
        <f>IF(('Quarterly YTD'!O177+S177)=0,"NM",-S294/(('Quarterly YTD'!O177+S177)/2))</f>
        <v>0.0690206992022927</v>
      </c>
      <c r="T295" s="27">
        <f>IF(('Annual and Quarterly'!X177+T177)=0,"NM",-T294/(('Annual and Quarterly'!X177+T177)/2))</f>
        <v>0.0690067085579525</v>
      </c>
      <c r="U295" s="27">
        <f>IF(('Annual and Quarterly'!Y177+U177)=0,"NM",-U294/(('Annual and Quarterly'!Y177+U177)/2))</f>
        <v>0.0667960358112171</v>
      </c>
      <c r="V295" s="27">
        <f t="shared" si="87"/>
        <v>0.0769187917226752</v>
      </c>
      <c r="W295" s="27">
        <f>IF(('Quarterly YTD'!S177+W177)=0,"NM",-W294/(('Quarterly YTD'!S177+W177)/2))</f>
        <v>0.0764661437534177</v>
      </c>
      <c r="X295" s="27">
        <f>IF(('Annual and Quarterly'!AB177+X177)=0,"NM",-X294/(('Annual and Quarterly'!AB177+X177)/2))</f>
        <v>0.074340850331953</v>
      </c>
      <c r="Y295" s="27">
        <f>IF(('Annual and Quarterly'!AC177+Y177)=0,"NM",-Y294/(('Annual and Quarterly'!AC177+Y177)/2))</f>
        <v>0.0803296691188623</v>
      </c>
      <c r="Z295" s="27">
        <f t="shared" si="87"/>
        <v>0.0849673829295437</v>
      </c>
      <c r="AA295" s="27">
        <f>IF(('Quarterly YTD'!W177+AA177)=0,"NM",-AA294/(('Quarterly YTD'!W177+AA177)/2))</f>
        <v>0.0825282353365241</v>
      </c>
      <c r="AB295" s="27">
        <f>IF(('Annual and Quarterly'!AF177+AB177)=0,"NM",-AB294/(('Annual and Quarterly'!AF177+AB177)/2))</f>
        <v>0.0872623261668718</v>
      </c>
      <c r="AC295" s="27">
        <f>IF(('Annual and Quarterly'!AG177+AC177)=0,"NM",-AC294/(('Annual and Quarterly'!AG177+AC177)/2))</f>
        <v>0.0852570142424041</v>
      </c>
      <c r="AD295" s="27">
        <f t="shared" si="87"/>
        <v>0.0792124187637037</v>
      </c>
      <c r="AE295" s="27">
        <f>IF(('Quarterly YTD'!AA177+AE177)=0,"NM",-AE294/(('Quarterly YTD'!AA177+AE177)/2))</f>
        <v>0.0731986767800742</v>
      </c>
      <c r="AF295" s="27">
        <f>IF(('Annual and Quarterly'!AJ177+AF177)=0,"NM",-AF294/(('Annual and Quarterly'!AJ177+AF177)/2))</f>
        <v>0.0767704322995217</v>
      </c>
    </row>
    <row customHeight="1" ht="15">
      <c r="A296" s="9" t="s">
        <v>311</v>
      </c>
      <c r="B296" s="15">
        <f t="shared" si="88" ref="B296:AF296">IF(OR(B185&lt;=0,B294=0),"NM",-B185/B294)</f>
        <v>17.3979381443299</v>
      </c>
      <c r="F296" s="15">
        <f t="shared" si="89" ref="F296:AD296">IF(OR(F186&lt;=0,F294=0),"NM",-F186/F294)</f>
        <v>27.7993779160187</v>
      </c>
      <c r="G296" s="15">
        <f t="shared" si="88"/>
        <v>7.90619591554172</v>
      </c>
      <c r="H296" s="15">
        <f t="shared" si="89"/>
        <v>7.85711503252698</v>
      </c>
      <c r="I296" s="15">
        <f t="shared" si="89"/>
        <v>5.9062367215901</v>
      </c>
      <c r="J296" s="15">
        <f t="shared" si="89"/>
        <v>3.81391450125733</v>
      </c>
      <c r="K296" s="15">
        <f t="shared" si="89"/>
        <v>3.7117820380362</v>
      </c>
      <c r="L296" s="15">
        <f t="shared" si="89"/>
        <v>3.75756480896035</v>
      </c>
      <c r="M296" s="15">
        <f t="shared" si="89"/>
        <v>4.10642189171469</v>
      </c>
      <c r="N296" s="15">
        <f t="shared" si="89"/>
        <v>5.99261293316832</v>
      </c>
      <c r="O296" s="15">
        <f t="shared" si="88"/>
        <v>6.93214431384182</v>
      </c>
      <c r="P296" s="15">
        <f t="shared" si="88"/>
        <v>7.24998379464575</v>
      </c>
      <c r="Q296" s="15">
        <f t="shared" si="88"/>
        <v>8.47009886321548</v>
      </c>
      <c r="R296" s="15">
        <f t="shared" si="89"/>
        <v>6.43702659434661</v>
      </c>
      <c r="S296" s="15">
        <f t="shared" si="88"/>
        <v>5.81356318504859</v>
      </c>
      <c r="T296" s="15">
        <f t="shared" si="88"/>
        <v>5.70079414651557</v>
      </c>
      <c r="U296" s="15">
        <f t="shared" si="88"/>
        <v>5.75632930885795</v>
      </c>
      <c r="V296" s="15">
        <f t="shared" si="89"/>
        <v>5.57770147932565</v>
      </c>
      <c r="W296" s="15">
        <f t="shared" si="88"/>
        <v>4.42017934690655</v>
      </c>
      <c r="X296" s="15">
        <f t="shared" si="88"/>
        <v>4.61067175431578</v>
      </c>
      <c r="Y296" s="15">
        <f t="shared" si="88"/>
        <v>4.52007169114285</v>
      </c>
      <c r="Z296" s="15">
        <f t="shared" si="89"/>
        <v>2.57673117690206</v>
      </c>
      <c r="AA296" s="15">
        <f t="shared" si="88"/>
        <v>4.37587453218038</v>
      </c>
      <c r="AB296" s="15">
        <f t="shared" si="88"/>
        <v>4.0975843191302</v>
      </c>
      <c r="AC296" s="15">
        <f t="shared" si="88"/>
        <v>3.58747849624551</v>
      </c>
      <c r="AD296" s="15">
        <f t="shared" si="89"/>
        <v>3.00731185571763</v>
      </c>
      <c r="AE296" s="15">
        <f t="shared" si="88"/>
        <v>4.56401919801827</v>
      </c>
      <c r="AF296" s="15">
        <f t="shared" si="88"/>
        <v>4.15601133634574</v>
      </c>
    </row>
    <row customHeight="1" ht="15">
      <c r="A297" s="9" t="s">
        <v>312</v>
      </c>
      <c r="N297" s="15">
        <f t="shared" si="90" ref="N297:AD297">IF(OR(N187&lt;=0,N294=0),"NM",-N187/N294)</f>
        <v>5.99798886138614</v>
      </c>
      <c r="R297" s="15">
        <f t="shared" si="90"/>
        <v>6.88573749731189</v>
      </c>
      <c r="V297" s="15">
        <f t="shared" si="90"/>
        <v>5.25892893067421</v>
      </c>
      <c r="Z297" s="15">
        <f t="shared" si="90"/>
        <v>2.60251646340972</v>
      </c>
      <c r="AD297" s="15">
        <f t="shared" si="90"/>
        <v>3.32635956257953</v>
      </c>
    </row>
    <row customHeight="1" ht="15">
      <c r="A298" s="9" t="s">
        <v>313</v>
      </c>
      <c r="B298" s="11">
        <f t="shared" si="91" ref="B298:AF298">B58</f>
        <v>-0.931</v>
      </c>
      <c r="F298" s="11">
        <f t="shared" si="91"/>
        <v>-3.536</v>
      </c>
      <c r="G298" s="11">
        <f t="shared" si="91"/>
        <v>-3.629</v>
      </c>
      <c r="H298" s="11">
        <f t="shared" si="91"/>
        <v>-2.833</v>
      </c>
      <c r="I298" s="11">
        <f t="shared" si="91"/>
        <v>-3.297</v>
      </c>
      <c r="J298" s="11">
        <f t="shared" si="91"/>
        <v>-6.885</v>
      </c>
      <c r="K298" s="11">
        <f t="shared" si="91"/>
        <v>-11.711</v>
      </c>
      <c r="L298" s="11">
        <f t="shared" si="91"/>
        <v>-12.836</v>
      </c>
      <c r="M298" s="11">
        <f t="shared" si="91"/>
        <v>-22.558</v>
      </c>
      <c r="N298" s="11">
        <f t="shared" si="91"/>
        <v>-16.208</v>
      </c>
      <c r="O298" s="11">
        <f t="shared" si="91"/>
        <v>-14.633</v>
      </c>
      <c r="P298" s="11">
        <f t="shared" si="91"/>
        <v>-19.521</v>
      </c>
      <c r="Q298" s="11">
        <f t="shared" si="91"/>
        <v>-13.877</v>
      </c>
      <c r="R298" s="11">
        <f t="shared" si="91"/>
        <v>-20.421</v>
      </c>
      <c r="S298" s="11">
        <f t="shared" si="91"/>
        <v>-28.317</v>
      </c>
      <c r="T298" s="11">
        <f t="shared" si="91"/>
        <v>-17.696</v>
      </c>
      <c r="U298" s="11">
        <f t="shared" si="91"/>
        <v>-25.457</v>
      </c>
      <c r="V298" s="11">
        <f t="shared" si="91"/>
        <v>-24.529</v>
      </c>
      <c r="W298" s="11">
        <f t="shared" si="91"/>
        <v>-15.589</v>
      </c>
      <c r="X298" s="11">
        <f t="shared" si="91"/>
        <v>-21.852</v>
      </c>
      <c r="Y298" s="11">
        <f t="shared" si="91"/>
        <v>-14.253</v>
      </c>
      <c r="Z298" s="11">
        <f t="shared" si="91"/>
        <v>-14.017</v>
      </c>
      <c r="AA298" s="11">
        <f t="shared" si="91"/>
        <v>-13.281</v>
      </c>
      <c r="AB298" s="11">
        <f t="shared" si="91"/>
        <v>-18.469</v>
      </c>
      <c r="AC298" s="11">
        <f t="shared" si="91"/>
        <v>-18.319</v>
      </c>
      <c r="AD298" s="11">
        <f t="shared" si="91"/>
        <v>-17.702</v>
      </c>
      <c r="AE298" s="11">
        <f t="shared" si="91"/>
        <v>-17.476</v>
      </c>
      <c r="AF298" s="11">
        <f t="shared" si="91"/>
        <v>-13.607</v>
      </c>
    </row>
    <row customHeight="1" ht="15">
      <c r="A299" s="9" t="s">
        <v>314</v>
      </c>
      <c r="B299" s="11">
        <f t="shared" si="92" ref="B299:AF299">B294+B298+B276-(0.1*B177)</f>
        <v>-32.7178</v>
      </c>
      <c r="F299" s="11">
        <f t="shared" si="92"/>
        <v>-102.3587</v>
      </c>
      <c r="G299" s="11">
        <f t="shared" si="92"/>
        <v>-124.622</v>
      </c>
      <c r="H299" s="11">
        <f t="shared" si="92"/>
        <v>-149.8439</v>
      </c>
      <c r="I299" s="11">
        <f t="shared" si="92"/>
        <v>-175.1238</v>
      </c>
      <c r="J299" s="11">
        <f t="shared" si="92"/>
        <v>-169.3074</v>
      </c>
      <c r="K299" s="11">
        <f t="shared" si="92"/>
        <v>-179.3594</v>
      </c>
      <c r="L299" s="11">
        <f t="shared" si="92"/>
        <v>-160.1187</v>
      </c>
      <c r="M299" s="11">
        <f t="shared" si="92"/>
        <v>-171.1248</v>
      </c>
      <c r="N299" s="11">
        <f t="shared" si="92"/>
        <v>-160.2839</v>
      </c>
      <c r="O299" s="11">
        <f t="shared" si="92"/>
        <v>-160.2131</v>
      </c>
      <c r="P299" s="11">
        <f t="shared" si="92"/>
        <v>-185.9452</v>
      </c>
      <c r="Q299" s="11">
        <f t="shared" si="92"/>
        <v>-210.0066</v>
      </c>
      <c r="R299" s="11">
        <f t="shared" si="92"/>
        <v>-293.1273</v>
      </c>
      <c r="S299" s="11">
        <f t="shared" si="92"/>
        <v>-337.4567</v>
      </c>
      <c r="T299" s="11">
        <f t="shared" si="92"/>
        <v>-386.3273</v>
      </c>
      <c r="U299" s="11">
        <f t="shared" si="92"/>
        <v>-432.6581</v>
      </c>
      <c r="V299" s="11">
        <f t="shared" si="92"/>
        <v>-434.9581</v>
      </c>
      <c r="W299" s="11">
        <f t="shared" si="92"/>
        <v>-471.3447</v>
      </c>
      <c r="X299" s="11">
        <f t="shared" si="92"/>
        <v>-489.4388</v>
      </c>
      <c r="Y299" s="11">
        <f t="shared" si="92"/>
        <v>-528.6829</v>
      </c>
      <c r="Z299" s="11">
        <f t="shared" si="92"/>
        <v>-548.3659</v>
      </c>
      <c r="AA299" s="11">
        <f t="shared" si="92"/>
        <v>-539.6612</v>
      </c>
      <c r="AB299" s="11">
        <f t="shared" si="92"/>
        <v>-516.97</v>
      </c>
      <c r="AC299" s="11">
        <f t="shared" si="92"/>
        <v>-464.7434</v>
      </c>
      <c r="AD299" s="11">
        <f t="shared" si="92"/>
        <v>-399.1609</v>
      </c>
      <c r="AE299" s="11">
        <f t="shared" si="92"/>
        <v>-355.5487</v>
      </c>
      <c r="AF299" s="11">
        <f t="shared" si="92"/>
        <v>-357.3526</v>
      </c>
    </row>
    <row customHeight="1" ht="15">
      <c r="A300" s="9" t="s">
        <v>315</v>
      </c>
      <c r="B300" s="15">
        <f t="shared" si="93" ref="B300:AF300">IF(OR(B185&lt;=0,B299=0),"NM",-B185/B299)</f>
        <v>0.773707278606752</v>
      </c>
      <c r="F300" s="15">
        <f t="shared" si="94" ref="F300:AD300">IF(OR(F186&lt;=0,F299=0),"NM",-F186/F299)</f>
        <v>2.09557174915273</v>
      </c>
      <c r="G300" s="15">
        <f t="shared" si="93"/>
        <v>0.733128982041695</v>
      </c>
      <c r="H300" s="15">
        <f t="shared" si="94"/>
        <v>1.34606747421817</v>
      </c>
      <c r="I300" s="15">
        <f t="shared" si="94"/>
        <v>0.714351789990852</v>
      </c>
      <c r="J300" s="15">
        <f t="shared" si="94"/>
        <v>0.6449806682992</v>
      </c>
      <c r="K300" s="15">
        <f t="shared" si="94"/>
        <v>0.540813584345175</v>
      </c>
      <c r="L300" s="15">
        <f t="shared" si="94"/>
        <v>0.519614510984663</v>
      </c>
      <c r="M300" s="15">
        <f t="shared" si="94"/>
        <v>0.695398913541462</v>
      </c>
      <c r="N300" s="15">
        <f t="shared" si="94"/>
        <v>0.96669097769645</v>
      </c>
      <c r="O300" s="15">
        <f t="shared" si="93"/>
        <v>1.16690208228915</v>
      </c>
      <c r="P300" s="15">
        <f t="shared" si="93"/>
        <v>1.20299421550005</v>
      </c>
      <c r="Q300" s="15">
        <f t="shared" si="93"/>
        <v>1.41563169919422</v>
      </c>
      <c r="R300" s="15">
        <f t="shared" si="94"/>
        <v>0.919040976394897</v>
      </c>
      <c r="S300" s="15">
        <f t="shared" si="93"/>
        <v>0.831454820722184</v>
      </c>
      <c r="T300" s="15">
        <f t="shared" si="93"/>
        <v>0.826874000361869</v>
      </c>
      <c r="U300" s="15">
        <f t="shared" si="93"/>
        <v>0.86394545716352</v>
      </c>
      <c r="V300" s="15">
        <f t="shared" si="94"/>
        <v>0.95613577491717</v>
      </c>
      <c r="W300" s="15">
        <f t="shared" si="93"/>
        <v>0.831389426888644</v>
      </c>
      <c r="X300" s="15">
        <f t="shared" si="93"/>
        <v>0.918396743372205</v>
      </c>
      <c r="Y300" s="15">
        <f t="shared" si="93"/>
        <v>0.934976334585439</v>
      </c>
      <c r="Z300" s="15">
        <f t="shared" si="94"/>
        <v>0.582962944997127</v>
      </c>
      <c r="AA300" s="15">
        <f t="shared" si="93"/>
        <v>1.01179406635126</v>
      </c>
      <c r="AB300" s="15">
        <f t="shared" si="93"/>
        <v>1.03519546588777</v>
      </c>
      <c r="AC300" s="15">
        <f t="shared" si="93"/>
        <v>0.946791283103751</v>
      </c>
      <c r="AD300" s="15">
        <f t="shared" si="94"/>
        <v>0.817101574828597</v>
      </c>
      <c r="AE300" s="15">
        <f t="shared" si="93"/>
        <v>1.24366929199854</v>
      </c>
      <c r="AF300" s="15">
        <f t="shared" si="93"/>
        <v>1.02180031710977</v>
      </c>
    </row>
    <row customHeight="1" ht="15">
      <c r="A301" s="9" t="s">
        <v>316</v>
      </c>
      <c r="N301" s="15">
        <f t="shared" si="95" ref="N301:AD301">IF(OR(N187&lt;=0,N299=0),"NM",-N187/N299)</f>
        <v>0.967558188938502</v>
      </c>
      <c r="R301" s="15">
        <f t="shared" si="95"/>
        <v>0.983105292478729</v>
      </c>
      <c r="V301" s="15">
        <f t="shared" si="95"/>
        <v>0.9014914310137</v>
      </c>
      <c r="Z301" s="15">
        <f t="shared" si="95"/>
        <v>0.588796641074874</v>
      </c>
      <c r="AD301" s="15">
        <f t="shared" si="95"/>
        <v>0.903788422162591</v>
      </c>
    </row>
    <row customHeight="1" ht="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customHeight="1" ht="15">
      <c r="A303" s="2" t="s">
        <v>317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customHeight="1" ht="15">
      <c r="A304" s="9" t="s">
        <v>318</v>
      </c>
      <c r="F304" s="19">
        <f t="shared" si="96" ref="F304:AF304">IF(AND(F3=0,B3=0),0,IF(OR(B3=0,B3="NM",F3="NM"),"NM",IF(B3&lt;0,-(F3/B3-1),F3/B3-1)))</f>
        <v>0.404246266827601</v>
      </c>
      <c r="J304" s="19">
        <f t="shared" si="96"/>
        <v>0.145516219331467</v>
      </c>
      <c r="K304" s="19">
        <f t="shared" si="96"/>
        <v>-0.24527647750402</v>
      </c>
      <c r="L304" s="19">
        <f t="shared" si="96"/>
        <v>-0.173983691246839</v>
      </c>
      <c r="M304" s="19">
        <f t="shared" si="96"/>
        <v>0.00952901492530045</v>
      </c>
      <c r="N304" s="19">
        <f t="shared" si="96"/>
        <v>0.458864234869306</v>
      </c>
      <c r="O304" s="19">
        <f t="shared" si="96"/>
        <v>0.983018813554438</v>
      </c>
      <c r="P304" s="19">
        <f t="shared" si="96"/>
        <v>1.15098523355582</v>
      </c>
      <c r="Q304" s="19">
        <f t="shared" si="96"/>
        <v>1.03919601504367</v>
      </c>
      <c r="R304" s="19">
        <f t="shared" si="96"/>
        <v>0.825502443119507</v>
      </c>
      <c r="S304" s="19">
        <f t="shared" si="96"/>
        <v>0.658580054638269</v>
      </c>
      <c r="T304" s="19">
        <f t="shared" si="96"/>
        <v>0.420317389125796</v>
      </c>
      <c r="U304" s="19">
        <f t="shared" si="96"/>
        <v>0.271541630990619</v>
      </c>
      <c r="V304" s="19">
        <f t="shared" si="96"/>
        <v>0.221347276332849</v>
      </c>
      <c r="W304" s="19">
        <f t="shared" si="96"/>
        <v>0.219777739181883</v>
      </c>
      <c r="X304" s="19">
        <f t="shared" si="96"/>
        <v>0.251765282876991</v>
      </c>
      <c r="Y304" s="19">
        <f t="shared" si="96"/>
        <v>0.245353801223981</v>
      </c>
      <c r="Z304" s="19">
        <f t="shared" si="96"/>
        <v>-0.0704891741239622</v>
      </c>
      <c r="AA304" s="19">
        <f t="shared" si="96"/>
        <v>-0.133003770954146</v>
      </c>
      <c r="AB304" s="19">
        <f t="shared" si="96"/>
        <v>-0.253910836822706</v>
      </c>
      <c r="AC304" s="19">
        <f t="shared" si="96"/>
        <v>-0.268472370189387</v>
      </c>
      <c r="AD304" s="19">
        <f t="shared" si="96"/>
        <v>0.0409076904936689</v>
      </c>
      <c r="AE304" s="19">
        <f t="shared" si="96"/>
        <v>0.0987746011788584</v>
      </c>
      <c r="AF304" s="19">
        <f t="shared" si="96"/>
        <v>0.207399541424964</v>
      </c>
    </row>
    <row customHeight="1" ht="15">
      <c r="A305" s="9" t="s">
        <v>319</v>
      </c>
      <c r="F305" s="19">
        <f t="shared" si="97" ref="F305:AD305">IF(AND((F3+F5)=0,(B3+B5)=0),0,IF(OR((B3+B5)=0,(B3+B5)="NM",(F3+F5)="NM"),"NM",IF((B3+B5)&lt;0,-((F3+F5)/(B3+B5)-1),(F3+F5)/(B3+B5)-1)))</f>
        <v>0.623904249551691</v>
      </c>
      <c r="J305" s="19">
        <f t="shared" si="97"/>
        <v>0.424282735313152</v>
      </c>
      <c r="K305" s="19">
        <f>IF(AND(((J3+J5)+('Quarterly YTD'!K3+'Quarterly YTD'!K5)-('Quarterly YTD'!G3+'Quarterly YTD'!G5))=0,((F3+F5)+('Quarterly YTD'!G3+'Quarterly YTD'!G5)-('Quarterly YTD'!C3+'Quarterly YTD'!C5))=0),0,IF(OR(((F3+F5)+('Quarterly YTD'!G3+'Quarterly YTD'!G5)-('Quarterly YTD'!C3+'Quarterly YTD'!C5))=0,((F3+F5)+('Quarterly YTD'!G3+'Quarterly YTD'!G5)-('Quarterly YTD'!C3+'Quarterly YTD'!C5))="NM",((J3+J5)+('Quarterly YTD'!K3+'Quarterly YTD'!K5)-('Quarterly YTD'!G3+'Quarterly YTD'!G5))="NM"),"NM",IF(((F3+F5)+('Quarterly YTD'!G3+'Quarterly YTD'!G5)-('Quarterly YTD'!C3+'Quarterly YTD'!C5))&lt;0,-(((J3+J5)+('Quarterly YTD'!K3+'Quarterly YTD'!K5)-('Quarterly YTD'!G3+'Quarterly YTD'!G5))/((F3+F5)+('Quarterly YTD'!G3+'Quarterly YTD'!G5)-('Quarterly YTD'!C3+'Quarterly YTD'!C5))-1),((J3+J5)+('Quarterly YTD'!K3+'Quarterly YTD'!K5)-('Quarterly YTD'!G3+'Quarterly YTD'!G5))/((F3+F5)+('Quarterly YTD'!G3+'Quarterly YTD'!G5)-('Quarterly YTD'!C3+'Quarterly YTD'!C5))-1)))</f>
        <v>0.0632221486676927</v>
      </c>
      <c r="L305" s="19">
        <f>IF(AND(((J3+J5)+('Quarterly YTD'!L3+'Quarterly YTD'!L5)-('Quarterly YTD'!H3+'Quarterly YTD'!H5))=0,((F3+F5)+('Quarterly YTD'!H3+'Quarterly YTD'!H5)-('Quarterly YTD'!D3+'Quarterly YTD'!D5))=0),0,IF(OR(((F3+F5)+('Quarterly YTD'!H3+'Quarterly YTD'!H5)-('Quarterly YTD'!D3+'Quarterly YTD'!D5))=0,((F3+F5)+('Quarterly YTD'!H3+'Quarterly YTD'!H5)-('Quarterly YTD'!D3+'Quarterly YTD'!D5))="NM",((J3+J5)+('Quarterly YTD'!L3+'Quarterly YTD'!L5)-('Quarterly YTD'!H3+'Quarterly YTD'!H5))="NM"),"NM",IF(((F3+F5)+('Quarterly YTD'!H3+'Quarterly YTD'!H5)-('Quarterly YTD'!D3+'Quarterly YTD'!D5))&lt;0,-(((J3+J5)+('Quarterly YTD'!L3+'Quarterly YTD'!L5)-('Quarterly YTD'!H3+'Quarterly YTD'!H5))/((F3+F5)+('Quarterly YTD'!H3+'Quarterly YTD'!H5)-('Quarterly YTD'!D3+'Quarterly YTD'!D5))-1),((J3+J5)+('Quarterly YTD'!L3+'Quarterly YTD'!L5)-('Quarterly YTD'!H3+'Quarterly YTD'!H5))/((F3+F5)+('Quarterly YTD'!H3+'Quarterly YTD'!H5)-('Quarterly YTD'!D3+'Quarterly YTD'!D5))-1)))</f>
        <v>-0.0308740863644812</v>
      </c>
      <c r="M305" s="19">
        <f>IF(AND(((J3+J5)+('Quarterly YTD'!M3+'Quarterly YTD'!M5)-('Quarterly YTD'!I3+'Quarterly YTD'!I5))=0,((F3+F5)+('Quarterly YTD'!I3+'Quarterly YTD'!I5)-('Quarterly YTD'!E3+'Quarterly YTD'!E5))=0),0,IF(OR(((F3+F5)+('Quarterly YTD'!I3+'Quarterly YTD'!I5)-('Quarterly YTD'!E3+'Quarterly YTD'!E5))=0,((F3+F5)+('Quarterly YTD'!I3+'Quarterly YTD'!I5)-('Quarterly YTD'!E3+'Quarterly YTD'!E5))="NM",((J3+J5)+('Quarterly YTD'!M3+'Quarterly YTD'!M5)-('Quarterly YTD'!I3+'Quarterly YTD'!I5))="NM"),"NM",IF(((F3+F5)+('Quarterly YTD'!I3+'Quarterly YTD'!I5)-('Quarterly YTD'!E3+'Quarterly YTD'!E5))&lt;0,-(((J3+J5)+('Quarterly YTD'!M3+'Quarterly YTD'!M5)-('Quarterly YTD'!I3+'Quarterly YTD'!I5))/((F3+F5)+('Quarterly YTD'!I3+'Quarterly YTD'!I5)-('Quarterly YTD'!E3+'Quarterly YTD'!E5))-1),((J3+J5)+('Quarterly YTD'!M3+'Quarterly YTD'!M5)-('Quarterly YTD'!I3+'Quarterly YTD'!I5))/((F3+F5)+('Quarterly YTD'!I3+'Quarterly YTD'!I5)-('Quarterly YTD'!E3+'Quarterly YTD'!E5))-1)))</f>
        <v>0.0776009236325601</v>
      </c>
      <c r="N305" s="19">
        <f t="shared" si="97"/>
        <v>0.441034240276951</v>
      </c>
      <c r="O305" s="19">
        <f>IF(AND(((N3+N5)+('Quarterly YTD'!O3+'Quarterly YTD'!O5)-('Quarterly YTD'!K3+'Quarterly YTD'!K5))=0,((J3+J5)+('Quarterly YTD'!K3+'Quarterly YTD'!K5)-('Quarterly YTD'!G3+'Quarterly YTD'!G5))=0),0,IF(OR(((J3+J5)+('Quarterly YTD'!K3+'Quarterly YTD'!K5)-('Quarterly YTD'!G3+'Quarterly YTD'!G5))=0,((J3+J5)+('Quarterly YTD'!K3+'Quarterly YTD'!K5)-('Quarterly YTD'!G3+'Quarterly YTD'!G5))="NM",((N3+N5)+('Quarterly YTD'!O3+'Quarterly YTD'!O5)-('Quarterly YTD'!K3+'Quarterly YTD'!K5))="NM"),"NM",IF(((J3+J5)+('Quarterly YTD'!K3+'Quarterly YTD'!K5)-('Quarterly YTD'!G3+'Quarterly YTD'!G5))&lt;0,-(((N3+N5)+('Quarterly YTD'!O3+'Quarterly YTD'!O5)-('Quarterly YTD'!K3+'Quarterly YTD'!K5))/((J3+J5)+('Quarterly YTD'!K3+'Quarterly YTD'!K5)-('Quarterly YTD'!G3+'Quarterly YTD'!G5))-1),((N3+N5)+('Quarterly YTD'!O3+'Quarterly YTD'!O5)-('Quarterly YTD'!K3+'Quarterly YTD'!K5))/((J3+J5)+('Quarterly YTD'!K3+'Quarterly YTD'!K5)-('Quarterly YTD'!G3+'Quarterly YTD'!G5))-1)))</f>
        <v>0.684041651069161</v>
      </c>
      <c r="P305" s="19">
        <f>IF(AND(((N3+N5)+('Quarterly YTD'!P3+'Quarterly YTD'!P5)-('Quarterly YTD'!L3+'Quarterly YTD'!L5))=0,((J3+J5)+('Quarterly YTD'!L3+'Quarterly YTD'!L5)-('Quarterly YTD'!H3+'Quarterly YTD'!H5))=0),0,IF(OR(((J3+J5)+('Quarterly YTD'!L3+'Quarterly YTD'!L5)-('Quarterly YTD'!H3+'Quarterly YTD'!H5))=0,((J3+J5)+('Quarterly YTD'!L3+'Quarterly YTD'!L5)-('Quarterly YTD'!H3+'Quarterly YTD'!H5))="NM",((N3+N5)+('Quarterly YTD'!P3+'Quarterly YTD'!P5)-('Quarterly YTD'!L3+'Quarterly YTD'!L5))="NM"),"NM",IF(((J3+J5)+('Quarterly YTD'!L3+'Quarterly YTD'!L5)-('Quarterly YTD'!H3+'Quarterly YTD'!H5))&lt;0,-(((N3+N5)+('Quarterly YTD'!P3+'Quarterly YTD'!P5)-('Quarterly YTD'!L3+'Quarterly YTD'!L5))/((J3+J5)+('Quarterly YTD'!L3+'Quarterly YTD'!L5)-('Quarterly YTD'!H3+'Quarterly YTD'!H5))-1),((N3+N5)+('Quarterly YTD'!P3+'Quarterly YTD'!P5)-('Quarterly YTD'!L3+'Quarterly YTD'!L5))/((J3+J5)+('Quarterly YTD'!L3+'Quarterly YTD'!L5)-('Quarterly YTD'!H3+'Quarterly YTD'!H5))-1)))</f>
        <v>0.913681010117409</v>
      </c>
      <c r="Q305" s="19">
        <f>IF(AND(((N3+N5)+('Quarterly YTD'!Q3+'Quarterly YTD'!Q5)-('Quarterly YTD'!M3+'Quarterly YTD'!M5))=0,((J3+J5)+('Quarterly YTD'!M3+'Quarterly YTD'!M5)-('Quarterly YTD'!I3+'Quarterly YTD'!I5))=0),0,IF(OR(((J3+J5)+('Quarterly YTD'!M3+'Quarterly YTD'!M5)-('Quarterly YTD'!I3+'Quarterly YTD'!I5))=0,((J3+J5)+('Quarterly YTD'!M3+'Quarterly YTD'!M5)-('Quarterly YTD'!I3+'Quarterly YTD'!I5))="NM",((N3+N5)+('Quarterly YTD'!Q3+'Quarterly YTD'!Q5)-('Quarterly YTD'!M3+'Quarterly YTD'!M5))="NM"),"NM",IF(((J3+J5)+('Quarterly YTD'!M3+'Quarterly YTD'!M5)-('Quarterly YTD'!I3+'Quarterly YTD'!I5))&lt;0,-(((N3+N5)+('Quarterly YTD'!Q3+'Quarterly YTD'!Q5)-('Quarterly YTD'!M3+'Quarterly YTD'!M5))/((J3+J5)+('Quarterly YTD'!M3+'Quarterly YTD'!M5)-('Quarterly YTD'!I3+'Quarterly YTD'!I5))-1),((N3+N5)+('Quarterly YTD'!Q3+'Quarterly YTD'!Q5)-('Quarterly YTD'!M3+'Quarterly YTD'!M5))/((J3+J5)+('Quarterly YTD'!M3+'Quarterly YTD'!M5)-('Quarterly YTD'!I3+'Quarterly YTD'!I5))-1)))</f>
        <v>0.891336929083145</v>
      </c>
      <c r="R305" s="19">
        <f t="shared" si="97"/>
        <v>0.649822575236608</v>
      </c>
      <c r="S305" s="19">
        <f>IF(AND(((R3+R5)+('Quarterly YTD'!S3+'Quarterly YTD'!S5)-('Quarterly YTD'!O3+'Quarterly YTD'!O5))=0,((N3+N5)+('Quarterly YTD'!O3+'Quarterly YTD'!O5)-('Quarterly YTD'!K3+'Quarterly YTD'!K5))=0),0,IF(OR(((N3+N5)+('Quarterly YTD'!O3+'Quarterly YTD'!O5)-('Quarterly YTD'!K3+'Quarterly YTD'!K5))=0,((N3+N5)+('Quarterly YTD'!O3+'Quarterly YTD'!O5)-('Quarterly YTD'!K3+'Quarterly YTD'!K5))="NM",((R3+R5)+('Quarterly YTD'!S3+'Quarterly YTD'!S5)-('Quarterly YTD'!O3+'Quarterly YTD'!O5))="NM"),"NM",IF(((N3+N5)+('Quarterly YTD'!O3+'Quarterly YTD'!O5)-('Quarterly YTD'!K3+'Quarterly YTD'!K5))&lt;0,-(((R3+R5)+('Quarterly YTD'!S3+'Quarterly YTD'!S5)-('Quarterly YTD'!O3+'Quarterly YTD'!O5))/((N3+N5)+('Quarterly YTD'!O3+'Quarterly YTD'!O5)-('Quarterly YTD'!K3+'Quarterly YTD'!K5))-1),((R3+R5)+('Quarterly YTD'!S3+'Quarterly YTD'!S5)-('Quarterly YTD'!O3+'Quarterly YTD'!O5))/((N3+N5)+('Quarterly YTD'!O3+'Quarterly YTD'!O5)-('Quarterly YTD'!K3+'Quarterly YTD'!K5))-1)))</f>
        <v>0.537062911684117</v>
      </c>
      <c r="T305" s="19">
        <f>IF(AND(((R3+R5)+('Quarterly YTD'!T3+'Quarterly YTD'!T5)-('Quarterly YTD'!P3+'Quarterly YTD'!P5))=0,((N3+N5)+('Quarterly YTD'!P3+'Quarterly YTD'!P5)-('Quarterly YTD'!L3+'Quarterly YTD'!L5))=0),0,IF(OR(((N3+N5)+('Quarterly YTD'!P3+'Quarterly YTD'!P5)-('Quarterly YTD'!L3+'Quarterly YTD'!L5))=0,((N3+N5)+('Quarterly YTD'!P3+'Quarterly YTD'!P5)-('Quarterly YTD'!L3+'Quarterly YTD'!L5))="NM",((R3+R5)+('Quarterly YTD'!T3+'Quarterly YTD'!T5)-('Quarterly YTD'!P3+'Quarterly YTD'!P5))="NM"),"NM",IF(((N3+N5)+('Quarterly YTD'!P3+'Quarterly YTD'!P5)-('Quarterly YTD'!L3+'Quarterly YTD'!L5))&lt;0,-(((R3+R5)+('Quarterly YTD'!T3+'Quarterly YTD'!T5)-('Quarterly YTD'!P3+'Quarterly YTD'!P5))/((N3+N5)+('Quarterly YTD'!P3+'Quarterly YTD'!P5)-('Quarterly YTD'!L3+'Quarterly YTD'!L5))-1),((R3+R5)+('Quarterly YTD'!T3+'Quarterly YTD'!T5)-('Quarterly YTD'!P3+'Quarterly YTD'!P5))/((N3+N5)+('Quarterly YTD'!P3+'Quarterly YTD'!P5)-('Quarterly YTD'!L3+'Quarterly YTD'!L5))-1)))</f>
        <v>0.434438398741329</v>
      </c>
      <c r="U305" s="19">
        <f>IF(AND(((R3+R5)+('Quarterly YTD'!U3+'Quarterly YTD'!U5)-('Quarterly YTD'!Q3+'Quarterly YTD'!Q5))=0,((N3+N5)+('Quarterly YTD'!Q3+'Quarterly YTD'!Q5)-('Quarterly YTD'!M3+'Quarterly YTD'!M5))=0),0,IF(OR(((N3+N5)+('Quarterly YTD'!Q3+'Quarterly YTD'!Q5)-('Quarterly YTD'!M3+'Quarterly YTD'!M5))=0,((N3+N5)+('Quarterly YTD'!Q3+'Quarterly YTD'!Q5)-('Quarterly YTD'!M3+'Quarterly YTD'!M5))="NM",((R3+R5)+('Quarterly YTD'!U3+'Quarterly YTD'!U5)-('Quarterly YTD'!Q3+'Quarterly YTD'!Q5))="NM"),"NM",IF(((N3+N5)+('Quarterly YTD'!Q3+'Quarterly YTD'!Q5)-('Quarterly YTD'!M3+'Quarterly YTD'!M5))&lt;0,-(((R3+R5)+('Quarterly YTD'!U3+'Quarterly YTD'!U5)-('Quarterly YTD'!Q3+'Quarterly YTD'!Q5))/((N3+N5)+('Quarterly YTD'!Q3+'Quarterly YTD'!Q5)-('Quarterly YTD'!M3+'Quarterly YTD'!M5))-1),((R3+R5)+('Quarterly YTD'!U3+'Quarterly YTD'!U5)-('Quarterly YTD'!Q3+'Quarterly YTD'!Q5))/((N3+N5)+('Quarterly YTD'!Q3+'Quarterly YTD'!Q5)-('Quarterly YTD'!M3+'Quarterly YTD'!M5))-1)))</f>
        <v>0.334570114860907</v>
      </c>
      <c r="V305" s="19">
        <f t="shared" si="97"/>
        <v>0.298711167806043</v>
      </c>
      <c r="W305" s="19">
        <f>IF(AND(((V3+V5)+('Quarterly YTD'!W3+'Quarterly YTD'!W5)-('Quarterly YTD'!S3+'Quarterly YTD'!S5))=0,((R3+R5)+('Quarterly YTD'!S3+'Quarterly YTD'!S5)-('Quarterly YTD'!O3+'Quarterly YTD'!O5))=0),0,IF(OR(((R3+R5)+('Quarterly YTD'!S3+'Quarterly YTD'!S5)-('Quarterly YTD'!O3+'Quarterly YTD'!O5))=0,((R3+R5)+('Quarterly YTD'!S3+'Quarterly YTD'!S5)-('Quarterly YTD'!O3+'Quarterly YTD'!O5))="NM",((V3+V5)+('Quarterly YTD'!W3+'Quarterly YTD'!W5)-('Quarterly YTD'!S3+'Quarterly YTD'!S5))="NM"),"NM",IF(((R3+R5)+('Quarterly YTD'!S3+'Quarterly YTD'!S5)-('Quarterly YTD'!O3+'Quarterly YTD'!O5))&lt;0,-(((V3+V5)+('Quarterly YTD'!W3+'Quarterly YTD'!W5)-('Quarterly YTD'!S3+'Quarterly YTD'!S5))/((R3+R5)+('Quarterly YTD'!S3+'Quarterly YTD'!S5)-('Quarterly YTD'!O3+'Quarterly YTD'!O5))-1),((V3+V5)+('Quarterly YTD'!W3+'Quarterly YTD'!W5)-('Quarterly YTD'!S3+'Quarterly YTD'!S5))/((R3+R5)+('Quarterly YTD'!S3+'Quarterly YTD'!S5)-('Quarterly YTD'!O3+'Quarterly YTD'!O5))-1)))</f>
        <v>0.29531556206172</v>
      </c>
      <c r="X305" s="19">
        <f>IF(AND(((V3+V5)+('Quarterly YTD'!X3+'Quarterly YTD'!X5)-('Quarterly YTD'!T3+'Quarterly YTD'!T5))=0,((R3+R5)+('Quarterly YTD'!T3+'Quarterly YTD'!T5)-('Quarterly YTD'!P3+'Quarterly YTD'!P5))=0),0,IF(OR(((R3+R5)+('Quarterly YTD'!T3+'Quarterly YTD'!T5)-('Quarterly YTD'!P3+'Quarterly YTD'!P5))=0,((R3+R5)+('Quarterly YTD'!T3+'Quarterly YTD'!T5)-('Quarterly YTD'!P3+'Quarterly YTD'!P5))="NM",((V3+V5)+('Quarterly YTD'!X3+'Quarterly YTD'!X5)-('Quarterly YTD'!T3+'Quarterly YTD'!T5))="NM"),"NM",IF(((R3+R5)+('Quarterly YTD'!T3+'Quarterly YTD'!T5)-('Quarterly YTD'!P3+'Quarterly YTD'!P5))&lt;0,-(((V3+V5)+('Quarterly YTD'!X3+'Quarterly YTD'!X5)-('Quarterly YTD'!T3+'Quarterly YTD'!T5))/((R3+R5)+('Quarterly YTD'!T3+'Quarterly YTD'!T5)-('Quarterly YTD'!P3+'Quarterly YTD'!P5))-1),((V3+V5)+('Quarterly YTD'!X3+'Quarterly YTD'!X5)-('Quarterly YTD'!T3+'Quarterly YTD'!T5))/((R3+R5)+('Quarterly YTD'!T3+'Quarterly YTD'!T5)-('Quarterly YTD'!P3+'Quarterly YTD'!P5))-1)))</f>
        <v>0.307476208398301</v>
      </c>
      <c r="Y305" s="19">
        <f>IF(AND(((V3+V5)+('Quarterly YTD'!Y3+'Quarterly YTD'!Y5)-('Quarterly YTD'!U3+'Quarterly YTD'!U5))=0,((R3+R5)+('Quarterly YTD'!U3+'Quarterly YTD'!U5)-('Quarterly YTD'!Q3+'Quarterly YTD'!Q5))=0),0,IF(OR(((R3+R5)+('Quarterly YTD'!U3+'Quarterly YTD'!U5)-('Quarterly YTD'!Q3+'Quarterly YTD'!Q5))=0,((R3+R5)+('Quarterly YTD'!U3+'Quarterly YTD'!U5)-('Quarterly YTD'!Q3+'Quarterly YTD'!Q5))="NM",((V3+V5)+('Quarterly YTD'!Y3+'Quarterly YTD'!Y5)-('Quarterly YTD'!U3+'Quarterly YTD'!U5))="NM"),"NM",IF(((R3+R5)+('Quarterly YTD'!U3+'Quarterly YTD'!U5)-('Quarterly YTD'!Q3+'Quarterly YTD'!Q5))&lt;0,-(((V3+V5)+('Quarterly YTD'!Y3+'Quarterly YTD'!Y5)-('Quarterly YTD'!U3+'Quarterly YTD'!U5))/((R3+R5)+('Quarterly YTD'!U3+'Quarterly YTD'!U5)-('Quarterly YTD'!Q3+'Quarterly YTD'!Q5))-1),((V3+V5)+('Quarterly YTD'!Y3+'Quarterly YTD'!Y5)-('Quarterly YTD'!U3+'Quarterly YTD'!U5))/((R3+R5)+('Quarterly YTD'!U3+'Quarterly YTD'!U5)-('Quarterly YTD'!Q3+'Quarterly YTD'!Q5))-1)))</f>
        <v>0.279091816065544</v>
      </c>
      <c r="Z305" s="19">
        <f t="shared" si="97"/>
        <v>0.0696216946016932</v>
      </c>
      <c r="AA305" s="19">
        <f>IF(AND(((Z3+Z5)+('Quarterly YTD'!AA3+'Quarterly YTD'!AA5)-('Quarterly YTD'!W3+'Quarterly YTD'!W5))=0,((V3+V5)+('Quarterly YTD'!W3+'Quarterly YTD'!W5)-('Quarterly YTD'!S3+'Quarterly YTD'!S5))=0),0,IF(OR(((V3+V5)+('Quarterly YTD'!W3+'Quarterly YTD'!W5)-('Quarterly YTD'!S3+'Quarterly YTD'!S5))=0,((V3+V5)+('Quarterly YTD'!W3+'Quarterly YTD'!W5)-('Quarterly YTD'!S3+'Quarterly YTD'!S5))="NM",((Z3+Z5)+('Quarterly YTD'!AA3+'Quarterly YTD'!AA5)-('Quarterly YTD'!W3+'Quarterly YTD'!W5))="NM"),"NM",IF(((V3+V5)+('Quarterly YTD'!W3+'Quarterly YTD'!W5)-('Quarterly YTD'!S3+'Quarterly YTD'!S5))&lt;0,-(((Z3+Z5)+('Quarterly YTD'!AA3+'Quarterly YTD'!AA5)-('Quarterly YTD'!W3+'Quarterly YTD'!W5))/((V3+V5)+('Quarterly YTD'!W3+'Quarterly YTD'!W5)-('Quarterly YTD'!S3+'Quarterly YTD'!S5))-1),((Z3+Z5)+('Quarterly YTD'!AA3+'Quarterly YTD'!AA5)-('Quarterly YTD'!W3+'Quarterly YTD'!W5))/((V3+V5)+('Quarterly YTD'!W3+'Quarterly YTD'!W5)-('Quarterly YTD'!S3+'Quarterly YTD'!S5))-1)))</f>
        <v>0.0641114736467947</v>
      </c>
      <c r="AB305" s="19">
        <f>IF(AND(((Z3+Z5)+('Quarterly YTD'!AB3+'Quarterly YTD'!AB5)-('Quarterly YTD'!X3+'Quarterly YTD'!X5))=0,((V3+V5)+('Quarterly YTD'!X3+'Quarterly YTD'!X5)-('Quarterly YTD'!T3+'Quarterly YTD'!T5))=0),0,IF(OR(((V3+V5)+('Quarterly YTD'!X3+'Quarterly YTD'!X5)-('Quarterly YTD'!T3+'Quarterly YTD'!T5))=0,((V3+V5)+('Quarterly YTD'!X3+'Quarterly YTD'!X5)-('Quarterly YTD'!T3+'Quarterly YTD'!T5))="NM",((Z3+Z5)+('Quarterly YTD'!AB3+'Quarterly YTD'!AB5)-('Quarterly YTD'!X3+'Quarterly YTD'!X5))="NM"),"NM",IF(((V3+V5)+('Quarterly YTD'!X3+'Quarterly YTD'!X5)-('Quarterly YTD'!T3+'Quarterly YTD'!T5))&lt;0,-(((Z3+Z5)+('Quarterly YTD'!AB3+'Quarterly YTD'!AB5)-('Quarterly YTD'!X3+'Quarterly YTD'!X5))/((V3+V5)+('Quarterly YTD'!X3+'Quarterly YTD'!X5)-('Quarterly YTD'!T3+'Quarterly YTD'!T5))-1),((Z3+Z5)+('Quarterly YTD'!AB3+'Quarterly YTD'!AB5)-('Quarterly YTD'!X3+'Quarterly YTD'!X5))/((V3+V5)+('Quarterly YTD'!X3+'Quarterly YTD'!X5)-('Quarterly YTD'!T3+'Quarterly YTD'!T5))-1)))</f>
        <v>-0.0878545506882835</v>
      </c>
      <c r="AC305" s="19">
        <f>IF(AND(((Z3+Z5)+('Quarterly YTD'!AC3+'Quarterly YTD'!AC5)-('Quarterly YTD'!Y3+'Quarterly YTD'!Y5))=0,((V3+V5)+('Quarterly YTD'!Y3+'Quarterly YTD'!Y5)-('Quarterly YTD'!U3+'Quarterly YTD'!U5))=0),0,IF(OR(((V3+V5)+('Quarterly YTD'!Y3+'Quarterly YTD'!Y5)-('Quarterly YTD'!U3+'Quarterly YTD'!U5))=0,((V3+V5)+('Quarterly YTD'!Y3+'Quarterly YTD'!Y5)-('Quarterly YTD'!U3+'Quarterly YTD'!U5))="NM",((Z3+Z5)+('Quarterly YTD'!AC3+'Quarterly YTD'!AC5)-('Quarterly YTD'!Y3+'Quarterly YTD'!Y5))="NM"),"NM",IF(((V3+V5)+('Quarterly YTD'!Y3+'Quarterly YTD'!Y5)-('Quarterly YTD'!U3+'Quarterly YTD'!U5))&lt;0,-(((Z3+Z5)+('Quarterly YTD'!AC3+'Quarterly YTD'!AC5)-('Quarterly YTD'!Y3+'Quarterly YTD'!Y5))/((V3+V5)+('Quarterly YTD'!Y3+'Quarterly YTD'!Y5)-('Quarterly YTD'!U3+'Quarterly YTD'!U5))-1),((Z3+Z5)+('Quarterly YTD'!AC3+'Quarterly YTD'!AC5)-('Quarterly YTD'!Y3+'Quarterly YTD'!Y5))/((V3+V5)+('Quarterly YTD'!Y3+'Quarterly YTD'!Y5)-('Quarterly YTD'!U3+'Quarterly YTD'!U5))-1)))</f>
        <v>-0.163900793504477</v>
      </c>
      <c r="AD305" s="19">
        <f t="shared" si="97"/>
        <v>0.0771949632243751</v>
      </c>
      <c r="AE305" s="19">
        <f>IF(AND(((AD3+AD5)+('Quarterly YTD'!AE3+'Quarterly YTD'!AE5)-('Quarterly YTD'!AA3+'Quarterly YTD'!AA5))=0,((Z3+Z5)+('Quarterly YTD'!AA3+'Quarterly YTD'!AA5)-('Quarterly YTD'!W3+'Quarterly YTD'!W5))=0),0,IF(OR(((Z3+Z5)+('Quarterly YTD'!AA3+'Quarterly YTD'!AA5)-('Quarterly YTD'!W3+'Quarterly YTD'!W5))=0,((Z3+Z5)+('Quarterly YTD'!AA3+'Quarterly YTD'!AA5)-('Quarterly YTD'!W3+'Quarterly YTD'!W5))="NM",((AD3+AD5)+('Quarterly YTD'!AE3+'Quarterly YTD'!AE5)-('Quarterly YTD'!AA3+'Quarterly YTD'!AA5))="NM"),"NM",IF(((Z3+Z5)+('Quarterly YTD'!AA3+'Quarterly YTD'!AA5)-('Quarterly YTD'!W3+'Quarterly YTD'!W5))&lt;0,-(((AD3+AD5)+('Quarterly YTD'!AE3+'Quarterly YTD'!AE5)-('Quarterly YTD'!AA3+'Quarterly YTD'!AA5))/((Z3+Z5)+('Quarterly YTD'!AA3+'Quarterly YTD'!AA5)-('Quarterly YTD'!W3+'Quarterly YTD'!W5))-1),((AD3+AD5)+('Quarterly YTD'!AE3+'Quarterly YTD'!AE5)-('Quarterly YTD'!AA3+'Quarterly YTD'!AA5))/((Z3+Z5)+('Quarterly YTD'!AA3+'Quarterly YTD'!AA5)-('Quarterly YTD'!W3+'Quarterly YTD'!W5))-1)))</f>
        <v>0.0865987968434001</v>
      </c>
      <c r="AF305" s="19">
        <f>IF(AND(((AD3+AD5)+('Quarterly YTD'!AF3+'Quarterly YTD'!AF5)-('Quarterly YTD'!AB3+'Quarterly YTD'!AB5))=0,((Z3+Z5)+('Quarterly YTD'!AB3+'Quarterly YTD'!AB5)-('Quarterly YTD'!X3+'Quarterly YTD'!X5))=0),0,IF(OR(((Z3+Z5)+('Quarterly YTD'!AB3+'Quarterly YTD'!AB5)-('Quarterly YTD'!X3+'Quarterly YTD'!X5))=0,((Z3+Z5)+('Quarterly YTD'!AB3+'Quarterly YTD'!AB5)-('Quarterly YTD'!X3+'Quarterly YTD'!X5))="NM",((AD3+AD5)+('Quarterly YTD'!AF3+'Quarterly YTD'!AF5)-('Quarterly YTD'!AB3+'Quarterly YTD'!AB5))="NM"),"NM",IF(((Z3+Z5)+('Quarterly YTD'!AB3+'Quarterly YTD'!AB5)-('Quarterly YTD'!X3+'Quarterly YTD'!X5))&lt;0,-(((AD3+AD5)+('Quarterly YTD'!AF3+'Quarterly YTD'!AF5)-('Quarterly YTD'!AB3+'Quarterly YTD'!AB5))/((Z3+Z5)+('Quarterly YTD'!AB3+'Quarterly YTD'!AB5)-('Quarterly YTD'!X3+'Quarterly YTD'!X5))-1),((AD3+AD5)+('Quarterly YTD'!AF3+'Quarterly YTD'!AF5)-('Quarterly YTD'!AB3+'Quarterly YTD'!AB5))/((Z3+Z5)+('Quarterly YTD'!AB3+'Quarterly YTD'!AB5)-('Quarterly YTD'!X3+'Quarterly YTD'!X5))-1)))</f>
        <v>0.0865615557231139</v>
      </c>
    </row>
    <row customHeight="1" ht="15">
      <c r="A306" s="9" t="s">
        <v>320</v>
      </c>
      <c r="F306" s="19">
        <f t="shared" si="98" ref="F306:K306">IF(AND(F186=0,B185=0),0,IF(OR(B185=0,B185="NM",F186="NM"),"NM",IF(B185&lt;0,-(F186/B185-1),F186/B185-1)))</f>
        <v>7.47357193647784</v>
      </c>
      <c r="J306" s="19">
        <f t="shared" si="99" ref="J306:AD307">IF(AND(J186=0,F186=0),0,IF(OR(F186=0,F186="NM",J186="NM"),"NM",IF(F186&lt;0,-(J186/F186-1),J186/F186-1)))</f>
        <v>-0.490909090909091</v>
      </c>
      <c r="K306" s="19">
        <f t="shared" si="98"/>
        <v>0.0616873166673952</v>
      </c>
      <c r="L306" s="19">
        <f t="shared" si="99"/>
        <v>-0.587506197322757</v>
      </c>
      <c r="M306" s="19">
        <f t="shared" si="99"/>
        <v>-0.0487609912070344</v>
      </c>
      <c r="N306" s="19">
        <f t="shared" si="99"/>
        <v>0.418910256410256</v>
      </c>
      <c r="O306" s="19">
        <f t="shared" si="100" ref="O306:Q306">IF(AND(O185=0,K186=0),0,IF(OR(K186=0,K186="NM",O185="NM"),"NM",IF(K186&lt;0,-(O185/K186-1),O185/K186-1)))</f>
        <v>0.927350515463917</v>
      </c>
      <c r="P306" s="19">
        <f t="shared" si="100"/>
        <v>1.68859375</v>
      </c>
      <c r="Q306" s="19">
        <f t="shared" si="100"/>
        <v>1.49825210084034</v>
      </c>
      <c r="R306" s="19">
        <f t="shared" si="99"/>
        <v>0.738655652005551</v>
      </c>
      <c r="S306" s="19">
        <f t="shared" si="101" ref="S306:AF306">IF(AND(S185=0,O185=0),0,IF(OR(O185=0,O185="NM",S185="NM"),"NM",IF(O185&lt;0,-(S185/O185-1),S185/O185-1)))</f>
        <v>0.500805015164239</v>
      </c>
      <c r="T306" s="19">
        <f t="shared" si="101"/>
        <v>0.428059242437112</v>
      </c>
      <c r="U306" s="19">
        <f t="shared" si="101"/>
        <v>0.257326130538326</v>
      </c>
      <c r="V306" s="19">
        <f t="shared" si="99"/>
        <v>0.543746009591828</v>
      </c>
      <c r="W306" s="19">
        <f t="shared" si="101"/>
        <v>0.396646232803479</v>
      </c>
      <c r="X306" s="19">
        <f t="shared" si="101"/>
        <v>0.407129262092886</v>
      </c>
      <c r="Y306" s="19">
        <f t="shared" si="101"/>
        <v>0.322405716532947</v>
      </c>
      <c r="Z306" s="19">
        <f t="shared" si="99"/>
        <v>-0.231322091281358</v>
      </c>
      <c r="AA306" s="19">
        <f t="shared" si="101"/>
        <v>0.393382005813137</v>
      </c>
      <c r="AB306" s="19">
        <f t="shared" si="101"/>
        <v>0.190581069145871</v>
      </c>
      <c r="AC306" s="19">
        <f t="shared" si="101"/>
        <v>-0.109832775649092</v>
      </c>
      <c r="AD306" s="19">
        <f t="shared" si="99"/>
        <v>0.0202642041810952</v>
      </c>
      <c r="AE306" s="19">
        <f t="shared" si="101"/>
        <v>-0.19017592568852</v>
      </c>
      <c r="AF306" s="19">
        <f t="shared" si="101"/>
        <v>-0.317700148552316</v>
      </c>
    </row>
    <row customHeight="1" ht="15">
      <c r="A307" s="9" t="s">
        <v>321</v>
      </c>
      <c r="R307" s="19">
        <f t="shared" si="99"/>
        <v>0.858186531170205</v>
      </c>
      <c r="V307" s="19">
        <f t="shared" si="99"/>
        <v>0.360669731933721</v>
      </c>
      <c r="Z307" s="19">
        <f t="shared" si="99"/>
        <v>-0.176569899849787</v>
      </c>
      <c r="AD307" s="19">
        <f t="shared" si="99"/>
        <v>0.11732367844002</v>
      </c>
    </row>
    <row customHeight="1" ht="15">
      <c r="A308" s="9" t="s">
        <v>322</v>
      </c>
      <c r="F308" s="19">
        <f t="shared" si="102" ref="F308:AF308">IF(AND(F12=0,B12=0),0,IF(OR(B12=0,B12="NM",F12="NM"),"NM",IF(B12&lt;0,-(F12/B12-1),F12/B12-1)))</f>
        <v>0.772389599669831</v>
      </c>
      <c r="J308" s="19">
        <f t="shared" si="102"/>
        <v>-1.70768812822603</v>
      </c>
      <c r="K308" s="19">
        <f t="shared" si="102"/>
        <v>-1.35728040290327</v>
      </c>
      <c r="L308" s="19">
        <f t="shared" si="102"/>
        <v>-1.09904684266633</v>
      </c>
      <c r="M308" s="19">
        <f t="shared" si="102"/>
        <v>1.32454589294326</v>
      </c>
      <c r="N308" s="19">
        <f t="shared" si="102"/>
        <v>5.38552234713463</v>
      </c>
      <c r="O308" s="19">
        <f t="shared" si="102"/>
        <v>8.90567993366497</v>
      </c>
      <c r="P308" s="19">
        <f t="shared" si="102"/>
        <v>34.9667616334283</v>
      </c>
      <c r="Q308" s="19">
        <f t="shared" si="102"/>
        <v>2.80360970887214</v>
      </c>
      <c r="R308" s="19">
        <f t="shared" si="102"/>
        <v>1.02547205201951</v>
      </c>
      <c r="S308" s="19">
        <f t="shared" si="102"/>
        <v>0.768885858877206</v>
      </c>
      <c r="T308" s="19">
        <f t="shared" si="102"/>
        <v>0.39108675594822</v>
      </c>
      <c r="U308" s="19">
        <f t="shared" si="102"/>
        <v>0.0467178144619786</v>
      </c>
      <c r="V308" s="19">
        <f t="shared" si="102"/>
        <v>-0.0143230211696722</v>
      </c>
      <c r="W308" s="19">
        <f t="shared" si="102"/>
        <v>-0.191839608656982</v>
      </c>
      <c r="X308" s="19">
        <f t="shared" si="102"/>
        <v>-0.164954945901584</v>
      </c>
      <c r="Y308" s="19">
        <f t="shared" si="102"/>
        <v>-0.186115179972325</v>
      </c>
      <c r="Z308" s="19">
        <f t="shared" si="102"/>
        <v>-0.416843608485692</v>
      </c>
      <c r="AA308" s="19">
        <f t="shared" si="102"/>
        <v>-0.0815227858433377</v>
      </c>
      <c r="AB308" s="19">
        <f t="shared" si="102"/>
        <v>-0.192854793289635</v>
      </c>
      <c r="AC308" s="19">
        <f t="shared" si="102"/>
        <v>-0.977791214654101</v>
      </c>
      <c r="AD308" s="19">
        <f t="shared" si="102"/>
        <v>-1.71420439288975</v>
      </c>
      <c r="AE308" s="19">
        <f t="shared" si="102"/>
        <v>-1.493699324999</v>
      </c>
      <c r="AF308" s="19">
        <f t="shared" si="102"/>
        <v>-2.52204164802942</v>
      </c>
    </row>
    <row customHeight="1" ht="15">
      <c r="A309" s="9" t="s">
        <v>323</v>
      </c>
      <c r="F309" s="19">
        <f t="shared" si="103" ref="F309:AF309">IF(AND(F17=0,B17=0),0,IF(OR(B17=0,B17="NM",F17="NM"),"NM",IF(B17&lt;0,-(F17/B17-1),F17/B17-1)))</f>
        <v>0.411215692478051</v>
      </c>
      <c r="J309" s="19">
        <f t="shared" si="103"/>
        <v>-3.56748122407802</v>
      </c>
      <c r="K309" s="19">
        <f t="shared" si="103"/>
        <v>-4.04661506983362</v>
      </c>
      <c r="L309" s="19">
        <f t="shared" si="103"/>
        <v>-3.44989841527834</v>
      </c>
      <c r="M309" s="19">
        <f t="shared" si="103"/>
        <v>2.77478701074207</v>
      </c>
      <c r="N309" s="19">
        <f t="shared" si="103"/>
        <v>1.97421903992665</v>
      </c>
      <c r="O309" s="19">
        <f t="shared" si="103"/>
        <v>1.84267235086285</v>
      </c>
      <c r="P309" s="19">
        <f t="shared" si="103"/>
        <v>2.47787434485504</v>
      </c>
      <c r="Q309" s="19">
        <f t="shared" si="103"/>
        <v>4.53687213023515</v>
      </c>
      <c r="R309" s="19">
        <f t="shared" si="103"/>
        <v>-0.385004929640584</v>
      </c>
      <c r="S309" s="19">
        <f t="shared" si="103"/>
        <v>-0.975120413042725</v>
      </c>
      <c r="T309" s="19">
        <f t="shared" si="103"/>
        <v>-0.691506554138984</v>
      </c>
      <c r="U309" s="19">
        <f t="shared" si="103"/>
        <v>-0.567580132433689</v>
      </c>
      <c r="V309" s="19">
        <f t="shared" si="103"/>
        <v>1.62810609924944</v>
      </c>
      <c r="W309" s="19">
        <f t="shared" si="103"/>
        <v>-3.5389972144847</v>
      </c>
      <c r="X309" s="19">
        <f t="shared" si="103"/>
        <v>3.6886641443539</v>
      </c>
      <c r="Y309" s="19">
        <f t="shared" si="103"/>
        <v>1.61868371349702</v>
      </c>
      <c r="Z309" s="19">
        <f t="shared" si="103"/>
        <v>-0.182251736424009</v>
      </c>
      <c r="AA309" s="19">
        <f t="shared" si="103"/>
        <v>50.5315414152499</v>
      </c>
      <c r="AB309" s="19">
        <f t="shared" si="103"/>
        <v>-0.0822147390636396</v>
      </c>
      <c r="AC309" s="19">
        <f t="shared" si="103"/>
        <v>-1.69616741750072</v>
      </c>
      <c r="AD309" s="19">
        <f t="shared" si="103"/>
        <v>-3.45528524201069</v>
      </c>
      <c r="AE309" s="19">
        <f t="shared" si="103"/>
        <v>-2.48441791441481</v>
      </c>
      <c r="AF309" s="19">
        <f t="shared" si="103"/>
        <v>-5.27502832118763</v>
      </c>
    </row>
    <row customHeight="1" ht="15">
      <c r="A310" s="9" t="s">
        <v>324</v>
      </c>
      <c r="F310" s="19">
        <f t="shared" si="104" ref="F310:AF310">IF(AND(F21=0,B21=0),0,IF(OR(B21=0,B21="NM",F21="NM"),"NM",IF(B21&lt;0,-(F21/B21-1),F21/B21-1)))</f>
        <v>0.251676813538334</v>
      </c>
      <c r="J310" s="19">
        <f t="shared" si="104"/>
        <v>-5.25432811211871</v>
      </c>
      <c r="K310" s="19">
        <f t="shared" si="104"/>
        <v>-11.248672139063</v>
      </c>
      <c r="L310" s="19">
        <f t="shared" si="104"/>
        <v>-18.3373424971363</v>
      </c>
      <c r="M310" s="19">
        <f t="shared" si="104"/>
        <v>1.55767109769548</v>
      </c>
      <c r="N310" s="19">
        <f t="shared" si="104"/>
        <v>1.66598197849046</v>
      </c>
      <c r="O310" s="19">
        <f t="shared" si="104"/>
        <v>1.46282685512367</v>
      </c>
      <c r="P310" s="19">
        <f t="shared" si="104"/>
        <v>1.82144626870602</v>
      </c>
      <c r="Q310" s="19">
        <f t="shared" si="104"/>
        <v>4.51420838971583</v>
      </c>
      <c r="R310" s="19">
        <f t="shared" si="104"/>
        <v>-0.660527234636872</v>
      </c>
      <c r="S310" s="19">
        <f t="shared" si="104"/>
        <v>-1.45335165674149</v>
      </c>
      <c r="T310" s="19">
        <f t="shared" si="104"/>
        <v>-0.853173007319231</v>
      </c>
      <c r="U310" s="19">
        <f t="shared" si="104"/>
        <v>-0.486418121755545</v>
      </c>
      <c r="V310" s="19">
        <f t="shared" si="104"/>
        <v>4.84434730436273</v>
      </c>
      <c r="W310" s="19">
        <f t="shared" si="104"/>
        <v>1.4683956438756</v>
      </c>
      <c r="X310" s="19">
        <f t="shared" si="104"/>
        <v>18.1969323473021</v>
      </c>
      <c r="Y310" s="19">
        <f t="shared" si="104"/>
        <v>1.96699378836329</v>
      </c>
      <c r="Z310" s="19">
        <f t="shared" si="104"/>
        <v>-1.91782770656733</v>
      </c>
      <c r="AA310" s="19">
        <f t="shared" si="104"/>
        <v>-21.8835091083413</v>
      </c>
      <c r="AB310" s="19">
        <f t="shared" si="104"/>
        <v>-3.46231879922383</v>
      </c>
      <c r="AC310" s="19">
        <f t="shared" si="104"/>
        <v>-3.30356899520583</v>
      </c>
      <c r="AD310" s="19">
        <f t="shared" si="104"/>
        <v>-0.0157231196970391</v>
      </c>
      <c r="AE310" s="19">
        <f t="shared" si="104"/>
        <v>0.98412643757317</v>
      </c>
      <c r="AF310" s="19">
        <f t="shared" si="104"/>
        <v>0.80081585824463</v>
      </c>
    </row>
    <row customHeight="1" ht="15">
      <c r="A311" s="9" t="s">
        <v>325</v>
      </c>
      <c r="F311" s="19">
        <f t="shared" si="105" ref="F311:AF311">IF(AND(F60=0,B60=0),0,IF(OR(B60=0,B60="NM",F60="NM"),"NM",IF(B60&lt;0,-(F60/B60-1),F60/B60-1)))</f>
        <v>0.914659762590982</v>
      </c>
      <c r="J311" s="19">
        <f t="shared" si="105"/>
        <v>1.48427095292767</v>
      </c>
      <c r="K311" s="19">
        <f t="shared" si="105"/>
        <v>-0.420927798316333</v>
      </c>
      <c r="L311" s="19">
        <f t="shared" si="105"/>
        <v>-1.01786152928378</v>
      </c>
      <c r="M311" s="19">
        <f t="shared" si="105"/>
        <v>-0.550761865304056</v>
      </c>
      <c r="N311" s="19">
        <f t="shared" si="105"/>
        <v>-0.561666204516745</v>
      </c>
      <c r="O311" s="19">
        <f t="shared" si="105"/>
        <v>0.431032825029325</v>
      </c>
      <c r="P311" s="19">
        <f t="shared" si="105"/>
        <v>40.0636542239686</v>
      </c>
      <c r="Q311" s="19">
        <f t="shared" si="105"/>
        <v>2.59648727302537</v>
      </c>
      <c r="R311" s="19">
        <f t="shared" si="105"/>
        <v>3.06553267261779</v>
      </c>
      <c r="S311" s="19">
        <f t="shared" si="105"/>
        <v>0.804442473595098</v>
      </c>
      <c r="T311" s="19">
        <f t="shared" si="105"/>
        <v>1.06380196545862</v>
      </c>
      <c r="U311" s="19">
        <f t="shared" si="105"/>
        <v>0.232997316040505</v>
      </c>
      <c r="V311" s="19">
        <f t="shared" si="105"/>
        <v>0.545714927876165</v>
      </c>
      <c r="W311" s="19">
        <f t="shared" si="105"/>
        <v>1.40969445127082</v>
      </c>
      <c r="X311" s="19">
        <f t="shared" si="105"/>
        <v>0.583618046857104</v>
      </c>
      <c r="Y311" s="19">
        <f t="shared" si="105"/>
        <v>0.697446562680532</v>
      </c>
      <c r="Z311" s="19">
        <f t="shared" si="105"/>
        <v>0.0949987696391688</v>
      </c>
      <c r="AA311" s="19">
        <f t="shared" si="105"/>
        <v>-0.19473949335715</v>
      </c>
      <c r="AB311" s="19">
        <f t="shared" si="105"/>
        <v>-0.158253365423086</v>
      </c>
      <c r="AC311" s="19">
        <f t="shared" si="105"/>
        <v>-0.21926841553562</v>
      </c>
      <c r="AD311" s="19">
        <f t="shared" si="105"/>
        <v>-0.169039885050427</v>
      </c>
      <c r="AE311" s="19">
        <f t="shared" si="105"/>
        <v>-0.0196955101758857</v>
      </c>
      <c r="AF311" s="19">
        <f t="shared" si="105"/>
        <v>-0.302564515067532</v>
      </c>
    </row>
    <row customHeight="1" ht="15">
      <c r="A312" s="9" t="s">
        <v>326</v>
      </c>
      <c r="F312" s="19">
        <f t="shared" si="106" ref="F312:AF312">IF(AND(F276=0,B276=0),0,IF(OR(B276=0,B276="NM",F276="NM"),"NM",IF(B276&lt;0,(F276/B276-1),-(F276/B276-1))))</f>
        <v>0.572991832527159</v>
      </c>
      <c r="J312" s="19">
        <f t="shared" si="106"/>
        <v>1.34743156727328</v>
      </c>
      <c r="K312" s="19">
        <f t="shared" si="106"/>
        <v>0.843930001645729</v>
      </c>
      <c r="L312" s="19">
        <f t="shared" si="106"/>
        <v>0.132162483086185</v>
      </c>
      <c r="M312" s="19">
        <f t="shared" si="106"/>
        <v>-0.299779846941207</v>
      </c>
      <c r="N312" s="19">
        <f t="shared" si="106"/>
        <v>-0.245662071038956</v>
      </c>
      <c r="O312" s="19">
        <f t="shared" si="106"/>
        <v>-0.348962207082577</v>
      </c>
      <c r="P312" s="19">
        <f t="shared" si="106"/>
        <v>-0.126125027439694</v>
      </c>
      <c r="Q312" s="19">
        <f t="shared" si="106"/>
        <v>0.104080466027875</v>
      </c>
      <c r="R312" s="19">
        <f t="shared" si="106"/>
        <v>1.26424494327644</v>
      </c>
      <c r="S312" s="19">
        <f t="shared" si="106"/>
        <v>1.65022086824067</v>
      </c>
      <c r="T312" s="19">
        <f t="shared" si="106"/>
        <v>1.98797030255666</v>
      </c>
      <c r="U312" s="19">
        <f t="shared" si="106"/>
        <v>1.80755433375658</v>
      </c>
      <c r="V312" s="19">
        <f t="shared" si="106"/>
        <v>0.343961777833658</v>
      </c>
      <c r="W312" s="19">
        <f t="shared" si="106"/>
        <v>0.276589630259732</v>
      </c>
      <c r="X312" s="19">
        <f t="shared" si="106"/>
        <v>-0.0364352236742548</v>
      </c>
      <c r="Y312" s="19">
        <f t="shared" si="106"/>
        <v>0.0859378430356625</v>
      </c>
      <c r="Z312" s="19">
        <f t="shared" si="106"/>
        <v>0.124242225798002</v>
      </c>
      <c r="AA312" s="19">
        <f t="shared" si="106"/>
        <v>0.0994282112466796</v>
      </c>
      <c r="AB312" s="19">
        <f t="shared" si="106"/>
        <v>0.126235428128257</v>
      </c>
      <c r="AC312" s="19">
        <f t="shared" si="106"/>
        <v>-0.216393469136901</v>
      </c>
      <c r="AD312" s="19">
        <f t="shared" si="106"/>
        <v>-0.296365641057646</v>
      </c>
      <c r="AE312" s="19">
        <f t="shared" si="106"/>
        <v>-0.451767856704096</v>
      </c>
      <c r="AF312" s="19">
        <f t="shared" si="106"/>
        <v>-0.30041575567683</v>
      </c>
    </row>
    <row customHeight="1" ht="15">
      <c r="A313" s="9" t="s">
        <v>327</v>
      </c>
      <c r="F313" s="19">
        <f t="shared" si="107" ref="F313:AF315">IF(AND(F282=0,B282=0),0,IF(OR(B282=0,B282="NM",F282="NM"),"NM",IF(B282&lt;0,-(F282/B282-1),F282/B282-1)))</f>
        <v>1.38171190357515</v>
      </c>
      <c r="J313" s="19">
        <f t="shared" si="107"/>
        <v>-0.111278109660972</v>
      </c>
      <c r="K313" s="19">
        <f t="shared" si="107"/>
        <v>-0.476455043506284</v>
      </c>
      <c r="L313" s="19">
        <f t="shared" si="107"/>
        <v>-0.688219672500948</v>
      </c>
      <c r="M313" s="19">
        <f t="shared" si="107"/>
        <v>-0.246365984332643</v>
      </c>
      <c r="N313" s="19">
        <f t="shared" si="107"/>
        <v>1.46415344764841</v>
      </c>
      <c r="O313" s="19">
        <f t="shared" si="107"/>
        <v>1.74331511301522</v>
      </c>
      <c r="P313" s="19">
        <f t="shared" si="107"/>
        <v>4.22945374420364</v>
      </c>
      <c r="Q313" s="19">
        <f t="shared" si="107"/>
        <v>2.28066672331266</v>
      </c>
      <c r="R313" s="19">
        <f t="shared" si="107"/>
        <v>0.878618341036244</v>
      </c>
      <c r="S313" s="19">
        <f t="shared" si="107"/>
        <v>0.697496791333459</v>
      </c>
      <c r="T313" s="19">
        <f t="shared" si="107"/>
        <v>0.396825396825397</v>
      </c>
      <c r="U313" s="19">
        <f t="shared" si="107"/>
        <v>0.143671140157385</v>
      </c>
      <c r="V313" s="19">
        <f t="shared" si="107"/>
        <v>0.308165775697823</v>
      </c>
      <c r="W313" s="19">
        <f t="shared" si="107"/>
        <v>0.407211970602231</v>
      </c>
      <c r="X313" s="19">
        <f t="shared" si="107"/>
        <v>0.358985556836191</v>
      </c>
      <c r="Y313" s="19">
        <f t="shared" si="107"/>
        <v>0.248728033093786</v>
      </c>
      <c r="Z313" s="19">
        <f t="shared" si="107"/>
        <v>0.043802561483016</v>
      </c>
      <c r="AA313" s="19">
        <f t="shared" si="107"/>
        <v>0.093459980612145</v>
      </c>
      <c r="AB313" s="19">
        <f t="shared" si="107"/>
        <v>-0.247227900227599</v>
      </c>
      <c r="AC313" s="19">
        <f t="shared" si="107"/>
        <v>-0.314946968803934</v>
      </c>
      <c r="AD313" s="19">
        <f t="shared" si="107"/>
        <v>-0.267781789117904</v>
      </c>
      <c r="AE313" s="19">
        <f t="shared" si="107"/>
        <v>-0.109205552882963</v>
      </c>
      <c r="AF313" s="19">
        <f t="shared" si="107"/>
        <v>-0.093974175035868</v>
      </c>
    </row>
    <row customHeight="1" ht="15">
      <c r="A314" s="9" t="s">
        <v>328</v>
      </c>
      <c r="F314" s="19">
        <f t="shared" si="107"/>
        <v>-3.59504616737506</v>
      </c>
      <c r="J314" s="19">
        <f t="shared" si="107"/>
        <v>-0.0704899208981882</v>
      </c>
      <c r="K314" s="19">
        <f t="shared" si="107"/>
        <v>-5.92464266328931</v>
      </c>
      <c r="L314" s="19">
        <f t="shared" si="107"/>
        <v>-60.5094917330064</v>
      </c>
      <c r="M314" s="19">
        <f t="shared" si="107"/>
        <v>-0.0353153745072272</v>
      </c>
      <c r="N314" s="19">
        <f t="shared" si="107"/>
        <v>-0.95193969370121</v>
      </c>
      <c r="O314" s="19">
        <f t="shared" si="107"/>
        <v>0.550852439741329</v>
      </c>
      <c r="P314" s="19">
        <f t="shared" si="107"/>
        <v>0.850266003972052</v>
      </c>
      <c r="Q314" s="19">
        <f t="shared" si="107"/>
        <v>1.77314153753944</v>
      </c>
      <c r="R314" s="19">
        <f t="shared" si="107"/>
        <v>0.245729724779045</v>
      </c>
      <c r="S314" s="19">
        <f t="shared" si="107"/>
        <v>-2.2782722513089</v>
      </c>
      <c r="T314" s="19">
        <f t="shared" si="107"/>
        <v>-6.06947976084118</v>
      </c>
      <c r="U314" s="19">
        <f t="shared" si="107"/>
        <v>-3.95182178849925</v>
      </c>
      <c r="V314" s="19">
        <f t="shared" si="107"/>
        <v>-0.96328901301277</v>
      </c>
      <c r="W314" s="19">
        <f t="shared" si="107"/>
        <v>0.292084786215585</v>
      </c>
      <c r="X314" s="19">
        <f t="shared" si="107"/>
        <v>0.0324493525683399</v>
      </c>
      <c r="Y314" s="19">
        <f t="shared" si="107"/>
        <v>0.0281088513142955</v>
      </c>
      <c r="Z314" s="19">
        <f t="shared" si="107"/>
        <v>-0.950758669030636</v>
      </c>
      <c r="AA314" s="19">
        <f t="shared" si="107"/>
        <v>-2.17586824921353</v>
      </c>
      <c r="AB314" s="19">
        <f t="shared" si="107"/>
        <v>-1.26378981211695</v>
      </c>
      <c r="AC314" s="19">
        <f t="shared" si="107"/>
        <v>-0.338152310406765</v>
      </c>
      <c r="AD314" s="19">
        <f t="shared" si="107"/>
        <v>0.0623101026700555</v>
      </c>
      <c r="AE314" s="19">
        <f t="shared" si="107"/>
        <v>0.628707186070649</v>
      </c>
      <c r="AF314" s="19">
        <f t="shared" si="107"/>
        <v>0.271064953509531</v>
      </c>
    </row>
    <row customHeight="1" ht="15">
      <c r="A315" s="9" t="s">
        <v>329</v>
      </c>
      <c r="F315" s="19">
        <f t="shared" si="107"/>
        <v>3.19569174757282</v>
      </c>
      <c r="J315" s="19">
        <f t="shared" si="107"/>
        <v>3.54207544562664</v>
      </c>
      <c r="K315" s="19">
        <f t="shared" si="107"/>
        <v>-1.48642684207143</v>
      </c>
      <c r="L315" s="19">
        <f t="shared" si="107"/>
        <v>-1.65184372714927</v>
      </c>
      <c r="M315" s="19">
        <f t="shared" si="107"/>
        <v>-0.827053761711368</v>
      </c>
      <c r="N315" s="19">
        <f t="shared" si="107"/>
        <v>-1.05220407045724</v>
      </c>
      <c r="O315" s="19">
        <f t="shared" si="107"/>
        <v>2.57410914857067</v>
      </c>
      <c r="P315" s="19">
        <f t="shared" si="107"/>
        <v>1.93932789538629</v>
      </c>
      <c r="Q315" s="19">
        <f t="shared" si="107"/>
        <v>29.1016042780749</v>
      </c>
      <c r="R315" s="19">
        <f t="shared" si="107"/>
        <v>33.8100233100235</v>
      </c>
      <c r="S315" s="19">
        <f t="shared" si="107"/>
        <v>-0.760500321795338</v>
      </c>
      <c r="T315" s="19">
        <f t="shared" si="107"/>
        <v>-0.196349057408513</v>
      </c>
      <c r="U315" s="19">
        <f t="shared" si="107"/>
        <v>-0.586265225887678</v>
      </c>
      <c r="V315" s="19">
        <f t="shared" si="107"/>
        <v>1.29105537991546</v>
      </c>
      <c r="W315" s="19">
        <f t="shared" si="107"/>
        <v>21.2135763523776</v>
      </c>
      <c r="X315" s="19">
        <f t="shared" si="107"/>
        <v>3.58769583492549</v>
      </c>
      <c r="Y315" s="19">
        <f t="shared" si="107"/>
        <v>3.28124708298329</v>
      </c>
      <c r="Z315" s="19">
        <f t="shared" si="107"/>
        <v>0.375382778643471</v>
      </c>
      <c r="AA315" s="19">
        <f t="shared" si="107"/>
        <v>-0.25757655449544</v>
      </c>
      <c r="AB315" s="19">
        <f t="shared" si="107"/>
        <v>-0.205216836026431</v>
      </c>
      <c r="AC315" s="19">
        <f t="shared" si="107"/>
        <v>-0.0598321159925869</v>
      </c>
      <c r="AD315" s="19">
        <f t="shared" si="107"/>
        <v>0.0336786688611819</v>
      </c>
      <c r="AE315" s="19">
        <f t="shared" si="107"/>
        <v>0.547565070773765</v>
      </c>
      <c r="AF315" s="19">
        <f t="shared" si="107"/>
        <v>-0.324274128284398</v>
      </c>
    </row>
    <row customHeight="1" ht="15">
      <c r="A316" s="9" t="s">
        <v>330</v>
      </c>
      <c r="F316" s="19">
        <f t="shared" si="108" ref="F316:AF316">IF(AND(F104=0,B104=0),0,IF(OR(B104=0,B104="NM",F104="NM"),"NM",IF(B104&lt;0,-(F104/B104-1),F104/B104-1)))</f>
        <v>45.689917936694</v>
      </c>
      <c r="J316" s="19">
        <f t="shared" si="108"/>
        <v>-1.14968761340136</v>
      </c>
      <c r="K316" s="19">
        <f t="shared" si="108"/>
        <v>-0.866863527211822</v>
      </c>
      <c r="L316" s="19">
        <f t="shared" si="108"/>
        <v>-1.20726370027328</v>
      </c>
      <c r="M316" s="19">
        <f t="shared" si="108"/>
        <v>-1.21209705566783</v>
      </c>
      <c r="N316" s="19">
        <f t="shared" si="108"/>
        <v>2.11029003709437</v>
      </c>
      <c r="O316" s="19">
        <f t="shared" si="108"/>
        <v>7.44237861870358</v>
      </c>
      <c r="P316" s="19">
        <f t="shared" si="108"/>
        <v>4.23732839486292</v>
      </c>
      <c r="Q316" s="19">
        <f t="shared" si="108"/>
        <v>3.59761895087562</v>
      </c>
      <c r="R316" s="19">
        <f t="shared" si="108"/>
        <v>1.8606529345224</v>
      </c>
      <c r="S316" s="19">
        <f t="shared" si="108"/>
        <v>-1.19373429084381</v>
      </c>
      <c r="T316" s="19">
        <f t="shared" si="108"/>
        <v>-1.44474083470129</v>
      </c>
      <c r="U316" s="19">
        <f t="shared" si="108"/>
        <v>-1.07549663694666</v>
      </c>
      <c r="V316" s="19">
        <f t="shared" si="108"/>
        <v>-2.14081035846315</v>
      </c>
      <c r="W316" s="19">
        <f t="shared" si="108"/>
        <v>-2.04457418218886</v>
      </c>
      <c r="X316" s="19">
        <f t="shared" si="108"/>
        <v>1.54299895141559</v>
      </c>
      <c r="Y316" s="19">
        <f t="shared" si="108"/>
        <v>0.49321454470114</v>
      </c>
      <c r="Z316" s="19">
        <f t="shared" si="108"/>
        <v>0.872216937785158</v>
      </c>
      <c r="AA316" s="19">
        <f t="shared" si="108"/>
        <v>0.428177187962907</v>
      </c>
      <c r="AB316" s="19">
        <f t="shared" si="108"/>
        <v>-3.65142386322674</v>
      </c>
      <c r="AC316" s="19">
        <f t="shared" si="108"/>
        <v>-6.48180703188897</v>
      </c>
      <c r="AD316" s="19">
        <f t="shared" si="108"/>
        <v>-2.91408024224073</v>
      </c>
      <c r="AE316" s="19">
        <f t="shared" si="108"/>
        <v>0.530145493257629</v>
      </c>
      <c r="AF316" s="19">
        <f t="shared" si="108"/>
        <v>0.244862880671224</v>
      </c>
    </row>
    <row customHeight="1" ht="15">
      <c r="A317" s="9" t="s">
        <v>331</v>
      </c>
      <c r="F317" s="19">
        <f t="shared" si="109" ref="F317:AF320">IF(AND(F177=0,B177=0),0,IF(OR(B177=0,B177="NM",F177="NM"),"NM",IF(B177&lt;0,-(F177/B177-1),F177/B177-1)))</f>
        <v>9.06550158518924</v>
      </c>
      <c r="J317" s="19">
        <f t="shared" si="109"/>
        <v>-0.209483460911055</v>
      </c>
      <c r="K317" s="19">
        <f t="shared" si="109"/>
        <v>-0.257052054794521</v>
      </c>
      <c r="L317" s="19">
        <f t="shared" si="109"/>
        <v>-0.117986911695857</v>
      </c>
      <c r="M317" s="19">
        <f t="shared" si="109"/>
        <v>0.00868351750264673</v>
      </c>
      <c r="N317" s="19">
        <f t="shared" si="109"/>
        <v>0.179753753221966</v>
      </c>
      <c r="O317" s="19">
        <f t="shared" si="109"/>
        <v>0.302010502404342</v>
      </c>
      <c r="P317" s="19">
        <f t="shared" si="109"/>
        <v>0.481460362935097</v>
      </c>
      <c r="Q317" s="19">
        <f t="shared" si="109"/>
        <v>0.732846443084583</v>
      </c>
      <c r="R317" s="19">
        <f t="shared" si="109"/>
        <v>0.496559085536068</v>
      </c>
      <c r="S317" s="19">
        <f t="shared" si="109"/>
        <v>0.64063246420486</v>
      </c>
      <c r="T317" s="19">
        <f t="shared" si="109"/>
        <v>0.540976809535283</v>
      </c>
      <c r="U317" s="19">
        <f t="shared" si="109"/>
        <v>0.433072294885849</v>
      </c>
      <c r="V317" s="19">
        <f t="shared" si="109"/>
        <v>0.700683844742586</v>
      </c>
      <c r="W317" s="19">
        <f t="shared" si="109"/>
        <v>0.668675343567764</v>
      </c>
      <c r="X317" s="19">
        <f t="shared" si="109"/>
        <v>0.663014530364919</v>
      </c>
      <c r="Y317" s="19">
        <f t="shared" si="109"/>
        <v>0.377533529341394</v>
      </c>
      <c r="Z317" s="19">
        <f t="shared" si="109"/>
        <v>0.391998630452287</v>
      </c>
      <c r="AA317" s="19">
        <f t="shared" si="109"/>
        <v>0.0856227330442574</v>
      </c>
      <c r="AB317" s="19">
        <f t="shared" si="109"/>
        <v>-0.172432151256359</v>
      </c>
      <c r="AC317" s="19">
        <f t="shared" si="109"/>
        <v>-0.17611292018771</v>
      </c>
      <c r="AD317" s="19">
        <f t="shared" si="109"/>
        <v>-0.388670414244011</v>
      </c>
      <c r="AE317" s="19">
        <f t="shared" si="109"/>
        <v>-0.318239168718695</v>
      </c>
      <c r="AF317" s="19">
        <f t="shared" si="109"/>
        <v>-0.31139079883141</v>
      </c>
    </row>
    <row customHeight="1" ht="15">
      <c r="A318" s="9" t="s">
        <v>332</v>
      </c>
      <c r="F318" s="15">
        <f t="shared" si="110" ref="F318:AF322">IF(OR(B178=0,B178="NM",F178="NM"),"NM",F178-B178)</f>
        <v>0.37922807081518</v>
      </c>
      <c r="J318" s="15">
        <f t="shared" si="110"/>
        <v>1.32550183150183</v>
      </c>
      <c r="K318" s="15">
        <f t="shared" si="110"/>
        <v>-1.79907016366391</v>
      </c>
      <c r="L318" s="15">
        <f t="shared" si="110"/>
        <v>2.76033886841653</v>
      </c>
      <c r="M318" s="15">
        <f t="shared" si="110"/>
        <v>0.22069697519296</v>
      </c>
      <c r="N318" s="15">
        <f t="shared" si="110"/>
        <v>-0.62755950622677</v>
      </c>
      <c r="O318" s="15">
        <f t="shared" si="110"/>
        <v>-1.36058691260458</v>
      </c>
      <c r="P318" s="15">
        <f t="shared" si="110"/>
        <v>-2.32816669325654</v>
      </c>
      <c r="Q318" s="15">
        <f t="shared" si="110"/>
        <v>-1.18729377958145</v>
      </c>
      <c r="R318" s="15">
        <f t="shared" si="110"/>
        <v>-0.43106140381391</v>
      </c>
      <c r="S318" s="15">
        <f t="shared" si="110"/>
        <v>0.26393240827519</v>
      </c>
      <c r="T318" s="15">
        <f t="shared" si="110"/>
        <v>0.22592491851548</v>
      </c>
      <c r="U318" s="15">
        <f t="shared" si="110"/>
        <v>0.37572017632416</v>
      </c>
      <c r="V318" s="15">
        <f t="shared" si="110"/>
        <v>0.27089200410812</v>
      </c>
      <c r="W318" s="15">
        <f t="shared" si="110"/>
        <v>0.60317114115552</v>
      </c>
      <c r="X318" s="15">
        <f t="shared" si="110"/>
        <v>0.56067347953372</v>
      </c>
      <c r="Y318" s="15">
        <f t="shared" si="110"/>
        <v>0.12771820507523</v>
      </c>
      <c r="Z318" s="15">
        <f t="shared" si="110"/>
        <v>2.38045118429547</v>
      </c>
      <c r="AA318" s="15">
        <f t="shared" si="110"/>
        <v>-0.81721808833739</v>
      </c>
      <c r="AB318" s="15">
        <f t="shared" si="110"/>
        <v>-1.1110260532781</v>
      </c>
      <c r="AC318" s="15">
        <f t="shared" si="110"/>
        <v>-0.23762715574539</v>
      </c>
      <c r="AD318" s="15">
        <f t="shared" si="110"/>
        <v>-2.13072671264641</v>
      </c>
      <c r="AE318" s="15">
        <f t="shared" si="110"/>
        <v>-0.45586847997587</v>
      </c>
      <c r="AF318" s="15">
        <f t="shared" si="110"/>
        <v>0.0234215016026402</v>
      </c>
    </row>
    <row customHeight="1" ht="15">
      <c r="A319" s="9" t="s">
        <v>333</v>
      </c>
      <c r="R319" s="15">
        <f t="shared" si="110"/>
        <v>-0.60193103225429</v>
      </c>
      <c r="V319" s="15">
        <f t="shared" si="110"/>
        <v>0.62247718355818</v>
      </c>
      <c r="Z319" s="15">
        <f t="shared" si="110"/>
        <v>2.14984010301947</v>
      </c>
      <c r="AD319" s="15">
        <f t="shared" si="110"/>
        <v>-2.38357374923862</v>
      </c>
    </row>
    <row customHeight="1" ht="15">
      <c r="A320" s="9" t="s">
        <v>334</v>
      </c>
      <c r="F320" s="19">
        <f t="shared" si="109"/>
        <v>5.84804407459487</v>
      </c>
      <c r="J320" s="19">
        <f t="shared" si="109"/>
        <v>-0.231736093579063</v>
      </c>
      <c r="K320" s="19">
        <f t="shared" si="109"/>
        <v>-0.37756464348507</v>
      </c>
      <c r="L320" s="19">
        <f t="shared" si="109"/>
        <v>-0.0273244626102003</v>
      </c>
      <c r="M320" s="19">
        <f t="shared" si="109"/>
        <v>0.222062841812417</v>
      </c>
      <c r="N320" s="19">
        <f t="shared" si="109"/>
        <v>0.152358126818325</v>
      </c>
      <c r="O320" s="19">
        <f t="shared" si="109"/>
        <v>-0.178741658722593</v>
      </c>
      <c r="P320" s="19">
        <f t="shared" si="109"/>
        <v>0.179985507301943</v>
      </c>
      <c r="Q320" s="19">
        <f t="shared" si="109"/>
        <v>0.711055786326058</v>
      </c>
      <c r="R320" s="19">
        <f t="shared" si="109"/>
        <v>0.494781468032927</v>
      </c>
      <c r="S320" s="19">
        <f t="shared" si="109"/>
        <v>1.77608155809064</v>
      </c>
      <c r="T320" s="19">
        <f t="shared" si="109"/>
        <v>1.35646353548974</v>
      </c>
      <c r="U320" s="19">
        <f t="shared" si="109"/>
        <v>0.703247692928143</v>
      </c>
      <c r="V320" s="19">
        <f t="shared" si="109"/>
        <v>1.59526116982716</v>
      </c>
      <c r="W320" s="19">
        <f t="shared" si="109"/>
        <v>1.16422956769697</v>
      </c>
      <c r="X320" s="19">
        <f t="shared" si="109"/>
        <v>0.846592217440644</v>
      </c>
      <c r="Y320" s="19">
        <f t="shared" si="109"/>
        <v>0.505632779456895</v>
      </c>
      <c r="Z320" s="19">
        <f t="shared" si="109"/>
        <v>0.484588665161209</v>
      </c>
      <c r="AA320" s="19">
        <f t="shared" si="109"/>
        <v>0.139211550247281</v>
      </c>
      <c r="AB320" s="19">
        <f t="shared" si="109"/>
        <v>-0.135913746614626</v>
      </c>
      <c r="AC320" s="19">
        <f t="shared" si="109"/>
        <v>-0.187179453576514</v>
      </c>
      <c r="AD320" s="19">
        <f t="shared" si="109"/>
        <v>-0.396003058015142</v>
      </c>
      <c r="AE320" s="19">
        <f t="shared" si="109"/>
        <v>-0.326877725023614</v>
      </c>
      <c r="AF320" s="19">
        <f t="shared" si="109"/>
        <v>-0.297505442019912</v>
      </c>
    </row>
    <row customHeight="1" ht="15">
      <c r="A321" s="9" t="s">
        <v>335</v>
      </c>
      <c r="F321" s="15">
        <f t="shared" si="110"/>
        <v>-0.32875069546082</v>
      </c>
      <c r="J321" s="15">
        <f t="shared" si="110"/>
        <v>0.7050715950716</v>
      </c>
      <c r="K321" s="15">
        <f t="shared" si="110"/>
        <v>-1.86214302369088</v>
      </c>
      <c r="L321" s="15">
        <f t="shared" si="110"/>
        <v>1.80542802643873</v>
      </c>
      <c r="M321" s="15">
        <f t="shared" si="110"/>
        <v>0.55054388757901</v>
      </c>
      <c r="N321" s="15">
        <f t="shared" si="110"/>
        <v>-0.39262787209026</v>
      </c>
      <c r="O321" s="15">
        <f t="shared" si="110"/>
        <v>-1.51434279490612</v>
      </c>
      <c r="P321" s="15">
        <f t="shared" si="110"/>
        <v>-1.75901896128476</v>
      </c>
      <c r="Q321" s="15">
        <f t="shared" si="110"/>
        <v>-0.78279022667016</v>
      </c>
      <c r="R321" s="15">
        <f t="shared" si="110"/>
        <v>-0.23808864925879</v>
      </c>
      <c r="S321" s="15">
        <f t="shared" si="110"/>
        <v>0.95541656918664</v>
      </c>
      <c r="T321" s="15">
        <f t="shared" si="110"/>
        <v>0.89446146195058</v>
      </c>
      <c r="U321" s="15">
        <f t="shared" si="110"/>
        <v>0.6034440972223</v>
      </c>
      <c r="V321" s="15">
        <f t="shared" si="110"/>
        <v>0.99400886440315</v>
      </c>
      <c r="W321" s="15">
        <f t="shared" si="110"/>
        <v>1.14303555887974</v>
      </c>
      <c r="X321" s="15">
        <f t="shared" si="110"/>
        <v>0.70904450365305</v>
      </c>
      <c r="Y321" s="15">
        <f t="shared" si="110"/>
        <v>0.31936056054551</v>
      </c>
      <c r="Z321" s="15">
        <f t="shared" si="110"/>
        <v>2.28491619312392</v>
      </c>
      <c r="AA321" s="15">
        <f t="shared" si="110"/>
        <v>-0.58788502769027</v>
      </c>
      <c r="AB321" s="15">
        <f t="shared" si="110"/>
        <v>-0.8170328920582</v>
      </c>
      <c r="AC321" s="15">
        <f t="shared" si="110"/>
        <v>-0.22802412022493</v>
      </c>
      <c r="AD321" s="15">
        <f t="shared" si="110"/>
        <v>-1.93320155198215</v>
      </c>
      <c r="AE321" s="15">
        <f t="shared" si="110"/>
        <v>-0.44479025089401</v>
      </c>
      <c r="AF321" s="15">
        <f t="shared" si="110"/>
        <v>0.0640003894490397</v>
      </c>
    </row>
    <row customHeight="1" ht="15">
      <c r="A322" s="9" t="s">
        <v>336</v>
      </c>
      <c r="R322" s="15">
        <f t="shared" si="110"/>
        <v>-0.33166426175213</v>
      </c>
      <c r="V322" s="15">
        <f t="shared" si="110"/>
        <v>1.2378155801195</v>
      </c>
      <c r="Z322" s="15">
        <f t="shared" si="110"/>
        <v>2.08926073780008</v>
      </c>
      <c r="AD322" s="15">
        <f t="shared" si="110"/>
        <v>-2.15530153073267</v>
      </c>
    </row>
    <row customHeight="1" ht="15">
      <c r="A323" s="9" t="s">
        <v>337</v>
      </c>
      <c r="F323" s="30">
        <f t="shared" si="111" ref="F323:AF326">IF(OR(B267=0,B267="NM",F267="NM"),"NM",10000*(F267-B267))</f>
        <v>433.6554229986</v>
      </c>
      <c r="J323" s="30">
        <f t="shared" si="111"/>
        <v>780.1849597023</v>
      </c>
      <c r="K323" s="30">
        <f t="shared" si="111"/>
        <v>1287.58500723594</v>
      </c>
      <c r="L323" s="30">
        <f t="shared" si="111"/>
        <v>603.27296553735</v>
      </c>
      <c r="M323" s="30">
        <f t="shared" si="111"/>
        <v>249.54230482426</v>
      </c>
      <c r="N323" s="30">
        <f t="shared" si="111"/>
        <v>-48.7180066670501</v>
      </c>
      <c r="O323" s="30">
        <f t="shared" si="111"/>
        <v>-669.04891865181</v>
      </c>
      <c r="P323" s="30">
        <f t="shared" si="111"/>
        <v>-450.70598601801</v>
      </c>
      <c r="Q323" s="30">
        <f t="shared" si="111"/>
        <v>-286.43313220188</v>
      </c>
      <c r="R323" s="30">
        <f t="shared" si="111"/>
        <v>-378.92405558856</v>
      </c>
      <c r="S323" s="30">
        <f t="shared" si="111"/>
        <v>-276.10469877327</v>
      </c>
      <c r="T323" s="30">
        <f t="shared" si="111"/>
        <v>36.1358063609801</v>
      </c>
      <c r="U323" s="30">
        <f t="shared" si="111"/>
        <v>181.61445593865</v>
      </c>
      <c r="V323" s="30">
        <f t="shared" si="111"/>
        <v>225.40656533623</v>
      </c>
      <c r="W323" s="30">
        <f t="shared" si="111"/>
        <v>216.27765460965</v>
      </c>
      <c r="X323" s="30">
        <f t="shared" si="111"/>
        <v>163.36964863007</v>
      </c>
      <c r="Y323" s="30">
        <f t="shared" si="111"/>
        <v>104.17936914964</v>
      </c>
      <c r="Z323" s="30">
        <f t="shared" si="111"/>
        <v>570.372007254411</v>
      </c>
      <c r="AA323" s="30">
        <f t="shared" si="111"/>
        <v>843.190637469961</v>
      </c>
      <c r="AB323" s="30">
        <f t="shared" si="111"/>
        <v>853.35430778317</v>
      </c>
      <c r="AC323" s="30">
        <f t="shared" si="111"/>
        <v>564.60775716871</v>
      </c>
      <c r="AD323" s="30">
        <f t="shared" si="111"/>
        <v>151.79542825019</v>
      </c>
      <c r="AE323" s="30">
        <f t="shared" si="111"/>
        <v>-50.4407733858203</v>
      </c>
      <c r="AF323" s="30">
        <f t="shared" si="111"/>
        <v>-469.12721823375</v>
      </c>
    </row>
    <row customHeight="1" ht="15">
      <c r="A324" s="9" t="s">
        <v>338</v>
      </c>
      <c r="F324" s="30">
        <f t="shared" si="111"/>
        <v>2946.69701962006</v>
      </c>
      <c r="J324" s="30">
        <f t="shared" si="111"/>
        <v>-1962.32174137525</v>
      </c>
      <c r="K324" s="30">
        <f t="shared" si="111"/>
        <v>475.38914666364</v>
      </c>
      <c r="L324" s="30">
        <f t="shared" si="111"/>
        <v>-1257.28056056281</v>
      </c>
      <c r="M324" s="30">
        <f t="shared" si="111"/>
        <v>-87.9285265037399</v>
      </c>
      <c r="N324" s="30">
        <f t="shared" si="111"/>
        <v>-42.9895865440499</v>
      </c>
      <c r="O324" s="30">
        <f t="shared" si="111"/>
        <v>-46.1572415775799</v>
      </c>
      <c r="P324" s="30">
        <f t="shared" si="111"/>
        <v>313.45787756556</v>
      </c>
      <c r="Q324" s="30">
        <f t="shared" si="111"/>
        <v>323.02201474152</v>
      </c>
      <c r="R324" s="30">
        <f t="shared" si="111"/>
        <v>-72.6322541928401</v>
      </c>
      <c r="S324" s="30">
        <f t="shared" si="111"/>
        <v>-152.01780805041</v>
      </c>
      <c r="T324" s="30">
        <f t="shared" si="111"/>
        <v>8.54471865287004</v>
      </c>
      <c r="U324" s="30">
        <f t="shared" si="111"/>
        <v>-19.65324206395</v>
      </c>
      <c r="V324" s="30">
        <f t="shared" si="111"/>
        <v>383.83403525248</v>
      </c>
      <c r="W324" s="30">
        <f t="shared" si="111"/>
        <v>209.67672017977</v>
      </c>
      <c r="X324" s="30">
        <f t="shared" si="111"/>
        <v>195.62596044619</v>
      </c>
      <c r="Y324" s="30">
        <f t="shared" si="111"/>
        <v>107.55006547556</v>
      </c>
      <c r="Z324" s="30">
        <f t="shared" si="111"/>
        <v>-318.01418339854</v>
      </c>
      <c r="AA324" s="30">
        <f t="shared" si="111"/>
        <v>1005.24770272479</v>
      </c>
      <c r="AB324" s="30">
        <f t="shared" si="111"/>
        <v>1055.56084171221</v>
      </c>
      <c r="AC324" s="30">
        <f t="shared" si="111"/>
        <v>400.28822557433</v>
      </c>
      <c r="AD324" s="30">
        <f t="shared" si="111"/>
        <v>-30.1430210675499</v>
      </c>
      <c r="AE324" s="30">
        <f t="shared" si="111"/>
        <v>-699.7679055475</v>
      </c>
      <c r="AF324" s="30">
        <f t="shared" si="111"/>
        <v>-1229.61496981562</v>
      </c>
    </row>
    <row customHeight="1" ht="15">
      <c r="A325" s="9" t="s">
        <v>339</v>
      </c>
      <c r="R325" s="30">
        <f t="shared" si="111"/>
        <v>27.35908357517</v>
      </c>
      <c r="V325" s="30">
        <f t="shared" si="111"/>
        <v>177.43383292439</v>
      </c>
      <c r="Z325" s="30">
        <f t="shared" si="111"/>
        <v>-197.76528877425</v>
      </c>
      <c r="AD325" s="30">
        <f t="shared" si="111"/>
        <v>112.69699578756</v>
      </c>
    </row>
    <row customHeight="1" ht="15">
      <c r="A326" s="9" t="s">
        <v>340</v>
      </c>
      <c r="F326" s="30">
        <f t="shared" si="111"/>
        <v>88.12889466261</v>
      </c>
      <c r="J326" s="30">
        <f t="shared" si="111"/>
        <v>-686.408485946163</v>
      </c>
      <c r="K326" s="30">
        <f t="shared" si="111"/>
        <v>-509.004266510069</v>
      </c>
      <c r="L326" s="30">
        <f t="shared" si="111"/>
        <v>-444.741363399437</v>
      </c>
      <c r="M326" s="30">
        <f t="shared" si="111"/>
        <v>295.931481063971</v>
      </c>
      <c r="N326" s="30">
        <f t="shared" si="111"/>
        <v>1050.08704701137</v>
      </c>
      <c r="O326" s="30">
        <f t="shared" si="111"/>
        <v>815.523743654655</v>
      </c>
      <c r="P326" s="30">
        <f t="shared" si="111"/>
        <v>799.576457230976</v>
      </c>
      <c r="Q326" s="30">
        <f t="shared" si="111"/>
        <v>452.625910504135</v>
      </c>
      <c r="R326" s="30">
        <f t="shared" si="111"/>
        <v>86.315595971109</v>
      </c>
      <c r="S326" s="30">
        <f t="shared" si="111"/>
        <v>43.3609329559451</v>
      </c>
      <c r="T326" s="30">
        <f t="shared" si="111"/>
        <v>-15.4755577612349</v>
      </c>
      <c r="U326" s="30">
        <f t="shared" si="111"/>
        <v>-172.522868789524</v>
      </c>
      <c r="V326" s="30">
        <f t="shared" si="111"/>
        <v>-168.700827606507</v>
      </c>
      <c r="W326" s="30">
        <f t="shared" si="111"/>
        <v>-234.645931997844</v>
      </c>
      <c r="X326" s="30">
        <f t="shared" si="111"/>
        <v>-245.179403413393</v>
      </c>
      <c r="Y326" s="30">
        <f t="shared" si="111"/>
        <v>-278.285641793646</v>
      </c>
      <c r="Z326" s="30">
        <f t="shared" si="111"/>
        <v>-262.913735964206</v>
      </c>
      <c r="AA326" s="30">
        <f t="shared" si="111"/>
        <v>27.355619916945</v>
      </c>
      <c r="AB326" s="30">
        <f t="shared" si="111"/>
        <v>40.205663687475</v>
      </c>
      <c r="AC326" s="30">
        <f t="shared" si="111"/>
        <v>-508.996659831349</v>
      </c>
      <c r="AD326" s="30">
        <f t="shared" si="111"/>
        <v>-746.397546459404</v>
      </c>
      <c r="AE326" s="30">
        <f t="shared" si="111"/>
        <v>-707.34586211484</v>
      </c>
      <c r="AF326" s="30">
        <f t="shared" si="111"/>
        <v>-1201.5254764616</v>
      </c>
    </row>
    <row customHeight="1" ht="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30" customHeight="1" ht="30">
      <c r="A330" s="9"/>
    </row>
    <row customHeight="1" ht="54">
      <c r="A331" s="31" t="s">
        <v>341</v>
      </c>
    </row>
    <row r="335" customHeight="1" ht="15">
      <c r="A335" s="31" t="s">
        <v>342</v>
      </c>
    </row>
    <row customHeight="1" ht="15">
      <c r="A336" s="32" t="s">
        <v>343</v>
      </c>
    </row>
  </sheetData>
  <hyperlinks>
    <hyperlink ref="A336" r:id="rId1" tooltip="Source location" xr:uid="{0E224EC8-7758-5BE8-7B38-363B2D6365B3}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