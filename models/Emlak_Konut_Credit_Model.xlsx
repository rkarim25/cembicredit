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(EKGYO) — Institutional Credit Model</t>
        </is>
      </c>
    </row>
    <row r="3">
      <c r="B3" s="2" t="inlineStr">
        <is>
          <t>Sector: Real Estate | Country: Turkey | Rating: BB- Local | Benchmark: EMLVAR 10.50% 2027 @ $97.50 (10.50% YTM / +610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TOKİ 50% state ownership; &gt;$4.5B prime land bank; negligible net leverage (0.49x).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EKGYO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195.3</v>
      </c>
      <c r="F26" s="7" t="inlineStr">
        <is>
          <t>10.50%</t>
        </is>
      </c>
      <c r="G26" s="7" t="inlineStr">
        <is>
          <t>$97.50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EKGYO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130.2</v>
      </c>
      <c r="F27" s="7" t="inlineStr">
        <is>
          <t>9.75%</t>
        </is>
      </c>
      <c r="G27" s="7" t="inlineStr">
        <is>
          <t>$100.00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108.5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618.8</v>
      </c>
      <c r="D15" s="8" t="n">
        <v>746.2</v>
      </c>
      <c r="E15" s="8" t="n">
        <v>837.2</v>
      </c>
      <c r="F15" s="8" t="n">
        <v>910</v>
      </c>
      <c r="G15" s="8" t="n">
        <v>982.8</v>
      </c>
      <c r="H15" s="8" t="n">
        <v>1046.5</v>
      </c>
      <c r="I15" s="8" t="n">
        <v>1092</v>
      </c>
    </row>
    <row r="16">
      <c r="B16" s="7" t="inlineStr">
        <is>
          <t>Completed Ready Property Sales</t>
        </is>
      </c>
      <c r="C16" s="8" t="n">
        <v>209.4</v>
      </c>
      <c r="D16" s="8" t="n">
        <v>252.6</v>
      </c>
      <c r="E16" s="8" t="n">
        <v>283.4</v>
      </c>
      <c r="F16" s="8" t="n">
        <v>308</v>
      </c>
      <c r="G16" s="8" t="n">
        <v>332.6</v>
      </c>
      <c r="H16" s="8" t="n">
        <v>354.2</v>
      </c>
      <c r="I16" s="8" t="n">
        <v>369.6</v>
      </c>
    </row>
    <row r="17">
      <c r="B17" s="7" t="inlineStr">
        <is>
          <t>Commercial Leasing &amp; Hospitality</t>
        </is>
      </c>
      <c r="C17" s="8" t="n">
        <v>123.8</v>
      </c>
      <c r="D17" s="8" t="n">
        <v>149.2</v>
      </c>
      <c r="E17" s="8" t="n">
        <v>167.4</v>
      </c>
      <c r="F17" s="8" t="n">
        <v>182</v>
      </c>
      <c r="G17" s="8" t="n">
        <v>196.6</v>
      </c>
      <c r="H17" s="8" t="n">
        <v>209.3</v>
      </c>
      <c r="I17" s="8" t="n">
        <v>218.4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1428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333.2</v>
      </c>
      <c r="D36" s="8" t="n">
        <v>333.2</v>
      </c>
      <c r="E36" s="8" t="n">
        <v>333.2</v>
      </c>
      <c r="F36" s="8" t="n">
        <v>333.2</v>
      </c>
      <c r="G36" s="8" t="n">
        <v>333.2</v>
      </c>
      <c r="H36" s="8" t="n">
        <v>333.2</v>
      </c>
      <c r="I36" s="8" t="n">
        <v>333.2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3">
        <f>C21 - C39</f>
        <v/>
      </c>
      <c r="D41" s="23">
        <f>D21 - D39</f>
        <v/>
      </c>
      <c r="E41" s="23">
        <f>E21 - E39</f>
        <v/>
      </c>
      <c r="F41" s="23">
        <f>F21 - F39</f>
        <v/>
      </c>
      <c r="G41" s="23">
        <f>G21 - G39</f>
        <v/>
      </c>
      <c r="H41" s="23">
        <f>H21 - H39</f>
        <v/>
      </c>
      <c r="I41" s="23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-85.7</v>
      </c>
      <c r="D16" s="8" t="n">
        <v>-104.1</v>
      </c>
      <c r="E16" s="8" t="n">
        <v>-116.4</v>
      </c>
      <c r="F16" s="8" t="n">
        <v>-122.5</v>
      </c>
      <c r="G16" s="8" t="n">
        <v>-128.6</v>
      </c>
      <c r="H16" s="8" t="n">
        <v>-124.9</v>
      </c>
      <c r="I16" s="8" t="n">
        <v>-120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144.4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EKGYO Benchmark Eurobond Notes</t>
        </is>
      </c>
    </row>
    <row r="7">
      <c r="B7" s="7" t="inlineStr">
        <is>
          <t xml:space="preserve">  Beginning Principal Balance</t>
        </is>
      </c>
      <c r="C7" s="8" t="n">
        <v>166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55.3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36.9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0.1050</f>
        <v/>
      </c>
      <c r="D11" s="8">
        <f>D10 * 0.1050</f>
        <v/>
      </c>
      <c r="E11" s="8">
        <f>E10 * 0.1050</f>
        <v/>
      </c>
      <c r="F11" s="8">
        <f>F10 * 0.1050</f>
        <v/>
      </c>
      <c r="G11" s="8">
        <f>G10 * 0.1050</f>
        <v/>
      </c>
      <c r="H11" s="8">
        <f>H10 * 0.1050</f>
        <v/>
      </c>
      <c r="I11" s="8">
        <f>I10 * 0.1050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202.9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4" t="inlineStr">
        <is>
          <t>2025</t>
        </is>
      </c>
      <c r="C31" s="24" t="inlineStr">
        <is>
          <t>2026</t>
        </is>
      </c>
      <c r="D31" s="24" t="inlineStr">
        <is>
          <t>2027</t>
        </is>
      </c>
      <c r="E31" s="24" t="inlineStr">
        <is>
          <t>2028</t>
        </is>
      </c>
      <c r="F31" s="24" t="inlineStr">
        <is>
          <t>2029</t>
        </is>
      </c>
      <c r="G31" s="24" t="inlineStr">
        <is>
          <t>2030+</t>
        </is>
      </c>
    </row>
    <row r="32">
      <c r="B32" s="8" t="n">
        <v>52.1</v>
      </c>
      <c r="C32" s="8" t="n">
        <v>95.5</v>
      </c>
      <c r="D32" s="8" t="n">
        <v>121.5</v>
      </c>
      <c r="E32" s="8" t="n">
        <v>78.09999999999999</v>
      </c>
      <c r="F32" s="8" t="n">
        <v>52.1</v>
      </c>
      <c r="G32" s="8" t="n">
        <v>34.7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EKGYO Benchmark Senior Notes</t>
        </is>
      </c>
      <c r="C37" s="7" t="inlineStr">
        <is>
          <t>Senior Unsecured RegS/144A Eurobond</t>
        </is>
      </c>
      <c r="D37" s="25" t="inlineStr">
        <is>
          <t>USD</t>
        </is>
      </c>
      <c r="E37" s="20" t="n">
        <v>195.3</v>
      </c>
      <c r="F37" s="26" t="inlineStr">
        <is>
          <t>10.500%</t>
        </is>
      </c>
      <c r="G37" s="27" t="n">
        <v>97.5</v>
      </c>
      <c r="H37" s="28" t="n">
        <v>10.5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EKGYO Secondary Eurobond / Sukuk Tranche 2</t>
        </is>
      </c>
      <c r="C38" s="7" t="inlineStr">
        <is>
          <t>Senior Unsecured Notes</t>
        </is>
      </c>
      <c r="D38" s="25" t="inlineStr">
        <is>
          <t>USD</t>
        </is>
      </c>
      <c r="E38" s="20" t="n">
        <v>130.2</v>
      </c>
      <c r="F38" s="26" t="inlineStr">
        <is>
          <t>9.850%</t>
        </is>
      </c>
      <c r="G38" s="27" t="n">
        <v>99.5</v>
      </c>
      <c r="H38" s="28" t="n">
        <v>9.85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5" t="inlineStr">
        <is>
          <t>USD / EUR</t>
        </is>
      </c>
      <c r="E39" s="20" t="n">
        <v>65.09999999999999</v>
      </c>
      <c r="F39" s="26" t="inlineStr">
        <is>
          <t>SOFR + 185 bps</t>
        </is>
      </c>
      <c r="G39" s="27" t="n">
        <v>100</v>
      </c>
      <c r="H39" s="28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5" t="inlineStr">
        <is>
          <t>USD</t>
        </is>
      </c>
      <c r="E40" s="20" t="n">
        <v>43.4</v>
      </c>
      <c r="F40" s="26" t="inlineStr">
        <is>
          <t>SOFR + 150 bps</t>
        </is>
      </c>
      <c r="G40" s="27" t="n">
        <v>100</v>
      </c>
      <c r="H40" s="28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EKGYO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150</v>
      </c>
    </row>
    <row r="45">
      <c r="B45" s="7" t="inlineStr">
        <is>
          <t>Drawn Amount ($M)</t>
        </is>
      </c>
      <c r="C45" s="8" t="n">
        <v>43.4</v>
      </c>
    </row>
    <row r="46">
      <c r="B46" s="18" t="inlineStr">
        <is>
          <t>AVAILABLE UNDRAWN HEADROOM ($M)</t>
        </is>
      </c>
      <c r="C46" s="19" t="n">
        <v>106.6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5" t="inlineStr">
        <is>
          <t>3.50x</t>
        </is>
      </c>
      <c r="D55" s="29" t="inlineStr">
        <is>
          <t>0.49x</t>
        </is>
      </c>
      <c r="E55" s="30" t="inlineStr">
        <is>
          <t>3.01x leverage buffer ($1053.5M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5" t="inlineStr">
        <is>
          <t>2.50x</t>
        </is>
      </c>
      <c r="D56" s="29" t="inlineStr">
        <is>
          <t>8.50x</t>
        </is>
      </c>
      <c r="E56" s="30" t="inlineStr">
        <is>
          <t>+6.00x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5" t="inlineStr">
        <is>
          <t>15.0% of Consolidated Total Tangible Assets</t>
        </is>
      </c>
      <c r="D57" s="29" t="inlineStr">
        <is>
          <t>2.6% of Assets</t>
        </is>
      </c>
      <c r="E57" s="30" t="inlineStr">
        <is>
          <t>$308.0M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5" t="inlineStr">
        <is>
          <t>101.00% Redemption</t>
        </is>
      </c>
      <c r="D58" s="29" t="inlineStr">
        <is>
          <t>N/A (Inactive)</t>
        </is>
      </c>
      <c r="E58" s="30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5" t="inlineStr">
        <is>
          <t>Builder Basket</t>
        </is>
      </c>
      <c r="D59" s="29" t="inlineStr">
        <is>
          <t>Within Capacity</t>
        </is>
      </c>
      <c r="E59" s="30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5" t="inlineStr">
        <is>
          <t>$50.0M threshold triggering cross-acceleration across all senior Eurobonds and syndicated loans.</t>
        </is>
      </c>
      <c r="D60" s="29" t="inlineStr">
        <is>
          <t>Zero Defaults</t>
        </is>
      </c>
      <c r="E60" s="30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EBITDA)</t>
        </is>
      </c>
      <c r="C8" s="31">
        <f>'Debt Schedule &amp; Tranches'!C26 / 'Income Statement (P&amp;L)'!C22</f>
        <v/>
      </c>
      <c r="D8" s="31">
        <f>'Debt Schedule &amp; Tranches'!D26 / 'Income Statement (P&amp;L)'!D22</f>
        <v/>
      </c>
      <c r="E8" s="31">
        <f>'Debt Schedule &amp; Tranches'!E26 / 'Income Statement (P&amp;L)'!E22</f>
        <v/>
      </c>
      <c r="F8" s="31">
        <f>'Debt Schedule &amp; Tranches'!F26 / 'Income Statement (P&amp;L)'!F22</f>
        <v/>
      </c>
      <c r="G8" s="31">
        <f>'Debt Schedule &amp; Tranches'!G26 / 'Income Statement (P&amp;L)'!G22</f>
        <v/>
      </c>
      <c r="H8" s="31">
        <f>'Debt Schedule &amp; Tranches'!H26 / 'Income Statement (P&amp;L)'!H22</f>
        <v/>
      </c>
      <c r="I8" s="31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8" t="inlineStr">
        <is>
          <t>EBITDA INTEREST COVERAGE</t>
        </is>
      </c>
      <c r="C10" s="31">
        <f>'Income Statement (P&amp;L)'!C22 / 'Debt Schedule &amp; Tranches'!C28</f>
        <v/>
      </c>
      <c r="D10" s="31">
        <f>'Income Statement (P&amp;L)'!D22 / 'Debt Schedule &amp; Tranches'!D28</f>
        <v/>
      </c>
      <c r="E10" s="31">
        <f>'Income Statement (P&amp;L)'!E22 / 'Debt Schedule &amp; Tranches'!E28</f>
        <v/>
      </c>
      <c r="F10" s="31">
        <f>'Income Statement (P&amp;L)'!F22 / 'Debt Schedule &amp; Tranches'!F28</f>
        <v/>
      </c>
      <c r="G10" s="31">
        <f>'Income Statement (P&amp;L)'!G22 / 'Debt Schedule &amp; Tranches'!G28</f>
        <v/>
      </c>
      <c r="H10" s="31">
        <f>'Income Statement (P&amp;L)'!H22 / 'Debt Schedule &amp; Tranches'!H28</f>
        <v/>
      </c>
      <c r="I10" s="31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4" t="inlineStr">
        <is>
          <t>Scenario Name</t>
        </is>
      </c>
      <c r="C5" s="24" t="inlineStr">
        <is>
          <t>Revenue Drop</t>
        </is>
      </c>
      <c r="D5" s="24" t="inlineStr">
        <is>
          <t>Margin Compression</t>
        </is>
      </c>
      <c r="E5" s="24" t="inlineStr">
        <is>
          <t>Refinancing Rate</t>
        </is>
      </c>
      <c r="F5" s="24" t="inlineStr">
        <is>
          <t>Exit EV Multiple</t>
        </is>
      </c>
      <c r="G5" s="24" t="inlineStr">
        <is>
          <t>Implied Recovery Px</t>
        </is>
      </c>
      <c r="H5" s="24" t="inlineStr">
        <is>
          <t>Upside / Downside</t>
        </is>
      </c>
    </row>
    <row r="6">
      <c r="B6" s="18" t="inlineStr">
        <is>
          <t>Base Case (Consensus Forecast)</t>
        </is>
      </c>
      <c r="C6" s="32" t="inlineStr">
        <is>
          <t>0.0%</t>
        </is>
      </c>
      <c r="D6" s="32" t="inlineStr">
        <is>
          <t>0 bp</t>
        </is>
      </c>
      <c r="E6" s="32" t="inlineStr">
        <is>
          <t>10.50%</t>
        </is>
      </c>
      <c r="F6" s="32" t="inlineStr">
        <is>
          <t>4.2x</t>
        </is>
      </c>
      <c r="G6" s="32" t="inlineStr">
        <is>
          <t>$101.00</t>
        </is>
      </c>
      <c r="H6" s="32" t="inlineStr">
        <is>
          <t>+3.6%</t>
        </is>
      </c>
    </row>
    <row r="7">
      <c r="B7" s="7" t="inlineStr">
        <is>
          <t>Downside Stress Case (Recession)</t>
        </is>
      </c>
      <c r="C7" s="26" t="inlineStr">
        <is>
          <t>-15.0%</t>
        </is>
      </c>
      <c r="D7" s="26" t="inlineStr">
        <is>
          <t>-300 bp</t>
        </is>
      </c>
      <c r="E7" s="26" t="inlineStr">
        <is>
          <t>12.50%</t>
        </is>
      </c>
      <c r="F7" s="26" t="inlineStr">
        <is>
          <t>3.2x</t>
        </is>
      </c>
      <c r="G7" s="26" t="inlineStr">
        <is>
          <t>$90.50</t>
        </is>
      </c>
      <c r="H7" s="26" t="inlineStr">
        <is>
          <t>-7.2%</t>
        </is>
      </c>
    </row>
    <row r="8">
      <c r="B8" s="7" t="inlineStr">
        <is>
          <t>Severe Distressed Floor (Liquidation)</t>
        </is>
      </c>
      <c r="C8" s="26" t="inlineStr">
        <is>
          <t>-35.0%</t>
        </is>
      </c>
      <c r="D8" s="26" t="inlineStr">
        <is>
          <t>-650 bp</t>
        </is>
      </c>
      <c r="E8" s="26" t="inlineStr">
        <is>
          <t>+500 bp spread</t>
        </is>
      </c>
      <c r="F8" s="26" t="inlineStr">
        <is>
          <t>Liquidation Value</t>
        </is>
      </c>
      <c r="G8" s="26" t="inlineStr">
        <is>
          <t>$80.00</t>
        </is>
      </c>
      <c r="H8" s="26" t="inlineStr">
        <is>
          <t>-17.9%</t>
        </is>
      </c>
    </row>
    <row r="9">
      <c r="B9" s="7" t="inlineStr">
        <is>
          <t>Bull Case (Cycle Peak / Accretion)</t>
        </is>
      </c>
      <c r="C9" s="26" t="inlineStr">
        <is>
          <t>+12.0%</t>
        </is>
      </c>
      <c r="D9" s="26" t="inlineStr">
        <is>
          <t>+200 bp</t>
        </is>
      </c>
      <c r="E9" s="26" t="inlineStr">
        <is>
          <t>9.00%</t>
        </is>
      </c>
      <c r="F9" s="26" t="inlineStr">
        <is>
          <t>5.7x</t>
        </is>
      </c>
      <c r="G9" s="26" t="inlineStr">
        <is>
          <t>$105.00</t>
        </is>
      </c>
      <c r="H9" s="26" t="inlineStr">
        <is>
          <t>+7.7%</t>
        </is>
      </c>
    </row>
    <row r="10"/>
    <row r="11"/>
    <row r="12">
      <c r="B12" s="3" t="inlineStr">
        <is>
          <t>II. PRIORITY CLAIM LIQUIDATION WATERFALL</t>
        </is>
      </c>
    </row>
    <row r="13">
      <c r="B13" s="24" t="inlineStr">
        <is>
          <t>Tranche Claim</t>
        </is>
      </c>
      <c r="C13" s="24" t="inlineStr">
        <is>
          <t>Claim Amount ($M)</t>
        </is>
      </c>
      <c r="D13" s="24" t="inlineStr">
        <is>
          <t>Seniority Ranking</t>
        </is>
      </c>
      <c r="E13" s="24" t="inlineStr">
        <is>
          <t>Estimated Collateral</t>
        </is>
      </c>
      <c r="F13" s="24" t="inlineStr">
        <is>
          <t>Recovery Floor (%)</t>
        </is>
      </c>
      <c r="G13" s="24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108.5</v>
      </c>
      <c r="D14" s="7" t="inlineStr">
        <is>
          <t>Senior Secured (Pari Passu)</t>
        </is>
      </c>
      <c r="E14" s="7" t="inlineStr">
        <is>
          <t>First Lien Fixed Charges</t>
        </is>
      </c>
      <c r="F14" s="26" t="inlineStr">
        <is>
          <t>100.0%</t>
        </is>
      </c>
      <c r="G14" s="26" t="inlineStr">
        <is>
          <t>100.0%</t>
        </is>
      </c>
    </row>
    <row r="15">
      <c r="B15" s="7" t="inlineStr">
        <is>
          <t>EKGYO Senior Unsecured Eurobonds</t>
        </is>
      </c>
      <c r="C15" s="8" t="n">
        <v>325.5</v>
      </c>
      <c r="D15" s="7" t="inlineStr">
        <is>
          <t>Senior Unsecured</t>
        </is>
      </c>
      <c r="E15" s="7" t="inlineStr">
        <is>
          <t>General Corporate Guarantee</t>
        </is>
      </c>
      <c r="F15" s="26" t="inlineStr">
        <is>
          <t>80.0%</t>
        </is>
      </c>
      <c r="G15" s="26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65.09999999999999</v>
      </c>
      <c r="D16" s="7" t="inlineStr">
        <is>
          <t>Subordinated</t>
        </is>
      </c>
      <c r="E16" s="7" t="inlineStr">
        <is>
          <t>Junior Unsecured Claim</t>
        </is>
      </c>
      <c r="F16" s="26" t="inlineStr">
        <is>
          <t>0.0%</t>
        </is>
      </c>
      <c r="G16" s="26" t="inlineStr">
        <is>
          <t>25.0%</t>
        </is>
      </c>
    </row>
    <row r="17">
      <c r="B17" s="7" t="inlineStr">
        <is>
          <t>Equity Shareholders</t>
        </is>
      </c>
      <c r="C17" s="8" t="n">
        <v>173.6</v>
      </c>
      <c r="D17" s="7" t="inlineStr">
        <is>
          <t>Residual Equity</t>
        </is>
      </c>
      <c r="E17" s="7" t="inlineStr">
        <is>
          <t>Ordinary Shares</t>
        </is>
      </c>
      <c r="F17" s="26" t="inlineStr">
        <is>
          <t>0.0%</t>
        </is>
      </c>
      <c r="G17" s="26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3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(EKGYO) — Earnings Presentation &amp; Management Guidance</t>
        </is>
      </c>
    </row>
    <row r="3">
      <c r="B3" s="2" t="inlineStr">
        <is>
          <t>Source: Emlak Konut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$1512.0M (+8.0% YoY growth)</t>
        </is>
      </c>
      <c r="D7" s="33" t="inlineStr">
        <is>
          <t>$1491.0M (+6.5% YoY)</t>
        </is>
      </c>
      <c r="E7" s="34" t="inlineStr">
        <is>
          <t>On Track</t>
        </is>
      </c>
      <c r="F7" s="35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$385.0M (25.5% margin)</t>
        </is>
      </c>
      <c r="D8" s="33" t="inlineStr">
        <is>
          <t>$378.0M</t>
        </is>
      </c>
      <c r="E8" s="34" t="inlineStr">
        <is>
          <t>On Track</t>
        </is>
      </c>
      <c r="F8" s="35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3" t="inlineStr">
        <is>
          <t>0.49x</t>
        </is>
      </c>
      <c r="E9" s="30" t="inlineStr">
        <is>
          <t>Ahead of Target</t>
        </is>
      </c>
      <c r="F9" s="35" t="inlineStr">
        <is>
          <t>Deleveraging on track with 3.01x buffer below covenant limit.</t>
        </is>
      </c>
    </row>
    <row r="10">
      <c r="B10" s="9" t="inlineStr">
        <is>
          <t>2025E Strategic Capex Envelope</t>
        </is>
      </c>
      <c r="C10" s="9" t="inlineStr">
        <is>
          <t>$128.6M (Maximum growth and sustaining envelope)</t>
        </is>
      </c>
      <c r="D10" s="33" t="inlineStr">
        <is>
          <t>$118.3M committed</t>
        </is>
      </c>
      <c r="E10" s="34" t="inlineStr">
        <is>
          <t>On Track</t>
        </is>
      </c>
      <c r="F10" s="35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3" t="inlineStr">
        <is>
          <t>35% payout policy maintained</t>
        </is>
      </c>
      <c r="E11" s="34" t="inlineStr">
        <is>
          <t>On Track</t>
        </is>
      </c>
      <c r="F11" s="35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5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5" t="inlineStr">
        <is>
          <t>$4480.0M active development portfolio under execution</t>
        </is>
      </c>
    </row>
    <row r="17">
      <c r="B17" s="9" t="inlineStr">
        <is>
          <t>Active Residential Units</t>
        </is>
      </c>
      <c r="C17" s="35" t="inlineStr">
        <is>
          <t>6,300 units under construction across master sites</t>
        </is>
      </c>
    </row>
    <row r="18">
      <c r="B18" s="9" t="inlineStr">
        <is>
          <t>Target Handover Schedule</t>
        </is>
      </c>
      <c r="C18" s="35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5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5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5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5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5" t="inlineStr">
        <is>
          <t>$2590.0M to be recognized over 24-36 months of construction</t>
        </is>
      </c>
    </row>
    <row r="30">
      <c r="B30" s="9" t="inlineStr">
        <is>
          <t>Escrow Bank Protection</t>
        </is>
      </c>
      <c r="C30" s="35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5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5" t="inlineStr">
        <is>
          <t>$170.6M in central treasury accounts</t>
        </is>
      </c>
    </row>
    <row r="36">
      <c r="B36" s="9" t="inlineStr">
        <is>
          <t>Restricted Escrow Bank Balances</t>
        </is>
      </c>
      <c r="C36" s="35" t="inlineStr">
        <is>
          <t>$223.1M ring-fenced for specific project construction works</t>
        </is>
      </c>
    </row>
    <row r="37">
      <c r="B37" s="9" t="inlineStr">
        <is>
          <t>Undrawn Committed Bank Rcfs</t>
        </is>
      </c>
      <c r="C37" s="35" t="inlineStr">
        <is>
          <t>$151.9M in bilateral bank revolving credit lines</t>
        </is>
      </c>
    </row>
    <row r="38">
      <c r="B38" s="9" t="inlineStr">
        <is>
          <t>Total Available Liquidity Runway</t>
        </is>
      </c>
      <c r="C38" s="35" t="inlineStr">
        <is>
          <t>42 months of corporate debt service and fixed overhead pre-funded</t>
        </is>
      </c>
    </row>
  </sheetData>
  <mergeCells count="26">
    <mergeCell ref="C36:I36"/>
    <mergeCell ref="C23:I23"/>
    <mergeCell ref="F9:I9"/>
    <mergeCell ref="C17:I17"/>
    <mergeCell ref="B3:I3"/>
    <mergeCell ref="C38:I38"/>
    <mergeCell ref="C19:I19"/>
    <mergeCell ref="C37:I37"/>
    <mergeCell ref="C28:I28"/>
    <mergeCell ref="C18:I18"/>
    <mergeCell ref="B2:I2"/>
    <mergeCell ref="F11:I11"/>
    <mergeCell ref="C34:I34"/>
    <mergeCell ref="C24:I24"/>
    <mergeCell ref="C30:I30"/>
    <mergeCell ref="C15:I15"/>
    <mergeCell ref="F10:I10"/>
    <mergeCell ref="C14:I14"/>
    <mergeCell ref="F7:I7"/>
    <mergeCell ref="C35:I35"/>
    <mergeCell ref="C29:I29"/>
    <mergeCell ref="C16:I16"/>
    <mergeCell ref="C25:I25"/>
    <mergeCell ref="C31:I31"/>
    <mergeCell ref="C22:I22"/>
    <mergeCell ref="F8:I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2026-09-19T21:22:48Z</dcterms:created>
  <dcterms:modified xmlns:dcterms="http://purl.org/dc/terms/" xmlns:xsi="http://www.w3.org/2001/XMLSchema-instance" xsi:type="dcterms:W3CDTF">2026-09-19T21:22:48Z</dcterms:modified>
</cp:coreProperties>
</file>