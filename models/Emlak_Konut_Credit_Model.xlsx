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Emlak Konut</t>
        </is>
      </c>
    </row>
    <row r="3">
      <c r="B3" s="2" t="inlineStr">
        <is>
          <t>CEMBI CEEMEA Institutional Credit Assessment | Country: Turkey (CEEMEA) | Sector: Real Estate | Benchmark: EMLVAR 10.50%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EMLVAR 10.50% 2027</t>
        </is>
      </c>
      <c r="C6" s="5" t="inlineStr">
        <is>
          <t>10.50% (+610 bp)</t>
        </is>
      </c>
      <c r="D6" s="4" t="inlineStr">
        <is>
          <t>BB- Local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TOKİ 50% state ownership; &gt;$4.5B prime land bank; negligible net leverage (0.49x).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Emlak Konut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952</v>
      </c>
      <c r="D7" s="13" t="n">
        <v>1148</v>
      </c>
      <c r="E7" s="13" t="n">
        <v>1288</v>
      </c>
      <c r="F7" s="13" t="n">
        <v>1400</v>
      </c>
      <c r="G7" s="14" t="n">
        <v>1512</v>
      </c>
      <c r="H7" s="14" t="n">
        <v>1610</v>
      </c>
      <c r="I7" s="14" t="n">
        <v>1680</v>
      </c>
    </row>
    <row r="8">
      <c r="B8" s="12" t="inlineStr">
        <is>
          <t>EBITDA</t>
        </is>
      </c>
      <c r="C8" s="13" t="n">
        <v>227.5</v>
      </c>
      <c r="D8" s="13" t="n">
        <v>280</v>
      </c>
      <c r="E8" s="13" t="n">
        <v>315</v>
      </c>
      <c r="F8" s="13" t="n">
        <v>350</v>
      </c>
      <c r="G8" s="14" t="n">
        <v>385</v>
      </c>
      <c r="H8" s="14" t="n">
        <v>413</v>
      </c>
      <c r="I8" s="14" t="n">
        <v>434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24.7</v>
      </c>
      <c r="D10" s="17" t="n">
        <v>30.9</v>
      </c>
      <c r="E10" s="17" t="n">
        <v>37.1</v>
      </c>
      <c r="F10" s="17" t="n">
        <v>41.2</v>
      </c>
      <c r="G10" s="18" t="n">
        <v>39.5</v>
      </c>
      <c r="H10" s="18" t="n">
        <v>37.9</v>
      </c>
      <c r="I10" s="18" t="n">
        <v>36.2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184.4</v>
      </c>
      <c r="D12" s="13" t="n">
        <v>232.1</v>
      </c>
      <c r="E12" s="13" t="n">
        <v>261.8</v>
      </c>
      <c r="F12" s="13" t="n">
        <v>297.5</v>
      </c>
      <c r="G12" s="14" t="n">
        <v>327.2</v>
      </c>
      <c r="H12" s="14" t="n">
        <v>351</v>
      </c>
      <c r="I12" s="14" t="n">
        <v>371.9</v>
      </c>
    </row>
    <row r="13">
      <c r="B13" s="5" t="inlineStr">
        <is>
          <t>Capital Expenditures (Capex)</t>
        </is>
      </c>
      <c r="C13" s="17" t="n">
        <v>85.7</v>
      </c>
      <c r="D13" s="17" t="n">
        <v>104.1</v>
      </c>
      <c r="E13" s="17" t="n">
        <v>116.4</v>
      </c>
      <c r="F13" s="17" t="n">
        <v>122.5</v>
      </c>
      <c r="G13" s="18" t="n">
        <v>128.6</v>
      </c>
      <c r="H13" s="18" t="n">
        <v>124.9</v>
      </c>
      <c r="I13" s="18" t="n">
        <v>120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144.4</v>
      </c>
      <c r="D16" s="13" t="n">
        <v>183.8</v>
      </c>
      <c r="E16" s="13" t="n">
        <v>223.1</v>
      </c>
      <c r="F16" s="13" t="n">
        <v>262.5</v>
      </c>
      <c r="G16" s="14" t="n">
        <v>309.8</v>
      </c>
      <c r="H16" s="14" t="n">
        <v>354.4</v>
      </c>
      <c r="I16" s="14" t="n">
        <v>393.8</v>
      </c>
    </row>
    <row r="17">
      <c r="B17" s="12" t="inlineStr">
        <is>
          <t>Gross Total Debt</t>
        </is>
      </c>
      <c r="C17" s="13" t="n">
        <v>368.9</v>
      </c>
      <c r="D17" s="13" t="n">
        <v>399.3</v>
      </c>
      <c r="E17" s="13" t="n">
        <v>425.3</v>
      </c>
      <c r="F17" s="13" t="n">
        <v>434</v>
      </c>
      <c r="G17" s="14" t="n">
        <v>425.3</v>
      </c>
      <c r="H17" s="14" t="n">
        <v>412.3</v>
      </c>
      <c r="I17" s="14" t="n">
        <v>390.6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Emlak Konut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10.50%</t>
        </is>
      </c>
      <c r="F6" s="21" t="inlineStr">
        <is>
          <t>2028 / 2029</t>
        </is>
      </c>
      <c r="G6" s="17" t="n">
        <v>195.3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108.5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65.09999999999999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43.4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21.7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223.1</v>
      </c>
    </row>
    <row r="15">
      <c r="B15" t="inlineStr">
        <is>
          <t>Committed Undrawn RCF Capacity</t>
        </is>
      </c>
      <c r="C15" s="22" t="n">
        <v>140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93.3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Emlak Konut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350</v>
      </c>
      <c r="D6" s="17" t="n">
        <v>297.5</v>
      </c>
      <c r="E6" s="25" t="n">
        <v>227.5</v>
      </c>
    </row>
    <row r="7">
      <c r="B7" s="5" t="inlineStr">
        <is>
          <t>Free Cash Flow ($M)</t>
        </is>
      </c>
      <c r="C7" s="17" t="n">
        <v>175</v>
      </c>
      <c r="D7" s="17" t="n">
        <v>105</v>
      </c>
      <c r="E7" s="25" t="n">
        <v>26.2</v>
      </c>
    </row>
    <row r="8">
      <c r="B8" s="12" t="inlineStr">
        <is>
          <t>Net Leverage Ratio (x)</t>
        </is>
      </c>
      <c r="C8" s="26" t="n">
        <v>0.49</v>
      </c>
      <c r="D8" s="26" t="n">
        <v>0.61</v>
      </c>
      <c r="E8" s="27" t="n">
        <v>0.91</v>
      </c>
    </row>
    <row r="9">
      <c r="B9" s="5" t="inlineStr">
        <is>
          <t>Interest Coverage Ratio (x)</t>
        </is>
      </c>
      <c r="C9" s="26" t="n">
        <v>8.5</v>
      </c>
      <c r="D9" s="26" t="n">
        <v>6.63</v>
      </c>
      <c r="E9" s="27" t="n">
        <v>3.83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$92.00</t>
        </is>
      </c>
      <c r="E10" s="28" t="inlineStr">
        <is>
          <t>$80.00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