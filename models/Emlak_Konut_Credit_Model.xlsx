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+$14.8M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(+$15.4M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(+$17.3M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(+$19.2M / +5.5%); Standardized Calculated EBITDA reflects nominal operating cash receipts minus direct cash expenses.</t>
      </text>
    </comment>
    <comment ref="G36" authorId="0" shapeId="0">
      <text>
        <t>CEMBI Credit Desk EBITDA Audit (2025E):
Fair Value Property Revaluations: Reported EBITDA reflects +$25.0M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+$26.8M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+$28.2M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+$14.8M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(+$15.4M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(+$17.3M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(+$19.2M / +5.5%); Standardized Calculated EBITDA reflects nominal operating cash receipts minus direct cash expenses.</t>
      </text>
    </comment>
    <comment ref="G9" authorId="0" shapeId="0">
      <text>
        <t>CEMBI Credit Desk Reported Leverage Commentary (2025E):
Fair Value Property Revaluations: Reported EBITDA reflects +$25.0M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+$26.8M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+$28.2M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(EKGYO) — Institutional Credit Model</t>
        </is>
      </c>
    </row>
    <row r="3">
      <c r="B3" s="2" t="inlineStr">
        <is>
          <t>Sector: Real Estate | Country: Turkey | Rating: BB- Local | Benchmark: EMLVAR 10.50% 2027 @ $97.50 (10.50% YTM / +610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TOKİ 50% state ownership; &gt;$4.5B prime land bank; negligible net leverage (0.49x).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EKGYO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195.3</v>
      </c>
      <c r="F26" s="7" t="inlineStr">
        <is>
          <t>10.50%</t>
        </is>
      </c>
      <c r="G26" s="7" t="inlineStr">
        <is>
          <t>$97.50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EKGYO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130.2</v>
      </c>
      <c r="F27" s="7" t="inlineStr">
        <is>
          <t>9.75%</t>
        </is>
      </c>
      <c r="G27" s="7" t="inlineStr">
        <is>
          <t>$100.00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108.5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618.8</v>
      </c>
      <c r="D15" s="8" t="n">
        <v>746.2</v>
      </c>
      <c r="E15" s="8" t="n">
        <v>837.2</v>
      </c>
      <c r="F15" s="8" t="n">
        <v>910</v>
      </c>
      <c r="G15" s="8" t="n">
        <v>982.8</v>
      </c>
      <c r="H15" s="8" t="n">
        <v>1046.5</v>
      </c>
      <c r="I15" s="8" t="n">
        <v>1092</v>
      </c>
    </row>
    <row r="16">
      <c r="B16" s="7" t="inlineStr">
        <is>
          <t>Completed Ready Property Sales</t>
        </is>
      </c>
      <c r="C16" s="8" t="n">
        <v>209.4</v>
      </c>
      <c r="D16" s="8" t="n">
        <v>252.6</v>
      </c>
      <c r="E16" s="8" t="n">
        <v>283.4</v>
      </c>
      <c r="F16" s="8" t="n">
        <v>308</v>
      </c>
      <c r="G16" s="8" t="n">
        <v>332.6</v>
      </c>
      <c r="H16" s="8" t="n">
        <v>354.2</v>
      </c>
      <c r="I16" s="8" t="n">
        <v>369.6</v>
      </c>
    </row>
    <row r="17">
      <c r="B17" s="7" t="inlineStr">
        <is>
          <t>Commercial Leasing &amp; Hospitality</t>
        </is>
      </c>
      <c r="C17" s="8" t="n">
        <v>123.8</v>
      </c>
      <c r="D17" s="8" t="n">
        <v>149.2</v>
      </c>
      <c r="E17" s="8" t="n">
        <v>167.4</v>
      </c>
      <c r="F17" s="8" t="n">
        <v>182</v>
      </c>
      <c r="G17" s="8" t="n">
        <v>196.6</v>
      </c>
      <c r="H17" s="8" t="n">
        <v>209.3</v>
      </c>
      <c r="I17" s="8" t="n">
        <v>218.4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14.8</v>
      </c>
      <c r="D35" s="23" t="n">
        <v>15.4</v>
      </c>
      <c r="E35" s="23" t="n">
        <v>17.3</v>
      </c>
      <c r="F35" s="23" t="n">
        <v>19.2</v>
      </c>
      <c r="G35" s="23" t="n">
        <v>25</v>
      </c>
      <c r="H35" s="23" t="n">
        <v>26.8</v>
      </c>
      <c r="I35" s="23" t="n">
        <v>28.2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+$14.8M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Hyperinflation Accounting (IAS 29 / TMS 29): Reported EBITDA restated under inflation accounting with monetary gain adjustments (+$15.4M / +5.5%); Standardized Calculated EBITDA reflects nominal operating cash receipts minus direct cash expenses.</t>
        </is>
      </c>
    </row>
    <row r="44">
      <c r="B44" s="25" t="inlineStr">
        <is>
          <t>[2023A] Hyperinflation Accounting (IAS 29 / TMS 29): Reported EBITDA restated under inflation accounting with monetary gain adjustments (+$17.3M / +5.5%); Standardized Calculated EBITDA reflects nominal operating cash receipts minus direct cash expenses.</t>
        </is>
      </c>
    </row>
    <row r="45">
      <c r="B45" s="25" t="inlineStr">
        <is>
          <t>[2024A] Hyperinflation Accounting (IAS 29 / TMS 29): Reported EBITDA restated under inflation accounting with monetary gain adjustments (+$19.2M / +5.5%); Standardized Calculated EBITDA reflects nominal operating cash receipts minus direct cash expenses.</t>
        </is>
      </c>
    </row>
    <row r="46">
      <c r="B46" s="25" t="inlineStr">
        <is>
          <t>[2025E] Fair Value Property Revaluations: Reported EBITDA reflects +$25.0M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+$26.8M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+$28.2M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1428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333.2</v>
      </c>
      <c r="D36" s="8" t="n">
        <v>333.2</v>
      </c>
      <c r="E36" s="8" t="n">
        <v>333.2</v>
      </c>
      <c r="F36" s="8" t="n">
        <v>333.2</v>
      </c>
      <c r="G36" s="8" t="n">
        <v>333.2</v>
      </c>
      <c r="H36" s="8" t="n">
        <v>333.2</v>
      </c>
      <c r="I36" s="8" t="n">
        <v>333.2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-118.9</v>
      </c>
      <c r="D16" s="8" t="n">
        <v>-207.9</v>
      </c>
      <c r="E16" s="8" t="n">
        <v>-233.9</v>
      </c>
      <c r="F16" s="8" t="n">
        <v>-221.4</v>
      </c>
      <c r="G16" s="8" t="n">
        <v>-201.2</v>
      </c>
      <c r="H16" s="8" t="n">
        <v>-215.8</v>
      </c>
      <c r="I16" s="8" t="n">
        <v>-226.8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144.4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105.4</v>
      </c>
      <c r="D32" s="8" t="n">
        <v>247.5</v>
      </c>
      <c r="E32" s="8" t="n">
        <v>278.1</v>
      </c>
      <c r="F32" s="8" t="n">
        <v>154.9</v>
      </c>
      <c r="G32" s="8" t="n">
        <v>166.1</v>
      </c>
      <c r="H32" s="8" t="n">
        <v>176.2</v>
      </c>
      <c r="I32" s="8" t="n">
        <v>183.2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EKGYO Benchmark Eurobond Notes</t>
        </is>
      </c>
    </row>
    <row r="7">
      <c r="B7" s="7" t="inlineStr">
        <is>
          <t xml:space="preserve">  Beginning Principal Balance</t>
        </is>
      </c>
      <c r="C7" s="8" t="n">
        <v>166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55.3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36.9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0.1050</f>
        <v/>
      </c>
      <c r="D11" s="8">
        <f>D10 * 0.1050</f>
        <v/>
      </c>
      <c r="E11" s="8">
        <f>E10 * 0.1050</f>
        <v/>
      </c>
      <c r="F11" s="8">
        <f>F10 * 0.1050</f>
        <v/>
      </c>
      <c r="G11" s="8">
        <f>G10 * 0.1050</f>
        <v/>
      </c>
      <c r="H11" s="8">
        <f>H10 * 0.1050</f>
        <v/>
      </c>
      <c r="I11" s="8">
        <f>I10 * 0.1050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202.9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52.1</v>
      </c>
      <c r="C32" s="8" t="n">
        <v>95.5</v>
      </c>
      <c r="D32" s="8" t="n">
        <v>121.5</v>
      </c>
      <c r="E32" s="8" t="n">
        <v>78.09999999999999</v>
      </c>
      <c r="F32" s="8" t="n">
        <v>52.1</v>
      </c>
      <c r="G32" s="8" t="n">
        <v>34.7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EKGYO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195.3</v>
      </c>
      <c r="F37" s="29" t="inlineStr">
        <is>
          <t>10.500%</t>
        </is>
      </c>
      <c r="G37" s="30" t="n">
        <v>97.5</v>
      </c>
      <c r="H37" s="31" t="n">
        <v>10.5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EKGYO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130.2</v>
      </c>
      <c r="F38" s="29" t="inlineStr">
        <is>
          <t>9.850%</t>
        </is>
      </c>
      <c r="G38" s="30" t="n">
        <v>99.5</v>
      </c>
      <c r="H38" s="31" t="n">
        <v>9.85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65.09999999999999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43.4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EKGYO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150</v>
      </c>
    </row>
    <row r="45">
      <c r="B45" s="7" t="inlineStr">
        <is>
          <t>Drawn Amount ($M)</t>
        </is>
      </c>
      <c r="C45" s="8" t="n">
        <v>43.4</v>
      </c>
    </row>
    <row r="46">
      <c r="B46" s="18" t="inlineStr">
        <is>
          <t>AVAILABLE UNDRAWN HEADROOM ($M)</t>
        </is>
      </c>
      <c r="C46" s="19" t="n">
        <v>106.6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0.49x</t>
        </is>
      </c>
      <c r="E55" s="32" t="inlineStr">
        <is>
          <t>3.01x leverage buffer ($1053.5M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8.50x</t>
        </is>
      </c>
      <c r="E56" s="32" t="inlineStr">
        <is>
          <t>+6.00x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2.6% of Assets</t>
        </is>
      </c>
      <c r="E57" s="32" t="inlineStr">
        <is>
          <t>$308.0M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10.50%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+3.6%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12.50%</t>
        </is>
      </c>
      <c r="F7" s="29" t="inlineStr">
        <is>
          <t>3.2x</t>
        </is>
      </c>
      <c r="G7" s="29" t="inlineStr">
        <is>
          <t>$90.50</t>
        </is>
      </c>
      <c r="H7" s="29" t="inlineStr">
        <is>
          <t>-7.2%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$80.00</t>
        </is>
      </c>
      <c r="H8" s="29" t="inlineStr">
        <is>
          <t>-17.9%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9.00%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+7.7%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108.5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EKGYO Senior Unsecured Eurobonds</t>
        </is>
      </c>
      <c r="C15" s="8" t="n">
        <v>325.5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80.0%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65.09999999999999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173.6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Emlak Konut (EKGYO) — Earnings Presentation &amp; Management Guidance</t>
        </is>
      </c>
    </row>
    <row r="3">
      <c r="B3" s="2" t="inlineStr">
        <is>
          <t>Source: Emlak Konut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$1512.0M (+8.0% YoY growth)</t>
        </is>
      </c>
      <c r="D7" s="35" t="inlineStr">
        <is>
          <t>$1491.0M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$1512.0M (+8.0% YoY growth). With current run-rate at $1491.0M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$385.0M (25.5% margin)</t>
        </is>
      </c>
      <c r="D8" s="35" t="inlineStr">
        <is>
          <t>$378.0M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$385.0M (25.5%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0.49x</t>
        </is>
      </c>
      <c r="E9" s="32" t="inlineStr">
        <is>
          <t>Ahead of Target</t>
        </is>
      </c>
      <c r="F9" s="37" t="inlineStr">
        <is>
          <t>Deleveraging on track with 3.01x buffer below covenant limit.
[QUESTION TO CFO TO VERIFY]: You previously committed to a Net Leverage ceiling of &lt; 3.00x Net Debt / EBITDA. Current actual leverage stands at 0.49x.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$128.6M (Maximum growth and sustaining envelope)</t>
        </is>
      </c>
      <c r="D10" s="35" t="inlineStr">
        <is>
          <t>$118.3M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$128.6M (Maximum growth and sustaining envelope). Current commitments stand at $118.3M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$4480.0M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6,300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$2590.0M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$170.6M in central treasury accounts</t>
        </is>
      </c>
    </row>
    <row r="36">
      <c r="B36" s="9" t="inlineStr">
        <is>
          <t>Restricted Escrow Bank Balances</t>
        </is>
      </c>
      <c r="C36" s="37" t="inlineStr">
        <is>
          <t>$223.1M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$151.9M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2026-11-12</t>
        </is>
      </c>
    </row>
    <row r="48">
      <c r="B48" s="9" t="inlineStr">
        <is>
          <t>Reporting Period</t>
        </is>
      </c>
      <c r="C48" s="37" t="inlineStr">
        <is>
          <t>Q3 2026 / 9M</t>
        </is>
      </c>
    </row>
    <row r="49">
      <c r="B49" s="9" t="inlineStr">
        <is>
          <t>Confirmation Status</t>
        </is>
      </c>
      <c r="C49" s="37" t="inlineStr">
        <is>
          <t>Estimated</t>
        </is>
      </c>
    </row>
    <row r="50">
      <c r="B50" s="9" t="inlineStr">
        <is>
          <t>Conference Call &amp; Webcast Schedule</t>
        </is>
      </c>
      <c r="C50" s="37" t="inlineStr">
        <is>
          <t>14:00 Local / Pre-Market</t>
        </is>
      </c>
    </row>
    <row r="51">
      <c r="B51" s="9" t="inlineStr">
        <is>
          <t>Official IR Portal / Webcast URL</t>
        </is>
      </c>
      <c r="C51" s="37" t="inlineStr">
        <is>
          <t>https://www.google.com/finance/quote/EKGYO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2026-10-15T04:19:47Z</dcterms:created>
  <dcterms:modified xmlns:dcterms="http://purl.org/dc/terms/" xmlns:xsi="http://www.w3.org/2001/XMLSchema-instance" xsi:type="dcterms:W3CDTF">2026-10-15T04:19:47Z</dcterms:modified>
</cp:coreProperties>
</file>