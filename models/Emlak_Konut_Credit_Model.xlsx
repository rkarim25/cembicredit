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Arqaam] RERA Escrow Mechanics: Cash includes project-specific escrow accounts governed by Dubai Law No. 8 of 2007. Funds are strictly released against engineer-certified construction milestones, preventing structural leakage for bond service.
• [Broker Consensus / Earnings Call] Presales &amp; Revenue Backlog: Off-plan presales recognized under IFRS 15 percentage-of-completion. Strong revenue backlog provides 2.5-3.0 years of forward revenue visibility.
• Downside Recovery Floor: $80.0 (Base: $101.0)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Emlak Konut</t>
        </is>
      </c>
    </row>
    <row r="3">
      <c r="B3" s="2" t="inlineStr">
        <is>
          <t>CEMBI CEEMEA Assessment | Country: Turkey | Sector: Real Estate | Benchmark: EMLVAR 10.50% 2027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$97.50 (10.50% YTM)</t>
        </is>
      </c>
      <c r="D6" s="4" t="inlineStr">
        <is>
          <t>BB- Local (+610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Revenue-Sharing Master Real Estate (64%), Turnkey Housing Projects (26%), Commercial Land Auctions (10%)</t>
        </is>
      </c>
      <c r="D7" s="4" t="inlineStr">
        <is>
          <t>Recovery Floor</t>
        </is>
      </c>
      <c r="E7" s="5" t="inlineStr">
        <is>
          <t>$80.00 (Base $101.00)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$90.50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$80.00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Emlak Konut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952</v>
      </c>
      <c r="D7" s="15" t="n">
        <v>1148</v>
      </c>
      <c r="E7" s="15" t="n">
        <v>1288</v>
      </c>
      <c r="F7" s="15" t="n">
        <v>1400</v>
      </c>
      <c r="G7" s="16" t="n">
        <v>1512</v>
      </c>
      <c r="H7" s="16" t="n">
        <v>1610</v>
      </c>
      <c r="I7" s="16" t="n">
        <v>1680</v>
      </c>
    </row>
    <row r="8">
      <c r="B8" s="5" t="inlineStr">
        <is>
          <t>Cost of Goods Sold (COGS)</t>
        </is>
      </c>
      <c r="C8" s="17" t="n">
        <v>568.4</v>
      </c>
      <c r="D8" s="17" t="n">
        <v>690.2</v>
      </c>
      <c r="E8" s="17" t="n">
        <v>755.2</v>
      </c>
      <c r="F8" s="17" t="n">
        <v>812</v>
      </c>
      <c r="G8" s="18" t="n">
        <v>868.8</v>
      </c>
      <c r="H8" s="18" t="n">
        <v>917.6</v>
      </c>
      <c r="I8" s="18" t="n">
        <v>958.2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171.4</v>
      </c>
      <c r="D11" s="17" t="n">
        <v>195.2</v>
      </c>
      <c r="E11" s="17" t="n">
        <v>219</v>
      </c>
      <c r="F11" s="17" t="n">
        <v>238</v>
      </c>
      <c r="G11" s="18" t="n">
        <v>252.3</v>
      </c>
      <c r="H11" s="18" t="n">
        <v>266.6</v>
      </c>
      <c r="I11" s="18" t="n">
        <v>276.1</v>
      </c>
    </row>
    <row r="12">
      <c r="B12" s="14" t="inlineStr">
        <is>
          <t>EBITDA</t>
        </is>
      </c>
      <c r="C12" s="15" t="n">
        <v>227.5</v>
      </c>
      <c r="D12" s="15" t="n">
        <v>280</v>
      </c>
      <c r="E12" s="15" t="n">
        <v>315</v>
      </c>
      <c r="F12" s="15" t="n">
        <v>350</v>
      </c>
      <c r="G12" s="16" t="n">
        <v>385</v>
      </c>
      <c r="H12" s="16" t="n">
        <v>413</v>
      </c>
      <c r="I12" s="16" t="n">
        <v>434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98</v>
      </c>
      <c r="D14" s="17" t="n">
        <v>107.8</v>
      </c>
      <c r="E14" s="17" t="n">
        <v>116.4</v>
      </c>
      <c r="F14" s="17" t="n">
        <v>122.5</v>
      </c>
      <c r="G14" s="18" t="n">
        <v>128.6</v>
      </c>
      <c r="H14" s="18" t="n">
        <v>134.8</v>
      </c>
      <c r="I14" s="18" t="n">
        <v>140.9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46.7</v>
      </c>
      <c r="D16" s="17" t="n">
        <v>58.3</v>
      </c>
      <c r="E16" s="17" t="n">
        <v>70</v>
      </c>
      <c r="F16" s="17" t="n">
        <v>77.8</v>
      </c>
      <c r="G16" s="18" t="n">
        <v>74.7</v>
      </c>
      <c r="H16" s="18" t="n">
        <v>71.59999999999999</v>
      </c>
      <c r="I16" s="18" t="n">
        <v>68.40000000000001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169.3</v>
      </c>
      <c r="D20" s="15" t="n">
        <v>212.9</v>
      </c>
      <c r="E20" s="15" t="n">
        <v>240.2</v>
      </c>
      <c r="F20" s="15" t="n">
        <v>273</v>
      </c>
      <c r="G20" s="16" t="n">
        <v>300.3</v>
      </c>
      <c r="H20" s="16" t="n">
        <v>322.1</v>
      </c>
      <c r="I20" s="16" t="n">
        <v>341.2</v>
      </c>
    </row>
    <row r="21">
      <c r="B21" s="5" t="inlineStr">
        <is>
          <t>Capital Expenditures (Capex)</t>
        </is>
      </c>
      <c r="C21" s="17" t="n">
        <v>78.40000000000001</v>
      </c>
      <c r="D21" s="17" t="n">
        <v>95.2</v>
      </c>
      <c r="E21" s="17" t="n">
        <v>106.4</v>
      </c>
      <c r="F21" s="17" t="n">
        <v>112</v>
      </c>
      <c r="G21" s="18" t="n">
        <v>117.6</v>
      </c>
      <c r="H21" s="18" t="n">
        <v>114.2</v>
      </c>
      <c r="I21" s="18" t="n">
        <v>109.8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138.6</v>
      </c>
      <c r="D24" s="17" t="n">
        <v>176.4</v>
      </c>
      <c r="E24" s="17" t="n">
        <v>214.2</v>
      </c>
      <c r="F24" s="17" t="n">
        <v>252</v>
      </c>
      <c r="G24" s="18" t="n">
        <v>297.4</v>
      </c>
      <c r="H24" s="18" t="n">
        <v>340.2</v>
      </c>
      <c r="I24" s="18" t="n">
        <v>378</v>
      </c>
    </row>
    <row r="25">
      <c r="B25" s="14" t="inlineStr">
        <is>
          <t>Gross Debt (Loans + Eurobonds/Sukuk)</t>
        </is>
      </c>
      <c r="C25" s="15" t="n">
        <v>809.2</v>
      </c>
      <c r="D25" s="15" t="n">
        <v>875.8</v>
      </c>
      <c r="E25" s="15" t="n">
        <v>933</v>
      </c>
      <c r="F25" s="15" t="n">
        <v>952</v>
      </c>
      <c r="G25" s="16" t="n">
        <v>933</v>
      </c>
      <c r="H25" s="16" t="n">
        <v>904.4</v>
      </c>
      <c r="I25" s="16" t="n">
        <v>856.8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2026-09-19T17:13:41Z</dcterms:created>
  <dcterms:modified xmlns:dcterms="http://purl.org/dc/terms/" xmlns:xsi="http://www.w3.org/2001/XMLSchema-instance" xsi:type="dcterms:W3CDTF">2026-09-19T18:15:49Z</dcterms:modified>
</cp:coreProperties>
</file>