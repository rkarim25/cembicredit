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  <sheet xmlns:r="http://schemas.openxmlformats.org/officeDocument/2006/relationships" name="Capital Structure &amp; Liquidity" sheetId="3" state="visible" r:id="rId3"/>
    <sheet xmlns:r="http://schemas.openxmlformats.org/officeDocument/2006/relationships" name="Sensitivity &amp; Stress Tes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x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666666"/>
      <sz val="9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</patternFill>
    </fill>
    <fill>
      <patternFill patternType="solid">
        <fgColor rgb="00F2F4F8"/>
      </patternFill>
    </fill>
    <fill>
      <patternFill patternType="solid">
        <fgColor rgb="002C3E50"/>
      </patternFill>
    </fill>
    <fill>
      <patternFill patternType="solid">
        <fgColor rgb="00E8F8F5"/>
      </patternFill>
    </fill>
    <fill>
      <patternFill patternType="solid">
        <f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7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0" fontId="0" fillId="0" borderId="1" pivotButton="0" quotePrefix="0" xfId="0"/>
    <xf numFmtId="164" fontId="0" fillId="0" borderId="0" pivotButton="0" quotePrefix="0" xfId="0"/>
    <xf numFmtId="164" fontId="4" fillId="0" borderId="0" pivotButton="0" quotePrefix="0" xfId="0"/>
    <xf numFmtId="166" fontId="4" fillId="5" borderId="0" pivotButton="0" quotePrefix="0" xfId="0"/>
    <xf numFmtId="164" fontId="0" fillId="6" borderId="1" pivotButton="0" quotePrefix="0" xfId="0"/>
    <xf numFmtId="166" fontId="0" fillId="0" borderId="1" pivotButton="0" quotePrefix="0" xfId="0"/>
    <xf numFmtId="166" fontId="0" fillId="6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</cols>
  <sheetData>
    <row r="2">
      <c r="B2" s="1" t="inlineStr">
        <is>
          <t>Aldar Properties</t>
        </is>
      </c>
    </row>
    <row r="3">
      <c r="B3" s="2" t="inlineStr">
        <is>
          <t>CEMBI CEEMEA Institutional Credit Assessment | Country: UAE (Middle East) | Sector: Real Estate | Benchmark: ALDAR 5.25%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RATING / TIER</t>
        </is>
      </c>
      <c r="E5" s="3" t="inlineStr">
        <is>
          <t>STRATEGY STANCE</t>
        </is>
      </c>
    </row>
    <row r="6">
      <c r="B6" s="4" t="inlineStr">
        <is>
          <t>ALDAR 5.25% 2029</t>
        </is>
      </c>
      <c r="C6" s="5" t="inlineStr">
        <is>
          <t>5.25% (+105 bp)</t>
        </is>
      </c>
      <c r="D6" s="4" t="inlineStr">
        <is>
          <t>BBB- / Baa2 | IG</t>
        </is>
      </c>
      <c r="E6" s="5" t="inlineStr">
        <is>
          <t>Neutral / Carry Benchmark</t>
        </is>
      </c>
    </row>
    <row r="7">
      <c r="B7" s="4" t="inlineStr">
        <is>
          <t>Downside Recovery Floor</t>
        </is>
      </c>
      <c r="C7" s="5" t="inlineStr">
        <is>
          <t>$78.00</t>
        </is>
      </c>
      <c r="D7" s="4" t="inlineStr">
        <is>
          <t>Base Case Fair Value</t>
        </is>
      </c>
      <c r="E7" s="5" t="inlineStr">
        <is>
          <t>$101.00</t>
        </is>
      </c>
    </row>
    <row r="9">
      <c r="B9" s="6" t="inlineStr">
        <is>
          <t>INSTITUTIONAL INVESTMENT THESIS</t>
        </is>
      </c>
    </row>
    <row r="10">
      <c r="B10" s="7" t="inlineStr">
        <is>
          <t>Abu Dhabi sovereign master developer; recurring rental income covers interest by 4x; Alpha Dhabi backing.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Aldar Properties — 7-Year Multi-Period Financial History &amp; Forecasts</t>
        </is>
      </c>
    </row>
    <row r="3">
      <c r="B3" s="2" t="inlineStr">
        <is>
          <t>Audited Statements (2021A - 2024A) and Institutional Projections (2025E - 2027E) | USD Millions</t>
        </is>
      </c>
    </row>
    <row r="5">
      <c r="B5" s="8" t="inlineStr">
        <is>
          <t>FINANCIAL LINE ITEM (USD M)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9" t="inlineStr">
        <is>
          <t>2025E</t>
        </is>
      </c>
      <c r="H5" s="9" t="inlineStr">
        <is>
          <t>2026E</t>
        </is>
      </c>
      <c r="I5" s="9" t="inlineStr">
        <is>
          <t>2027E</t>
        </is>
      </c>
    </row>
    <row r="6">
      <c r="B6" s="10" t="inlineStr">
        <is>
          <t>I. INCOME STATEMENT</t>
        </is>
      </c>
      <c r="C6" s="11" t="n"/>
      <c r="D6" s="11" t="n"/>
      <c r="E6" s="11" t="n"/>
      <c r="F6" s="11" t="n"/>
      <c r="G6" s="11" t="n"/>
      <c r="H6" s="11" t="n"/>
      <c r="I6" s="11" t="n"/>
    </row>
    <row r="7">
      <c r="B7" s="12" t="inlineStr">
        <is>
          <t>Revenue</t>
        </is>
      </c>
      <c r="C7" s="13" t="n">
        <v>2652</v>
      </c>
      <c r="D7" s="13" t="n">
        <v>3198</v>
      </c>
      <c r="E7" s="13" t="n">
        <v>3588</v>
      </c>
      <c r="F7" s="13" t="n">
        <v>3900</v>
      </c>
      <c r="G7" s="14" t="n">
        <v>4212</v>
      </c>
      <c r="H7" s="14" t="n">
        <v>4485</v>
      </c>
      <c r="I7" s="14" t="n">
        <v>4680</v>
      </c>
    </row>
    <row r="8">
      <c r="B8" s="12" t="inlineStr">
        <is>
          <t>EBITDA</t>
        </is>
      </c>
      <c r="C8" s="13" t="n">
        <v>1007.5</v>
      </c>
      <c r="D8" s="13" t="n">
        <v>1240</v>
      </c>
      <c r="E8" s="13" t="n">
        <v>1395</v>
      </c>
      <c r="F8" s="13" t="n">
        <v>1550</v>
      </c>
      <c r="G8" s="14" t="n">
        <v>1705</v>
      </c>
      <c r="H8" s="14" t="n">
        <v>1829</v>
      </c>
      <c r="I8" s="14" t="n">
        <v>1922</v>
      </c>
    </row>
    <row r="9">
      <c r="B9" s="5" t="inlineStr">
        <is>
          <t>EBITDA Margin (%)</t>
        </is>
      </c>
      <c r="C9" s="15">
        <f>C8/C7</f>
        <v/>
      </c>
      <c r="D9" s="15">
        <f>D8/D7</f>
        <v/>
      </c>
      <c r="E9" s="15">
        <f>E8/E7</f>
        <v/>
      </c>
      <c r="F9" s="15">
        <f>F8/F7</f>
        <v/>
      </c>
      <c r="G9" s="16">
        <f>G8/G7</f>
        <v/>
      </c>
      <c r="H9" s="16">
        <f>H8/H7</f>
        <v/>
      </c>
      <c r="I9" s="16">
        <f>I8/I7</f>
        <v/>
      </c>
    </row>
    <row r="10">
      <c r="B10" s="5" t="inlineStr">
        <is>
          <t>Interest Expense</t>
        </is>
      </c>
      <c r="C10" s="17" t="n">
        <v>125.7</v>
      </c>
      <c r="D10" s="17" t="n">
        <v>157.1</v>
      </c>
      <c r="E10" s="17" t="n">
        <v>188.5</v>
      </c>
      <c r="F10" s="17" t="n">
        <v>209.5</v>
      </c>
      <c r="G10" s="18" t="n">
        <v>201.1</v>
      </c>
      <c r="H10" s="18" t="n">
        <v>192.7</v>
      </c>
      <c r="I10" s="18" t="n">
        <v>184.3</v>
      </c>
    </row>
    <row r="11">
      <c r="B11" s="10" t="inlineStr">
        <is>
          <t>II. CASH FLOW STATEMENT</t>
        </is>
      </c>
      <c r="C11" s="11" t="n"/>
      <c r="D11" s="11" t="n"/>
      <c r="E11" s="11" t="n"/>
      <c r="F11" s="11" t="n"/>
      <c r="G11" s="11" t="n"/>
      <c r="H11" s="11" t="n"/>
      <c r="I11" s="11" t="n"/>
    </row>
    <row r="12">
      <c r="B12" s="12" t="inlineStr">
        <is>
          <t>Cash Flow from Operations (CFO)</t>
        </is>
      </c>
      <c r="C12" s="13" t="n">
        <v>816.9</v>
      </c>
      <c r="D12" s="13" t="n">
        <v>1027.7</v>
      </c>
      <c r="E12" s="13" t="n">
        <v>1159.4</v>
      </c>
      <c r="F12" s="13" t="n">
        <v>1317.5</v>
      </c>
      <c r="G12" s="14" t="n">
        <v>1449.3</v>
      </c>
      <c r="H12" s="14" t="n">
        <v>1554.6</v>
      </c>
      <c r="I12" s="14" t="n">
        <v>1646.9</v>
      </c>
    </row>
    <row r="13">
      <c r="B13" s="5" t="inlineStr">
        <is>
          <t>Capital Expenditures (Capex)</t>
        </is>
      </c>
      <c r="C13" s="17" t="n">
        <v>379.8</v>
      </c>
      <c r="D13" s="17" t="n">
        <v>461.1</v>
      </c>
      <c r="E13" s="17" t="n">
        <v>515.4</v>
      </c>
      <c r="F13" s="17" t="n">
        <v>542.5</v>
      </c>
      <c r="G13" s="18" t="n">
        <v>569.6</v>
      </c>
      <c r="H13" s="18" t="n">
        <v>553.4</v>
      </c>
      <c r="I13" s="18" t="n">
        <v>531.6</v>
      </c>
    </row>
    <row r="14">
      <c r="B14" s="12" t="inlineStr">
        <is>
          <t>Free Cash Flow (FCF = CFO - Capex)</t>
        </is>
      </c>
      <c r="C14" s="13">
        <f>C12-C13</f>
        <v/>
      </c>
      <c r="D14" s="13">
        <f>D12-D13</f>
        <v/>
      </c>
      <c r="E14" s="13">
        <f>E12-E13</f>
        <v/>
      </c>
      <c r="F14" s="13">
        <f>F12-F13</f>
        <v/>
      </c>
      <c r="G14" s="14">
        <f>G12-G13</f>
        <v/>
      </c>
      <c r="H14" s="14">
        <f>H12-H13</f>
        <v/>
      </c>
      <c r="I14" s="14">
        <f>I12-I13</f>
        <v/>
      </c>
    </row>
    <row r="15">
      <c r="B15" s="10" t="inlineStr">
        <is>
          <t>III. BALANCE SHEET &amp; DEBT POSITION</t>
        </is>
      </c>
      <c r="C15" s="11" t="n"/>
      <c r="D15" s="11" t="n"/>
      <c r="E15" s="11" t="n"/>
      <c r="F15" s="11" t="n"/>
      <c r="G15" s="11" t="n"/>
      <c r="H15" s="11" t="n"/>
      <c r="I15" s="11" t="n"/>
    </row>
    <row r="16">
      <c r="B16" s="12" t="inlineStr">
        <is>
          <t>Cash &amp; Equivalents</t>
        </is>
      </c>
      <c r="C16" s="13" t="n">
        <v>639.4</v>
      </c>
      <c r="D16" s="13" t="n">
        <v>813.8</v>
      </c>
      <c r="E16" s="13" t="n">
        <v>988.1</v>
      </c>
      <c r="F16" s="13" t="n">
        <v>1162.5</v>
      </c>
      <c r="G16" s="14" t="n">
        <v>1371.8</v>
      </c>
      <c r="H16" s="14" t="n">
        <v>1569.4</v>
      </c>
      <c r="I16" s="14" t="n">
        <v>1743.8</v>
      </c>
    </row>
    <row r="17">
      <c r="B17" s="12" t="inlineStr">
        <is>
          <t>Gross Total Debt</t>
        </is>
      </c>
      <c r="C17" s="13" t="n">
        <v>1660</v>
      </c>
      <c r="D17" s="13" t="n">
        <v>1796.8</v>
      </c>
      <c r="E17" s="13" t="n">
        <v>1913.9</v>
      </c>
      <c r="F17" s="13" t="n">
        <v>1953</v>
      </c>
      <c r="G17" s="14" t="n">
        <v>1913.9</v>
      </c>
      <c r="H17" s="14" t="n">
        <v>1855.3</v>
      </c>
      <c r="I17" s="14" t="n">
        <v>1757.7</v>
      </c>
    </row>
    <row r="18">
      <c r="B18" s="12" t="inlineStr">
        <is>
          <t>Net Debt (Gross Debt - Cash)</t>
        </is>
      </c>
      <c r="C18" s="13">
        <f>C17-C16</f>
        <v/>
      </c>
      <c r="D18" s="13">
        <f>D17-D16</f>
        <v/>
      </c>
      <c r="E18" s="13">
        <f>E17-E16</f>
        <v/>
      </c>
      <c r="F18" s="13">
        <f>F17-F16</f>
        <v/>
      </c>
      <c r="G18" s="14">
        <f>G17-G16</f>
        <v/>
      </c>
      <c r="H18" s="14">
        <f>H17-H16</f>
        <v/>
      </c>
      <c r="I18" s="14">
        <f>I17-I16</f>
        <v/>
      </c>
    </row>
    <row r="19">
      <c r="B19" s="10" t="inlineStr">
        <is>
          <t>IV. CREDIT &amp; LEVERAGE RATIOS</t>
        </is>
      </c>
      <c r="C19" s="11" t="n"/>
      <c r="D19" s="11" t="n"/>
      <c r="E19" s="11" t="n"/>
      <c r="F19" s="11" t="n"/>
      <c r="G19" s="11" t="n"/>
      <c r="H19" s="11" t="n"/>
      <c r="I19" s="11" t="n"/>
    </row>
    <row r="20">
      <c r="B20" s="12" t="inlineStr">
        <is>
          <t>Net Leverage (Net Debt / EBITDA)</t>
        </is>
      </c>
      <c r="C20" s="19">
        <f>C18/C8</f>
        <v/>
      </c>
      <c r="D20" s="19">
        <f>D18/D8</f>
        <v/>
      </c>
      <c r="E20" s="19">
        <f>E18/E8</f>
        <v/>
      </c>
      <c r="F20" s="19">
        <f>F18/F8</f>
        <v/>
      </c>
      <c r="G20" s="20">
        <f>G18/G8</f>
        <v/>
      </c>
      <c r="H20" s="20">
        <f>H18/H8</f>
        <v/>
      </c>
      <c r="I20" s="20">
        <f>I18/I8</f>
        <v/>
      </c>
    </row>
    <row r="21">
      <c r="B21" s="12" t="inlineStr">
        <is>
          <t>Interest Coverage (EBITDA / Interest)</t>
        </is>
      </c>
      <c r="C21" s="19">
        <f>C8/C10</f>
        <v/>
      </c>
      <c r="D21" s="19">
        <f>D8/D10</f>
        <v/>
      </c>
      <c r="E21" s="19">
        <f>E8/E10</f>
        <v/>
      </c>
      <c r="F21" s="19">
        <f>F8/F10</f>
        <v/>
      </c>
      <c r="G21" s="20">
        <f>G8/G10</f>
        <v/>
      </c>
      <c r="H21" s="20">
        <f>H8/H10</f>
        <v/>
      </c>
      <c r="I21" s="20">
        <f>I8/I10</f>
        <v/>
      </c>
    </row>
    <row r="22">
      <c r="B22" s="5" t="inlineStr">
        <is>
          <t>CFO / Net Debt (%)</t>
        </is>
      </c>
      <c r="C22" s="15">
        <f>C12/C18</f>
        <v/>
      </c>
      <c r="D22" s="15">
        <f>D12/D18</f>
        <v/>
      </c>
      <c r="E22" s="15">
        <f>E12/E18</f>
        <v/>
      </c>
      <c r="F22" s="15">
        <f>F12/F18</f>
        <v/>
      </c>
      <c r="G22" s="16">
        <f>G12/G18</f>
        <v/>
      </c>
      <c r="H22" s="16">
        <f>H12/H18</f>
        <v/>
      </c>
      <c r="I22" s="16">
        <f>I12/I18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Aldar Properties — Debt Tranche Breakdown &amp; Liquidity Buffer Schedule</t>
        </is>
      </c>
    </row>
    <row r="3">
      <c r="B3" s="2" t="inlineStr">
        <is>
          <t>Debt instruments, seniorities, maturity years, coupon rates, and 12-month liquidity coverage ratio</t>
        </is>
      </c>
    </row>
    <row r="5">
      <c r="B5" s="3" t="inlineStr">
        <is>
          <t>DEBT INSTRUMENT</t>
        </is>
      </c>
      <c r="C5" s="3" t="inlineStr">
        <is>
          <t>SENIORITY</t>
        </is>
      </c>
      <c r="D5" s="3" t="inlineStr">
        <is>
          <t>CURRENCY</t>
        </is>
      </c>
      <c r="E5" s="3" t="inlineStr">
        <is>
          <t>COUPON</t>
        </is>
      </c>
      <c r="F5" s="3" t="inlineStr">
        <is>
          <t>MATURITY</t>
        </is>
      </c>
      <c r="G5" s="3" t="inlineStr">
        <is>
          <t>AMOUNT ($M)</t>
        </is>
      </c>
    </row>
    <row r="6">
      <c r="B6" s="21" t="inlineStr">
        <is>
          <t>Senior Benchmark Eurobond / Sukuk</t>
        </is>
      </c>
      <c r="C6" s="21" t="inlineStr">
        <is>
          <t>Senior Unsecured</t>
        </is>
      </c>
      <c r="D6" s="21" t="inlineStr">
        <is>
          <t>USD</t>
        </is>
      </c>
      <c r="E6" s="21" t="inlineStr">
        <is>
          <t>5.25%</t>
        </is>
      </c>
      <c r="F6" s="21" t="inlineStr">
        <is>
          <t>2028 / 2029</t>
        </is>
      </c>
      <c r="G6" s="17" t="n">
        <v>878.9</v>
      </c>
    </row>
    <row r="7">
      <c r="B7" s="21" t="inlineStr">
        <is>
          <t>Secondary Senior Unsecured Notes</t>
        </is>
      </c>
      <c r="C7" s="21" t="inlineStr">
        <is>
          <t>Senior Unsecured</t>
        </is>
      </c>
      <c r="D7" s="21" t="inlineStr">
        <is>
          <t>USD / EUR</t>
        </is>
      </c>
      <c r="E7" s="21" t="inlineStr">
        <is>
          <t>5.25%</t>
        </is>
      </c>
      <c r="F7" s="21" t="inlineStr">
        <is>
          <t>2031</t>
        </is>
      </c>
      <c r="G7" s="17" t="n">
        <v>488.2</v>
      </c>
    </row>
    <row r="8">
      <c r="B8" s="21" t="inlineStr">
        <is>
          <t>Syndicated Bank Term Loan</t>
        </is>
      </c>
      <c r="C8" s="21" t="inlineStr">
        <is>
          <t>Senior Secured / Unsec</t>
        </is>
      </c>
      <c r="D8" s="21" t="inlineStr">
        <is>
          <t>USD</t>
        </is>
      </c>
      <c r="E8" s="21" t="inlineStr">
        <is>
          <t>SOFR + 1.85%</t>
        </is>
      </c>
      <c r="F8" s="21" t="inlineStr">
        <is>
          <t>2027</t>
        </is>
      </c>
      <c r="G8" s="17" t="n">
        <v>292.9</v>
      </c>
    </row>
    <row r="9">
      <c r="B9" s="21" t="inlineStr">
        <is>
          <t>Bilateral Revolving Credit Lines (RCF)</t>
        </is>
      </c>
      <c r="C9" s="21" t="inlineStr">
        <is>
          <t>Senior Working Cap</t>
        </is>
      </c>
      <c r="D9" s="21" t="inlineStr">
        <is>
          <t>Multi-Curr</t>
        </is>
      </c>
      <c r="E9" s="21" t="inlineStr">
        <is>
          <t>SOFR + 1.50%</t>
        </is>
      </c>
      <c r="F9" s="21" t="inlineStr">
        <is>
          <t>2026</t>
        </is>
      </c>
      <c r="G9" s="17" t="n">
        <v>195.3</v>
      </c>
    </row>
    <row r="10">
      <c r="B10" s="21" t="inlineStr">
        <is>
          <t>Lease Liabilities (IFRS 16)</t>
        </is>
      </c>
      <c r="C10" s="21" t="inlineStr">
        <is>
          <t>Operating Leases</t>
        </is>
      </c>
      <c r="D10" s="21" t="inlineStr">
        <is>
          <t>Local Curr</t>
        </is>
      </c>
      <c r="E10" s="21" t="inlineStr">
        <is>
          <t>N/A</t>
        </is>
      </c>
      <c r="F10" s="21" t="inlineStr">
        <is>
          <t>2025 - 2034</t>
        </is>
      </c>
      <c r="G10" s="17" t="n">
        <v>97.7</v>
      </c>
    </row>
    <row r="13">
      <c r="B13" s="6" t="inlineStr">
        <is>
          <t>LIQUIDITY &amp; COVERAGE METRICS</t>
        </is>
      </c>
    </row>
    <row r="14">
      <c r="B14" t="inlineStr">
        <is>
          <t>Unrestricted Cash &amp; Liquid Investments</t>
        </is>
      </c>
      <c r="C14" s="22" t="n">
        <v>988.1</v>
      </c>
    </row>
    <row r="15">
      <c r="B15" t="inlineStr">
        <is>
          <t>Committed Undrawn RCF Capacity</t>
        </is>
      </c>
      <c r="C15" s="22" t="n">
        <v>620</v>
      </c>
    </row>
    <row r="16">
      <c r="B16" t="inlineStr">
        <is>
          <t>Total Available Liquidity Buffer</t>
        </is>
      </c>
      <c r="C16" s="23">
        <f>C14+C15</f>
        <v/>
      </c>
    </row>
    <row r="17">
      <c r="B17" t="inlineStr">
        <is>
          <t>Next 12-Month Debt Service (Principal + Interest)</t>
        </is>
      </c>
      <c r="C17" s="22" t="n">
        <v>443.8</v>
      </c>
    </row>
    <row r="18">
      <c r="B18" t="inlineStr">
        <is>
          <t>12-Month Liquidity Coverage Ratio</t>
        </is>
      </c>
      <c r="C18" s="24">
        <f>C16/C17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24" customWidth="1" min="3" max="3"/>
    <col width="22" customWidth="1" min="4" max="4"/>
    <col width="24" customWidth="1" min="5" max="5"/>
    <col width="18" customWidth="1" min="6" max="6"/>
    <col width="18" customWidth="1" min="7" max="7"/>
  </cols>
  <sheetData>
    <row r="2">
      <c r="B2" s="1" t="inlineStr">
        <is>
          <t>Aldar Properties — Downside Scenario &amp; Distressed Liquidation Analysis</t>
        </is>
      </c>
    </row>
    <row r="3">
      <c r="B3" s="2" t="inlineStr">
        <is>
          <t>Stress-testing EBITDA contractions, currency shocks, refinancing stress, and implied recovery floors</t>
        </is>
      </c>
    </row>
    <row r="5">
      <c r="B5" s="3" t="inlineStr">
        <is>
          <t>Metric / Assumption</t>
        </is>
      </c>
      <c r="C5" s="3" t="inlineStr">
        <is>
          <t>Base Case (Consensus)</t>
        </is>
      </c>
      <c r="D5" s="3" t="inlineStr">
        <is>
          <t>Mild Recession (-15% EBITDA)</t>
        </is>
      </c>
      <c r="E5" s="3" t="inlineStr">
        <is>
          <t>Severe Stress (-35% EBITDA)</t>
        </is>
      </c>
    </row>
    <row r="6">
      <c r="B6" s="5" t="inlineStr">
        <is>
          <t>Annual Normalized EBITDA ($M)</t>
        </is>
      </c>
      <c r="C6" s="17" t="n">
        <v>1550</v>
      </c>
      <c r="D6" s="17" t="n">
        <v>1317.5</v>
      </c>
      <c r="E6" s="25" t="n">
        <v>1007.5</v>
      </c>
    </row>
    <row r="7">
      <c r="B7" s="5" t="inlineStr">
        <is>
          <t>Free Cash Flow ($M)</t>
        </is>
      </c>
      <c r="C7" s="17" t="n">
        <v>775</v>
      </c>
      <c r="D7" s="17" t="n">
        <v>465</v>
      </c>
      <c r="E7" s="25" t="n">
        <v>116.2</v>
      </c>
    </row>
    <row r="8">
      <c r="B8" s="12" t="inlineStr">
        <is>
          <t>Net Leverage Ratio (x)</t>
        </is>
      </c>
      <c r="C8" s="26" t="n">
        <v>0.51</v>
      </c>
      <c r="D8" s="26" t="n">
        <v>0.64</v>
      </c>
      <c r="E8" s="27" t="n">
        <v>0.9399999999999999</v>
      </c>
    </row>
    <row r="9">
      <c r="B9" s="5" t="inlineStr">
        <is>
          <t>Interest Coverage Ratio (x)</t>
        </is>
      </c>
      <c r="C9" s="26" t="n">
        <v>7.4</v>
      </c>
      <c r="D9" s="26" t="n">
        <v>5.77</v>
      </c>
      <c r="E9" s="27" t="n">
        <v>3.33</v>
      </c>
    </row>
    <row r="10">
      <c r="B10" s="12" t="inlineStr">
        <is>
          <t>Implied Senior Paper Trading / Recovery ($)</t>
        </is>
      </c>
      <c r="C10" s="12" t="inlineStr">
        <is>
          <t>$101.00</t>
        </is>
      </c>
      <c r="D10" s="12" t="inlineStr">
        <is>
          <t>$90.00</t>
        </is>
      </c>
      <c r="E10" s="28" t="inlineStr">
        <is>
          <t>$78.00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2026-09-19T18:23:30Z</dcterms:created>
  <dcterms:modified xmlns:dcterms="http://purl.org/dc/terms/" xmlns:xsi="http://www.w3.org/2001/XMLSchema-instance" xsi:type="dcterms:W3CDTF">2026-09-19T18:23:30Z</dcterms:modified>
</cp:coreProperties>
</file>