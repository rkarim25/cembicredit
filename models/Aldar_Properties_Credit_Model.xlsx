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+$65.5M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+$80.6M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+$90.7M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+$100.8M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+$110.8M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+$118.9M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+$124.9M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+$65.5M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+$80.6M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+$90.7M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+$100.8M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+$110.8M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+$118.9M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+$124.9M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(ALDAR) — Institutional Credit Model</t>
        </is>
      </c>
    </row>
    <row r="3">
      <c r="B3" s="2" t="inlineStr">
        <is>
          <t>Sector: Real Estate | Country: UAE | Rating: BBB- / Baa2 | Benchmark: ALDAR 5.25% 2029 @ $100.10 (5.25% YTM / +105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 sovereign master developer; recurring rental income covers interest by 4x; Alpha Dhabi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ALDAR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878.85</v>
      </c>
      <c r="F26" s="7" t="inlineStr">
        <is>
          <t>5.25%</t>
        </is>
      </c>
      <c r="G26" s="7" t="inlineStr">
        <is>
          <t>$100.10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ALDAR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585.9</v>
      </c>
      <c r="F27" s="7" t="inlineStr">
        <is>
          <t>4.50%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488.25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1723.8</v>
      </c>
      <c r="D15" s="8" t="n">
        <v>2078.7</v>
      </c>
      <c r="E15" s="8" t="n">
        <v>2332.2</v>
      </c>
      <c r="F15" s="8" t="n">
        <v>2535</v>
      </c>
      <c r="G15" s="8" t="n">
        <v>2737.8</v>
      </c>
      <c r="H15" s="8" t="n">
        <v>2915.2</v>
      </c>
      <c r="I15" s="8" t="n">
        <v>3042</v>
      </c>
    </row>
    <row r="16">
      <c r="B16" s="7" t="inlineStr">
        <is>
          <t>Completed Ready Property Sales</t>
        </is>
      </c>
      <c r="C16" s="8" t="n">
        <v>583.4</v>
      </c>
      <c r="D16" s="8" t="n">
        <v>703.6</v>
      </c>
      <c r="E16" s="8" t="n">
        <v>789.4</v>
      </c>
      <c r="F16" s="8" t="n">
        <v>858</v>
      </c>
      <c r="G16" s="8" t="n">
        <v>926.6</v>
      </c>
      <c r="H16" s="8" t="n">
        <v>986.7</v>
      </c>
      <c r="I16" s="8" t="n">
        <v>1029.6</v>
      </c>
    </row>
    <row r="17">
      <c r="B17" s="7" t="inlineStr">
        <is>
          <t>Commercial Leasing &amp; Hospitality</t>
        </is>
      </c>
      <c r="C17" s="8" t="n">
        <v>344.8</v>
      </c>
      <c r="D17" s="8" t="n">
        <v>415.7</v>
      </c>
      <c r="E17" s="8" t="n">
        <v>466.4</v>
      </c>
      <c r="F17" s="8" t="n">
        <v>507</v>
      </c>
      <c r="G17" s="8" t="n">
        <v>547.6</v>
      </c>
      <c r="H17" s="8" t="n">
        <v>583.1</v>
      </c>
      <c r="I17" s="8" t="n">
        <v>608.4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65.5</v>
      </c>
      <c r="D35" s="23" t="n">
        <v>80.59999999999999</v>
      </c>
      <c r="E35" s="23" t="n">
        <v>90.7</v>
      </c>
      <c r="F35" s="23" t="n">
        <v>100.8</v>
      </c>
      <c r="G35" s="23" t="n">
        <v>110.8</v>
      </c>
      <c r="H35" s="23" t="n">
        <v>118.9</v>
      </c>
      <c r="I35" s="23" t="n">
        <v>124.9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+$65.5M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+$80.6M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+$90.7M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+$100.8M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+$110.8M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+$118.9M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+$124.9M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3978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928.2</v>
      </c>
      <c r="D36" s="8" t="n">
        <v>928.2</v>
      </c>
      <c r="E36" s="8" t="n">
        <v>928.2</v>
      </c>
      <c r="F36" s="8" t="n">
        <v>928.2</v>
      </c>
      <c r="G36" s="8" t="n">
        <v>928.2</v>
      </c>
      <c r="H36" s="8" t="n">
        <v>928.2</v>
      </c>
      <c r="I36" s="8" t="n">
        <v>928.2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-526.4</v>
      </c>
      <c r="D16" s="8" t="n">
        <v>-920.7</v>
      </c>
      <c r="E16" s="8" t="n">
        <v>-1035.8</v>
      </c>
      <c r="F16" s="8" t="n">
        <v>-980.4</v>
      </c>
      <c r="G16" s="8" t="n">
        <v>-890.9</v>
      </c>
      <c r="H16" s="8" t="n">
        <v>-955.7</v>
      </c>
      <c r="I16" s="8" t="n">
        <v>-1004.2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639.4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281.7</v>
      </c>
      <c r="D32" s="8" t="n">
        <v>674.9</v>
      </c>
      <c r="E32" s="8" t="n">
        <v>758.9</v>
      </c>
      <c r="F32" s="8" t="n">
        <v>414.2</v>
      </c>
      <c r="G32" s="8" t="n">
        <v>441.7</v>
      </c>
      <c r="H32" s="8" t="n">
        <v>466.6</v>
      </c>
      <c r="I32" s="8" t="n">
        <v>483.5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ALDAR Benchmark Eurobond Notes</t>
        </is>
      </c>
    </row>
    <row r="7">
      <c r="B7" s="7" t="inlineStr">
        <is>
          <t xml:space="preserve">  Beginning Principal Balance</t>
        </is>
      </c>
      <c r="C7" s="8" t="n">
        <v>747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0.0525</f>
        <v/>
      </c>
      <c r="D11" s="8">
        <f>D10 * 0.0525</f>
        <v/>
      </c>
      <c r="E11" s="8">
        <f>E10 * 0.0525</f>
        <v/>
      </c>
      <c r="F11" s="8">
        <f>F10 * 0.0525</f>
        <v/>
      </c>
      <c r="G11" s="8">
        <f>G10 * 0.0525</f>
        <v/>
      </c>
      <c r="H11" s="8">
        <f>H10 * 0.0525</f>
        <v/>
      </c>
      <c r="I11" s="8">
        <f>I10 * 0.0525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913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234.4</v>
      </c>
      <c r="C32" s="8" t="n">
        <v>429.7</v>
      </c>
      <c r="D32" s="8" t="n">
        <v>546.8</v>
      </c>
      <c r="E32" s="8" t="n">
        <v>351.5</v>
      </c>
      <c r="F32" s="8" t="n">
        <v>234.4</v>
      </c>
      <c r="G32" s="8" t="n">
        <v>156.2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ALDAR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878.9</v>
      </c>
      <c r="F37" s="29" t="inlineStr">
        <is>
          <t>5.250%</t>
        </is>
      </c>
      <c r="G37" s="30" t="n">
        <v>100.1</v>
      </c>
      <c r="H37" s="31" t="n">
        <v>5.25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ALDAR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585.9</v>
      </c>
      <c r="F38" s="29" t="inlineStr">
        <is>
          <t>4.600%</t>
        </is>
      </c>
      <c r="G38" s="30" t="n">
        <v>101.5</v>
      </c>
      <c r="H38" s="31" t="n">
        <v>4.6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292.9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195.3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ALDAR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546.8</v>
      </c>
    </row>
    <row r="45">
      <c r="B45" s="7" t="inlineStr">
        <is>
          <t>Drawn Amount ($M)</t>
        </is>
      </c>
      <c r="C45" s="8" t="n">
        <v>195.3</v>
      </c>
    </row>
    <row r="46">
      <c r="B46" s="18" t="inlineStr">
        <is>
          <t>AVAILABLE UNDRAWN HEADROOM ($M)</t>
        </is>
      </c>
      <c r="C46" s="19" t="n">
        <v>351.5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0.51x</t>
        </is>
      </c>
      <c r="E55" s="32" t="inlineStr">
        <is>
          <t>2.99x leverage buffer ($4634.5M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7.40x</t>
        </is>
      </c>
      <c r="E56" s="32" t="inlineStr">
        <is>
          <t>+4.90x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4.2% of Assets</t>
        </is>
      </c>
      <c r="E57" s="32" t="inlineStr">
        <is>
          <t>$858.0M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5.25%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+0.9%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7.25%</t>
        </is>
      </c>
      <c r="F7" s="29" t="inlineStr">
        <is>
          <t>3.2x</t>
        </is>
      </c>
      <c r="G7" s="29" t="inlineStr">
        <is>
          <t>$89.50</t>
        </is>
      </c>
      <c r="H7" s="29" t="inlineStr">
        <is>
          <t>-10.6%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$78.00</t>
        </is>
      </c>
      <c r="H8" s="29" t="inlineStr">
        <is>
          <t>-22.1%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488.2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ALDAR Senior Unsecured Eurobonds</t>
        </is>
      </c>
      <c r="C15" s="8" t="n">
        <v>1464.8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78.0%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292.9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781.2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(ALDAR) — Earnings Presentation &amp; Management Guidance</t>
        </is>
      </c>
    </row>
    <row r="3">
      <c r="B3" s="2" t="inlineStr">
        <is>
          <t>Source: Aldar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$4212.0M (+8.0% YoY growth)</t>
        </is>
      </c>
      <c r="D7" s="35" t="inlineStr">
        <is>
          <t>$4153.5M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$4212.0M (+8.0% YoY growth). With current run-rate at $4153.5M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$1705.0M (40.5% margin)</t>
        </is>
      </c>
      <c r="D8" s="35" t="inlineStr">
        <is>
          <t>$1674.0M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$1705.0M (40.5%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0.51x</t>
        </is>
      </c>
      <c r="E9" s="32" t="inlineStr">
        <is>
          <t>Ahead of Target</t>
        </is>
      </c>
      <c r="F9" s="37" t="inlineStr">
        <is>
          <t>Deleveraging on track with 2.99x buffer below covenant limit.
[QUESTION TO CFO TO VERIFY]: You previously committed to a Net Leverage ceiling of &lt; 3.00x Net Debt / EBITDA. Current actual leverage stands at 0.51x.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$569.6M (Maximum growth and sustaining envelope)</t>
        </is>
      </c>
      <c r="D10" s="35" t="inlineStr">
        <is>
          <t>$524.0M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$569.6M (Maximum growth and sustaining envelope). Current commitments stand at $524.0M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$12480.0M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17,550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$7215.0M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$755.6M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$988.1M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$683.5M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2026-10-29</t>
        </is>
      </c>
    </row>
    <row r="48">
      <c r="B48" s="9" t="inlineStr">
        <is>
          <t>Reporting Period</t>
        </is>
      </c>
      <c r="C48" s="37" t="inlineStr">
        <is>
          <t>Q3 2026 Earnings Release</t>
        </is>
      </c>
    </row>
    <row r="49">
      <c r="B49" s="9" t="inlineStr">
        <is>
          <t>Confirmation Status</t>
        </is>
      </c>
      <c r="C49" s="37" t="inlineStr">
        <is>
          <t>Confirmed</t>
        </is>
      </c>
    </row>
    <row r="50">
      <c r="B50" s="9" t="inlineStr">
        <is>
          <t>Conference Call &amp; Webcast Schedule</t>
        </is>
      </c>
      <c r="C50" s="37" t="inlineStr">
        <is>
          <t>14:00 Abu Dhabi / 10:00 UK</t>
        </is>
      </c>
    </row>
    <row r="51">
      <c r="B51" s="9" t="inlineStr">
        <is>
          <t>Official IR Portal / Webcast URL</t>
        </is>
      </c>
      <c r="C51" s="37" t="inlineStr">
        <is>
          <t>https://www.aldar.com/en/investor-relations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2026-09-25T04:18:06Z</dcterms:created>
  <dcterms:modified xmlns:dcterms="http://purl.org/dc/terms/" xmlns:xsi="http://www.w3.org/2001/XMLSchema-instance" xsi:type="dcterms:W3CDTF">2026-09-25T04:18:06Z</dcterms:modified>
</cp:coreProperties>
</file>