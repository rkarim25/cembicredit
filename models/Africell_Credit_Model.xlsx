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(+$2.0M)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(+$2.2M)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(+$2.0M)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(+$2.2M)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Institutional Credit Model</t>
        </is>
      </c>
    </row>
    <row r="3">
      <c r="B3" s="2" t="inlineStr">
        <is>
          <t>Sector: Technology | Country: Angola | Rating: B- / B3 | Benchmark: AFRCEL 11.45% 2028 @ $103.01 (9.35% YTM / +457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6M+ subscribers captured in Angola post-2022 rollout; strategic US DFC $100M+ senior debt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AFRCEL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347.535</v>
      </c>
      <c r="F26" s="7" t="inlineStr">
        <is>
          <t>9.35%</t>
        </is>
      </c>
      <c r="G26" s="7" t="inlineStr">
        <is>
          <t>$103.01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AFRCEL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231.69</v>
      </c>
      <c r="F27" s="7" t="inlineStr">
        <is>
          <t>8.60%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193.075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220.4</v>
      </c>
      <c r="D16" s="8" t="n">
        <v>240.7</v>
      </c>
      <c r="E16" s="8" t="n">
        <v>250.6</v>
      </c>
      <c r="F16" s="8" t="n">
        <v>379.1</v>
      </c>
      <c r="G16" s="8" t="n">
        <v>275.5</v>
      </c>
      <c r="H16" s="8" t="n">
        <v>295.8</v>
      </c>
      <c r="I16" s="8" t="n">
        <v>316.1</v>
      </c>
    </row>
    <row r="17">
      <c r="B17" s="7" t="inlineStr">
        <is>
          <t>Fixed Broadband &amp; Enterprise ICT</t>
        </is>
      </c>
      <c r="C17" s="8" t="n">
        <v>98.8</v>
      </c>
      <c r="D17" s="8" t="n">
        <v>107.9</v>
      </c>
      <c r="E17" s="8" t="n">
        <v>112.3</v>
      </c>
      <c r="F17" s="8" t="n">
        <v>169.9</v>
      </c>
      <c r="G17" s="8" t="n">
        <v>123.5</v>
      </c>
      <c r="H17" s="8" t="n">
        <v>132.6</v>
      </c>
      <c r="I17" s="8" t="n">
        <v>141.7</v>
      </c>
    </row>
    <row r="18">
      <c r="B18" s="7" t="inlineStr">
        <is>
          <t>Fintech, Media &amp; Digital Services</t>
        </is>
      </c>
      <c r="C18" s="8" t="n">
        <v>60.8</v>
      </c>
      <c r="D18" s="8" t="n">
        <v>66.40000000000001</v>
      </c>
      <c r="E18" s="8" t="n">
        <v>69.09999999999999</v>
      </c>
      <c r="F18" s="8" t="n">
        <v>104.6</v>
      </c>
      <c r="G18" s="8" t="n">
        <v>76</v>
      </c>
      <c r="H18" s="8" t="n">
        <v>81.59999999999999</v>
      </c>
      <c r="I18" s="8" t="n">
        <v>87.2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1.6</v>
      </c>
      <c r="D35" s="23" t="n">
        <v>2</v>
      </c>
      <c r="E35" s="23" t="n">
        <v>2.2</v>
      </c>
      <c r="F35" s="23" t="n">
        <v>2.5</v>
      </c>
      <c r="G35" s="23" t="n">
        <v>2.7</v>
      </c>
      <c r="H35" s="23" t="n">
        <v>2.9</v>
      </c>
      <c r="I35" s="23" t="n">
        <v>3.1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(+$1.6M)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(+$2.0M)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(+$2.2M)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(+$2.5M)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133</v>
      </c>
      <c r="D36" s="8" t="n">
        <v>133</v>
      </c>
      <c r="E36" s="8" t="n">
        <v>133</v>
      </c>
      <c r="F36" s="8" t="n">
        <v>133</v>
      </c>
      <c r="G36" s="8" t="n">
        <v>133</v>
      </c>
      <c r="H36" s="8" t="n">
        <v>133</v>
      </c>
      <c r="I36" s="8" t="n">
        <v>133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85</v>
      </c>
      <c r="D16" s="8" t="n">
        <v>-98</v>
      </c>
      <c r="E16" s="8" t="n">
        <v>-88</v>
      </c>
      <c r="F16" s="8" t="n">
        <v>185</v>
      </c>
      <c r="G16" s="8" t="n">
        <v>-65</v>
      </c>
      <c r="H16" s="8" t="n">
        <v>-58</v>
      </c>
      <c r="I16" s="8" t="n">
        <v>-52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68.09999999999999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181.1</v>
      </c>
      <c r="D32" s="8" t="n">
        <v>27.9</v>
      </c>
      <c r="E32" s="8" t="n">
        <v>29.8</v>
      </c>
      <c r="F32" s="8" t="n">
        <v>502</v>
      </c>
      <c r="G32" s="8" t="n">
        <v>58.7</v>
      </c>
      <c r="H32" s="8" t="n">
        <v>52.2</v>
      </c>
      <c r="I32" s="8" t="n">
        <v>46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AFRCEL Benchmark Eurobond Notes</t>
        </is>
      </c>
    </row>
    <row r="7">
      <c r="B7" s="7" t="inlineStr">
        <is>
          <t xml:space="preserve">  Beginning Principal Balance</t>
        </is>
      </c>
      <c r="C7" s="8" t="n">
        <v>206.4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68.8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0.0935</f>
        <v/>
      </c>
      <c r="D11" s="8">
        <f>D10 * 0.0935</f>
        <v/>
      </c>
      <c r="E11" s="8">
        <f>E10 * 0.0935</f>
        <v/>
      </c>
      <c r="F11" s="8">
        <f>F10 * 0.0935</f>
        <v/>
      </c>
      <c r="G11" s="8">
        <f>G10 * 0.0935</f>
        <v/>
      </c>
      <c r="H11" s="8">
        <f>H10 * 0.0935</f>
        <v/>
      </c>
      <c r="I11" s="8">
        <f>I10 * 0.0935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252.2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92.7</v>
      </c>
      <c r="C32" s="8" t="n">
        <v>169.9</v>
      </c>
      <c r="D32" s="8" t="n">
        <v>216.2</v>
      </c>
      <c r="E32" s="8" t="n">
        <v>139</v>
      </c>
      <c r="F32" s="8" t="n">
        <v>92.7</v>
      </c>
      <c r="G32" s="8" t="n">
        <v>61.8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AFRCEL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242.8</v>
      </c>
      <c r="F37" s="29" t="inlineStr">
        <is>
          <t>11.450%</t>
        </is>
      </c>
      <c r="G37" s="30" t="n">
        <v>92</v>
      </c>
      <c r="H37" s="31" t="n">
        <v>11.45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AFRCEL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161.8</v>
      </c>
      <c r="F38" s="29" t="inlineStr">
        <is>
          <t>10.800%</t>
        </is>
      </c>
      <c r="G38" s="30" t="n">
        <v>94</v>
      </c>
      <c r="H38" s="31" t="n">
        <v>10.8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80.90000000000001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AFRCEL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151.1</v>
      </c>
    </row>
    <row r="45">
      <c r="B45" s="7" t="inlineStr">
        <is>
          <t>Drawn Amount ($M)</t>
        </is>
      </c>
      <c r="C45" s="8" t="n">
        <v>54</v>
      </c>
    </row>
    <row r="46">
      <c r="B46" s="18" t="inlineStr">
        <is>
          <t>AVAILABLE UNDRAWN HEADROOM ($M)</t>
        </is>
      </c>
      <c r="C46" s="19" t="n">
        <v>97.09999999999999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2.52x</t>
        </is>
      </c>
      <c r="E55" s="32" t="inlineStr">
        <is>
          <t>1.23x leverage buffer ($202.9M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2.89x</t>
        </is>
      </c>
      <c r="E56" s="32" t="inlineStr">
        <is>
          <t>+0.39x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9.2% of Assets</t>
        </is>
      </c>
      <c r="E57" s="32" t="inlineStr">
        <is>
          <t>$107.8M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9.35%</t>
        </is>
      </c>
      <c r="F6" s="34" t="inlineStr">
        <is>
          <t>4.2x</t>
        </is>
      </c>
      <c r="G6" s="34" t="inlineStr">
        <is>
          <t>$95.00</t>
        </is>
      </c>
      <c r="H6" s="34" t="inlineStr">
        <is>
          <t>-7.8%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11.35%</t>
        </is>
      </c>
      <c r="F7" s="29" t="inlineStr">
        <is>
          <t>3.2x</t>
        </is>
      </c>
      <c r="G7" s="29" t="inlineStr">
        <is>
          <t>$76.50</t>
        </is>
      </c>
      <c r="H7" s="29" t="inlineStr">
        <is>
          <t>-25.7%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$58.00</t>
        </is>
      </c>
      <c r="H8" s="29" t="inlineStr">
        <is>
          <t>-43.7%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7.85%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193.1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AFRCEL Senior Unsecured Eurobonds</t>
        </is>
      </c>
      <c r="C15" s="8" t="n">
        <v>579.2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58.0%</t>
        </is>
      </c>
      <c r="G15" s="29" t="inlineStr">
        <is>
          <t>95.0%</t>
        </is>
      </c>
    </row>
    <row r="16">
      <c r="B16" s="7" t="inlineStr">
        <is>
          <t>Subordinated Debt &amp; Intercompany Notes</t>
        </is>
      </c>
      <c r="C16" s="8" t="n">
        <v>115.8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308.9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Africell (AFRCEL) — Earnings Presentation &amp; Management Guidance</t>
        </is>
      </c>
    </row>
    <row r="3">
      <c r="B3" s="2" t="inlineStr">
        <is>
          <t>Source: Africell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$529.2M (+8.0% YoY growth)</t>
        </is>
      </c>
      <c r="D7" s="35" t="inlineStr">
        <is>
          <t>$521.9M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$529.2M (+8.0% YoY growth). With current run-rate at $521.9M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$181.5M (34.3% margin)</t>
        </is>
      </c>
      <c r="D8" s="35" t="inlineStr">
        <is>
          <t>$178.2M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$181.5M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2.52x</t>
        </is>
      </c>
      <c r="E9" s="32" t="inlineStr">
        <is>
          <t>Ahead of Target</t>
        </is>
      </c>
      <c r="F9" s="37" t="inlineStr">
        <is>
          <t>Deleveraging on track with 1.23x buffer below covenant limit.
[QUESTION TO CFO TO VERIFY]: You previously committed to a Net Leverage ceiling of &lt; 3.25x Net Debt / EBITDA. Current actual leverage stands at 2.52x.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$60.6M (Maximum growth and sustaining envelope)</t>
        </is>
      </c>
      <c r="D10" s="35" t="inlineStr">
        <is>
          <t>$55.8M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$60.6M (Maximum growth and sustaining envelope). Current commitments stand at $55.8M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$161.6M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$220.5M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$123.8M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$161.8M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https://www.google.com/finance/quote/AFRCEL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2026-09-23T07:30:57Z</dcterms:created>
  <dcterms:modified xmlns:dcterms="http://purl.org/dc/terms/" xmlns:xsi="http://www.w3.org/2001/XMLSchema-instance" xsi:type="dcterms:W3CDTF">2026-09-23T07:30:57Z</dcterms:modified>
</cp:coreProperties>
</file>