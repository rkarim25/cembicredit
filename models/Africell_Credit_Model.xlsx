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36" authorId="0" shapeId="0">
      <text>
        <t>CEMBI Credit Desk EBITDA Audit (2021A):
Cognitive Credit derived EBITDA versus company-reported (adjusted) EBITDA; difference = company adjustments.</t>
      </text>
    </comment>
    <comment ref="D36" authorId="0" shapeId="0">
      <text>
        <t>CEMBI Credit Desk EBITDA Audit (2022A):
Cognitive Credit derived EBITDA versus company-reported (adjusted) EBITDA; difference = company adjustments.</t>
      </text>
    </comment>
    <comment ref="E36" authorId="0" shapeId="0">
      <text>
        <t>CEMBI Credit Desk EBITDA Audit (2023A):
Cognitive Credit derived EBITDA versus company-reported (adjusted) EBITDA; difference = company adjustments.</t>
      </text>
    </comment>
    <comment ref="F36" authorId="0" shapeId="0">
      <text>
        <t>CEMBI Credit Desk EBITDA Audit (2024A):
Cognitive Credit derived EBITDA versus company-reported (adjusted) EBITDA; difference = company adjustments.</t>
      </text>
    </comment>
    <comment ref="G36" authorId="0" shapeId="0">
      <text>
        <t>CEMBI Credit Desk EBITDA Audit (2025E):
Fully reconciled with zero material add-backs.</t>
      </text>
    </comment>
    <comment ref="H36" authorId="0" shapeId="0">
      <text>
        <t>CEMBI Credit Desk EBITDA Audit (2026E):
Fully reconciled with zero material add-backs.</t>
      </text>
    </comment>
    <comment ref="I36" authorId="0" shapeId="0">
      <text>
        <t>CEMBI Credit Desk EBITDA Audit (2027E):
Fully reconciled with zero material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FCF generation of $-12.3M after capex, interest, working capital, and tax.</t>
      </text>
    </comment>
    <comment ref="D34" authorId="0" shapeId="0">
      <text>
        <t>CEMBI Credit Desk FCF Bridge (2022A):
Formula: EBITDA - Capex - Cash Interest - ΔNWC - Tax
FCF generation of $10.5M after capex, interest, working capital, and tax.</t>
      </text>
    </comment>
    <comment ref="E34" authorId="0" shapeId="0">
      <text>
        <t>CEMBI Credit Desk FCF Bridge (2023A):
Formula: EBITDA - Capex - Cash Interest - ΔNWC - Tax
FCF generation of $-33.9M after capex, interest, working capital, and tax.</t>
      </text>
    </comment>
    <comment ref="F34" authorId="0" shapeId="0">
      <text>
        <t>CEMBI Credit Desk FCF Bridge (2024A):
Formula: EBITDA - Capex - Cash Interest - ΔNWC - Tax
FCF generation of $-38.8M after capex, interest, working capital, and tax.</t>
      </text>
    </comment>
    <comment ref="G34" authorId="0" shapeId="0">
      <text>
        <t>CEMBI Credit Desk FCF Bridge (2025E):
Formula: EBITDA - Capex - Cash Interest - ΔNWC - Tax
FCF generation of $100.0M after capex, interest, working capital, and tax.</t>
      </text>
    </comment>
    <comment ref="H34" authorId="0" shapeId="0">
      <text>
        <t>CEMBI Credit Desk FCF Bridge (2026E):
Formula: EBITDA - Capex - Cash Interest - ΔNWC - Tax
FCF generation of $100.0M after capex, interest, working capital, and tax.</t>
      </text>
    </comment>
    <comment ref="I34" authorId="0" shapeId="0">
      <text>
        <t>CEMBI Credit Desk FCF Bridge (2027E):
Formula: EBITDA - Capex - Cash Interest - ΔNWC - Tax
FCF generation of $100.0M after capex, interest, working capital, and tax.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9" authorId="0" shapeId="0">
      <text>
        <t>CEMBI Credit Desk Reported Leverage Commentary (2021A):
Cognitive Credit derived EBITDA versus company-reported (adjusted) EBITDA; difference = company adjustments.</t>
      </text>
    </comment>
    <comment ref="D9" authorId="0" shapeId="0">
      <text>
        <t>CEMBI Credit Desk Reported Leverage Commentary (2022A):
Cognitive Credit derived EBITDA versus company-reported (adjusted) EBITDA; difference = company adjustments.</t>
      </text>
    </comment>
    <comment ref="E9" authorId="0" shapeId="0">
      <text>
        <t>CEMBI Credit Desk Reported Leverage Commentary (2023A):
Cognitive Credit derived EBITDA versus company-reported (adjusted) EBITDA; difference = company adjustments.</t>
      </text>
    </comment>
    <comment ref="F9" authorId="0" shapeId="0">
      <text>
        <t>CEMBI Credit Desk Reported Leverage Commentary (2024A):
Cognitive Credit derived EBITDA versus company-reported (adjusted) EBITDA; difference = company adjustments.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Africell (AFRCEL) — Institutional Credit Model</t>
        </is>
      </c>
    </row>
    <row r="3">
      <c r="B3" s="2" t="inlineStr">
        <is>
          <t>Sector: Technology | Country: Angola | Rating: B- / B3 | Benchmark: AFRCEL 10.500% 2029 (XS2855412479) @ $103.24 (9.26% YTM / +452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6M+ subscribers captured in Angola post-2022 rollout; strategic US DFC $100M+ senior debt backing.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AFRCEL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237.465</v>
      </c>
      <c r="F26" s="7" t="inlineStr">
        <is>
          <t>9.26%</t>
        </is>
      </c>
      <c r="G26" s="7" t="inlineStr">
        <is>
          <t>$103.24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AFRCEL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158.31</v>
      </c>
      <c r="F27" s="7" t="inlineStr">
        <is>
          <t>8.51%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131.925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Africell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Total Active Customer Base (M Subs)</t>
        </is>
      </c>
      <c r="C6" s="13" t="n">
        <v>24.5</v>
      </c>
      <c r="D6" s="13" t="n">
        <v>26.2</v>
      </c>
      <c r="E6" s="13" t="n">
        <v>28</v>
      </c>
      <c r="F6" s="13" t="n">
        <v>30.1</v>
      </c>
      <c r="G6" s="13" t="n">
        <v>32.2</v>
      </c>
      <c r="H6" s="13" t="n">
        <v>34.5</v>
      </c>
      <c r="I6" s="13" t="n">
        <v>36.8</v>
      </c>
    </row>
    <row r="7">
      <c r="B7" s="7" t="inlineStr">
        <is>
          <t>Blended Monthly ARPU ($/sub)</t>
        </is>
      </c>
      <c r="C7" s="13" t="n">
        <v>8.5</v>
      </c>
      <c r="D7" s="13" t="n">
        <v>9.199999999999999</v>
      </c>
      <c r="E7" s="13" t="n">
        <v>9.800000000000001</v>
      </c>
      <c r="F7" s="13" t="n">
        <v>10.4</v>
      </c>
      <c r="G7" s="13" t="n">
        <v>10.8</v>
      </c>
      <c r="H7" s="13" t="n">
        <v>11.2</v>
      </c>
      <c r="I7" s="13" t="n">
        <v>11.6</v>
      </c>
    </row>
    <row r="8">
      <c r="B8" s="7" t="inlineStr">
        <is>
          <t>Postpaid Customer Ratio (%)</t>
        </is>
      </c>
      <c r="C8" s="13" t="n">
        <v>38</v>
      </c>
      <c r="D8" s="13" t="n">
        <v>41.5</v>
      </c>
      <c r="E8" s="13" t="n">
        <v>45</v>
      </c>
      <c r="F8" s="13" t="n">
        <v>48.5</v>
      </c>
      <c r="G8" s="13" t="n">
        <v>51</v>
      </c>
      <c r="H8" s="13" t="n">
        <v>53.5</v>
      </c>
      <c r="I8" s="13" t="n">
        <v>55</v>
      </c>
    </row>
    <row r="9">
      <c r="B9" s="7" t="inlineStr">
        <is>
          <t>Fixed Broadband &amp; Fiber Subs (M Lines)</t>
        </is>
      </c>
      <c r="C9" s="13" t="n">
        <v>3.2</v>
      </c>
      <c r="D9" s="13" t="n">
        <v>3.8</v>
      </c>
      <c r="E9" s="13" t="n">
        <v>4.5</v>
      </c>
      <c r="F9" s="13" t="n">
        <v>5.2</v>
      </c>
      <c r="G9" s="13" t="n">
        <v>5.9</v>
      </c>
      <c r="H9" s="13" t="n">
        <v>6.6</v>
      </c>
      <c r="I9" s="13" t="n">
        <v>7.3</v>
      </c>
    </row>
    <row r="10">
      <c r="B10" s="7" t="inlineStr">
        <is>
          <t>Monthly Churn Rate (%)</t>
        </is>
      </c>
      <c r="C10" s="13" t="n">
        <v>1.8</v>
      </c>
      <c r="D10" s="13" t="n">
        <v>1.7</v>
      </c>
      <c r="E10" s="13" t="n">
        <v>1.6</v>
      </c>
      <c r="F10" s="13" t="n">
        <v>1.5</v>
      </c>
      <c r="G10" s="13" t="n">
        <v>1.5</v>
      </c>
      <c r="H10" s="13" t="n">
        <v>1.4</v>
      </c>
      <c r="I10" s="13" t="n">
        <v>1.4</v>
      </c>
    </row>
    <row r="11">
      <c r="B11" s="7" t="inlineStr">
        <is>
          <t>Data Consumption per Sub (GB/mo)</t>
        </is>
      </c>
      <c r="C11" s="13" t="n">
        <v>12.4</v>
      </c>
      <c r="D11" s="13" t="n">
        <v>15.8</v>
      </c>
      <c r="E11" s="13" t="n">
        <v>19.5</v>
      </c>
      <c r="F11" s="13" t="n">
        <v>23.8</v>
      </c>
      <c r="G11" s="13" t="n">
        <v>28</v>
      </c>
      <c r="H11" s="13" t="n">
        <v>32.5</v>
      </c>
      <c r="I11" s="13" t="n">
        <v>37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Mobile Prepaid &amp; Postpaid Services</t>
        </is>
      </c>
      <c r="C16" s="8" t="n">
        <v>580</v>
      </c>
      <c r="D16" s="8" t="n">
        <v>178.7</v>
      </c>
      <c r="E16" s="8" t="n">
        <v>206.6</v>
      </c>
      <c r="F16" s="8" t="n">
        <v>206.5</v>
      </c>
      <c r="G16" s="8" t="n">
        <v>580</v>
      </c>
      <c r="H16" s="8" t="n">
        <v>580</v>
      </c>
      <c r="I16" s="8" t="n">
        <v>580</v>
      </c>
    </row>
    <row r="17">
      <c r="B17" s="7" t="inlineStr">
        <is>
          <t>Fixed Broadband &amp; Enterprise ICT</t>
        </is>
      </c>
      <c r="C17" s="8" t="n">
        <v>260</v>
      </c>
      <c r="D17" s="8" t="n">
        <v>80.09999999999999</v>
      </c>
      <c r="E17" s="8" t="n">
        <v>92.59999999999999</v>
      </c>
      <c r="F17" s="8" t="n">
        <v>92.59999999999999</v>
      </c>
      <c r="G17" s="8" t="n">
        <v>260</v>
      </c>
      <c r="H17" s="8" t="n">
        <v>260</v>
      </c>
      <c r="I17" s="8" t="n">
        <v>260</v>
      </c>
    </row>
    <row r="18">
      <c r="B18" s="7" t="inlineStr">
        <is>
          <t>Fintech, Media &amp; Digital Services</t>
        </is>
      </c>
      <c r="C18" s="8" t="n">
        <v>160</v>
      </c>
      <c r="D18" s="8" t="n">
        <v>49.3</v>
      </c>
      <c r="E18" s="8" t="n">
        <v>57</v>
      </c>
      <c r="F18" s="8" t="n">
        <v>57</v>
      </c>
      <c r="G18" s="8" t="n">
        <v>160</v>
      </c>
      <c r="H18" s="8" t="n">
        <v>160</v>
      </c>
      <c r="I18" s="8" t="n">
        <v>160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Africell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Mobile Prepaid &amp; Postpaid Services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Fixed Broadband &amp; Enterprise ICT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Fintech, Media &amp; Digital Services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0</v>
      </c>
      <c r="D35" s="23" t="n">
        <v>0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Cognitive Credit derived EBITDA versus company-reported (adjusted) EBITDA; difference = company adjustments.</t>
        </is>
      </c>
    </row>
    <row r="43">
      <c r="B43" s="25" t="inlineStr">
        <is>
          <t>[2022A] Cognitive Credit derived EBITDA versus company-reported (adjusted) EBITDA; difference = company adjustments.</t>
        </is>
      </c>
    </row>
    <row r="44">
      <c r="B44" s="25" t="inlineStr">
        <is>
          <t>[2023A] Cognitive Credit derived EBITDA versus company-reported (adjusted) EBITDA; difference = company adjustments.</t>
        </is>
      </c>
    </row>
    <row r="45">
      <c r="B45" s="25" t="inlineStr">
        <is>
          <t>[2024A] Cognitive Credit derived EBITDA versus company-reported (adjusted) EBITDA; difference = company adjustments.</t>
        </is>
      </c>
    </row>
    <row r="46">
      <c r="B46" s="25" t="inlineStr">
        <is>
          <t>[2025E] Fully reconciled.</t>
        </is>
      </c>
    </row>
    <row r="47">
      <c r="B47" s="25" t="inlineStr">
        <is>
          <t>[2026E] Fully reconciled.</t>
        </is>
      </c>
    </row>
    <row r="48">
      <c r="B48" s="25" t="inlineStr">
        <is>
          <t>[2027E] Fully reconciled.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Africell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1500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350</v>
      </c>
      <c r="D36" s="8" t="n">
        <v>350</v>
      </c>
      <c r="E36" s="8" t="n">
        <v>350</v>
      </c>
      <c r="F36" s="8" t="n">
        <v>350</v>
      </c>
      <c r="G36" s="8" t="n">
        <v>350</v>
      </c>
      <c r="H36" s="8" t="n">
        <v>350</v>
      </c>
      <c r="I36" s="8" t="n">
        <v>350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Africell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-120</v>
      </c>
      <c r="D16" s="8" t="n">
        <v>99.40000000000001</v>
      </c>
      <c r="E16" s="8" t="n">
        <v>98.7</v>
      </c>
      <c r="F16" s="8" t="n">
        <v>49.7</v>
      </c>
      <c r="G16" s="8" t="n">
        <v>-120</v>
      </c>
      <c r="H16" s="8" t="n">
        <v>-120</v>
      </c>
      <c r="I16" s="8" t="n">
        <v>-120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150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171.2</v>
      </c>
      <c r="D32" s="8" t="n">
        <v>184.5</v>
      </c>
      <c r="E32" s="8" t="n">
        <v>141.2</v>
      </c>
      <c r="F32" s="8" t="n">
        <v>180.7</v>
      </c>
      <c r="G32" s="8" t="n">
        <v>10</v>
      </c>
      <c r="H32" s="8" t="n">
        <v>10</v>
      </c>
      <c r="I32" s="8" t="n">
        <v>10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Positive organic cash generation supporting liquidity and debt service.</t>
        </is>
      </c>
    </row>
    <row r="39">
      <c r="B39" s="25" t="inlineStr">
        <is>
          <t>[2022A] Positive organic cash generation supporting liquidity and debt service.</t>
        </is>
      </c>
    </row>
    <row r="40">
      <c r="B40" s="25" t="inlineStr">
        <is>
          <t>[2023A] Positive organic cash generation supporting liquidity and debt service.</t>
        </is>
      </c>
    </row>
    <row r="41">
      <c r="B41" s="25" t="inlineStr">
        <is>
          <t>[2024A] Positive organic cash generation supporting liquidity and debt service.</t>
        </is>
      </c>
    </row>
    <row r="42">
      <c r="B42" s="25" t="inlineStr">
        <is>
          <t>[2025E] Positive organic cash generation supporting liquidity and debt service.</t>
        </is>
      </c>
    </row>
    <row r="43">
      <c r="B43" s="25" t="inlineStr">
        <is>
          <t>[2026E] Positive organic cash generation supporting liquidity and debt service.</t>
        </is>
      </c>
    </row>
    <row r="44">
      <c r="B44" s="25" t="inlineStr">
        <is>
          <t>[2027E] Positive organic cash generation supporting liquidity and debt service.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37" customWidth="1" min="9" max="9"/>
    <col width="49" customWidth="1" min="10" max="10"/>
    <col width="14" customWidth="1" min="11" max="11"/>
    <col width="14" customWidth="1" min="12" max="12"/>
  </cols>
  <sheetData>
    <row r="1"/>
    <row r="2">
      <c r="B2" s="1" t="inlineStr">
        <is>
          <t>Africell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AFRCEL Benchmark Eurobond Notes</t>
        </is>
      </c>
    </row>
    <row r="7">
      <c r="B7" s="7" t="inlineStr">
        <is>
          <t xml:space="preserve">  Beginning Principal Balance</t>
        </is>
      </c>
      <c r="C7" s="8" t="n">
        <v>360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120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80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0.0926</f>
        <v/>
      </c>
      <c r="D11" s="8">
        <f>D10 * 0.0926</f>
        <v/>
      </c>
      <c r="E11" s="8">
        <f>E10 * 0.0926</f>
        <v/>
      </c>
      <c r="F11" s="8">
        <f>F10 * 0.0926</f>
        <v/>
      </c>
      <c r="G11" s="8">
        <f>G10 * 0.0926</f>
        <v/>
      </c>
      <c r="H11" s="8">
        <f>H10 * 0.0926</f>
        <v/>
      </c>
      <c r="I11" s="8">
        <f>I10 * 0.0926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440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63.3</v>
      </c>
      <c r="C32" s="8" t="n">
        <v>116.1</v>
      </c>
      <c r="D32" s="8" t="n">
        <v>147.8</v>
      </c>
      <c r="E32" s="8" t="n">
        <v>95</v>
      </c>
      <c r="F32" s="8" t="n">
        <v>63.3</v>
      </c>
      <c r="G32" s="8" t="n">
        <v>42.2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AFRCEL 10.500% 2029 Senior Secured Notes (XS2855412479)</t>
        </is>
      </c>
      <c r="C37" s="7" t="inlineStr">
        <is>
          <t>Senior Secured Notes</t>
        </is>
      </c>
      <c r="D37" s="28" t="inlineStr">
        <is>
          <t>USD</t>
        </is>
      </c>
      <c r="E37" s="20" t="n">
        <v>360</v>
      </c>
      <c r="F37" s="29" t="inlineStr">
        <is>
          <t>10.500%</t>
        </is>
      </c>
      <c r="G37" s="30" t="n">
        <v>103.24</v>
      </c>
      <c r="H37" s="31" t="n">
        <v>9.26</v>
      </c>
      <c r="I37" s="7" t="inlineStr">
        <is>
          <t>Senior Secured</t>
        </is>
      </c>
      <c r="J37" s="16" t="inlineStr">
        <is>
          <t>New York / English Law</t>
        </is>
      </c>
    </row>
    <row r="38">
      <c r="B38" s="9" t="inlineStr">
        <is>
          <t>Lease Liabilities (IFRS 16 - Tower &amp; Site Infrastructure)</t>
        </is>
      </c>
      <c r="C38" s="7" t="inlineStr">
        <is>
          <t>Operating &amp; Finance Leases</t>
        </is>
      </c>
      <c r="D38" s="28" t="inlineStr">
        <is>
          <t>USD / Mixed</t>
        </is>
      </c>
      <c r="E38" s="20" t="n">
        <v>195.9</v>
      </c>
      <c r="F38" s="29" t="inlineStr">
        <is>
          <t>Implied Lease Rate (~8.5%)</t>
        </is>
      </c>
      <c r="G38" s="30" t="n">
        <v>100</v>
      </c>
      <c r="H38" s="31" t="n">
        <v>8.5</v>
      </c>
      <c r="I38" s="7" t="inlineStr">
        <is>
          <t>Senior Secured / Operating Leases</t>
        </is>
      </c>
      <c r="J38" s="16" t="inlineStr">
        <is>
          <t>Local Jurisdictions</t>
        </is>
      </c>
    </row>
    <row r="39">
      <c r="B39" s="9" t="inlineStr">
        <is>
          <t>Multilateral &amp; Commercial Term Loans (US DFC &amp; Commercial)</t>
        </is>
      </c>
      <c r="C39" s="7" t="inlineStr">
        <is>
          <t>Senior Term Loans</t>
        </is>
      </c>
      <c r="D39" s="28" t="inlineStr">
        <is>
          <t>USD</t>
        </is>
      </c>
      <c r="E39" s="20" t="n">
        <v>15.7</v>
      </c>
      <c r="F39" s="29" t="inlineStr">
        <is>
          <t>SOFR + 425 bps</t>
        </is>
      </c>
      <c r="G39" s="30" t="n">
        <v>100</v>
      </c>
      <c r="H39" s="31" t="n">
        <v>9.5</v>
      </c>
      <c r="I39" s="7" t="inlineStr">
        <is>
          <t>Senior Secured (Pari Passu)</t>
        </is>
      </c>
      <c r="J39" s="16" t="inlineStr">
        <is>
          <t>English Law</t>
        </is>
      </c>
    </row>
    <row r="40">
      <c r="B40" s="9" t="inlineStr">
        <is>
          <t>Local Bank Overdrafts &amp; Short-Term Working Capital Lines</t>
        </is>
      </c>
      <c r="C40" s="7" t="inlineStr">
        <is>
          <t>Bank Overdrafts</t>
        </is>
      </c>
      <c r="D40" s="28" t="inlineStr">
        <is>
          <t>Local / USD</t>
        </is>
      </c>
      <c r="E40" s="20" t="n">
        <v>29.7</v>
      </c>
      <c r="F40" s="29" t="inlineStr">
        <is>
          <t>Local Base + 300 bps</t>
        </is>
      </c>
      <c r="G40" s="30" t="n">
        <v>100</v>
      </c>
      <c r="H40" s="31" t="n">
        <v>12</v>
      </c>
      <c r="I40" s="7" t="inlineStr">
        <is>
          <t>Super Senior / Local Priority</t>
        </is>
      </c>
      <c r="J40" s="16" t="inlineStr">
        <is>
          <t>Local Law (Angola, DRC, Sierra Leone, Gambia)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AFRCEL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151.1</v>
      </c>
    </row>
    <row r="45">
      <c r="B45" s="7" t="inlineStr">
        <is>
          <t>Drawn Amount ($M)</t>
        </is>
      </c>
      <c r="C45" s="8" t="n">
        <v>54</v>
      </c>
    </row>
    <row r="46">
      <c r="B46" s="18" t="inlineStr">
        <is>
          <t>AVAILABLE UNDRAWN HEADROOM ($M)</t>
        </is>
      </c>
      <c r="C46" s="19" t="n">
        <v>97.09999999999999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2.52x</t>
        </is>
      </c>
      <c r="E55" s="32" t="inlineStr">
        <is>
          <t>1.23x leverage buffer ($202.9M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2.89x</t>
        </is>
      </c>
      <c r="E56" s="32" t="inlineStr">
        <is>
          <t>+0.39x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9.2% of Assets</t>
        </is>
      </c>
      <c r="E57" s="32" t="inlineStr">
        <is>
          <t>$107.8M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Africell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Africell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9.26%</t>
        </is>
      </c>
      <c r="F6" s="34" t="inlineStr">
        <is>
          <t>4.2x</t>
        </is>
      </c>
      <c r="G6" s="34" t="inlineStr">
        <is>
          <t>$95.00</t>
        </is>
      </c>
      <c r="H6" s="34" t="inlineStr">
        <is>
          <t>-8.0%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11.26%</t>
        </is>
      </c>
      <c r="F7" s="29" t="inlineStr">
        <is>
          <t>3.2x</t>
        </is>
      </c>
      <c r="G7" s="29" t="inlineStr">
        <is>
          <t>$76.50</t>
        </is>
      </c>
      <c r="H7" s="29" t="inlineStr">
        <is>
          <t>-25.9%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$58.00</t>
        </is>
      </c>
      <c r="H8" s="29" t="inlineStr">
        <is>
          <t>-43.8%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7.76%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+1.7%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131.9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AFRCEL Senior Unsecured Eurobonds</t>
        </is>
      </c>
      <c r="C15" s="8" t="n">
        <v>395.8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58.0%</t>
        </is>
      </c>
      <c r="G15" s="29" t="inlineStr">
        <is>
          <t>95.0%</t>
        </is>
      </c>
    </row>
    <row r="16">
      <c r="B16" s="7" t="inlineStr">
        <is>
          <t>Subordinated Debt &amp; Intercompany Notes</t>
        </is>
      </c>
      <c r="C16" s="8" t="n">
        <v>79.2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211.1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Angola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5" customWidth="1" min="3" max="3"/>
    <col width="32" customWidth="1" min="4" max="4"/>
    <col width="19" customWidth="1" min="5" max="5"/>
    <col width="367" customWidth="1" min="6" max="6"/>
    <col width="14" customWidth="1" min="7" max="7"/>
    <col width="7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Africell (AFRCEL) — Earnings Presentation &amp; Management Guidance</t>
        </is>
      </c>
    </row>
    <row r="3">
      <c r="B3" s="2" t="inlineStr">
        <is>
          <t>Source: Africell FY2024 &amp; Recent Quarterly Earnings Presentation &amp; Analyst Briefing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$529.2M (+8.0% YoY growth)</t>
        </is>
      </c>
      <c r="D7" s="35" t="inlineStr">
        <is>
          <t>$521.9M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$529.2M (+8.0% YoY growth). With current run-rate at $521.9M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$181.5M (34.3% margin)</t>
        </is>
      </c>
      <c r="D8" s="35" t="inlineStr">
        <is>
          <t>$178.2M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$181.5M (34.3%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2.52x</t>
        </is>
      </c>
      <c r="E9" s="32" t="inlineStr">
        <is>
          <t>Ahead of Target</t>
        </is>
      </c>
      <c r="F9" s="37" t="inlineStr">
        <is>
          <t>Deleveraging on track with 1.23x buffer below covenant limit.
[QUESTION TO CFO TO VERIFY]: You previously committed to a Net Leverage ceiling of &lt; 3.25x Net Debt / EBITDA. Current actual leverage stands at 2.52x.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$60.6M (Maximum growth and sustaining envelope)</t>
        </is>
      </c>
      <c r="D10" s="35" t="inlineStr">
        <is>
          <t>$55.8M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$60.6M (Maximum growth and sustaining envelope). Current commitments stand at $55.8M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Technology Investments</t>
        </is>
      </c>
      <c r="C15" s="37" t="inlineStr">
        <is>
          <t>5G Spectrum Deployment, 4G LTE Rural Densification, FTTH Fiber Expansion, Tier-III Data Centers</t>
        </is>
      </c>
    </row>
    <row r="16">
      <c r="B16" s="9" t="inlineStr">
        <is>
          <t>Three Year Capex Program</t>
        </is>
      </c>
      <c r="C16" s="37" t="inlineStr">
        <is>
          <t>$161.6M network enhancement program</t>
        </is>
      </c>
    </row>
    <row r="17">
      <c r="B17" s="9" t="inlineStr">
        <is>
          <t>Fiber Network Rollout</t>
        </is>
      </c>
      <c r="C17" s="37" t="inlineStr">
        <is>
          <t>Targeting 2.5M additional homes passed with high-speed fiber broadband by 2027</t>
        </is>
      </c>
    </row>
    <row r="18">
      <c r="B18" s="9" t="inlineStr">
        <is>
          <t>Green Telecom Initiatives</t>
        </is>
      </c>
      <c r="C18" s="37" t="inlineStr">
        <is>
          <t>Solar hybrid power deployed at 35%+ of off-grid tower sites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Fx Debt Hedging Ratio</t>
        </is>
      </c>
      <c r="C22" s="37" t="inlineStr">
        <is>
          <t>82.0% of foreign currency debt hedged via cross-currency swaps and forwards</t>
        </is>
      </c>
    </row>
    <row r="23">
      <c r="B23" s="9" t="inlineStr">
        <is>
          <t>Tariff Pricing Elasticity</t>
        </is>
      </c>
      <c r="C23" s="37" t="inlineStr">
        <is>
          <t>Contractual ability to adjust post-paid and pre-paid tariffs every 3-6 months to match inflation</t>
        </is>
      </c>
    </row>
    <row r="24">
      <c r="B24" s="9" t="inlineStr">
        <is>
          <t>Digital Revenue Mix</t>
        </is>
      </c>
      <c r="C24" s="37" t="inlineStr">
        <is>
          <t>Digital services, cloud, and fintech solutions expanding to 24% of consolidated revenue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Postpaid Subscriber Share</t>
        </is>
      </c>
      <c r="C28" s="37" t="inlineStr">
        <is>
          <t>58.5% of total mobile base providing high-retention recurring revenue</t>
        </is>
      </c>
    </row>
    <row r="29">
      <c r="B29" s="9" t="inlineStr">
        <is>
          <t>Blended Monthly Arpu Trend</t>
        </is>
      </c>
      <c r="C29" s="37" t="inlineStr">
        <is>
          <t>Healthy double-digit growth in ARPU supported by high-speed data consumption</t>
        </is>
      </c>
    </row>
    <row r="30">
      <c r="B30" s="9" t="inlineStr">
        <is>
          <t>Corporate B2B Contract Backlog</t>
        </is>
      </c>
      <c r="C30" s="37" t="inlineStr">
        <is>
          <t>$220.5M in multi-year enterprise ICT and cloud contracts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Liquid Investments</t>
        </is>
      </c>
      <c r="C34" s="37" t="inlineStr">
        <is>
          <t>$123.8M (Maintained predominantly in USD and EUR)</t>
        </is>
      </c>
    </row>
    <row r="35">
      <c r="B35" s="9" t="inlineStr">
        <is>
          <t>Undrawn Committed Bank Facilities</t>
        </is>
      </c>
      <c r="C35" s="37" t="inlineStr">
        <is>
          <t>$161.8M in committed revolving credit facilities</t>
        </is>
      </c>
    </row>
    <row r="36">
      <c r="B36" s="9" t="inlineStr">
        <is>
          <t>Liquidity Runway</t>
        </is>
      </c>
      <c r="C36" s="37" t="inlineStr">
        <is>
          <t>Comfortable 32+ months of debt maturities and spectrum commitments fully funded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Hard-Currency Capex vs. Local Currency ARPU Mismatch</t>
        </is>
      </c>
      <c r="C40" s="37" t="inlineStr">
        <is>
          <t>What percentage of annual network capex (5G equipment, fiber, data centers) is contracted in USD/EUR versus local currency revenue generation, and what active hedging mechanisms are utilized?</t>
        </is>
      </c>
      <c r="F40" s="25" t="inlineStr">
        <is>
          <t>Telecoms collect local currency tariffs but purchase equipment in hard currency. Currency devaluations create sharp capex spikes and FCF compression.</t>
        </is>
      </c>
      <c r="H40" s="38" t="inlineStr">
        <is>
          <t>Hedging coverage &gt;75% of 12-month USD capex preserves FCF stability.</t>
        </is>
      </c>
    </row>
    <row r="41"/>
    <row r="42"/>
    <row r="43">
      <c r="B43" s="3" t="inlineStr">
        <is>
          <t>SCHEDULED EARNINGS RELEASE &amp; INVESTOR RELATIONS CALENDAR</t>
        </is>
      </c>
    </row>
    <row r="44">
      <c r="B44" s="5" t="inlineStr">
        <is>
          <t>Calendar Dimension</t>
        </is>
      </c>
      <c r="C44" s="5" t="inlineStr">
        <is>
          <t>Scheduled Detail &amp; IR Access</t>
        </is>
      </c>
    </row>
    <row r="45">
      <c r="B45" s="9" t="inlineStr">
        <is>
          <t>Next Scheduled Earnings Date</t>
        </is>
      </c>
      <c r="C45" s="37" t="inlineStr">
        <is>
          <t>2026-11-12</t>
        </is>
      </c>
    </row>
    <row r="46">
      <c r="B46" s="9" t="inlineStr">
        <is>
          <t>Reporting Period</t>
        </is>
      </c>
      <c r="C46" s="37" t="inlineStr">
        <is>
          <t>Q3 2026 / 9M</t>
        </is>
      </c>
    </row>
    <row r="47">
      <c r="B47" s="9" t="inlineStr">
        <is>
          <t>Confirmation Status</t>
        </is>
      </c>
      <c r="C47" s="37" t="inlineStr">
        <is>
          <t>Estimated</t>
        </is>
      </c>
    </row>
    <row r="48">
      <c r="B48" s="9" t="inlineStr">
        <is>
          <t>Conference Call &amp; Webcast Schedule</t>
        </is>
      </c>
      <c r="C48" s="37" t="inlineStr">
        <is>
          <t>14:00 Local / Pre-Market</t>
        </is>
      </c>
    </row>
    <row r="49">
      <c r="B49" s="9" t="inlineStr">
        <is>
          <t>Official IR Portal / Webcast URL</t>
        </is>
      </c>
      <c r="C49" s="37" t="inlineStr">
        <is>
          <t>https://www.google.com/finance/quote/AFRCEL</t>
        </is>
      </c>
    </row>
  </sheetData>
  <mergeCells count="36">
    <mergeCell ref="C36:I36"/>
    <mergeCell ref="C23:I23"/>
    <mergeCell ref="F9:I9"/>
    <mergeCell ref="C17:I17"/>
    <mergeCell ref="C48:I48"/>
    <mergeCell ref="C40:E40"/>
    <mergeCell ref="B3:I3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10:I10"/>
    <mergeCell ref="C14:I14"/>
    <mergeCell ref="C45:I45"/>
    <mergeCell ref="F7:I7"/>
    <mergeCell ref="C35:I35"/>
    <mergeCell ref="C29:I29"/>
    <mergeCell ref="C47:I47"/>
    <mergeCell ref="C16:I16"/>
    <mergeCell ref="F39:G39"/>
    <mergeCell ref="C44:I44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2026-10-28T05:16:33Z</dcterms:created>
  <dcterms:modified xmlns:dcterms="http://purl.org/dc/terms/" xmlns:xsi="http://www.w3.org/2001/XMLSchema-instance" xsi:type="dcterms:W3CDTF">2026-10-28T05:16:34Z</dcterms:modified>
</cp:coreProperties>
</file>