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11.45% 2028 @ $92.00 (11.45% YTM / +710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242.775</v>
      </c>
      <c r="F26" s="7" t="inlineStr">
        <is>
          <t>11.45%</t>
        </is>
      </c>
      <c r="G26" s="7" t="inlineStr">
        <is>
          <t>$92.00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161.85</v>
      </c>
      <c r="F27" s="7" t="inlineStr">
        <is>
          <t>10.70%</t>
        </is>
      </c>
      <c r="G27" s="7" t="inlineStr">
        <is>
          <t>$94.50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134.875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193.3</v>
      </c>
      <c r="D16" s="8" t="n">
        <v>233</v>
      </c>
      <c r="E16" s="8" t="n">
        <v>261.5</v>
      </c>
      <c r="F16" s="8" t="n">
        <v>284.2</v>
      </c>
      <c r="G16" s="8" t="n">
        <v>306.9</v>
      </c>
      <c r="H16" s="8" t="n">
        <v>326.8</v>
      </c>
      <c r="I16" s="8" t="n">
        <v>341</v>
      </c>
    </row>
    <row r="17">
      <c r="B17" s="7" t="inlineStr">
        <is>
          <t>Fixed Broadband &amp; Enterprise ICT</t>
        </is>
      </c>
      <c r="C17" s="8" t="n">
        <v>86.59999999999999</v>
      </c>
      <c r="D17" s="8" t="n">
        <v>104.5</v>
      </c>
      <c r="E17" s="8" t="n">
        <v>117.2</v>
      </c>
      <c r="F17" s="8" t="n">
        <v>127.4</v>
      </c>
      <c r="G17" s="8" t="n">
        <v>137.6</v>
      </c>
      <c r="H17" s="8" t="n">
        <v>146.5</v>
      </c>
      <c r="I17" s="8" t="n">
        <v>152.9</v>
      </c>
    </row>
    <row r="18">
      <c r="B18" s="7" t="inlineStr">
        <is>
          <t>Fintech, Media &amp; Digital Services</t>
        </is>
      </c>
      <c r="C18" s="8" t="n">
        <v>53.3</v>
      </c>
      <c r="D18" s="8" t="n">
        <v>64.3</v>
      </c>
      <c r="E18" s="8" t="n">
        <v>72.09999999999999</v>
      </c>
      <c r="F18" s="8" t="n">
        <v>78.40000000000001</v>
      </c>
      <c r="G18" s="8" t="n">
        <v>84.7</v>
      </c>
      <c r="H18" s="8" t="n">
        <v>90.2</v>
      </c>
      <c r="I18" s="8" t="n">
        <v>94.09999999999999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1.6</v>
      </c>
      <c r="D35" s="23" t="n">
        <v>2</v>
      </c>
      <c r="E35" s="23" t="n">
        <v>2.2</v>
      </c>
      <c r="F35" s="23" t="n">
        <v>2.5</v>
      </c>
      <c r="G35" s="23" t="n">
        <v>2.7</v>
      </c>
      <c r="H35" s="23" t="n">
        <v>2.9</v>
      </c>
      <c r="I35" s="23" t="n">
        <v>3.1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(+$2.5M)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499.8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116.6</v>
      </c>
      <c r="D36" s="8" t="n">
        <v>116.6</v>
      </c>
      <c r="E36" s="8" t="n">
        <v>116.6</v>
      </c>
      <c r="F36" s="8" t="n">
        <v>116.6</v>
      </c>
      <c r="G36" s="8" t="n">
        <v>116.6</v>
      </c>
      <c r="H36" s="8" t="n">
        <v>116.6</v>
      </c>
      <c r="I36" s="8" t="n">
        <v>116.6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-40.4</v>
      </c>
      <c r="D16" s="8" t="n">
        <v>-49.1</v>
      </c>
      <c r="E16" s="8" t="n">
        <v>-54.9</v>
      </c>
      <c r="F16" s="8" t="n">
        <v>-57.7</v>
      </c>
      <c r="G16" s="8" t="n">
        <v>-60.6</v>
      </c>
      <c r="H16" s="8" t="n">
        <v>-58.9</v>
      </c>
      <c r="I16" s="8" t="n">
        <v>-56.6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68.09999999999999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-20.1</v>
      </c>
      <c r="D32" s="8" t="n">
        <v>-27.7</v>
      </c>
      <c r="E32" s="8" t="n">
        <v>-34.2</v>
      </c>
      <c r="F32" s="8" t="n">
        <v>-41.1</v>
      </c>
      <c r="G32" s="8" t="n">
        <v>-38.4</v>
      </c>
      <c r="H32" s="8" t="n">
        <v>-35.9</v>
      </c>
      <c r="I32" s="8" t="n">
        <v>-34.9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206.4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68.8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0.1145</f>
        <v/>
      </c>
      <c r="D11" s="8">
        <f>D10 * 0.1145</f>
        <v/>
      </c>
      <c r="E11" s="8">
        <f>E10 * 0.1145</f>
        <v/>
      </c>
      <c r="F11" s="8">
        <f>F10 * 0.1145</f>
        <v/>
      </c>
      <c r="G11" s="8">
        <f>G10 * 0.1145</f>
        <v/>
      </c>
      <c r="H11" s="8">
        <f>H10 * 0.1145</f>
        <v/>
      </c>
      <c r="I11" s="8">
        <f>I10 * 0.1145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64.7</v>
      </c>
      <c r="C32" s="8" t="n">
        <v>118.7</v>
      </c>
      <c r="D32" s="8" t="n">
        <v>151.1</v>
      </c>
      <c r="E32" s="8" t="n">
        <v>97.09999999999999</v>
      </c>
      <c r="F32" s="8" t="n">
        <v>64.7</v>
      </c>
      <c r="G32" s="8" t="n">
        <v>43.2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242.8</v>
      </c>
      <c r="F37" s="29" t="inlineStr">
        <is>
          <t>11.450%</t>
        </is>
      </c>
      <c r="G37" s="30" t="n">
        <v>92</v>
      </c>
      <c r="H37" s="31" t="n">
        <v>11.45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AFRCEL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161.8</v>
      </c>
      <c r="F38" s="29" t="inlineStr">
        <is>
          <t>10.800%</t>
        </is>
      </c>
      <c r="G38" s="30" t="n">
        <v>94</v>
      </c>
      <c r="H38" s="31" t="n">
        <v>10.8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80.90000000000001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11.45%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+3.3%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13.45%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-16.8%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-37.0%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134.9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404.6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80.90000000000001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215.8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2026-11-12</t>
        </is>
      </c>
    </row>
    <row r="41">
      <c r="B41" s="9" t="inlineStr">
        <is>
          <t>Reporting Period</t>
        </is>
      </c>
      <c r="C41" s="37" t="inlineStr">
        <is>
          <t>Q3 2026 / 9M</t>
        </is>
      </c>
    </row>
    <row r="42">
      <c r="B42" s="9" t="inlineStr">
        <is>
          <t>Confirmation Status</t>
        </is>
      </c>
      <c r="C42" s="37" t="inlineStr">
        <is>
          <t>Estimated</t>
        </is>
      </c>
    </row>
    <row r="43">
      <c r="B43" s="9" t="inlineStr">
        <is>
          <t>Conference Call &amp; Webcast Schedule</t>
        </is>
      </c>
      <c r="C43" s="37" t="inlineStr">
        <is>
          <t>14:00 Local / Pre-Market</t>
        </is>
      </c>
    </row>
    <row r="44">
      <c r="B44" s="9" t="inlineStr">
        <is>
          <t>Official IR Portal / Webcast URL</t>
        </is>
      </c>
      <c r="C44" s="37" t="inlineStr">
        <is>
          <t>https://www.google.com/finance/quote/AFRCEL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2026-09-20T17:21:22Z</dcterms:created>
  <dcterms:modified xmlns:dcterms="http://purl.org/dc/terms/" xmlns:xsi="http://www.w3.org/2001/XMLSchema-instance" xsi:type="dcterms:W3CDTF">2026-09-20T17:21:22Z</dcterms:modified>
</cp:coreProperties>
</file>