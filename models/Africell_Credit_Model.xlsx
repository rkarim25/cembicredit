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Cognitive Credit derived EBITDA versus company-reported (adjusted) EBITDA; difference = company adjustments.</t>
      </text>
    </comment>
    <comment ref="D36" authorId="0" shapeId="0">
      <text>
        <t>CEMBI Credit Desk EBITDA Audit (2022A):
Cognitive Credit derived EBITDA versus company-reported (adjusted) EBITDA; difference = company adjustments.</t>
      </text>
    </comment>
    <comment ref="E36" authorId="0" shapeId="0">
      <text>
        <t>CEMBI Credit Desk EBITDA Audit (2023A):
Cognitive Credit derived EBITDA versus company-reported (adjusted) EBITDA; difference = company adjustments.</t>
      </text>
    </comment>
    <comment ref="F36" authorId="0" shapeId="0">
      <text>
        <t>CEMBI Credit Desk EBITDA Audit (2024A):
Cognitive Credit derived EBITDA versus company-reported (adjusted) EBITDA; difference = company adjustments.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Fully reconciled with zero material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$-12.3M after capex, interest, working capital, and tax.</t>
      </text>
    </comment>
    <comment ref="D34" authorId="0" shapeId="0">
      <text>
        <t>CEMBI Credit Desk FCF Bridge (2022A):
Formula: EBITDA - Capex - Cash Interest - ΔNWC - Tax
FCF generation of $10.5M after capex, interest, working capital, and tax.</t>
      </text>
    </comment>
    <comment ref="E34" authorId="0" shapeId="0">
      <text>
        <t>CEMBI Credit Desk FCF Bridge (2023A):
Formula: EBITDA - Capex - Cash Interest - ΔNWC - Tax
FCF generation of $-33.9M after capex, interest, working capital, and tax.</t>
      </text>
    </comment>
    <comment ref="F34" authorId="0" shapeId="0">
      <text>
        <t>CEMBI Credit Desk FCF Bridge (2024A):
Formula: EBITDA - Capex - Cash Interest - ΔNWC - Tax
FCF generation of $-38.8M after capex, interest, working capital, and tax.</t>
      </text>
    </comment>
    <comment ref="G34" authorId="0" shapeId="0">
      <text>
        <t>CEMBI Credit Desk FCF Bridge (2025E):
Formula: EBITDA - Capex - Cash Interest - ΔNWC - Tax
FCF generation of $100.0M after capex, interest, working capital, and tax.</t>
      </text>
    </comment>
    <comment ref="H34" authorId="0" shapeId="0">
      <text>
        <t>CEMBI Credit Desk FCF Bridge (2026E):
Formula: EBITDA - Capex - Cash Interest - ΔNWC - Tax
FCF generation of $100.0M after capex, interest, working capital, and tax.</t>
      </text>
    </comment>
    <comment ref="I34" authorId="0" shapeId="0">
      <text>
        <t>CEMBI Credit Desk FCF Bridge (2027E):
Formula: EBITDA - Capex - Cash Interest - ΔNWC - Tax
FCF generation of $100.0M after capex, interest, working capital, and tax.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9" authorId="0" shapeId="0">
      <text>
        <t>CEMBI Credit Desk Reported Leverage Commentary (2021A):
Cognitive Credit derived EBITDA versus company-reported (adjusted) EBITDA; difference = company adjustments.</t>
      </text>
    </comment>
    <comment ref="D9" authorId="0" shapeId="0">
      <text>
        <t>CEMBI Credit Desk Reported Leverage Commentary (2022A):
Cognitive Credit derived EBITDA versus company-reported (adjusted) EBITDA; difference = company adjustments.</t>
      </text>
    </comment>
    <comment ref="E9" authorId="0" shapeId="0">
      <text>
        <t>CEMBI Credit Desk Reported Leverage Commentary (2023A):
Cognitive Credit derived EBITDA versus company-reported (adjusted) EBITDA; difference = company adjustments.</t>
      </text>
    </comment>
    <comment ref="F9" authorId="0" shapeId="0">
      <text>
        <t>CEMBI Credit Desk Reported Leverage Commentary (2024A):
Cognitive Credit derived EBITDA versus company-reported (adjusted) EBITDA; difference = company adjustments.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(AFRCEL) — Institutional Credit Model</t>
        </is>
      </c>
    </row>
    <row r="3">
      <c r="B3" s="2" t="inlineStr">
        <is>
          <t>Sector: Technology | Country: Angola | Rating: B- / B3 | Benchmark: AFRCEL 10.500% 2029 (XS2855412479) @ $103.24 (9.26% YTM / +452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6M+ subscribers captured in Angola post-2022 rollout; strategic US DFC $100M+ senior debt backing.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AFRCEL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237.465</v>
      </c>
      <c r="F26" s="7" t="inlineStr">
        <is>
          <t>9.26%</t>
        </is>
      </c>
      <c r="G26" s="7" t="inlineStr">
        <is>
          <t>$103.24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AFRCEL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158.31</v>
      </c>
      <c r="F27" s="7" t="inlineStr">
        <is>
          <t>8.51%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131.925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580</v>
      </c>
      <c r="D16" s="8" t="n">
        <v>178.7</v>
      </c>
      <c r="E16" s="8" t="n">
        <v>206.6</v>
      </c>
      <c r="F16" s="8" t="n">
        <v>206.5</v>
      </c>
      <c r="G16" s="8" t="n">
        <v>580</v>
      </c>
      <c r="H16" s="8" t="n">
        <v>580</v>
      </c>
      <c r="I16" s="8" t="n">
        <v>580</v>
      </c>
    </row>
    <row r="17">
      <c r="B17" s="7" t="inlineStr">
        <is>
          <t>Fixed Broadband &amp; Enterprise ICT</t>
        </is>
      </c>
      <c r="C17" s="8" t="n">
        <v>260</v>
      </c>
      <c r="D17" s="8" t="n">
        <v>80.09999999999999</v>
      </c>
      <c r="E17" s="8" t="n">
        <v>92.59999999999999</v>
      </c>
      <c r="F17" s="8" t="n">
        <v>92.59999999999999</v>
      </c>
      <c r="G17" s="8" t="n">
        <v>260</v>
      </c>
      <c r="H17" s="8" t="n">
        <v>260</v>
      </c>
      <c r="I17" s="8" t="n">
        <v>260</v>
      </c>
    </row>
    <row r="18">
      <c r="B18" s="7" t="inlineStr">
        <is>
          <t>Fintech, Media &amp; Digital Services</t>
        </is>
      </c>
      <c r="C18" s="8" t="n">
        <v>160</v>
      </c>
      <c r="D18" s="8" t="n">
        <v>49.3</v>
      </c>
      <c r="E18" s="8" t="n">
        <v>57</v>
      </c>
      <c r="F18" s="8" t="n">
        <v>57</v>
      </c>
      <c r="G18" s="8" t="n">
        <v>160</v>
      </c>
      <c r="H18" s="8" t="n">
        <v>160</v>
      </c>
      <c r="I18" s="8" t="n">
        <v>160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0</v>
      </c>
      <c r="D35" s="23" t="n">
        <v>0</v>
      </c>
      <c r="E35" s="23" t="n">
        <v>0</v>
      </c>
      <c r="F35" s="23" t="n">
        <v>0</v>
      </c>
      <c r="G35" s="23" t="n">
        <v>0</v>
      </c>
      <c r="H35" s="23" t="n">
        <v>0</v>
      </c>
      <c r="I35" s="23" t="n">
        <v>0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Cognitive Credit derived EBITDA versus company-reported (adjusted) EBITDA; difference = company adjustments.</t>
        </is>
      </c>
    </row>
    <row r="43">
      <c r="B43" s="25" t="inlineStr">
        <is>
          <t>[2022A] Cognitive Credit derived EBITDA versus company-reported (adjusted) EBITDA; difference = company adjustments.</t>
        </is>
      </c>
    </row>
    <row r="44">
      <c r="B44" s="25" t="inlineStr">
        <is>
          <t>[2023A] Cognitive Credit derived EBITDA versus company-reported (adjusted) EBITDA; difference = company adjustments.</t>
        </is>
      </c>
    </row>
    <row r="45">
      <c r="B45" s="25" t="inlineStr">
        <is>
          <t>[2024A] Cognitive Credit derived EBITDA versus company-reported (adjusted) EBITDA; difference = company adjustments.</t>
        </is>
      </c>
    </row>
    <row r="46">
      <c r="B46" s="25" t="inlineStr">
        <is>
          <t>[2025E] Fully reconciled.</t>
        </is>
      </c>
    </row>
    <row r="47">
      <c r="B47" s="25" t="inlineStr">
        <is>
          <t>[2026E] Fully reconciled.</t>
        </is>
      </c>
    </row>
    <row r="48">
      <c r="B48" s="25" t="inlineStr">
        <is>
          <t>[2027E] Fully reconciled.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1500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350</v>
      </c>
      <c r="D36" s="8" t="n">
        <v>350</v>
      </c>
      <c r="E36" s="8" t="n">
        <v>350</v>
      </c>
      <c r="F36" s="8" t="n">
        <v>350</v>
      </c>
      <c r="G36" s="8" t="n">
        <v>350</v>
      </c>
      <c r="H36" s="8" t="n">
        <v>350</v>
      </c>
      <c r="I36" s="8" t="n">
        <v>350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-120</v>
      </c>
      <c r="D16" s="8" t="n">
        <v>99.40000000000001</v>
      </c>
      <c r="E16" s="8" t="n">
        <v>98.7</v>
      </c>
      <c r="F16" s="8" t="n">
        <v>49.7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150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171.2</v>
      </c>
      <c r="D32" s="8" t="n">
        <v>184.5</v>
      </c>
      <c r="E32" s="8" t="n">
        <v>141.2</v>
      </c>
      <c r="F32" s="8" t="n">
        <v>180.7</v>
      </c>
      <c r="G32" s="8" t="n">
        <v>10</v>
      </c>
      <c r="H32" s="8" t="n">
        <v>10</v>
      </c>
      <c r="I32" s="8" t="n">
        <v>10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Positive organic cash generation supporting liquidity and debt service.</t>
        </is>
      </c>
    </row>
    <row r="39">
      <c r="B39" s="25" t="inlineStr">
        <is>
          <t>[2022A] Positive organic cash generation supporting liquidity and debt service.</t>
        </is>
      </c>
    </row>
    <row r="40">
      <c r="B40" s="25" t="inlineStr">
        <is>
          <t>[2023A] Positive organic cash generation supporting liquidity and debt service.</t>
        </is>
      </c>
    </row>
    <row r="41">
      <c r="B41" s="25" t="inlineStr">
        <is>
          <t>[2024A] Positive organic cash generation supporting liquidity and debt service.</t>
        </is>
      </c>
    </row>
    <row r="42">
      <c r="B42" s="25" t="inlineStr">
        <is>
          <t>[2025E] Positive organic cash generation supporting liquidity and debt service.</t>
        </is>
      </c>
    </row>
    <row r="43">
      <c r="B43" s="25" t="inlineStr">
        <is>
          <t>[2026E] Positive organic cash generation supporting liquidity and debt service.</t>
        </is>
      </c>
    </row>
    <row r="44">
      <c r="B44" s="25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37" customWidth="1" min="9" max="9"/>
    <col width="49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AFRCEL Benchmark Eurobond Notes</t>
        </is>
      </c>
    </row>
    <row r="7">
      <c r="B7" s="7" t="inlineStr">
        <is>
          <t xml:space="preserve">  Beginning Principal Balance</t>
        </is>
      </c>
      <c r="C7" s="8" t="n">
        <v>360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120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80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0.0926</f>
        <v/>
      </c>
      <c r="D11" s="8">
        <f>D10 * 0.0926</f>
        <v/>
      </c>
      <c r="E11" s="8">
        <f>E10 * 0.0926</f>
        <v/>
      </c>
      <c r="F11" s="8">
        <f>F10 * 0.0926</f>
        <v/>
      </c>
      <c r="G11" s="8">
        <f>G10 * 0.0926</f>
        <v/>
      </c>
      <c r="H11" s="8">
        <f>H10 * 0.0926</f>
        <v/>
      </c>
      <c r="I11" s="8">
        <f>I10 * 0.0926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63.3</v>
      </c>
      <c r="C32" s="8" t="n">
        <v>116.1</v>
      </c>
      <c r="D32" s="8" t="n">
        <v>147.8</v>
      </c>
      <c r="E32" s="8" t="n">
        <v>95</v>
      </c>
      <c r="F32" s="8" t="n">
        <v>63.3</v>
      </c>
      <c r="G32" s="8" t="n">
        <v>42.2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AFRCEL 10.500% 2029 Senior Secured Notes (XS2855412479)</t>
        </is>
      </c>
      <c r="C37" s="7" t="inlineStr">
        <is>
          <t>Senior Secured Notes</t>
        </is>
      </c>
      <c r="D37" s="28" t="inlineStr">
        <is>
          <t>USD</t>
        </is>
      </c>
      <c r="E37" s="20" t="n">
        <v>360</v>
      </c>
      <c r="F37" s="29" t="inlineStr">
        <is>
          <t>10.500%</t>
        </is>
      </c>
      <c r="G37" s="30" t="n">
        <v>103.24</v>
      </c>
      <c r="H37" s="31" t="n">
        <v>9.26</v>
      </c>
      <c r="I37" s="7" t="inlineStr">
        <is>
          <t>Senior Secured</t>
        </is>
      </c>
      <c r="J37" s="16" t="inlineStr">
        <is>
          <t>New York / English Law</t>
        </is>
      </c>
    </row>
    <row r="38">
      <c r="B38" s="9" t="inlineStr">
        <is>
          <t>Lease Liabilities (IFRS 16 - Tower &amp; Site Infrastructure)</t>
        </is>
      </c>
      <c r="C38" s="7" t="inlineStr">
        <is>
          <t>Operating &amp; Finance Leases</t>
        </is>
      </c>
      <c r="D38" s="28" t="inlineStr">
        <is>
          <t>USD / Mixed</t>
        </is>
      </c>
      <c r="E38" s="20" t="n">
        <v>195.9</v>
      </c>
      <c r="F38" s="29" t="inlineStr">
        <is>
          <t>Implied Lease Rate (~8.5%)</t>
        </is>
      </c>
      <c r="G38" s="30" t="n">
        <v>100</v>
      </c>
      <c r="H38" s="31" t="n">
        <v>8.5</v>
      </c>
      <c r="I38" s="7" t="inlineStr">
        <is>
          <t>Senior Secured / Operating Leases</t>
        </is>
      </c>
      <c r="J38" s="16" t="inlineStr">
        <is>
          <t>Local Jurisdictions</t>
        </is>
      </c>
    </row>
    <row r="39">
      <c r="B39" s="9" t="inlineStr">
        <is>
          <t>Multilateral &amp; Commercial Term Loans (US DFC &amp; Commercial)</t>
        </is>
      </c>
      <c r="C39" s="7" t="inlineStr">
        <is>
          <t>Senior Term Loans</t>
        </is>
      </c>
      <c r="D39" s="28" t="inlineStr">
        <is>
          <t>USD</t>
        </is>
      </c>
      <c r="E39" s="20" t="n">
        <v>15.7</v>
      </c>
      <c r="F39" s="29" t="inlineStr">
        <is>
          <t>SOFR + 425 bps</t>
        </is>
      </c>
      <c r="G39" s="30" t="n">
        <v>100</v>
      </c>
      <c r="H39" s="31" t="n">
        <v>9.5</v>
      </c>
      <c r="I39" s="7" t="inlineStr">
        <is>
          <t>Senior Secured (Pari Passu)</t>
        </is>
      </c>
      <c r="J39" s="16" t="inlineStr">
        <is>
          <t>English Law</t>
        </is>
      </c>
    </row>
    <row r="40">
      <c r="B40" s="9" t="inlineStr">
        <is>
          <t>Local Bank Overdrafts &amp; Short-Term Working Capital Lines</t>
        </is>
      </c>
      <c r="C40" s="7" t="inlineStr">
        <is>
          <t>Bank Overdrafts</t>
        </is>
      </c>
      <c r="D40" s="28" t="inlineStr">
        <is>
          <t>Local / USD</t>
        </is>
      </c>
      <c r="E40" s="20" t="n">
        <v>29.7</v>
      </c>
      <c r="F40" s="29" t="inlineStr">
        <is>
          <t>Local Base + 300 bps</t>
        </is>
      </c>
      <c r="G40" s="30" t="n">
        <v>100</v>
      </c>
      <c r="H40" s="31" t="n">
        <v>12</v>
      </c>
      <c r="I40" s="7" t="inlineStr">
        <is>
          <t>Super Senior / Local Priority</t>
        </is>
      </c>
      <c r="J40" s="16" t="inlineStr">
        <is>
          <t>Local Law (Angola, DRC, Sierra Leone, Gambia)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AFRCEL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151.1</v>
      </c>
    </row>
    <row r="45">
      <c r="B45" s="7" t="inlineStr">
        <is>
          <t>Drawn Amount ($M)</t>
        </is>
      </c>
      <c r="C45" s="8" t="n">
        <v>54</v>
      </c>
    </row>
    <row r="46">
      <c r="B46" s="18" t="inlineStr">
        <is>
          <t>AVAILABLE UNDRAWN HEADROOM ($M)</t>
        </is>
      </c>
      <c r="C46" s="19" t="n">
        <v>97.09999999999999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2.52x</t>
        </is>
      </c>
      <c r="E55" s="32" t="inlineStr">
        <is>
          <t>1.23x leverage buffer ($202.9M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2.89x</t>
        </is>
      </c>
      <c r="E56" s="32" t="inlineStr">
        <is>
          <t>+0.39x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9.2% of Assets</t>
        </is>
      </c>
      <c r="E57" s="32" t="inlineStr">
        <is>
          <t>$107.8M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9.26%</t>
        </is>
      </c>
      <c r="F6" s="34" t="inlineStr">
        <is>
          <t>4.2x</t>
        </is>
      </c>
      <c r="G6" s="34" t="inlineStr">
        <is>
          <t>$95.00</t>
        </is>
      </c>
      <c r="H6" s="34" t="inlineStr">
        <is>
          <t>-8.0%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11.26%</t>
        </is>
      </c>
      <c r="F7" s="29" t="inlineStr">
        <is>
          <t>3.2x</t>
        </is>
      </c>
      <c r="G7" s="29" t="inlineStr">
        <is>
          <t>$76.50</t>
        </is>
      </c>
      <c r="H7" s="29" t="inlineStr">
        <is>
          <t>-25.9%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$58.00</t>
        </is>
      </c>
      <c r="H8" s="29" t="inlineStr">
        <is>
          <t>-43.8%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7.76%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131.9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AFRCEL Senior Unsecured Eurobonds</t>
        </is>
      </c>
      <c r="C15" s="8" t="n">
        <v>395.8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58.0%</t>
        </is>
      </c>
      <c r="G15" s="29" t="inlineStr">
        <is>
          <t>95.0%</t>
        </is>
      </c>
    </row>
    <row r="16">
      <c r="B16" s="7" t="inlineStr">
        <is>
          <t>Subordinated Debt &amp; Intercompany Notes</t>
        </is>
      </c>
      <c r="C16" s="8" t="n">
        <v>79.2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211.1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Angola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(AFRCEL) — Earnings Presentation &amp; Management Guidance</t>
        </is>
      </c>
    </row>
    <row r="3">
      <c r="B3" s="2" t="inlineStr">
        <is>
          <t>Source: Africell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$529.2M (+8.0% YoY growth)</t>
        </is>
      </c>
      <c r="D7" s="35" t="inlineStr">
        <is>
          <t>$521.9M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$529.2M (+8.0% YoY growth). With current run-rate at $521.9M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$181.5M (34.3% margin)</t>
        </is>
      </c>
      <c r="D8" s="35" t="inlineStr">
        <is>
          <t>$178.2M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$181.5M (34.3%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2.52x</t>
        </is>
      </c>
      <c r="E9" s="32" t="inlineStr">
        <is>
          <t>Ahead of Target</t>
        </is>
      </c>
      <c r="F9" s="37" t="inlineStr">
        <is>
          <t>Deleveraging on track with 1.23x buffer below covenant limit.
[QUESTION TO CFO TO VERIFY]: You previously committed to a Net Leverage ceiling of &lt; 3.25x Net Debt / EBITDA. Current actual leverage stands at 2.52x.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$60.6M (Maximum growth and sustaining envelope)</t>
        </is>
      </c>
      <c r="D10" s="35" t="inlineStr">
        <is>
          <t>$55.8M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$60.6M (Maximum growth and sustaining envelope). Current commitments stand at $55.8M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$161.6M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$220.5M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$123.8M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$161.8M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https://www.google.com/finance/quote/AFRCEL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2026-10-15T04:19:40Z</dcterms:created>
  <dcterms:modified xmlns:dcterms="http://purl.org/dc/terms/" xmlns:xsi="http://www.w3.org/2001/XMLSchema-instance" xsi:type="dcterms:W3CDTF">2026-10-15T04:19:40Z</dcterms:modified>
</cp:coreProperties>
</file>