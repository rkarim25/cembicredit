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$-12.3M after capex, interest, working capital, and tax.</t>
      </text>
    </comment>
    <comment ref="D34" authorId="0" shapeId="0">
      <text>
        <t>CEMBI Credit Desk FCF Bridge (2022A):
Formula: EBITDA - Capex - Cash Interest - ΔNWC - Tax
FCF generation of $10.5M after capex, interest, working capital, and tax.</t>
      </text>
    </comment>
    <comment ref="E34" authorId="0" shapeId="0">
      <text>
        <t>CEMBI Credit Desk FCF Bridge (2023A):
Formula: EBITDA - Capex - Cash Interest - ΔNWC - Tax
FCF generation of $-33.9M after capex, interest, working capital, and tax.</t>
      </text>
    </comment>
    <comment ref="F34" authorId="0" shapeId="0">
      <text>
        <t>CEMBI Credit Desk FCF Bridge (2024A):
Formula: EBITDA - Capex - Cash Interest - ΔNWC - Tax
FCF generation of $-38.8M after capex, interest, working capital, and tax.</t>
      </text>
    </comment>
    <comment ref="G34" authorId="0" shapeId="0">
      <text>
        <t>CEMBI Credit Desk FCF Bridge (2025E):
Formula: EBITDA - Capex - Cash Interest - ΔNWC - Tax
FCF generation of $100.0M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10.500% 2029 (XS2855412479) @ $103.24 (9.26% YTM / +452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237.465</v>
      </c>
      <c r="F26" s="7" t="inlineStr">
        <is>
          <t>9.26%</t>
        </is>
      </c>
      <c r="G26" s="7" t="inlineStr">
        <is>
          <t>$103.24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158.31</v>
      </c>
      <c r="F27" s="7" t="inlineStr">
        <is>
          <t>8.51%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131.925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580</v>
      </c>
      <c r="D16" s="8" t="n">
        <v>178.7</v>
      </c>
      <c r="E16" s="8" t="n">
        <v>206.6</v>
      </c>
      <c r="F16" s="8" t="n">
        <v>206.5</v>
      </c>
      <c r="G16" s="8" t="n">
        <v>580</v>
      </c>
      <c r="H16" s="8" t="n">
        <v>580</v>
      </c>
      <c r="I16" s="8" t="n">
        <v>580</v>
      </c>
    </row>
    <row r="17">
      <c r="B17" s="7" t="inlineStr">
        <is>
          <t>Fixed Broadband &amp; Enterprise ICT</t>
        </is>
      </c>
      <c r="C17" s="8" t="n">
        <v>260</v>
      </c>
      <c r="D17" s="8" t="n">
        <v>80.09999999999999</v>
      </c>
      <c r="E17" s="8" t="n">
        <v>92.59999999999999</v>
      </c>
      <c r="F17" s="8" t="n">
        <v>92.59999999999999</v>
      </c>
      <c r="G17" s="8" t="n">
        <v>260</v>
      </c>
      <c r="H17" s="8" t="n">
        <v>260</v>
      </c>
      <c r="I17" s="8" t="n">
        <v>260</v>
      </c>
    </row>
    <row r="18">
      <c r="B18" s="7" t="inlineStr">
        <is>
          <t>Fintech, Media &amp; Digital Services</t>
        </is>
      </c>
      <c r="C18" s="8" t="n">
        <v>160</v>
      </c>
      <c r="D18" s="8" t="n">
        <v>49.3</v>
      </c>
      <c r="E18" s="8" t="n">
        <v>57</v>
      </c>
      <c r="F18" s="8" t="n">
        <v>57</v>
      </c>
      <c r="G18" s="8" t="n">
        <v>160</v>
      </c>
      <c r="H18" s="8" t="n">
        <v>160</v>
      </c>
      <c r="I18" s="8" t="n">
        <v>160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99.40000000000001</v>
      </c>
      <c r="E16" s="8" t="n">
        <v>98.7</v>
      </c>
      <c r="F16" s="8" t="n">
        <v>49.7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171.2</v>
      </c>
      <c r="D32" s="8" t="n">
        <v>184.5</v>
      </c>
      <c r="E32" s="8" t="n">
        <v>141.2</v>
      </c>
      <c r="F32" s="8" t="n">
        <v>180.7</v>
      </c>
      <c r="G32" s="8" t="n">
        <v>10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37" customWidth="1" min="9" max="9"/>
    <col width="49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0.0926</f>
        <v/>
      </c>
      <c r="D11" s="8">
        <f>D10 * 0.0926</f>
        <v/>
      </c>
      <c r="E11" s="8">
        <f>E10 * 0.0926</f>
        <v/>
      </c>
      <c r="F11" s="8">
        <f>F10 * 0.0926</f>
        <v/>
      </c>
      <c r="G11" s="8">
        <f>G10 * 0.0926</f>
        <v/>
      </c>
      <c r="H11" s="8">
        <f>H10 * 0.0926</f>
        <v/>
      </c>
      <c r="I11" s="8">
        <f>I10 * 0.0926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63.3</v>
      </c>
      <c r="C32" s="8" t="n">
        <v>116.1</v>
      </c>
      <c r="D32" s="8" t="n">
        <v>147.8</v>
      </c>
      <c r="E32" s="8" t="n">
        <v>95</v>
      </c>
      <c r="F32" s="8" t="n">
        <v>63.3</v>
      </c>
      <c r="G32" s="8" t="n">
        <v>42.2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10.500% 2029 Senior Secured Notes (XS2855412479)</t>
        </is>
      </c>
      <c r="C37" s="7" t="inlineStr">
        <is>
          <t>Senior Secured Notes</t>
        </is>
      </c>
      <c r="D37" s="28" t="inlineStr">
        <is>
          <t>USD</t>
        </is>
      </c>
      <c r="E37" s="20" t="n">
        <v>360</v>
      </c>
      <c r="F37" s="29" t="inlineStr">
        <is>
          <t>10.500%</t>
        </is>
      </c>
      <c r="G37" s="30" t="n">
        <v>103.24</v>
      </c>
      <c r="H37" s="31" t="n">
        <v>9.26</v>
      </c>
      <c r="I37" s="7" t="inlineStr">
        <is>
          <t>Senior Secured</t>
        </is>
      </c>
      <c r="J37" s="16" t="inlineStr">
        <is>
          <t>New York / English Law</t>
        </is>
      </c>
    </row>
    <row r="38">
      <c r="B38" s="9" t="inlineStr">
        <is>
          <t>Lease Liabilities (IFRS 16 - Tower &amp; Site Infrastructure)</t>
        </is>
      </c>
      <c r="C38" s="7" t="inlineStr">
        <is>
          <t>Operating &amp; Finance Leases</t>
        </is>
      </c>
      <c r="D38" s="28" t="inlineStr">
        <is>
          <t>USD / Mixed</t>
        </is>
      </c>
      <c r="E38" s="20" t="n">
        <v>195.9</v>
      </c>
      <c r="F38" s="29" t="inlineStr">
        <is>
          <t>Implied Lease Rate (~8.5%)</t>
        </is>
      </c>
      <c r="G38" s="30" t="n">
        <v>100</v>
      </c>
      <c r="H38" s="31" t="n">
        <v>8.5</v>
      </c>
      <c r="I38" s="7" t="inlineStr">
        <is>
          <t>Senior Secured / Operating Leases</t>
        </is>
      </c>
      <c r="J38" s="16" t="inlineStr">
        <is>
          <t>Local Jurisdictions</t>
        </is>
      </c>
    </row>
    <row r="39">
      <c r="B39" s="9" t="inlineStr">
        <is>
          <t>Multilateral &amp; Commercial Term Loans (US DFC &amp; Commercial)</t>
        </is>
      </c>
      <c r="C39" s="7" t="inlineStr">
        <is>
          <t>Senior Term Loans</t>
        </is>
      </c>
      <c r="D39" s="28" t="inlineStr">
        <is>
          <t>USD</t>
        </is>
      </c>
      <c r="E39" s="20" t="n">
        <v>15.7</v>
      </c>
      <c r="F39" s="29" t="inlineStr">
        <is>
          <t>SOFR + 425 bps</t>
        </is>
      </c>
      <c r="G39" s="30" t="n">
        <v>100</v>
      </c>
      <c r="H39" s="31" t="n">
        <v>9.5</v>
      </c>
      <c r="I39" s="7" t="inlineStr">
        <is>
          <t>Senior Secured (Pari Passu)</t>
        </is>
      </c>
      <c r="J39" s="16" t="inlineStr">
        <is>
          <t>English Law</t>
        </is>
      </c>
    </row>
    <row r="40">
      <c r="B40" s="9" t="inlineStr">
        <is>
          <t>Local Bank Overdrafts &amp; Short-Term Working Capital Lines</t>
        </is>
      </c>
      <c r="C40" s="7" t="inlineStr">
        <is>
          <t>Bank Overdrafts</t>
        </is>
      </c>
      <c r="D40" s="28" t="inlineStr">
        <is>
          <t>Local / USD</t>
        </is>
      </c>
      <c r="E40" s="20" t="n">
        <v>29.7</v>
      </c>
      <c r="F40" s="29" t="inlineStr">
        <is>
          <t>Local Base + 300 bps</t>
        </is>
      </c>
      <c r="G40" s="30" t="n">
        <v>100</v>
      </c>
      <c r="H40" s="31" t="n">
        <v>12</v>
      </c>
      <c r="I40" s="7" t="inlineStr">
        <is>
          <t>Super Senior / Local Priority</t>
        </is>
      </c>
      <c r="J40" s="16" t="inlineStr">
        <is>
          <t>Local Law (Angola, DRC, Sierra Leone, Gambia)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9.26%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-8.0%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11.26%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7.76%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395.8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79.2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211.1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2026-10-23T04:16:20Z</dcterms:created>
  <dcterms:modified xmlns:dcterms="http://purl.org/dc/terms/" xmlns:xsi="http://www.w3.org/2001/XMLSchema-instance" xsi:type="dcterms:W3CDTF">2026-10-23T04:16:20Z</dcterms:modified>
</cp:coreProperties>
</file>