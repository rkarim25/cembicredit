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Africell</t>
        </is>
      </c>
    </row>
    <row r="3">
      <c r="B3" s="2" t="inlineStr">
        <is>
          <t>CEMBI CEEMEA Institutional Credit Assessment | Country: Angola (Africa) | Sector: Technology | Benchmark: AFRCEL 11.45%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AFRCEL 11.45% 2028</t>
        </is>
      </c>
      <c r="C6" s="5" t="inlineStr">
        <is>
          <t>11.45% (+710 bp)</t>
        </is>
      </c>
      <c r="D6" s="4" t="inlineStr">
        <is>
          <t>B- / B3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$58.00</t>
        </is>
      </c>
      <c r="D7" s="4" t="inlineStr">
        <is>
          <t>Base Case Fair Value</t>
        </is>
      </c>
      <c r="E7" s="5" t="inlineStr">
        <is>
          <t>$95.00</t>
        </is>
      </c>
    </row>
    <row r="9">
      <c r="B9" s="6" t="inlineStr">
        <is>
          <t>INSTITUTIONAL INVESTMENT THESIS</t>
        </is>
      </c>
    </row>
    <row r="10">
      <c r="B10" s="7" t="inlineStr">
        <is>
          <t>6M+ subscribers captured in Angola post-2022 rollout; strategic US DFC $100M+ senior debt backing.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Africell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333.2</v>
      </c>
      <c r="D7" s="13" t="n">
        <v>401.8</v>
      </c>
      <c r="E7" s="13" t="n">
        <v>450.8</v>
      </c>
      <c r="F7" s="13" t="n">
        <v>490</v>
      </c>
      <c r="G7" s="14" t="n">
        <v>529.2</v>
      </c>
      <c r="H7" s="14" t="n">
        <v>563.5</v>
      </c>
      <c r="I7" s="14" t="n">
        <v>588</v>
      </c>
    </row>
    <row r="8">
      <c r="B8" s="12" t="inlineStr">
        <is>
          <t>EBITDA</t>
        </is>
      </c>
      <c r="C8" s="13" t="n">
        <v>107.2</v>
      </c>
      <c r="D8" s="13" t="n">
        <v>132</v>
      </c>
      <c r="E8" s="13" t="n">
        <v>148.5</v>
      </c>
      <c r="F8" s="13" t="n">
        <v>165</v>
      </c>
      <c r="G8" s="14" t="n">
        <v>181.5</v>
      </c>
      <c r="H8" s="14" t="n">
        <v>194.7</v>
      </c>
      <c r="I8" s="14" t="n">
        <v>204.6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34.3</v>
      </c>
      <c r="D10" s="17" t="n">
        <v>42.8</v>
      </c>
      <c r="E10" s="17" t="n">
        <v>51.4</v>
      </c>
      <c r="F10" s="17" t="n">
        <v>57.1</v>
      </c>
      <c r="G10" s="18" t="n">
        <v>54.8</v>
      </c>
      <c r="H10" s="18" t="n">
        <v>52.5</v>
      </c>
      <c r="I10" s="18" t="n">
        <v>50.2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87</v>
      </c>
      <c r="D12" s="13" t="n">
        <v>109.4</v>
      </c>
      <c r="E12" s="13" t="n">
        <v>123.4</v>
      </c>
      <c r="F12" s="13" t="n">
        <v>140.2</v>
      </c>
      <c r="G12" s="14" t="n">
        <v>154.3</v>
      </c>
      <c r="H12" s="14" t="n">
        <v>165.5</v>
      </c>
      <c r="I12" s="14" t="n">
        <v>175.3</v>
      </c>
    </row>
    <row r="13">
      <c r="B13" s="5" t="inlineStr">
        <is>
          <t>Capital Expenditures (Capex)</t>
        </is>
      </c>
      <c r="C13" s="17" t="n">
        <v>40.4</v>
      </c>
      <c r="D13" s="17" t="n">
        <v>49.1</v>
      </c>
      <c r="E13" s="17" t="n">
        <v>54.9</v>
      </c>
      <c r="F13" s="17" t="n">
        <v>57.7</v>
      </c>
      <c r="G13" s="18" t="n">
        <v>60.6</v>
      </c>
      <c r="H13" s="18" t="n">
        <v>58.9</v>
      </c>
      <c r="I13" s="18" t="n">
        <v>56.6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68.09999999999999</v>
      </c>
      <c r="D16" s="13" t="n">
        <v>86.59999999999999</v>
      </c>
      <c r="E16" s="13" t="n">
        <v>105.2</v>
      </c>
      <c r="F16" s="13" t="n">
        <v>123.8</v>
      </c>
      <c r="G16" s="14" t="n">
        <v>146</v>
      </c>
      <c r="H16" s="14" t="n">
        <v>167.1</v>
      </c>
      <c r="I16" s="14" t="n">
        <v>185.6</v>
      </c>
    </row>
    <row r="17">
      <c r="B17" s="12" t="inlineStr">
        <is>
          <t>Gross Total Debt</t>
        </is>
      </c>
      <c r="C17" s="13" t="n">
        <v>458.6</v>
      </c>
      <c r="D17" s="13" t="n">
        <v>496.4</v>
      </c>
      <c r="E17" s="13" t="n">
        <v>528.8</v>
      </c>
      <c r="F17" s="13" t="n">
        <v>539.5</v>
      </c>
      <c r="G17" s="14" t="n">
        <v>528.8</v>
      </c>
      <c r="H17" s="14" t="n">
        <v>512.6</v>
      </c>
      <c r="I17" s="14" t="n">
        <v>485.6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Africell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11.45%</t>
        </is>
      </c>
      <c r="F6" s="21" t="inlineStr">
        <is>
          <t>2028 / 2029</t>
        </is>
      </c>
      <c r="G6" s="17" t="n">
        <v>242.8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134.9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80.90000000000001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54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105.2</v>
      </c>
    </row>
    <row r="15">
      <c r="B15" t="inlineStr">
        <is>
          <t>Committed Undrawn RCF Capacity</t>
        </is>
      </c>
      <c r="C15" s="22" t="n">
        <v>66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121.8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Africell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165</v>
      </c>
      <c r="D6" s="17" t="n">
        <v>140.2</v>
      </c>
      <c r="E6" s="25" t="n">
        <v>107.2</v>
      </c>
    </row>
    <row r="7">
      <c r="B7" s="5" t="inlineStr">
        <is>
          <t>Free Cash Flow ($M)</t>
        </is>
      </c>
      <c r="C7" s="17" t="n">
        <v>82.5</v>
      </c>
      <c r="D7" s="17" t="n">
        <v>49.5</v>
      </c>
      <c r="E7" s="25" t="n">
        <v>12.4</v>
      </c>
    </row>
    <row r="8">
      <c r="B8" s="12" t="inlineStr">
        <is>
          <t>Net Leverage Ratio (x)</t>
        </is>
      </c>
      <c r="C8" s="26" t="n">
        <v>2.52</v>
      </c>
      <c r="D8" s="26" t="n">
        <v>3.15</v>
      </c>
      <c r="E8" s="27" t="n">
        <v>4.66</v>
      </c>
    </row>
    <row r="9">
      <c r="B9" s="5" t="inlineStr">
        <is>
          <t>Interest Coverage Ratio (x)</t>
        </is>
      </c>
      <c r="C9" s="26" t="n">
        <v>2.89</v>
      </c>
      <c r="D9" s="26" t="n">
        <v>2.25</v>
      </c>
      <c r="E9" s="27" t="n">
        <v>1.3</v>
      </c>
    </row>
    <row r="10">
      <c r="B10" s="12" t="inlineStr">
        <is>
          <t>Implied Senior Paper Trading / Recovery ($)</t>
        </is>
      </c>
      <c r="C10" s="12" t="inlineStr">
        <is>
          <t>$95.00</t>
        </is>
      </c>
      <c r="D10" s="12" t="inlineStr">
        <is>
          <t>$70.00</t>
        </is>
      </c>
      <c r="E10" s="28" t="inlineStr">
        <is>
          <t>$58.00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