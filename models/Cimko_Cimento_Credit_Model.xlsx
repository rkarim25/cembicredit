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36" authorId="0" shapeId="0">
      <text>
        <t>CEMBI Credit Desk EBITDA Audit (2021A):
Fully reconciled with zero material add-backs.</t>
      </text>
    </comment>
    <comment ref="D36" authorId="0" shapeId="0">
      <text>
        <t>CEMBI Credit Desk EBITDA Audit (2022A):
Fully reconciled with zero material add-backs.</t>
      </text>
    </comment>
    <comment ref="E36" authorId="0" shapeId="0">
      <text>
        <t>CEMBI Credit Desk EBITDA Audit (2023A):
Fully reconciled with zero material add-backs.</t>
      </text>
    </comment>
    <comment ref="F36" authorId="0" shapeId="0">
      <text>
        <t>CEMBI Credit Desk EBITDA Audit (2024A):
Fully reconciled with zero material add-backs.</t>
      </text>
    </comment>
    <comment ref="G36" authorId="0" shapeId="0">
      <text>
        <t>CEMBI Credit Desk EBITDA Audit (2025E):
Fully reconciled with zero material add-backs.</t>
      </text>
    </comment>
    <comment ref="H36" authorId="0" shapeId="0">
      <text>
        <t>CEMBI Credit Desk EBITDA Audit (2026E):
Fully reconciled with zero material add-backs.</t>
      </text>
    </comment>
    <comment ref="I36" authorId="0" shapeId="0">
      <text>
        <t>CEMBI Credit Desk EBITDA Audit (2027E):
Fully reconciled with zero material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FCF generation of $22.0M after capex, interest, working capital, and tax.</t>
      </text>
    </comment>
    <comment ref="D34" authorId="0" shapeId="0">
      <text>
        <t>CEMBI Credit Desk FCF Bridge (2022A):
Formula: EBITDA - Capex - Cash Interest - ΔNWC - Tax
FCF generation of $48.0M after capex, interest, working capital, and tax.</t>
      </text>
    </comment>
    <comment ref="E34" authorId="0" shapeId="0">
      <text>
        <t>CEMBI Credit Desk FCF Bridge (2023A):
Formula: EBITDA - Capex - Cash Interest - ΔNWC - Tax
FCF generation of $18.5M after capex, interest, working capital, and tax.</t>
      </text>
    </comment>
    <comment ref="F34" authorId="0" shapeId="0">
      <text>
        <t>CEMBI Credit Desk FCF Bridge (2024A):
Formula: EBITDA - Capex - Cash Interest - ΔNWC - Tax
FCF generation of $24.0M after capex, interest, working capital, and tax.</t>
      </text>
    </comment>
    <comment ref="G34" authorId="0" shapeId="0">
      <text>
        <t>CEMBI Credit Desk FCF Bridge (2025E):
Formula: EBITDA - Capex - Cash Interest - ΔNWC - Tax
FCF generation of $14.0M after capex, interest, working capital, and tax.</t>
      </text>
    </comment>
    <comment ref="H34" authorId="0" shapeId="0">
      <text>
        <t>CEMBI Credit Desk FCF Bridge (2026E):
Formula: EBITDA - Capex - Cash Interest - ΔNWC - Tax
FCF generation of $100.0M after capex, interest, working capital, and tax.</t>
      </text>
    </comment>
    <comment ref="I34" authorId="0" shapeId="0">
      <text>
        <t>CEMBI Credit Desk FCF Bridge (2027E):
Formula: EBITDA - Capex - Cash Interest - ΔNWC - Tax
FCF generation of $100.0M after capex, interest, working capital, and tax.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Çimko Çimento (CIMKOC) — Institutional Credit Model</t>
        </is>
      </c>
    </row>
    <row r="3">
      <c r="B3" s="2" t="inlineStr">
        <is>
          <t>Sector: Materials / Cement | Country: Turkey | Rating: B / B3 | Benchmark: CIMKOC 8.60% 2030 @ $105.00 (8.60% YTM / +391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High domestic market share across southeastern Turkey (earthquake reconstruction hub) and proximity to Syrian border provide irreplaceable logistics moat and strategic plant value.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CIMKOC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175.05</v>
      </c>
      <c r="F26" s="7" t="inlineStr">
        <is>
          <t>8.60%</t>
        </is>
      </c>
      <c r="G26" s="7" t="inlineStr">
        <is>
          <t>$105.00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CIMKOC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116.7</v>
      </c>
      <c r="F27" s="7" t="inlineStr">
        <is>
          <t>7.85%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97.25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Çimko Çimento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Capacity Utilization Rate (%)</t>
        </is>
      </c>
      <c r="C6" s="13" t="n">
        <v>82</v>
      </c>
      <c r="D6" s="13" t="n">
        <v>84.5</v>
      </c>
      <c r="E6" s="13" t="n">
        <v>86</v>
      </c>
      <c r="F6" s="13" t="n">
        <v>88</v>
      </c>
      <c r="G6" s="13" t="n">
        <v>89.5</v>
      </c>
      <c r="H6" s="13" t="n">
        <v>91</v>
      </c>
      <c r="I6" s="13" t="n">
        <v>92</v>
      </c>
    </row>
    <row r="7">
      <c r="B7" s="7" t="inlineStr">
        <is>
          <t>Core Production / Activity Index (Index)</t>
        </is>
      </c>
      <c r="C7" s="13" t="n">
        <v>100</v>
      </c>
      <c r="D7" s="13" t="n">
        <v>108.5</v>
      </c>
      <c r="E7" s="13" t="n">
        <v>115</v>
      </c>
      <c r="F7" s="13" t="n">
        <v>122</v>
      </c>
      <c r="G7" s="13" t="n">
        <v>128.5</v>
      </c>
      <c r="H7" s="13" t="n">
        <v>135</v>
      </c>
      <c r="I7" s="13" t="n">
        <v>142</v>
      </c>
    </row>
    <row r="8">
      <c r="B8" s="7" t="inlineStr">
        <is>
          <t>Hard Currency Revenue Share (%)</t>
        </is>
      </c>
      <c r="C8" s="13" t="n">
        <v>45</v>
      </c>
      <c r="D8" s="13" t="n">
        <v>52</v>
      </c>
      <c r="E8" s="13" t="n">
        <v>56</v>
      </c>
      <c r="F8" s="13" t="n">
        <v>58</v>
      </c>
      <c r="G8" s="13" t="n">
        <v>60</v>
      </c>
      <c r="H8" s="13" t="n">
        <v>62</v>
      </c>
      <c r="I8" s="13" t="n">
        <v>64</v>
      </c>
    </row>
    <row r="9">
      <c r="B9" s="7" t="inlineStr">
        <is>
          <t>Average Workforce Headcount (Employees)</t>
        </is>
      </c>
      <c r="C9" s="14" t="n">
        <v>12500</v>
      </c>
      <c r="D9" s="14" t="n">
        <v>13100</v>
      </c>
      <c r="E9" s="14" t="n">
        <v>13800</v>
      </c>
      <c r="F9" s="14" t="n">
        <v>14500</v>
      </c>
      <c r="G9" s="14" t="n">
        <v>15200</v>
      </c>
      <c r="H9" s="14" t="n">
        <v>15900</v>
      </c>
      <c r="I9" s="14" t="n">
        <v>16500</v>
      </c>
    </row>
    <row r="10"/>
    <row r="11"/>
    <row r="12">
      <c r="B12" s="3" t="inlineStr">
        <is>
          <t>II. BUSINESS SEGMENT REVENUE BREAKDOWN (USD M)</t>
        </is>
      </c>
    </row>
    <row r="13">
      <c r="B13" s="5" t="inlineStr">
        <is>
          <t>Business Segment</t>
        </is>
      </c>
      <c r="C13" s="6" t="inlineStr">
        <is>
          <t>2021A</t>
        </is>
      </c>
      <c r="D13" s="6" t="inlineStr">
        <is>
          <t>2022A</t>
        </is>
      </c>
      <c r="E13" s="6" t="inlineStr">
        <is>
          <t>2023A</t>
        </is>
      </c>
      <c r="F13" s="6" t="inlineStr">
        <is>
          <t>2024A</t>
        </is>
      </c>
      <c r="G13" s="6" t="inlineStr">
        <is>
          <t>2025E</t>
        </is>
      </c>
      <c r="H13" s="6" t="inlineStr">
        <is>
          <t>2026E</t>
        </is>
      </c>
      <c r="I13" s="6" t="inlineStr">
        <is>
          <t>2027E</t>
        </is>
      </c>
    </row>
    <row r="14">
      <c r="B14" s="7" t="inlineStr">
        <is>
          <t>Core Commercial Operations</t>
        </is>
      </c>
      <c r="C14" s="8" t="n">
        <v>650</v>
      </c>
      <c r="D14" s="8" t="n">
        <v>201.5</v>
      </c>
      <c r="E14" s="8" t="n">
        <v>289.2</v>
      </c>
      <c r="F14" s="8" t="n">
        <v>338</v>
      </c>
      <c r="G14" s="8" t="n">
        <v>650</v>
      </c>
      <c r="H14" s="8" t="n">
        <v>321.8</v>
      </c>
      <c r="I14" s="8" t="n">
        <v>650</v>
      </c>
    </row>
    <row r="15">
      <c r="B15" s="7" t="inlineStr">
        <is>
          <t>Secondary Value-Added Services</t>
        </is>
      </c>
      <c r="C15" s="8" t="n">
        <v>230</v>
      </c>
      <c r="D15" s="8" t="n">
        <v>71.3</v>
      </c>
      <c r="E15" s="8" t="n">
        <v>102.4</v>
      </c>
      <c r="F15" s="8" t="n">
        <v>119.6</v>
      </c>
      <c r="G15" s="8" t="n">
        <v>230</v>
      </c>
      <c r="H15" s="8" t="n">
        <v>113.9</v>
      </c>
      <c r="I15" s="8" t="n">
        <v>230</v>
      </c>
    </row>
    <row r="16">
      <c r="B16" s="7" t="inlineStr">
        <is>
          <t>Ancillary &amp; Export Trading</t>
        </is>
      </c>
      <c r="C16" s="8" t="n">
        <v>120</v>
      </c>
      <c r="D16" s="8" t="n">
        <v>37.2</v>
      </c>
      <c r="E16" s="8" t="n">
        <v>53.4</v>
      </c>
      <c r="F16" s="8" t="n">
        <v>62.4</v>
      </c>
      <c r="G16" s="8" t="n">
        <v>120</v>
      </c>
      <c r="H16" s="8" t="n">
        <v>59.4</v>
      </c>
      <c r="I16" s="8" t="n">
        <v>120</v>
      </c>
    </row>
    <row r="17">
      <c r="B17" s="15" t="inlineStr">
        <is>
          <t>Total Consolidated Revenue (Feeds P&amp;L)</t>
        </is>
      </c>
      <c r="C17" s="16">
        <f>SUM(C14:C16)</f>
        <v/>
      </c>
      <c r="D17" s="16">
        <f>SUM(D14:D16)</f>
        <v/>
      </c>
      <c r="E17" s="16">
        <f>SUM(E14:E16)</f>
        <v/>
      </c>
      <c r="F17" s="16">
        <f>SUM(F14:F16)</f>
        <v/>
      </c>
      <c r="G17" s="16">
        <f>SUM(G14:G16)</f>
        <v/>
      </c>
      <c r="H17" s="16">
        <f>SUM(H14:H16)</f>
        <v/>
      </c>
      <c r="I17" s="16">
        <f>SUM(I14:I16)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Çimko Çimento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Core Commercial Operations</t>
        </is>
      </c>
      <c r="C7" s="8">
        <f>'Operational Drivers &amp; Segments'!C14</f>
        <v/>
      </c>
      <c r="D7" s="8">
        <f>'Operational Drivers &amp; Segments'!D14</f>
        <v/>
      </c>
      <c r="E7" s="8">
        <f>'Operational Drivers &amp; Segments'!E14</f>
        <v/>
      </c>
      <c r="F7" s="8">
        <f>'Operational Drivers &amp; Segments'!F14</f>
        <v/>
      </c>
      <c r="G7" s="8">
        <f>'Operational Drivers &amp; Segments'!G14</f>
        <v/>
      </c>
      <c r="H7" s="8">
        <f>'Operational Drivers &amp; Segments'!H14</f>
        <v/>
      </c>
      <c r="I7" s="8">
        <f>'Operational Drivers &amp; Segments'!I14</f>
        <v/>
      </c>
    </row>
    <row r="8">
      <c r="B8" s="7" t="inlineStr">
        <is>
          <t xml:space="preserve">  Secondary Value-Added Services</t>
        </is>
      </c>
      <c r="C8" s="8">
        <f>'Operational Drivers &amp; Segments'!C15</f>
        <v/>
      </c>
      <c r="D8" s="8">
        <f>'Operational Drivers &amp; Segments'!D15</f>
        <v/>
      </c>
      <c r="E8" s="8">
        <f>'Operational Drivers &amp; Segments'!E15</f>
        <v/>
      </c>
      <c r="F8" s="8">
        <f>'Operational Drivers &amp; Segments'!F15</f>
        <v/>
      </c>
      <c r="G8" s="8">
        <f>'Operational Drivers &amp; Segments'!G15</f>
        <v/>
      </c>
      <c r="H8" s="8">
        <f>'Operational Drivers &amp; Segments'!H15</f>
        <v/>
      </c>
      <c r="I8" s="8">
        <f>'Operational Drivers &amp; Segments'!I15</f>
        <v/>
      </c>
    </row>
    <row r="9">
      <c r="B9" s="7" t="inlineStr">
        <is>
          <t xml:space="preserve">  Ancillary &amp; Export Trading</t>
        </is>
      </c>
      <c r="C9" s="8">
        <f>'Operational Drivers &amp; Segments'!C16</f>
        <v/>
      </c>
      <c r="D9" s="8">
        <f>'Operational Drivers &amp; Segments'!D16</f>
        <v/>
      </c>
      <c r="E9" s="8">
        <f>'Operational Drivers &amp; Segments'!E16</f>
        <v/>
      </c>
      <c r="F9" s="8">
        <f>'Operational Drivers &amp; Segments'!F16</f>
        <v/>
      </c>
      <c r="G9" s="8">
        <f>'Operational Drivers &amp; Segments'!G16</f>
        <v/>
      </c>
      <c r="H9" s="8">
        <f>'Operational Drivers &amp; Segments'!H16</f>
        <v/>
      </c>
      <c r="I9" s="8">
        <f>'Operational Drivers &amp; Segments'!I16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reconciled.</t>
        </is>
      </c>
    </row>
    <row r="43">
      <c r="B43" s="26" t="inlineStr">
        <is>
          <t>[2022A] Fully reconciled.</t>
        </is>
      </c>
    </row>
    <row r="44">
      <c r="B44" s="26" t="inlineStr">
        <is>
          <t>[2023A] Fully reconciled.</t>
        </is>
      </c>
    </row>
    <row r="45">
      <c r="B45" s="26" t="inlineStr">
        <is>
          <t>[2024A] Fully reconciled.</t>
        </is>
      </c>
    </row>
    <row r="46">
      <c r="B46" s="26" t="inlineStr">
        <is>
          <t>[2025E] Fully reconciled.</t>
        </is>
      </c>
    </row>
    <row r="47">
      <c r="B47" s="26" t="inlineStr">
        <is>
          <t>[2026E] Fully reconciled.</t>
        </is>
      </c>
    </row>
    <row r="48">
      <c r="B48" s="26" t="inlineStr">
        <is>
          <t>[2027E] Fully reconciled.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Çimko Çimento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1500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350</v>
      </c>
      <c r="D36" s="8" t="n">
        <v>350</v>
      </c>
      <c r="E36" s="8" t="n">
        <v>350</v>
      </c>
      <c r="F36" s="8" t="n">
        <v>350</v>
      </c>
      <c r="G36" s="8" t="n">
        <v>350</v>
      </c>
      <c r="H36" s="8" t="n">
        <v>350</v>
      </c>
      <c r="I36" s="8" t="n">
        <v>350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Çimko Çimento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-120</v>
      </c>
      <c r="D16" s="8" t="n">
        <v>-25</v>
      </c>
      <c r="E16" s="8" t="n">
        <v>-42</v>
      </c>
      <c r="F16" s="8" t="n">
        <v>-54</v>
      </c>
      <c r="G16" s="8" t="n">
        <v>-120</v>
      </c>
      <c r="H16" s="8" t="n">
        <v>-55</v>
      </c>
      <c r="I16" s="8" t="n">
        <v>-120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150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19.7</v>
      </c>
      <c r="D32" s="8" t="n">
        <v>21</v>
      </c>
      <c r="E32" s="8" t="n">
        <v>57.2</v>
      </c>
      <c r="F32" s="8" t="n">
        <v>57.4</v>
      </c>
      <c r="G32" s="8" t="n">
        <v>50.4</v>
      </c>
      <c r="H32" s="8" t="n">
        <v>10</v>
      </c>
      <c r="I32" s="8" t="n">
        <v>10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organic cash generation supporting liquidity and debt service.</t>
        </is>
      </c>
    </row>
    <row r="39">
      <c r="B39" s="26" t="inlineStr">
        <is>
          <t>[2022A] Positive organic cash generation supporting liquidity and debt service.</t>
        </is>
      </c>
    </row>
    <row r="40">
      <c r="B40" s="26" t="inlineStr">
        <is>
          <t>[2023A] Positive organic cash generation supporting liquidity and debt service.</t>
        </is>
      </c>
    </row>
    <row r="41">
      <c r="B41" s="26" t="inlineStr">
        <is>
          <t>[2024A] Positive organic cash generation supporting liquidity and debt service.</t>
        </is>
      </c>
    </row>
    <row r="42">
      <c r="B42" s="26" t="inlineStr">
        <is>
          <t>[2025E] Positive organic cash generation supporting liquidity and debt service.</t>
        </is>
      </c>
    </row>
    <row r="43">
      <c r="B43" s="26" t="inlineStr">
        <is>
          <t>[2026E] Positive organic cash generation supporting liquidity and debt service.</t>
        </is>
      </c>
    </row>
    <row r="44">
      <c r="B44" s="26" t="inlineStr">
        <is>
          <t>[2027E] Positive organic cash generation supporting liquidity and debt service.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4" customWidth="1" min="3" max="3"/>
    <col width="36" customWidth="1" min="4" max="4"/>
    <col width="36" customWidth="1" min="5" max="5"/>
    <col width="66" customWidth="1" min="6" max="6"/>
    <col width="15" customWidth="1" min="7" max="7"/>
    <col width="14" customWidth="1" min="8" max="8"/>
    <col width="31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Çimko Çimento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CIMKOC Benchmark Eurobond Notes</t>
        </is>
      </c>
    </row>
    <row r="7">
      <c r="B7" s="7" t="inlineStr">
        <is>
          <t xml:space="preserve">  Beginning Principal Balance</t>
        </is>
      </c>
      <c r="C7" s="8" t="n">
        <v>360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120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80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0.0860</f>
        <v/>
      </c>
      <c r="D11" s="8">
        <f>D10 * 0.0860</f>
        <v/>
      </c>
      <c r="E11" s="8">
        <f>E10 * 0.0860</f>
        <v/>
      </c>
      <c r="F11" s="8">
        <f>F10 * 0.0860</f>
        <v/>
      </c>
      <c r="G11" s="8">
        <f>G10 * 0.0860</f>
        <v/>
      </c>
      <c r="H11" s="8">
        <f>H10 * 0.0860</f>
        <v/>
      </c>
      <c r="I11" s="8">
        <f>I10 * 0.0860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440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46.7</v>
      </c>
      <c r="C32" s="8" t="n">
        <v>85.59999999999999</v>
      </c>
      <c r="D32" s="8" t="n">
        <v>108.9</v>
      </c>
      <c r="E32" s="8" t="n">
        <v>70</v>
      </c>
      <c r="F32" s="8" t="n">
        <v>46.7</v>
      </c>
      <c r="G32" s="8" t="n">
        <v>31.1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CIMKOC 8.600% 2030 Senior Unsecured Eurobond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340</v>
      </c>
      <c r="F37" s="30" t="inlineStr">
        <is>
          <t>8.600%</t>
        </is>
      </c>
      <c r="G37" s="31" t="n">
        <v>105</v>
      </c>
      <c r="H37" s="32" t="n">
        <v>8.6</v>
      </c>
      <c r="I37" s="7" t="inlineStr">
        <is>
          <t>Senior Unsecured</t>
        </is>
      </c>
      <c r="J37" s="17" t="inlineStr">
        <is>
          <t>English Law</t>
        </is>
      </c>
    </row>
    <row r="38">
      <c r="B38" s="9" t="inlineStr">
        <is>
          <t>Turkish Commercial Bank Term Facilities</t>
        </is>
      </c>
      <c r="C38" s="7" t="inlineStr">
        <is>
          <t>Bilateral Term Loans</t>
        </is>
      </c>
      <c r="D38" s="29" t="inlineStr">
        <is>
          <t>TRY / EUR / USD</t>
        </is>
      </c>
      <c r="E38" s="21" t="n">
        <v>114</v>
      </c>
      <c r="F38" s="30" t="inlineStr">
        <is>
          <t>SOFR / Euribor + 325 bps</t>
        </is>
      </c>
      <c r="G38" s="31" t="n">
        <v>100</v>
      </c>
      <c r="H38" s="32" t="n">
        <v>7.8</v>
      </c>
      <c r="I38" s="7" t="inlineStr">
        <is>
          <t>Senior Secured / Pari Passu</t>
        </is>
      </c>
      <c r="J38" s="17" t="inlineStr">
        <is>
          <t>Turkish Law</t>
        </is>
      </c>
    </row>
    <row r="39">
      <c r="B39" s="9" t="inlineStr">
        <is>
          <t>RCF &amp; Short-Term Trade Lines</t>
        </is>
      </c>
      <c r="C39" s="7" t="inlineStr">
        <is>
          <t>Working Capital Lines</t>
        </is>
      </c>
      <c r="D39" s="29" t="inlineStr">
        <is>
          <t>TRY / USD</t>
        </is>
      </c>
      <c r="E39" s="21" t="n">
        <v>60</v>
      </c>
      <c r="F39" s="30" t="inlineStr">
        <is>
          <t>Fixed TRY / Floating USD</t>
        </is>
      </c>
      <c r="G39" s="31" t="n">
        <v>100</v>
      </c>
      <c r="H39" s="32" t="n">
        <v>7.5</v>
      </c>
      <c r="I39" s="7" t="inlineStr">
        <is>
          <t>Senior Unsecured</t>
        </is>
      </c>
      <c r="J39" s="17" t="inlineStr">
        <is>
          <t>Turkish Law</t>
        </is>
      </c>
    </row>
    <row r="40"/>
    <row r="41">
      <c r="B41" s="3" t="inlineStr">
        <is>
          <t>VI. REVOLVING CREDIT FACILITY (RCF) &amp; BANK LIQUIDITY RUNWAY</t>
        </is>
      </c>
    </row>
    <row r="42">
      <c r="B42" s="7" t="inlineStr">
        <is>
          <t>Facility Designation</t>
        </is>
      </c>
      <c r="C42" s="7" t="inlineStr">
        <is>
          <t>Bilateral RCF Consortium &amp; Trade Facility</t>
        </is>
      </c>
    </row>
    <row r="43">
      <c r="B43" s="9" t="inlineStr">
        <is>
          <t>Total Committed Capacity ($M)</t>
        </is>
      </c>
      <c r="C43" s="21" t="n">
        <v>120</v>
      </c>
    </row>
    <row r="44">
      <c r="B44" s="7" t="inlineStr">
        <is>
          <t>Drawn Amount ($M)</t>
        </is>
      </c>
      <c r="C44" s="8" t="n">
        <v>60</v>
      </c>
    </row>
    <row r="45">
      <c r="B45" s="19" t="inlineStr">
        <is>
          <t>AVAILABLE UNDRAWN HEADROOM ($M)</t>
        </is>
      </c>
      <c r="C45" s="20" t="n">
        <v>60</v>
      </c>
    </row>
    <row r="46">
      <c r="B46" s="7" t="inlineStr">
        <is>
          <t>Drawn Borrowing Margin</t>
        </is>
      </c>
      <c r="C46" s="7" t="inlineStr">
        <is>
          <t>SOFR + 275 bps</t>
        </is>
      </c>
    </row>
    <row r="47">
      <c r="B47" s="7" t="inlineStr">
        <is>
          <t>Undrawn Commitment Fee</t>
        </is>
      </c>
      <c r="C47" s="7" t="inlineStr">
        <is>
          <t>75 bps</t>
        </is>
      </c>
    </row>
    <row r="48">
      <c r="B48" s="7" t="inlineStr">
        <is>
          <t>Maturity Date &amp; Extension Options</t>
        </is>
      </c>
      <c r="C48" s="7" t="inlineStr">
        <is>
          <t>2027-06-30</t>
        </is>
      </c>
    </row>
    <row r="49">
      <c r="B49" s="7" t="inlineStr">
        <is>
          <t>Syndicate Lenders / Arrangers</t>
        </is>
      </c>
      <c r="C49" s="7" t="inlineStr">
        <is>
          <t>Garanti BBVA, Isbank, Akbank</t>
        </is>
      </c>
    </row>
    <row r="50">
      <c r="B50" s="7" t="inlineStr">
        <is>
          <t>RCF Maintenance Covenants</t>
        </is>
      </c>
      <c r="C50" s="7" t="inlineStr">
        <is>
          <t>Net Debt / EBITDA &lt; 3.5x, Interest Coverage &gt; 3.0x</t>
        </is>
      </c>
    </row>
    <row r="51"/>
    <row r="52">
      <c r="B52" s="3" t="inlineStr">
        <is>
          <t>VII. BOND COVENANT ANALYSIS &amp; HEADROOM SCORECARD</t>
        </is>
      </c>
    </row>
    <row r="53">
      <c r="B53" s="5" t="inlineStr">
        <is>
          <t>Covenant Test / Negative Pledge Dimension</t>
        </is>
      </c>
      <c r="C53" s="5" t="inlineStr">
        <is>
          <t>Governing Threshold / Limit</t>
        </is>
      </c>
      <c r="D53" s="5" t="inlineStr">
        <is>
          <t>Actual Current / Reported Metric</t>
        </is>
      </c>
      <c r="E53" s="5" t="inlineStr">
        <is>
          <t>Headroom / Compliance Status</t>
        </is>
      </c>
      <c r="F53" s="5" t="inlineStr">
        <is>
          <t>Covenant Terms / Description</t>
        </is>
      </c>
    </row>
    <row r="54">
      <c r="B54" s="9" t="inlineStr">
        <is>
          <t>Debt Incurrence Net Leverage Limit</t>
        </is>
      </c>
      <c r="C54" s="29" t="inlineStr">
        <is>
          <t>3.50x maximum consolidated net leverage</t>
        </is>
      </c>
      <c r="D54" s="25" t="inlineStr">
        <is>
          <t>2.20x</t>
        </is>
      </c>
      <c r="E54" s="33" t="inlineStr">
        <is>
          <t>1.55x ($450M EBITDA headroom)</t>
        </is>
      </c>
      <c r="F54" s="17" t="inlineStr">
        <is>
          <t>Incurrence covenant for additional senior debt issuance</t>
        </is>
      </c>
    </row>
    <row r="55">
      <c r="B55" s="9" t="inlineStr">
        <is>
          <t>Fixed Charge / Interest Coverage Ratio (FCCR)</t>
        </is>
      </c>
      <c r="C55" s="29" t="inlineStr">
        <is>
          <t>3.00x minimum EBITDA / interest coverage</t>
        </is>
      </c>
      <c r="D55" s="25" t="inlineStr">
        <is>
          <t>4.80x</t>
        </is>
      </c>
      <c r="E55" s="33" t="inlineStr">
        <is>
          <t>2.30x headroom</t>
        </is>
      </c>
      <c r="F55" s="17" t="inlineStr">
        <is>
          <t>Maintenance / incurrence gateway test</t>
        </is>
      </c>
    </row>
    <row r="56">
      <c r="B56" s="9" t="inlineStr">
        <is>
          <t>Priority Secured Debt Basket</t>
        </is>
      </c>
      <c r="C56" s="29" t="inlineStr">
        <is>
          <t>15% of consolidated total assets</t>
        </is>
      </c>
      <c r="D56" s="25" t="inlineStr">
        <is>
          <t>4.2% Assets</t>
        </is>
      </c>
      <c r="E56" s="33" t="inlineStr">
        <is>
          <t>Compliant (10.8% asset headroom)</t>
        </is>
      </c>
      <c r="F56" s="17" t="inlineStr">
        <is>
          <t>Permitted collateral carve-out limit</t>
        </is>
      </c>
    </row>
    <row r="57">
      <c r="B57" s="9" t="inlineStr">
        <is>
          <t>Change of Control Put Option</t>
        </is>
      </c>
      <c r="C57" s="29" t="inlineStr">
        <is>
          <t>101.00% Redemption</t>
        </is>
      </c>
      <c r="D57" s="25" t="inlineStr">
        <is>
          <t>N/A (Inactive)</t>
        </is>
      </c>
      <c r="E57" s="33" t="inlineStr">
        <is>
          <t>Compliant</t>
        </is>
      </c>
      <c r="F57" s="17" t="inlineStr">
        <is>
          <t>101% investor put upon rating downgrade and change of control</t>
        </is>
      </c>
    </row>
    <row r="58">
      <c r="B58" s="9" t="inlineStr">
        <is>
          <t>Restricted Payments / Dividend Basket</t>
        </is>
      </c>
      <c r="C58" s="29" t="inlineStr">
        <is>
          <t>Builder Basket</t>
        </is>
      </c>
      <c r="D58" s="25" t="inlineStr">
        <is>
          <t>Within Capacity</t>
        </is>
      </c>
      <c r="E58" s="33" t="inlineStr">
        <is>
          <t>Compliant</t>
        </is>
      </c>
      <c r="F58" s="17" t="inlineStr">
        <is>
          <t xml:space="preserve">50% of CNI builder basket plus general carveout of </t>
        </is>
      </c>
    </row>
    <row r="59">
      <c r="B59" s="9" t="inlineStr">
        <is>
          <t>Cross-Default &amp; Cross-Acceleration</t>
        </is>
      </c>
      <c r="C59" s="29" t="inlineStr">
        <is>
          <t>.0M threshold across material indebtedness</t>
        </is>
      </c>
      <c r="D59" s="25" t="inlineStr">
        <is>
          <t>Zero Defaults</t>
        </is>
      </c>
      <c r="E59" s="33" t="inlineStr">
        <is>
          <t>Compliant</t>
        </is>
      </c>
      <c r="F59" s="17" t="inlineStr">
        <is>
          <t>Cross-acceleration across all indebtedness exceeding threshold</t>
        </is>
      </c>
    </row>
  </sheetData>
  <mergeCells count="16"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F54:I54"/>
    <mergeCell ref="C47:F47"/>
    <mergeCell ref="C42:F42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Çimko Çimento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Çimko Çimento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8.60%</t>
        </is>
      </c>
      <c r="F6" s="35" t="inlineStr">
        <is>
          <t>4.5x</t>
        </is>
      </c>
      <c r="G6" s="35" t="inlineStr">
        <is>
          <t>$92.00</t>
        </is>
      </c>
      <c r="H6" s="35" t="inlineStr">
        <is>
          <t>-12.4%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10.60%</t>
        </is>
      </c>
      <c r="F7" s="30" t="inlineStr">
        <is>
          <t>3.5x</t>
        </is>
      </c>
      <c r="G7" s="30" t="inlineStr">
        <is>
          <t>$75.00</t>
        </is>
      </c>
      <c r="H7" s="30" t="inlineStr">
        <is>
          <t>-28.6%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$58.00</t>
        </is>
      </c>
      <c r="H8" s="30" t="inlineStr">
        <is>
          <t>-44.8%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7.10%</t>
        </is>
      </c>
      <c r="F9" s="30" t="inlineStr">
        <is>
          <t>6.0x</t>
        </is>
      </c>
      <c r="G9" s="30" t="inlineStr">
        <is>
          <t>$105.00</t>
        </is>
      </c>
      <c r="H9" s="30" t="inlineStr">
        <is>
          <t>+0.0%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97.2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CIMKOC Senior Unsecured Eurobonds</t>
        </is>
      </c>
      <c r="C15" s="8" t="n">
        <v>291.8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58.0%</t>
        </is>
      </c>
      <c r="G15" s="30" t="inlineStr">
        <is>
          <t>92.0%</t>
        </is>
      </c>
    </row>
    <row r="16">
      <c r="B16" s="7" t="inlineStr">
        <is>
          <t>Subordinated Debt &amp; Intercompany Notes</t>
        </is>
      </c>
      <c r="C16" s="8" t="n">
        <v>58.3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155.6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Turkish Enforcement.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30" customWidth="1" min="3" max="3"/>
    <col width="73" customWidth="1" min="4" max="4"/>
    <col width="19" customWidth="1" min="5" max="5"/>
    <col width="149" customWidth="1" min="6" max="6"/>
    <col width="14" customWidth="1" min="7" max="7"/>
    <col width="3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Çimko Çimento (CIMKOC) — Earnings Presentation &amp; Management Guidance</t>
        </is>
      </c>
    </row>
    <row r="3">
      <c r="B3" s="2" t="inlineStr">
        <is>
          <t>Source: Latest Investor Presentation | Reporting Currency: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FY26 Total Capex Program</t>
        </is>
      </c>
      <c r="C7" s="9" t="inlineStr">
        <is>
          <t>.0M - .0M Total Capex</t>
        </is>
      </c>
      <c r="D7" s="36" t="inlineStr">
        <is>
          <t>2Q26 capex was minimal (&lt;); spending ramps in 2H26.</t>
        </is>
      </c>
      <c r="E7" s="37" t="inlineStr">
        <is>
          <t>On Track</t>
        </is>
      </c>
      <c r="F7" s="38" t="inlineStr">
        <is>
          <t xml:space="preserve">Management actively deploying export capital; cash reserves of  comfortably fund the ramp without external debt.
[QUESTION TO CFO TO VERIFY]: </t>
        </is>
      </c>
    </row>
    <row r="8">
      <c r="B8" s="9" t="inlineStr">
        <is>
          <t>YE26 Net Leverage Trajectory</t>
        </is>
      </c>
      <c r="C8" s="9" t="inlineStr">
        <is>
          <t>2.5x - 3.0x Peak Net Leverage</t>
        </is>
      </c>
      <c r="D8" s="36" t="inlineStr">
        <is>
          <t>2.3x as of 2Q26 (Net Debt  / TRY 19.2B against cash of  / TRY 4.87B).</t>
        </is>
      </c>
      <c r="E8" s="37" t="inlineStr">
        <is>
          <t>On Track</t>
        </is>
      </c>
      <c r="F8" s="38" t="inlineStr">
        <is>
          <t xml:space="preserve">Comfortable 50-100 bps headroom below the 3.50x bond incurrence covenant; interest coverage remains solid at &gt;7.0x.
[QUESTION TO CFO TO VERIFY]: </t>
        </is>
      </c>
    </row>
    <row r="9">
      <c r="B9" s="9" t="inlineStr">
        <is>
          <t>Domestic Cement Pricing Corridor</t>
        </is>
      </c>
      <c r="C9" s="9" t="inlineStr">
        <is>
          <t>&gt;.0 / tonne</t>
        </is>
      </c>
      <c r="D9" s="36" t="inlineStr">
        <is>
          <t>.0 / tonne in 1H26 (vs /t in 1H25 and /t in FY25).</t>
        </is>
      </c>
      <c r="E9" s="39" t="inlineStr">
        <is>
          <t>Beating Target</t>
        </is>
      </c>
      <c r="F9" s="38" t="inlineStr">
        <is>
          <t xml:space="preserve">Realized pricing +4.3% ahead of initial budget corridor, supporting 31.2% EBITDA margin despite -22% volume unwind.
[QUESTION TO CFO TO VERIFY]: </t>
        </is>
      </c>
    </row>
    <row r="10"/>
    <row r="11">
      <c r="B11" s="3" t="inlineStr">
        <is>
          <t>II. CAPITAL ALLOCATION &amp; STRATEGIC PROJECT PIPELINE</t>
        </is>
      </c>
    </row>
    <row r="12">
      <c r="B12" s="5" t="inlineStr">
        <is>
          <t>Project / Capital Dimension</t>
        </is>
      </c>
      <c r="C12" s="5" t="inlineStr">
        <is>
          <t>Disclosure &amp; Execution Milestone</t>
        </is>
      </c>
    </row>
    <row r="13"/>
    <row r="14">
      <c r="B14" s="3" t="inlineStr">
        <is>
          <t>III. GEOGRAPHIC &amp; CURRENCY EXPOSURE MATRIX</t>
        </is>
      </c>
    </row>
    <row r="15">
      <c r="B15" s="5" t="inlineStr">
        <is>
          <t>Exposure Category</t>
        </is>
      </c>
      <c r="C15" s="5" t="inlineStr">
        <is>
          <t>Contractual / Balance Sheet Profile</t>
        </is>
      </c>
    </row>
    <row r="16"/>
    <row r="17">
      <c r="B17" s="3" t="inlineStr">
        <is>
          <t>IV. CONTRACT BACKLOG &amp; COMMERCIAL MOAT</t>
        </is>
      </c>
    </row>
    <row r="18">
      <c r="B18" s="5" t="inlineStr">
        <is>
          <t>Dimension</t>
        </is>
      </c>
      <c r="C18" s="5" t="inlineStr">
        <is>
          <t>Commercial / Asset Metrics</t>
        </is>
      </c>
    </row>
    <row r="19"/>
    <row r="20">
      <c r="B20" s="3" t="inlineStr">
        <is>
          <t>V. LIQUIDITY WATERFALL &amp; HEADROOM</t>
        </is>
      </c>
    </row>
    <row r="21">
      <c r="B21" s="5" t="inlineStr">
        <is>
          <t>Liquidity Component</t>
        </is>
      </c>
      <c r="C21" s="5" t="inlineStr">
        <is>
          <t>Available Buffer / Runway</t>
        </is>
      </c>
    </row>
    <row r="22"/>
    <row r="23">
      <c r="B23" s="3" t="inlineStr">
        <is>
          <t>INSTITUTIONAL MANAGEMENT QUESTIONS &amp; CONVICTION DRIVERS (1-ON-1 DUE DILIGENCE)</t>
        </is>
      </c>
    </row>
    <row r="24">
      <c r="B24" s="5" t="inlineStr">
        <is>
          <t>Focus Area</t>
        </is>
      </c>
      <c r="C24" s="5" t="inlineStr">
        <is>
          <t>Question to Ask CFO / Management</t>
        </is>
      </c>
      <c r="F24" s="5" t="inlineStr">
        <is>
          <t>Credit Relevance &amp; Deduced Ambiguity</t>
        </is>
      </c>
      <c r="H24" s="5" t="inlineStr">
        <is>
          <t>Conviction Trigger &amp; Decision Rule</t>
        </is>
      </c>
    </row>
    <row r="25">
      <c r="B25" s="9" t="inlineStr"/>
      <c r="C25" s="38" t="inlineStr">
        <is>
          <t>What is the projected IRR and commercial commissioning date for the  Syrian export border grinding expansion?</t>
        </is>
      </c>
      <c r="F25" s="26" t="inlineStr"/>
      <c r="H25" s="40" t="inlineStr"/>
    </row>
    <row r="26">
      <c r="B26" s="9" t="inlineStr"/>
      <c r="C26" s="38" t="inlineStr">
        <is>
          <t>How will working capital requirements evolve as post-earthquake reconstruction projects transition to completion in late 2026?</t>
        </is>
      </c>
      <c r="F26" s="26" t="inlineStr"/>
      <c r="H26" s="40" t="inlineStr"/>
    </row>
    <row r="27"/>
    <row r="28"/>
    <row r="29">
      <c r="B29" s="3" t="inlineStr">
        <is>
          <t>SCHEDULED EARNINGS RELEASE &amp; INVESTOR RELATIONS CALENDAR</t>
        </is>
      </c>
    </row>
    <row r="30">
      <c r="B30" s="5" t="inlineStr">
        <is>
          <t>Calendar Dimension</t>
        </is>
      </c>
      <c r="C30" s="5" t="inlineStr">
        <is>
          <t>Scheduled Detail &amp; IR Access</t>
        </is>
      </c>
    </row>
    <row r="31">
      <c r="B31" s="9" t="inlineStr">
        <is>
          <t>Next Scheduled Earnings Date</t>
        </is>
      </c>
      <c r="C31" s="38" t="inlineStr">
        <is>
          <t>2026-11-12</t>
        </is>
      </c>
    </row>
    <row r="32">
      <c r="B32" s="9" t="inlineStr">
        <is>
          <t>Reporting Period</t>
        </is>
      </c>
      <c r="C32" s="38" t="inlineStr">
        <is>
          <t>Q3 2026 / 9M</t>
        </is>
      </c>
    </row>
    <row r="33">
      <c r="B33" s="9" t="inlineStr">
        <is>
          <t>Confirmation Status</t>
        </is>
      </c>
      <c r="C33" s="38" t="inlineStr">
        <is>
          <t>Estimated</t>
        </is>
      </c>
    </row>
    <row r="34">
      <c r="B34" s="9" t="inlineStr">
        <is>
          <t>Conference Call &amp; Webcast Schedule</t>
        </is>
      </c>
      <c r="C34" s="38" t="inlineStr">
        <is>
          <t>14:00 Local / Pre-Market</t>
        </is>
      </c>
    </row>
    <row r="35">
      <c r="B35" s="9" t="inlineStr">
        <is>
          <t>Official IR Portal / Webcast URL</t>
        </is>
      </c>
      <c r="C35" s="38" t="inlineStr">
        <is>
          <t>https://www.google.com/finance/quote/CIMKOC</t>
        </is>
      </c>
    </row>
  </sheetData>
  <mergeCells count="24">
    <mergeCell ref="F9:I9"/>
    <mergeCell ref="F25:G25"/>
    <mergeCell ref="B3:I3"/>
    <mergeCell ref="C32:I32"/>
    <mergeCell ref="H25:I25"/>
    <mergeCell ref="F24:G24"/>
    <mergeCell ref="C18:I18"/>
    <mergeCell ref="B2:I2"/>
    <mergeCell ref="C34:I34"/>
    <mergeCell ref="C30:I30"/>
    <mergeCell ref="C15:I15"/>
    <mergeCell ref="F26:G26"/>
    <mergeCell ref="C33:I33"/>
    <mergeCell ref="F7:I7"/>
    <mergeCell ref="C35:I35"/>
    <mergeCell ref="C24:E24"/>
    <mergeCell ref="C31:I31"/>
    <mergeCell ref="F8:I8"/>
    <mergeCell ref="H24:I24"/>
    <mergeCell ref="C21:I21"/>
    <mergeCell ref="C12:I12"/>
    <mergeCell ref="C26:E26"/>
    <mergeCell ref="C25:E25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2026-10-16T04:17:01Z</dcterms:created>
  <dcterms:modified xmlns:dcterms="http://purl.org/dc/terms/" xmlns:xsi="http://www.w3.org/2001/XMLSchema-instance" xsi:type="dcterms:W3CDTF">2026-10-16T04:17:01Z</dcterms:modified>
</cp:coreProperties>
</file>