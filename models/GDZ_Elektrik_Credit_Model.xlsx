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(+$3.2M)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(+$3.5M)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(+$3.6M)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(+$8.6M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(+$9.7M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(+$10.7M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(+$3.2M)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(+$3.5M)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(+$3.6M)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Institutional Credit Model</t>
        </is>
      </c>
    </row>
    <row r="3">
      <c r="B3" s="2" t="inlineStr">
        <is>
          <t>Sector: Utilities | Country: Turkey | Rating: B / B2 | Benchmark: GDZTR 9.10% 2028 @ $98.20 (9.10% YTM / +470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İzmir &amp; Manisa metropolitan power grid; resilient industrial baseload; real capital expenditure recovery.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GDZELE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295.74</v>
      </c>
      <c r="F26" s="7" t="inlineStr">
        <is>
          <t>9.10%</t>
        </is>
      </c>
      <c r="G26" s="7" t="inlineStr">
        <is>
          <t>$98.20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GDZELE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197.16</v>
      </c>
      <c r="F27" s="7" t="inlineStr">
        <is>
          <t>8.35%</t>
        </is>
      </c>
      <c r="G27" s="7" t="inlineStr">
        <is>
          <t>$100.70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164.3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268.2</v>
      </c>
      <c r="D15" s="8" t="n">
        <v>323.4</v>
      </c>
      <c r="E15" s="8" t="n">
        <v>362.8</v>
      </c>
      <c r="F15" s="8" t="n">
        <v>394.4</v>
      </c>
      <c r="G15" s="8" t="n">
        <v>426</v>
      </c>
      <c r="H15" s="8" t="n">
        <v>453.6</v>
      </c>
      <c r="I15" s="8" t="n">
        <v>473.3</v>
      </c>
    </row>
    <row r="16">
      <c r="B16" s="7" t="inlineStr">
        <is>
          <t>Regulated Power Distribution &amp; Grid</t>
        </is>
      </c>
      <c r="C16" s="8" t="n">
        <v>86.8</v>
      </c>
      <c r="D16" s="8" t="n">
        <v>104.6</v>
      </c>
      <c r="E16" s="8" t="n">
        <v>117.4</v>
      </c>
      <c r="F16" s="8" t="n">
        <v>127.6</v>
      </c>
      <c r="G16" s="8" t="n">
        <v>137.8</v>
      </c>
      <c r="H16" s="8" t="n">
        <v>146.7</v>
      </c>
      <c r="I16" s="8" t="n">
        <v>153.1</v>
      </c>
    </row>
    <row r="17">
      <c r="B17" s="7" t="inlineStr">
        <is>
          <t>Merchant &amp; Capacity Balancing Services</t>
        </is>
      </c>
      <c r="C17" s="8" t="n">
        <v>39.4</v>
      </c>
      <c r="D17" s="8" t="n">
        <v>47.6</v>
      </c>
      <c r="E17" s="8" t="n">
        <v>53.4</v>
      </c>
      <c r="F17" s="8" t="n">
        <v>58</v>
      </c>
      <c r="G17" s="8" t="n">
        <v>62.6</v>
      </c>
      <c r="H17" s="8" t="n">
        <v>66.7</v>
      </c>
      <c r="I17" s="8" t="n">
        <v>69.59999999999999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8.6</v>
      </c>
      <c r="E35" s="24" t="n">
        <v>9.699999999999999</v>
      </c>
      <c r="F35" s="24" t="n">
        <v>10.7</v>
      </c>
      <c r="G35" s="24" t="n">
        <v>3.2</v>
      </c>
      <c r="H35" s="24" t="n">
        <v>3.5</v>
      </c>
      <c r="I35" s="24" t="n">
        <v>3.6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(+$8.6M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(+$9.7M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(+$10.7M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(+$3.2M)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(+$3.5M)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(+$3.6M)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591.6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138</v>
      </c>
      <c r="D36" s="8" t="n">
        <v>138</v>
      </c>
      <c r="E36" s="8" t="n">
        <v>138</v>
      </c>
      <c r="F36" s="8" t="n">
        <v>138</v>
      </c>
      <c r="G36" s="8" t="n">
        <v>138</v>
      </c>
      <c r="H36" s="8" t="n">
        <v>138</v>
      </c>
      <c r="I36" s="8" t="n">
        <v>138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-47.8</v>
      </c>
      <c r="D16" s="8" t="n">
        <v>-58</v>
      </c>
      <c r="E16" s="8" t="n">
        <v>-64.8</v>
      </c>
      <c r="F16" s="8" t="n">
        <v>-68.2</v>
      </c>
      <c r="G16" s="8" t="n">
        <v>-71.7</v>
      </c>
      <c r="H16" s="8" t="n">
        <v>-69.59999999999999</v>
      </c>
      <c r="I16" s="8" t="n">
        <v>-66.90000000000001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80.40000000000001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-15.8</v>
      </c>
      <c r="D32" s="8" t="n">
        <v>-22.8</v>
      </c>
      <c r="E32" s="8" t="n">
        <v>-28.6</v>
      </c>
      <c r="F32" s="8" t="n">
        <v>-35.5</v>
      </c>
      <c r="G32" s="8" t="n">
        <v>-32.7</v>
      </c>
      <c r="H32" s="8" t="n">
        <v>-30.3</v>
      </c>
      <c r="I32" s="8" t="n">
        <v>-29.7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GDZELE Benchmark Eurobond Notes</t>
        </is>
      </c>
    </row>
    <row r="7">
      <c r="B7" s="7" t="inlineStr">
        <is>
          <t xml:space="preserve">  Beginning Principal Balance</t>
        </is>
      </c>
      <c r="C7" s="8" t="n">
        <v>251.4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83.8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55.9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0.0910</f>
        <v/>
      </c>
      <c r="D11" s="8">
        <f>D10 * 0.0910</f>
        <v/>
      </c>
      <c r="E11" s="8">
        <f>E10 * 0.0910</f>
        <v/>
      </c>
      <c r="F11" s="8">
        <f>F10 * 0.0910</f>
        <v/>
      </c>
      <c r="G11" s="8">
        <f>G10 * 0.0910</f>
        <v/>
      </c>
      <c r="H11" s="8">
        <f>H10 * 0.0910</f>
        <v/>
      </c>
      <c r="I11" s="8">
        <f>I10 * 0.0910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307.2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78.90000000000001</v>
      </c>
      <c r="C32" s="8" t="n">
        <v>144.6</v>
      </c>
      <c r="D32" s="8" t="n">
        <v>184</v>
      </c>
      <c r="E32" s="8" t="n">
        <v>118.3</v>
      </c>
      <c r="F32" s="8" t="n">
        <v>78.90000000000001</v>
      </c>
      <c r="G32" s="8" t="n">
        <v>52.6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GDZELE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295.7</v>
      </c>
      <c r="F37" s="30" t="inlineStr">
        <is>
          <t>9.100%</t>
        </is>
      </c>
      <c r="G37" s="31" t="n">
        <v>98.2</v>
      </c>
      <c r="H37" s="32" t="n">
        <v>9.1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GDZELE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197.2</v>
      </c>
      <c r="F38" s="30" t="inlineStr">
        <is>
          <t>8.450%</t>
        </is>
      </c>
      <c r="G38" s="31" t="n">
        <v>100.2</v>
      </c>
      <c r="H38" s="32" t="n">
        <v>8.449999999999999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98.59999999999999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65.7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GDZELE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184</v>
      </c>
    </row>
    <row r="45">
      <c r="B45" s="7" t="inlineStr">
        <is>
          <t>Drawn Amount ($M)</t>
        </is>
      </c>
      <c r="C45" s="8" t="n">
        <v>65.7</v>
      </c>
    </row>
    <row r="46">
      <c r="B46" s="19" t="inlineStr">
        <is>
          <t>AVAILABLE UNDRAWN HEADROOM ($M)</t>
        </is>
      </c>
      <c r="C46" s="20" t="n">
        <v>118.3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($366.6M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3.75x</t>
        </is>
      </c>
      <c r="E56" s="33" t="inlineStr">
        <is>
          <t>+1.25x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9.4% of Assets</t>
        </is>
      </c>
      <c r="E57" s="33" t="inlineStr">
        <is>
          <t>$127.6M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9.10%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+1.8%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11.10%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-12.4%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-26.7%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7.60%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+6.9%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164.3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GDZELE Senior Unsecured Eurobonds</t>
        </is>
      </c>
      <c r="C15" s="8" t="n">
        <v>492.9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98.59999999999999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262.9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13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GDZ Elektrik (GDZELE) — Earnings Presentation &amp; Management Guidance</t>
        </is>
      </c>
    </row>
    <row r="3">
      <c r="B3" s="2" t="inlineStr">
        <is>
          <t>Source: GDZ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$626.4M (+8.0% YoY growth)</t>
        </is>
      </c>
      <c r="D7" s="36" t="inlineStr">
        <is>
          <t>$617.7M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$214.5M (34.2% margin)</t>
        </is>
      </c>
      <c r="D8" s="36" t="inlineStr">
        <is>
          <t>$210.6M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</t>
        </is>
      </c>
    </row>
    <row r="10">
      <c r="B10" s="9" t="inlineStr">
        <is>
          <t>2025E Strategic Capex Envelope</t>
        </is>
      </c>
      <c r="C10" s="9" t="inlineStr">
        <is>
          <t>$71.7M (Maximum growth and sustaining envelope)</t>
        </is>
      </c>
      <c r="D10" s="36" t="inlineStr">
        <is>
          <t>$66.0M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$238.7M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$10440.0M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$146.2M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$262.9M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https://www.google.com/finance/quote/GDZELE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2026-09-20T17:49:44Z</dcterms:created>
  <dcterms:modified xmlns:dcterms="http://purl.org/dc/terms/" xmlns:xsi="http://www.w3.org/2001/XMLSchema-instance" xsi:type="dcterms:W3CDTF">2026-09-20T17:49:44Z</dcterms:modified>
</cp:coreProperties>
</file>