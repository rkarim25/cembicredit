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KazMunayGas (KMG)</t>
        </is>
      </c>
    </row>
    <row r="3">
      <c r="B3" s="2" t="inlineStr">
        <is>
          <t>CEMBI CEEMEA Institutional Credit Assessment | Country: Kazakhstan (Central Asia) | Sector: Energy | Benchmark: KZOK 5.75% 2047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KZOK 5.75% 2047</t>
        </is>
      </c>
      <c r="C6" s="5" t="inlineStr">
        <is>
          <t>6.75% (+270 bp)</t>
        </is>
      </c>
      <c r="D6" s="4" t="inlineStr">
        <is>
          <t>BBB- / Baa2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Kazakhstan national oil champion; key stakes in mega-fields Tengiz, Kashagan, and Karachaganak.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KazMunayGas (KMG)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12376</v>
      </c>
      <c r="D7" s="13" t="n">
        <v>14924</v>
      </c>
      <c r="E7" s="13" t="n">
        <v>16744</v>
      </c>
      <c r="F7" s="13" t="n">
        <v>18200</v>
      </c>
      <c r="G7" s="14" t="n">
        <v>19656</v>
      </c>
      <c r="H7" s="14" t="n">
        <v>20930</v>
      </c>
      <c r="I7" s="14" t="n">
        <v>21840</v>
      </c>
    </row>
    <row r="8">
      <c r="B8" s="12" t="inlineStr">
        <is>
          <t>EBITDA</t>
        </is>
      </c>
      <c r="C8" s="13" t="n">
        <v>3120</v>
      </c>
      <c r="D8" s="13" t="n">
        <v>3840</v>
      </c>
      <c r="E8" s="13" t="n">
        <v>4320</v>
      </c>
      <c r="F8" s="13" t="n">
        <v>4800</v>
      </c>
      <c r="G8" s="14" t="n">
        <v>5280</v>
      </c>
      <c r="H8" s="14" t="n">
        <v>5664</v>
      </c>
      <c r="I8" s="14" t="n">
        <v>5952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423.5</v>
      </c>
      <c r="D10" s="17" t="n">
        <v>529.4</v>
      </c>
      <c r="E10" s="17" t="n">
        <v>635.3</v>
      </c>
      <c r="F10" s="17" t="n">
        <v>705.9</v>
      </c>
      <c r="G10" s="18" t="n">
        <v>677.6</v>
      </c>
      <c r="H10" s="18" t="n">
        <v>649.4</v>
      </c>
      <c r="I10" s="18" t="n">
        <v>621.2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2529.6</v>
      </c>
      <c r="D12" s="13" t="n">
        <v>3182.4</v>
      </c>
      <c r="E12" s="13" t="n">
        <v>3590.4</v>
      </c>
      <c r="F12" s="13" t="n">
        <v>4080</v>
      </c>
      <c r="G12" s="14" t="n">
        <v>4488</v>
      </c>
      <c r="H12" s="14" t="n">
        <v>4814.4</v>
      </c>
      <c r="I12" s="14" t="n">
        <v>5100</v>
      </c>
    </row>
    <row r="13">
      <c r="B13" s="5" t="inlineStr">
        <is>
          <t>Capital Expenditures (Capex)</t>
        </is>
      </c>
      <c r="C13" s="17" t="n">
        <v>1176</v>
      </c>
      <c r="D13" s="17" t="n">
        <v>1428</v>
      </c>
      <c r="E13" s="17" t="n">
        <v>1596</v>
      </c>
      <c r="F13" s="17" t="n">
        <v>1680</v>
      </c>
      <c r="G13" s="18" t="n">
        <v>1764</v>
      </c>
      <c r="H13" s="18" t="n">
        <v>1713.6</v>
      </c>
      <c r="I13" s="18" t="n">
        <v>1646.4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1980</v>
      </c>
      <c r="D16" s="13" t="n">
        <v>2520</v>
      </c>
      <c r="E16" s="13" t="n">
        <v>3060</v>
      </c>
      <c r="F16" s="13" t="n">
        <v>3600</v>
      </c>
      <c r="G16" s="14" t="n">
        <v>4248</v>
      </c>
      <c r="H16" s="14" t="n">
        <v>4860</v>
      </c>
      <c r="I16" s="14" t="n">
        <v>5400</v>
      </c>
    </row>
    <row r="17">
      <c r="B17" s="12" t="inlineStr">
        <is>
          <t>Gross Total Debt</t>
        </is>
      </c>
      <c r="C17" s="13" t="n">
        <v>8976</v>
      </c>
      <c r="D17" s="13" t="n">
        <v>9715.200000000001</v>
      </c>
      <c r="E17" s="13" t="n">
        <v>10348.8</v>
      </c>
      <c r="F17" s="13" t="n">
        <v>10560</v>
      </c>
      <c r="G17" s="14" t="n">
        <v>10348.8</v>
      </c>
      <c r="H17" s="14" t="n">
        <v>10032</v>
      </c>
      <c r="I17" s="14" t="n">
        <v>9504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KazMunayGas (KMG)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6.75%</t>
        </is>
      </c>
      <c r="F6" s="21" t="inlineStr">
        <is>
          <t>2028 / 2029</t>
        </is>
      </c>
      <c r="G6" s="17" t="n">
        <v>4752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2640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1584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1056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528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3060</v>
      </c>
    </row>
    <row r="15">
      <c r="B15" t="inlineStr">
        <is>
          <t>Committed Undrawn RCF Capacity</t>
        </is>
      </c>
      <c r="C15" s="22" t="n">
        <v>1920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1973.1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KazMunayGas (KMG)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4800</v>
      </c>
      <c r="D6" s="17" t="n">
        <v>4080</v>
      </c>
      <c r="E6" s="25" t="n">
        <v>3120</v>
      </c>
    </row>
    <row r="7">
      <c r="B7" s="5" t="inlineStr">
        <is>
          <t>Free Cash Flow ($M)</t>
        </is>
      </c>
      <c r="C7" s="17" t="n">
        <v>2400</v>
      </c>
      <c r="D7" s="17" t="n">
        <v>1440</v>
      </c>
      <c r="E7" s="25" t="n">
        <v>360</v>
      </c>
    </row>
    <row r="8">
      <c r="B8" s="12" t="inlineStr">
        <is>
          <t>Net Leverage Ratio (x)</t>
        </is>
      </c>
      <c r="C8" s="26" t="n">
        <v>1.45</v>
      </c>
      <c r="D8" s="26" t="n">
        <v>1.81</v>
      </c>
      <c r="E8" s="27" t="n">
        <v>2.68</v>
      </c>
    </row>
    <row r="9">
      <c r="B9" s="5" t="inlineStr">
        <is>
          <t>Interest Coverage Ratio (x)</t>
        </is>
      </c>
      <c r="C9" s="26" t="n">
        <v>6.8</v>
      </c>
      <c r="D9" s="26" t="n">
        <v>5.3</v>
      </c>
      <c r="E9" s="27" t="n">
        <v>3.06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$87.00</t>
        </is>
      </c>
      <c r="E10" s="28" t="inlineStr">
        <is>
          <t>$75.00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