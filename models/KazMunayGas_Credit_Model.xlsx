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Institutional Credit Model</t>
        </is>
      </c>
    </row>
    <row r="3">
      <c r="B3" s="2" t="inlineStr">
        <is>
          <t>Sector: Energy | Country: Kazakhstan | Rating: BBB- / Baa2 | Benchmark: KZOK 5.75% 2047 @ $88.50 (6.75% YTM / +270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Kazakhstan national oil champion; key stakes in mega-fields Tengiz, Kashagan, and Karachaganak.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KZOK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4752</v>
      </c>
      <c r="F26" s="7" t="inlineStr">
        <is>
          <t>6.75%</t>
        </is>
      </c>
      <c r="G26" s="7" t="inlineStr">
        <is>
          <t>$88.50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KZOK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3168</v>
      </c>
      <c r="F27" s="7" t="inlineStr">
        <is>
          <t>6.00%</t>
        </is>
      </c>
      <c r="G27" s="7" t="inlineStr">
        <is>
          <t>$91.00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6435.5</v>
      </c>
      <c r="D16" s="8" t="n">
        <v>7760.5</v>
      </c>
      <c r="E16" s="8" t="n">
        <v>8706.9</v>
      </c>
      <c r="F16" s="8" t="n">
        <v>9464</v>
      </c>
      <c r="G16" s="8" t="n">
        <v>10221.1</v>
      </c>
      <c r="H16" s="8" t="n">
        <v>10883.6</v>
      </c>
      <c r="I16" s="8" t="n">
        <v>11356.8</v>
      </c>
    </row>
    <row r="17">
      <c r="B17" s="7" t="inlineStr">
        <is>
          <t>Downstream Refining &amp; Fuel Marketing</t>
        </is>
      </c>
      <c r="C17" s="8" t="n">
        <v>4084.1</v>
      </c>
      <c r="D17" s="8" t="n">
        <v>4924.9</v>
      </c>
      <c r="E17" s="8" t="n">
        <v>5525.5</v>
      </c>
      <c r="F17" s="8" t="n">
        <v>6006</v>
      </c>
      <c r="G17" s="8" t="n">
        <v>6486.5</v>
      </c>
      <c r="H17" s="8" t="n">
        <v>6906.9</v>
      </c>
      <c r="I17" s="8" t="n">
        <v>7207.2</v>
      </c>
    </row>
    <row r="18">
      <c r="B18" s="7" t="inlineStr">
        <is>
          <t>Petrochemicals &amp; Gas Processing</t>
        </is>
      </c>
      <c r="C18" s="8" t="n">
        <v>1856.4</v>
      </c>
      <c r="D18" s="8" t="n">
        <v>2238.6</v>
      </c>
      <c r="E18" s="8" t="n">
        <v>2511.6</v>
      </c>
      <c r="F18" s="8" t="n">
        <v>2730</v>
      </c>
      <c r="G18" s="8" t="n">
        <v>2948.4</v>
      </c>
      <c r="H18" s="8" t="n">
        <v>3139.5</v>
      </c>
      <c r="I18" s="8" t="n">
        <v>3276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-1176</v>
      </c>
      <c r="D16" s="8" t="n">
        <v>-1428</v>
      </c>
      <c r="E16" s="8" t="n">
        <v>-1596</v>
      </c>
      <c r="F16" s="8" t="n">
        <v>-1680</v>
      </c>
      <c r="G16" s="8" t="n">
        <v>-1764</v>
      </c>
      <c r="H16" s="8" t="n">
        <v>-1713.6</v>
      </c>
      <c r="I16" s="8" t="n">
        <v>-1646.4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KZOK Benchmark Eurobond Notes</t>
        </is>
      </c>
    </row>
    <row r="7">
      <c r="B7" s="7" t="inlineStr">
        <is>
          <t xml:space="preserve">  Beginning Principal Balance</t>
        </is>
      </c>
      <c r="C7" s="8" t="n">
        <v>4039.2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1346.4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897.6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0.0675</f>
        <v/>
      </c>
      <c r="D11" s="8">
        <f>D10 * 0.0675</f>
        <v/>
      </c>
      <c r="E11" s="8">
        <f>E10 * 0.0675</f>
        <v/>
      </c>
      <c r="F11" s="8">
        <f>F10 * 0.0675</f>
        <v/>
      </c>
      <c r="G11" s="8">
        <f>G10 * 0.0675</f>
        <v/>
      </c>
      <c r="H11" s="8">
        <f>H10 * 0.0675</f>
        <v/>
      </c>
      <c r="I11" s="8">
        <f>I10 * 0.0675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4936.8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1267.2</v>
      </c>
      <c r="C32" s="8" t="n">
        <v>2323.2</v>
      </c>
      <c r="D32" s="8" t="n">
        <v>2956.8</v>
      </c>
      <c r="E32" s="8" t="n">
        <v>1900.8</v>
      </c>
      <c r="F32" s="8" t="n">
        <v>1267.2</v>
      </c>
      <c r="G32" s="8" t="n">
        <v>844.8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KZOK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4752</v>
      </c>
      <c r="F37" s="26" t="inlineStr">
        <is>
          <t>6.750%</t>
        </is>
      </c>
      <c r="G37" s="27" t="n">
        <v>88.5</v>
      </c>
      <c r="H37" s="28" t="n">
        <v>6.75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KZOK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3168</v>
      </c>
      <c r="F38" s="26" t="inlineStr">
        <is>
          <t>6.100%</t>
        </is>
      </c>
      <c r="G38" s="27" t="n">
        <v>90.5</v>
      </c>
      <c r="H38" s="28" t="n">
        <v>6.1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1584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1056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KZOK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2956.8</v>
      </c>
    </row>
    <row r="45">
      <c r="B45" s="7" t="inlineStr">
        <is>
          <t>Drawn Amount ($M)</t>
        </is>
      </c>
      <c r="C45" s="8" t="n">
        <v>1056</v>
      </c>
    </row>
    <row r="46">
      <c r="B46" s="18" t="inlineStr">
        <is>
          <t>AVAILABLE UNDRAWN HEADROOM ($M)</t>
        </is>
      </c>
      <c r="C46" s="19" t="n">
        <v>1900.8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1.45x</t>
        </is>
      </c>
      <c r="E55" s="30" t="inlineStr">
        <is>
          <t>2.30x leverage buffer ($11040.0M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6.80x</t>
        </is>
      </c>
      <c r="E56" s="30" t="inlineStr">
        <is>
          <t>+4.30x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4.8% of Assets</t>
        </is>
      </c>
      <c r="E57" s="30" t="inlineStr">
        <is>
          <t>$4004.0M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6.75%</t>
        </is>
      </c>
      <c r="F6" s="32" t="inlineStr">
        <is>
          <t>4.2x</t>
        </is>
      </c>
      <c r="G6" s="32" t="inlineStr">
        <is>
          <t>$101.00</t>
        </is>
      </c>
      <c r="H6" s="32" t="inlineStr">
        <is>
          <t>+14.1%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8.75%</t>
        </is>
      </c>
      <c r="F7" s="26" t="inlineStr">
        <is>
          <t>3.2x</t>
        </is>
      </c>
      <c r="G7" s="26" t="inlineStr">
        <is>
          <t>$88.00</t>
        </is>
      </c>
      <c r="H7" s="26" t="inlineStr">
        <is>
          <t>-0.6%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$75.00</t>
        </is>
      </c>
      <c r="H8" s="26" t="inlineStr">
        <is>
          <t>-15.3%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5.25%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+18.6%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2640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KZOK Senior Unsecured Eurobonds</t>
        </is>
      </c>
      <c r="C15" s="8" t="n">
        <v>7920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75.0%</t>
        </is>
      </c>
      <c r="G15" s="26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1584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4224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Earnings Presentation &amp; Management Guidance</t>
        </is>
      </c>
    </row>
    <row r="3">
      <c r="B3" s="2" t="inlineStr">
        <is>
          <t>Source: KazMunayGas (KMG)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3" t="inlineStr">
        <is>
          <t>$19383.0M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$5280.0M (26.9% margin)</t>
        </is>
      </c>
      <c r="D8" s="33" t="inlineStr">
        <is>
          <t>$5184.0M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1.45x</t>
        </is>
      </c>
      <c r="E9" s="30" t="inlineStr">
        <is>
          <t>Ahead of Target</t>
        </is>
      </c>
      <c r="F9" s="35" t="inlineStr">
        <is>
          <t>Deleveraging on track with 2.30x buffer below covenant limit.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3" t="inlineStr">
        <is>
          <t>$1622.9M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5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5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5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5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5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5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5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5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5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5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5" t="inlineStr">
        <is>
          <t>$3600.0M in liquid bank deposits</t>
        </is>
      </c>
    </row>
    <row r="35">
      <c r="B35" s="9" t="inlineStr">
        <is>
          <t>Undrawn Committed Credit Lines</t>
        </is>
      </c>
      <c r="C35" s="35" t="inlineStr">
        <is>
          <t>$3696.0M in revolving bank facilities</t>
        </is>
      </c>
    </row>
    <row r="36">
      <c r="B36" s="9" t="inlineStr">
        <is>
          <t>Net Debt Headroom</t>
        </is>
      </c>
      <c r="C36" s="35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2026-09-19T21:22:52Z</dcterms:created>
  <dcterms:modified xmlns:dcterms="http://purl.org/dc/terms/" xmlns:xsi="http://www.w3.org/2001/XMLSchema-instance" xsi:type="dcterms:W3CDTF">2026-09-19T21:22:52Z</dcterms:modified>
</cp:coreProperties>
</file>