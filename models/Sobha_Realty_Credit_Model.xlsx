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+$20.3M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+$25.0M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+$28.1M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+$31.2M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+$34.3M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+$36.8M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+$38.7M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+$20.3M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+$25.0M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+$28.1M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+$31.2M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+$34.3M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+$36.8M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+$38.7M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(SOBHA) — Institutional Credit Model</t>
        </is>
      </c>
    </row>
    <row r="3">
      <c r="B3" s="2" t="inlineStr">
        <is>
          <t>Sector: Real Estate | Country: UAE | Rating: BB- / Ba3 | Benchmark: SOBHA 7.95% 2028 @ $102.00 (7.95% YTM / +390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100% backward integrated self-construction model; zero contractor failure risk; prime MBR City land bank.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SOBHA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341.28</v>
      </c>
      <c r="F26" s="7" t="inlineStr">
        <is>
          <t>7.95%</t>
        </is>
      </c>
      <c r="G26" s="7" t="inlineStr">
        <is>
          <t>$102.00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SOBHA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227.52</v>
      </c>
      <c r="F27" s="7" t="inlineStr">
        <is>
          <t>7.20%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189.6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729.3</v>
      </c>
      <c r="D15" s="8" t="n">
        <v>879.5</v>
      </c>
      <c r="E15" s="8" t="n">
        <v>986.7</v>
      </c>
      <c r="F15" s="8" t="n">
        <v>1072.5</v>
      </c>
      <c r="G15" s="8" t="n">
        <v>1158.3</v>
      </c>
      <c r="H15" s="8" t="n">
        <v>1233.4</v>
      </c>
      <c r="I15" s="8" t="n">
        <v>1287</v>
      </c>
    </row>
    <row r="16">
      <c r="B16" s="7" t="inlineStr">
        <is>
          <t>Completed Ready Property Sales</t>
        </is>
      </c>
      <c r="C16" s="8" t="n">
        <v>246.8</v>
      </c>
      <c r="D16" s="8" t="n">
        <v>297.7</v>
      </c>
      <c r="E16" s="8" t="n">
        <v>334</v>
      </c>
      <c r="F16" s="8" t="n">
        <v>363</v>
      </c>
      <c r="G16" s="8" t="n">
        <v>392</v>
      </c>
      <c r="H16" s="8" t="n">
        <v>417.4</v>
      </c>
      <c r="I16" s="8" t="n">
        <v>435.6</v>
      </c>
    </row>
    <row r="17">
      <c r="B17" s="7" t="inlineStr">
        <is>
          <t>Commercial Leasing &amp; Hospitality</t>
        </is>
      </c>
      <c r="C17" s="8" t="n">
        <v>145.9</v>
      </c>
      <c r="D17" s="8" t="n">
        <v>175.9</v>
      </c>
      <c r="E17" s="8" t="n">
        <v>197.3</v>
      </c>
      <c r="F17" s="8" t="n">
        <v>214.5</v>
      </c>
      <c r="G17" s="8" t="n">
        <v>231.7</v>
      </c>
      <c r="H17" s="8" t="n">
        <v>246.7</v>
      </c>
      <c r="I17" s="8" t="n">
        <v>257.4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20.3</v>
      </c>
      <c r="D35" s="23" t="n">
        <v>25</v>
      </c>
      <c r="E35" s="23" t="n">
        <v>28.1</v>
      </c>
      <c r="F35" s="23" t="n">
        <v>31.2</v>
      </c>
      <c r="G35" s="23" t="n">
        <v>34.3</v>
      </c>
      <c r="H35" s="23" t="n">
        <v>36.8</v>
      </c>
      <c r="I35" s="23" t="n">
        <v>38.7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+$20.3M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+$25.0M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+$28.1M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+$31.2M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+$34.3M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+$36.8M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+$38.7M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1683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392.7</v>
      </c>
      <c r="D36" s="8" t="n">
        <v>392.7</v>
      </c>
      <c r="E36" s="8" t="n">
        <v>392.7</v>
      </c>
      <c r="F36" s="8" t="n">
        <v>392.7</v>
      </c>
      <c r="G36" s="8" t="n">
        <v>392.7</v>
      </c>
      <c r="H36" s="8" t="n">
        <v>392.7</v>
      </c>
      <c r="I36" s="8" t="n">
        <v>392.7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-163</v>
      </c>
      <c r="D16" s="8" t="n">
        <v>-285.1</v>
      </c>
      <c r="E16" s="8" t="n">
        <v>-320.8</v>
      </c>
      <c r="F16" s="8" t="n">
        <v>-303.6</v>
      </c>
      <c r="G16" s="8" t="n">
        <v>-275.9</v>
      </c>
      <c r="H16" s="8" t="n">
        <v>-295.9</v>
      </c>
      <c r="I16" s="8" t="n">
        <v>-311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198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124.8</v>
      </c>
      <c r="D32" s="8" t="n">
        <v>292.5</v>
      </c>
      <c r="E32" s="8" t="n">
        <v>328.8</v>
      </c>
      <c r="F32" s="8" t="n">
        <v>183.9</v>
      </c>
      <c r="G32" s="8" t="n">
        <v>196.6</v>
      </c>
      <c r="H32" s="8" t="n">
        <v>207.9</v>
      </c>
      <c r="I32" s="8" t="n">
        <v>215.7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SOBHA Benchmark Eurobond Notes</t>
        </is>
      </c>
    </row>
    <row r="7">
      <c r="B7" s="7" t="inlineStr">
        <is>
          <t xml:space="preserve">  Beginning Principal Balance</t>
        </is>
      </c>
      <c r="C7" s="8" t="n">
        <v>290.1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96.7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64.5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0.0795</f>
        <v/>
      </c>
      <c r="D11" s="8">
        <f>D10 * 0.0795</f>
        <v/>
      </c>
      <c r="E11" s="8">
        <f>E10 * 0.0795</f>
        <v/>
      </c>
      <c r="F11" s="8">
        <f>F10 * 0.0795</f>
        <v/>
      </c>
      <c r="G11" s="8">
        <f>G10 * 0.0795</f>
        <v/>
      </c>
      <c r="H11" s="8">
        <f>H10 * 0.0795</f>
        <v/>
      </c>
      <c r="I11" s="8">
        <f>I10 * 0.0795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354.5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91</v>
      </c>
      <c r="C32" s="8" t="n">
        <v>166.8</v>
      </c>
      <c r="D32" s="8" t="n">
        <v>212.4</v>
      </c>
      <c r="E32" s="8" t="n">
        <v>136.5</v>
      </c>
      <c r="F32" s="8" t="n">
        <v>91</v>
      </c>
      <c r="G32" s="8" t="n">
        <v>60.7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SOBHA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341.3</v>
      </c>
      <c r="F37" s="29" t="inlineStr">
        <is>
          <t>7.950%</t>
        </is>
      </c>
      <c r="G37" s="30" t="n">
        <v>102</v>
      </c>
      <c r="H37" s="31" t="n">
        <v>7.95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SOBHA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227.5</v>
      </c>
      <c r="F38" s="29" t="inlineStr">
        <is>
          <t>7.300%</t>
        </is>
      </c>
      <c r="G38" s="30" t="n">
        <v>101.5</v>
      </c>
      <c r="H38" s="31" t="n">
        <v>7.3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113.8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75.8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SOBHA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212.4</v>
      </c>
    </row>
    <row r="45">
      <c r="B45" s="7" t="inlineStr">
        <is>
          <t>Drawn Amount ($M)</t>
        </is>
      </c>
      <c r="C45" s="8" t="n">
        <v>75.8</v>
      </c>
    </row>
    <row r="46">
      <c r="B46" s="18" t="inlineStr">
        <is>
          <t>AVAILABLE UNDRAWN HEADROOM ($M)</t>
        </is>
      </c>
      <c r="C46" s="19" t="n">
        <v>136.6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0.83x</t>
        </is>
      </c>
      <c r="E55" s="32" t="inlineStr">
        <is>
          <t>2.67x leverage buffer ($1281.6M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5.85x</t>
        </is>
      </c>
      <c r="E56" s="32" t="inlineStr">
        <is>
          <t>+3.35x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3.8% of Assets</t>
        </is>
      </c>
      <c r="E57" s="32" t="inlineStr">
        <is>
          <t>$363.0M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7.95%</t>
        </is>
      </c>
      <c r="F6" s="34" t="inlineStr">
        <is>
          <t>4.2x</t>
        </is>
      </c>
      <c r="G6" s="34" t="inlineStr">
        <is>
          <t>$102.00</t>
        </is>
      </c>
      <c r="H6" s="34" t="inlineStr">
        <is>
          <t>+0.0%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9.95%</t>
        </is>
      </c>
      <c r="F7" s="29" t="inlineStr">
        <is>
          <t>3.2x</t>
        </is>
      </c>
      <c r="G7" s="29" t="inlineStr">
        <is>
          <t>$86.00</t>
        </is>
      </c>
      <c r="H7" s="29" t="inlineStr">
        <is>
          <t>-15.7%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$70.00</t>
        </is>
      </c>
      <c r="H8" s="29" t="inlineStr">
        <is>
          <t>-31.4%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6.45%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+2.9%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189.6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SOBHA Senior Unsecured Eurobonds</t>
        </is>
      </c>
      <c r="C15" s="8" t="n">
        <v>568.8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70.0%</t>
        </is>
      </c>
      <c r="G15" s="29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113.8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303.4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(SOBHA) — Earnings Presentation &amp; Management Guidance</t>
        </is>
      </c>
    </row>
    <row r="3">
      <c r="B3" s="2" t="inlineStr">
        <is>
          <t>Source: Sobha Realty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$1782.0M (+8.0% YoY growth)</t>
        </is>
      </c>
      <c r="D7" s="35" t="inlineStr">
        <is>
          <t>$1757.2M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$1782.0M (+8.0% YoY growth). With current run-rate at $1757.2M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$528.0M (29.6% margin)</t>
        </is>
      </c>
      <c r="D8" s="35" t="inlineStr">
        <is>
          <t>$518.4M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$528.0M (29.6%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0.83x</t>
        </is>
      </c>
      <c r="E9" s="32" t="inlineStr">
        <is>
          <t>Ahead of Target</t>
        </is>
      </c>
      <c r="F9" s="37" t="inlineStr">
        <is>
          <t>Deleveraging on track with 2.67x buffer below covenant limit.
[QUESTION TO CFO TO VERIFY]: You previously committed to a Net Leverage ceiling of &lt; 3.00x Net Debt / EBITDA. Current actual leverage stands at 0.83x.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$176.4M (Maximum growth and sustaining envelope)</t>
        </is>
      </c>
      <c r="D10" s="35" t="inlineStr">
        <is>
          <t>$162.3M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$176.4M (Maximum growth and sustaining envelope). Current commitments stand at $162.3M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$5280.0M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7,425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$3052.5M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$234.0M in central treasury accounts</t>
        </is>
      </c>
    </row>
    <row r="36">
      <c r="B36" s="9" t="inlineStr">
        <is>
          <t>Restricted Escrow Bank Balances</t>
        </is>
      </c>
      <c r="C36" s="37" t="inlineStr">
        <is>
          <t>$306.0M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$265.4M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2026-11-16</t>
        </is>
      </c>
    </row>
    <row r="48">
      <c r="B48" s="9" t="inlineStr">
        <is>
          <t>Reporting Period</t>
        </is>
      </c>
      <c r="C48" s="37" t="inlineStr">
        <is>
          <t>Q3 2026 Sales &amp; Sukuk Compliance</t>
        </is>
      </c>
    </row>
    <row r="49">
      <c r="B49" s="9" t="inlineStr">
        <is>
          <t>Confirmation Status</t>
        </is>
      </c>
      <c r="C49" s="37" t="inlineStr">
        <is>
          <t>Estimated</t>
        </is>
      </c>
    </row>
    <row r="50">
      <c r="B50" s="9" t="inlineStr">
        <is>
          <t>Conference Call &amp; Webcast Schedule</t>
        </is>
      </c>
      <c r="C50" s="37" t="inlineStr">
        <is>
          <t>15:00 Dubai</t>
        </is>
      </c>
    </row>
    <row r="51">
      <c r="B51" s="9" t="inlineStr">
        <is>
          <t>Official IR Portal / Webcast URL</t>
        </is>
      </c>
      <c r="C51" s="37" t="inlineStr">
        <is>
          <t>https://sobhadxb.com/investor-relations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2026-09-24T04:14:58Z</dcterms:created>
  <dcterms:modified xmlns:dcterms="http://purl.org/dc/terms/" xmlns:xsi="http://www.w3.org/2001/XMLSchema-instance" xsi:type="dcterms:W3CDTF">2026-09-24T04:14:58Z</dcterms:modified>
</cp:coreProperties>
</file>