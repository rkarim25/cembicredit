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0x"/>
    <numFmt numFmtId="167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Post-COVID recovery in primary property sales; liquidity conserved across core development land banks.</t>
      </text>
    </comment>
    <comment ref="D10" authorId="0" shapeId="0">
      <text>
        <t>CEMBI Credit Analyst Observation (2022A):
Surge in international buyer inflows driven by safe-haven status and favorable visa reforms.</t>
      </text>
    </comment>
    <comment ref="E10" authorId="0" shapeId="0">
      <text>
        <t>CEMBI Credit Analyst Observation (2023A):
Record off-plan sales bookings and rapid inventory turnover across master communities.</t>
      </text>
    </comment>
    <comment ref="F10" authorId="0" shapeId="0">
      <text>
        <t>CEMBI Credit Analyst Observation (2024A):
Consolidation of market leadership; healthy demand supported by population growth and commercial expansion.</t>
      </text>
    </comment>
    <comment ref="G10" authorId="0" shapeId="0">
      <text>
        <t>CEMBI Credit Analyst Observation (2025E):
Anticipated stable delivery schedule of scheduled units; presales backlog provides 85%+ revenue visibility.</t>
      </text>
    </comment>
    <comment ref="H10" authorId="0" shapeId="0">
      <text>
        <t>CEMBI Credit Analyst Observation (2026E):
Peak handover cycle for high-value towers launched in 2023; substantial revenue recognition under IFRS 15.</t>
      </text>
    </comment>
    <comment ref="I10" authorId="0" shapeId="0">
      <text>
        <t>CEMBI Credit Analyst Observation (2027E):
Mature portfolio cash generation; recurring commercial leasing and retail assets augment development revenue.</t>
      </text>
    </comment>
    <comment ref="C22" authorId="0" shapeId="0">
      <text>
        <t>CEMBI Credit Analyst Observation (2021A):
Gross margins stable around 28-30% supported by low historical land acquisition costs.</t>
      </text>
    </comment>
    <comment ref="D22" authorId="0" shapeId="0">
      <text>
        <t>CEMBI Credit Analyst Observation (2022A):
Operating margins expand as average selling prices (ASP) outpace construction inflation.</t>
      </text>
    </comment>
    <comment ref="E22" authorId="0" shapeId="0">
      <text>
        <t>CEMBI Credit Analyst Observation (2023A):
Peak development margins achieved on high-density luxury and branded residences.</t>
      </text>
    </comment>
    <comment ref="F22" authorId="0" shapeId="0">
      <text>
        <t>CEMBI Credit Analyst Observation (2024A):
EBITDA margins normalize at sustainable high levels despite minor building material cost adjustments.</t>
      </text>
    </comment>
    <comment ref="G22" authorId="0" shapeId="0">
      <text>
        <t>CEMBI Credit Analyst Observation (2025E):
Operating profitability anchored by locked-in contract prices across existing order book.</t>
      </text>
    </comment>
    <comment ref="H22" authorId="0" shapeId="0">
      <text>
        <t>CEMBI Credit Analyst Observation (2026E):
EBITDA generation bolstered by final completion payments and property management services.</t>
      </text>
    </comment>
    <comment ref="I22" authorId="0" shapeId="0">
      <text>
        <t>CEMBI Credit Analyst Observation (2027E):
Resilient blended operating margin supported by premium brand recognition.</t>
      </text>
    </comment>
    <comment ref="C36" authorId="0" shapeId="0">
      <text>
        <t>CEMBI Credit Desk EBITDA Audit (2021A):
Fair Value Property Revaluations: Reported EBITDA reflects +$20.3M (+6.5%) non-cash fair value gains on commercial/retail investment properties (IAS 40); Credit Desk Calculated EBITDA strictly isolates real development cash margins and cash rental receipts.</t>
      </text>
    </comment>
    <comment ref="D36" authorId="0" shapeId="0">
      <text>
        <t>CEMBI Credit Desk EBITDA Audit (2022A):
Fair Value Property Revaluations: Reported EBITDA reflects +$25.0M (+6.5%) non-cash fair value gains on commercial/retail investment properties (IAS 40); Credit Desk Calculated EBITDA strictly isolates real development cash margins and cash rental receipts.</t>
      </text>
    </comment>
    <comment ref="E36" authorId="0" shapeId="0">
      <text>
        <t>CEMBI Credit Desk EBITDA Audit (2023A):
Fair Value Property Revaluations: Reported EBITDA reflects +$28.1M (+6.5%) non-cash fair value gains on commercial/retail investment properties (IAS 40); Credit Desk Calculated EBITDA strictly isolates real development cash margins and cash rental receipts.</t>
      </text>
    </comment>
    <comment ref="F36" authorId="0" shapeId="0">
      <text>
        <t>CEMBI Credit Desk EBITDA Audit (2024A):
Fair Value Property Revaluations: Reported EBITDA reflects +$31.2M (+6.5%) non-cash fair value gains on commercial/retail investment properties (IAS 40); Credit Desk Calculated EBITDA strictly isolates real development cash margins and cash rental receipts.</t>
      </text>
    </comment>
    <comment ref="G36" authorId="0" shapeId="0">
      <text>
        <t>CEMBI Credit Desk EBITDA Audit (2025E):
Fair Value Property Revaluations: Reported EBITDA reflects +$34.3M (+6.5%) non-cash fair value gains on commercial/retail investment properties (IAS 40); Credit Desk Calculated EBITDA strictly isolates real development cash margins and cash rental receipts.</t>
      </text>
    </comment>
    <comment ref="H36" authorId="0" shapeId="0">
      <text>
        <t>CEMBI Credit Desk EBITDA Audit (2026E):
Fair Value Property Revaluations: Reported EBITDA reflects +$36.8M (+6.5%) non-cash fair value gains on commercial/retail investment properties (IAS 40); Credit Desk Calculated EBITDA strictly isolates real development cash margins and cash rental receipts.</t>
      </text>
    </comment>
    <comment ref="I36" authorId="0" shapeId="0">
      <text>
        <t>CEMBI Credit Desk EBITDA Audit (2027E):
Fair Value Property Revaluations: Reported EBITDA reflects +$38.7M (+6.5%) non-cash fair value gains on commercial/retail investment properties (IAS 40); Credit Desk Calculated EBITDA strictly isolates real development cash margins and cash rental receipts.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Modest working capital absorption as new project construction commences.</t>
      </text>
    </comment>
    <comment ref="D34" authorId="0" shapeId="0">
      <text>
        <t>CEMBI Credit Desk FCF Bridge (2022A):
Formula: EBITDA - Capex - Cash Interest - ΔNWC - Tax
Operating cash flow inflects strongly positive on accelerated milestone installment receipts.</t>
      </text>
    </comment>
    <comment ref="E34" authorId="0" shapeId="0">
      <text>
        <t>CEMBI Credit Desk FCF Bridge (2023A):
Formula: EBITDA - Capex - Cash Interest - ΔNWC - Tax
Robust FCF generation; escrow disbursements unlocked upon verified completion milestones.</t>
      </text>
    </comment>
    <comment ref="F34" authorId="0" shapeId="0">
      <text>
        <t>CEMBI Credit Desk FCF Bridge (2024A):
Formula: EBITDA - Capex - Cash Interest - ΔNWC - Tax
FCF conversion remains superior, generating ample liquidity to service amortizing credit facilities.</t>
      </text>
    </comment>
    <comment ref="G34" authorId="0" shapeId="0">
      <text>
        <t>CEMBI Credit Desk FCF Bridge (2025E):
Formula: EBITDA - Capex - Cash Interest - ΔNWC - Tax
Solid positive free cash flow enabling debt pre-funding and dividend flexibility.</t>
      </text>
    </comment>
    <comment ref="H34" authorId="0" shapeId="0">
      <text>
        <t>CEMBI Credit Desk FCF Bridge (2026E):
Formula: EBITDA - Capex - Cash Interest - ΔNWC - Tax
Exceptional FCF surge from final 30-40% handover cash collections.</t>
      </text>
    </comment>
    <comment ref="I34" authorId="0" shapeId="0">
      <text>
        <t>CEMBI Credit Desk FCF Bridge (2027E):
Formula: EBITDA - Capex - Cash Interest - ΔNWC - Tax
Organic liquidity runway exceeding 36 months of corporate overhead and interest expenses.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leverage preserved within rating tolerance via presales escrow funding.</t>
      </text>
    </comment>
    <comment ref="D8" authorId="0" shapeId="0">
      <text>
        <t>CEMBI Credit Desk Calculated Leverage Commentary (2022A):
Deleveraging begins as cash collections build up in regulated escrow accounts.</t>
      </text>
    </comment>
    <comment ref="E8" authorId="0" shapeId="0">
      <text>
        <t>CEMBI Credit Desk Calculated Leverage Commentary (2023A):
Net debt contracts; leverage comfortably below bond covenant thresholds.</t>
      </text>
    </comment>
    <comment ref="F8" authorId="0" shapeId="0">
      <text>
        <t>CEMBI Credit Desk Calculated Leverage Commentary (2024A):
Conservative leverage profile providing substantial headroom under all debt incurrence tests.</t>
      </text>
    </comment>
    <comment ref="G8" authorId="0" shapeId="0">
      <text>
        <t>CEMBI Credit Desk Calculated Leverage Commentary (2025E):
Net leverage continues downward trajectory toward conservative investment-grade parameters.</t>
      </text>
    </comment>
    <comment ref="H8" authorId="0" shapeId="0">
      <text>
        <t>CEMBI Credit Desk Calculated Leverage Commentary (2026E):
Substantial net debt reduction providing full coverage for near-term debt maturities.</t>
      </text>
    </comment>
    <comment ref="I8" authorId="0" shapeId="0">
      <text>
        <t>CEMBI Credit Desk Calculated Leverage Commentary (2027E):
Minimal net leverage with net cash position achievable under base-case handover pacing.</t>
      </text>
    </comment>
    <comment ref="C9" authorId="0" shapeId="0">
      <text>
        <t>CEMBI Credit Desk Reported Leverage Commentary (2021A):
Fair Value Property Revaluations: Reported EBITDA reflects +$20.3M (+6.5%) non-cash fair value gains on commercial/retail investment properties (IAS 40); Credit Desk Calculated EBITDA strictly isolates real development cash margins and cash rental receipts.</t>
      </text>
    </comment>
    <comment ref="D9" authorId="0" shapeId="0">
      <text>
        <t>CEMBI Credit Desk Reported Leverage Commentary (2022A):
Fair Value Property Revaluations: Reported EBITDA reflects +$25.0M (+6.5%) non-cash fair value gains on commercial/retail investment properties (IAS 40); Credit Desk Calculated EBITDA strictly isolates real development cash margins and cash rental receipts.</t>
      </text>
    </comment>
    <comment ref="E9" authorId="0" shapeId="0">
      <text>
        <t>CEMBI Credit Desk Reported Leverage Commentary (2023A):
Fair Value Property Revaluations: Reported EBITDA reflects +$28.1M (+6.5%) non-cash fair value gains on commercial/retail investment properties (IAS 40); Credit Desk Calculated EBITDA strictly isolates real development cash margins and cash rental receipts.</t>
      </text>
    </comment>
    <comment ref="F9" authorId="0" shapeId="0">
      <text>
        <t>CEMBI Credit Desk Reported Leverage Commentary (2024A):
Fair Value Property Revaluations: Reported EBITDA reflects +$31.2M (+6.5%) non-cash fair value gains on commercial/retail investment properties (IAS 40); Credit Desk Calculated EBITDA strictly isolates real development cash margins and cash rental receipts.</t>
      </text>
    </comment>
    <comment ref="G9" authorId="0" shapeId="0">
      <text>
        <t>CEMBI Credit Desk Reported Leverage Commentary (2025E):
Fair Value Property Revaluations: Reported EBITDA reflects +$34.3M (+6.5%) non-cash fair value gains on commercial/retail investment properties (IAS 40); Credit Desk Calculated EBITDA strictly isolates real development cash margins and cash rental receipts.</t>
      </text>
    </comment>
    <comment ref="H9" authorId="0" shapeId="0">
      <text>
        <t>CEMBI Credit Desk Reported Leverage Commentary (2026E):
Fair Value Property Revaluations: Reported EBITDA reflects +$36.8M (+6.5%) non-cash fair value gains on commercial/retail investment properties (IAS 40); Credit Desk Calculated EBITDA strictly isolates real development cash margins and cash rental receipts.</t>
      </text>
    </comment>
    <comment ref="I9" authorId="0" shapeId="0">
      <text>
        <t>CEMBI Credit Desk Reported Leverage Commentary (2027E):
Fair Value Property Revaluations: Reported EBITDA reflects +$38.7M (+6.5%) non-cash fair value gains on commercial/retail investment properties (IAS 40); Credit Desk Calculated EBITDA strictly isolates real development cash margins and cash rental receipts.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(SOBHA) — Institutional Credit Model</t>
        </is>
      </c>
    </row>
    <row r="3">
      <c r="B3" s="2" t="inlineStr">
        <is>
          <t>Sector: Real Estate | Country: UAE | Rating: BB- / Ba3 | Benchmark: SOBHA 7.95% 2028 @ $102.00 (7.95% YTM / +390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100% backward integrated self-construction model; zero contractor failure risk; prime MBR City land bank.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SOBHA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341.28</v>
      </c>
      <c r="F26" s="7" t="inlineStr">
        <is>
          <t>7.95%</t>
        </is>
      </c>
      <c r="G26" s="7" t="inlineStr">
        <is>
          <t>$102.00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SOBHA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227.52</v>
      </c>
      <c r="F27" s="7" t="inlineStr">
        <is>
          <t>7.20%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189.6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($M)</t>
        </is>
      </c>
      <c r="C6" s="13" t="n">
        <v>1200</v>
      </c>
      <c r="D6" s="13" t="n">
        <v>1450</v>
      </c>
      <c r="E6" s="13" t="n">
        <v>1800</v>
      </c>
      <c r="F6" s="13" t="n">
        <v>2200</v>
      </c>
      <c r="G6" s="13" t="n">
        <v>2550</v>
      </c>
      <c r="H6" s="13" t="n">
        <v>2900</v>
      </c>
      <c r="I6" s="13" t="n">
        <v>3300</v>
      </c>
    </row>
    <row r="7">
      <c r="B7" s="7" t="inlineStr">
        <is>
          <t>Residential Units Delivered (Units)</t>
        </is>
      </c>
      <c r="C7" s="13" t="n">
        <v>850</v>
      </c>
      <c r="D7" s="13" t="n">
        <v>1100</v>
      </c>
      <c r="E7" s="13" t="n">
        <v>1450</v>
      </c>
      <c r="F7" s="13" t="n">
        <v>1850</v>
      </c>
      <c r="G7" s="13" t="n">
        <v>2200</v>
      </c>
      <c r="H7" s="13" t="n">
        <v>2500</v>
      </c>
      <c r="I7" s="13" t="n">
        <v>2800</v>
      </c>
    </row>
    <row r="8">
      <c r="B8" s="7" t="inlineStr">
        <is>
          <t>Average Selling Price (ASP) ($/sqft)</t>
        </is>
      </c>
      <c r="C8" s="13" t="n">
        <v>320</v>
      </c>
      <c r="D8" s="13" t="n">
        <v>350</v>
      </c>
      <c r="E8" s="13" t="n">
        <v>385</v>
      </c>
      <c r="F8" s="13" t="n">
        <v>420</v>
      </c>
      <c r="G8" s="13" t="n">
        <v>445</v>
      </c>
      <c r="H8" s="13" t="n">
        <v>470</v>
      </c>
      <c r="I8" s="13" t="n">
        <v>495</v>
      </c>
    </row>
    <row r="9">
      <c r="B9" s="7" t="inlineStr">
        <is>
          <t>Presales Cash Collections ($M)</t>
        </is>
      </c>
      <c r="C9" s="13" t="n">
        <v>480</v>
      </c>
      <c r="D9" s="13" t="n">
        <v>620</v>
      </c>
      <c r="E9" s="13" t="n">
        <v>790</v>
      </c>
      <c r="F9" s="13" t="n">
        <v>980</v>
      </c>
      <c r="G9" s="13" t="n">
        <v>1150</v>
      </c>
      <c r="H9" s="13" t="n">
        <v>1320</v>
      </c>
      <c r="I9" s="13" t="n">
        <v>1500</v>
      </c>
    </row>
    <row r="10">
      <c r="B10" s="7" t="inlineStr">
        <is>
          <t>Escrow Bank Cash Reserves ($M)</t>
        </is>
      </c>
      <c r="C10" s="13" t="n">
        <v>140</v>
      </c>
      <c r="D10" s="13" t="n">
        <v>185</v>
      </c>
      <c r="E10" s="13" t="n">
        <v>240</v>
      </c>
      <c r="F10" s="13" t="n">
        <v>310</v>
      </c>
      <c r="G10" s="13" t="n">
        <v>360</v>
      </c>
      <c r="H10" s="13" t="n">
        <v>420</v>
      </c>
      <c r="I10" s="13" t="n">
        <v>480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Off-Plan Residential Development</t>
        </is>
      </c>
      <c r="C15" s="8" t="n">
        <v>729.3</v>
      </c>
      <c r="D15" s="8" t="n">
        <v>879.5</v>
      </c>
      <c r="E15" s="8" t="n">
        <v>986.7</v>
      </c>
      <c r="F15" s="8" t="n">
        <v>1072.5</v>
      </c>
      <c r="G15" s="8" t="n">
        <v>1158.3</v>
      </c>
      <c r="H15" s="8" t="n">
        <v>1233.4</v>
      </c>
      <c r="I15" s="8" t="n">
        <v>1287</v>
      </c>
    </row>
    <row r="16">
      <c r="B16" s="7" t="inlineStr">
        <is>
          <t>Completed Ready Property Sales</t>
        </is>
      </c>
      <c r="C16" s="8" t="n">
        <v>246.8</v>
      </c>
      <c r="D16" s="8" t="n">
        <v>297.7</v>
      </c>
      <c r="E16" s="8" t="n">
        <v>334</v>
      </c>
      <c r="F16" s="8" t="n">
        <v>363</v>
      </c>
      <c r="G16" s="8" t="n">
        <v>392</v>
      </c>
      <c r="H16" s="8" t="n">
        <v>417.4</v>
      </c>
      <c r="I16" s="8" t="n">
        <v>435.6</v>
      </c>
    </row>
    <row r="17">
      <c r="B17" s="7" t="inlineStr">
        <is>
          <t>Commercial Leasing &amp; Hospitality</t>
        </is>
      </c>
      <c r="C17" s="8" t="n">
        <v>145.9</v>
      </c>
      <c r="D17" s="8" t="n">
        <v>175.9</v>
      </c>
      <c r="E17" s="8" t="n">
        <v>197.3</v>
      </c>
      <c r="F17" s="8" t="n">
        <v>214.5</v>
      </c>
      <c r="G17" s="8" t="n">
        <v>231.7</v>
      </c>
      <c r="H17" s="8" t="n">
        <v>246.7</v>
      </c>
      <c r="I17" s="8" t="n">
        <v>257.4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Off-Plan Residential Development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Completed Ready Property Sales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Commercial Leasing &amp; Hospitality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20.3</v>
      </c>
      <c r="D35" s="23" t="n">
        <v>25</v>
      </c>
      <c r="E35" s="23" t="n">
        <v>28.1</v>
      </c>
      <c r="F35" s="23" t="n">
        <v>31.2</v>
      </c>
      <c r="G35" s="23" t="n">
        <v>34.3</v>
      </c>
      <c r="H35" s="23" t="n">
        <v>36.8</v>
      </c>
      <c r="I35" s="23" t="n">
        <v>38.7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Material Add-backs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Material Add-backs</t>
        </is>
      </c>
      <c r="H39" s="24" t="inlineStr">
        <is>
          <t>Material Add-backs</t>
        </is>
      </c>
      <c r="I39" s="24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Fair Value Property Revaluations: Reported EBITDA reflects +$20.3M (+6.5%) non-cash fair value gains on commercial/retail investment properties (IAS 40); Credit Desk Calculated EBITDA strictly isolates real development cash margins and cash rental receipts.</t>
        </is>
      </c>
    </row>
    <row r="43">
      <c r="B43" s="25" t="inlineStr">
        <is>
          <t>[2022A] Fair Value Property Revaluations: Reported EBITDA reflects +$25.0M (+6.5%) non-cash fair value gains on commercial/retail investment properties (IAS 40); Credit Desk Calculated EBITDA strictly isolates real development cash margins and cash rental receipts.</t>
        </is>
      </c>
    </row>
    <row r="44">
      <c r="B44" s="25" t="inlineStr">
        <is>
          <t>[2023A] Fair Value Property Revaluations: Reported EBITDA reflects +$28.1M (+6.5%) non-cash fair value gains on commercial/retail investment properties (IAS 40); Credit Desk Calculated EBITDA strictly isolates real development cash margins and cash rental receipts.</t>
        </is>
      </c>
    </row>
    <row r="45">
      <c r="B45" s="25" t="inlineStr">
        <is>
          <t>[2024A] Fair Value Property Revaluations: Reported EBITDA reflects +$31.2M (+6.5%) non-cash fair value gains on commercial/retail investment properties (IAS 40); Credit Desk Calculated EBITDA strictly isolates real development cash margins and cash rental receipts.</t>
        </is>
      </c>
    </row>
    <row r="46">
      <c r="B46" s="25" t="inlineStr">
        <is>
          <t>[2025E] Fair Value Property Revaluations: Reported EBITDA reflects +$34.3M (+6.5%) non-cash fair value gains on commercial/retail investment properties (IAS 40); Credit Desk Calculated EBITDA strictly isolates real development cash margins and cash rental receipts.</t>
        </is>
      </c>
    </row>
    <row r="47">
      <c r="B47" s="25" t="inlineStr">
        <is>
          <t>[2026E] Fair Value Property Revaluations: Reported EBITDA reflects +$36.8M (+6.5%) non-cash fair value gains on commercial/retail investment properties (IAS 40); Credit Desk Calculated EBITDA strictly isolates real development cash margins and cash rental receipts.</t>
        </is>
      </c>
    </row>
    <row r="48">
      <c r="B48" s="25" t="inlineStr">
        <is>
          <t>[2027E] Fair Value Property Revaluations: Reported EBITDA reflects +$38.7M (+6.5%) non-cash fair value gains on commercial/retail investment properties (IAS 40); Credit Desk Calculated EBITDA strictly isolates real development cash margins and cash rental receipts.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1683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392.7</v>
      </c>
      <c r="D36" s="8" t="n">
        <v>392.7</v>
      </c>
      <c r="E36" s="8" t="n">
        <v>392.7</v>
      </c>
      <c r="F36" s="8" t="n">
        <v>392.7</v>
      </c>
      <c r="G36" s="8" t="n">
        <v>392.7</v>
      </c>
      <c r="H36" s="8" t="n">
        <v>392.7</v>
      </c>
      <c r="I36" s="8" t="n">
        <v>392.7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-163</v>
      </c>
      <c r="D16" s="8" t="n">
        <v>-285.1</v>
      </c>
      <c r="E16" s="8" t="n">
        <v>-320.8</v>
      </c>
      <c r="F16" s="8" t="n">
        <v>-303.6</v>
      </c>
      <c r="G16" s="8" t="n">
        <v>-275.9</v>
      </c>
      <c r="H16" s="8" t="n">
        <v>-295.9</v>
      </c>
      <c r="I16" s="8" t="n">
        <v>-311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198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124.8</v>
      </c>
      <c r="D32" s="8" t="n">
        <v>292.5</v>
      </c>
      <c r="E32" s="8" t="n">
        <v>328.8</v>
      </c>
      <c r="F32" s="8" t="n">
        <v>183.9</v>
      </c>
      <c r="G32" s="8" t="n">
        <v>196.6</v>
      </c>
      <c r="H32" s="8" t="n">
        <v>207.9</v>
      </c>
      <c r="I32" s="8" t="n">
        <v>215.7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Modest working capital absorption as new project construction commences.</t>
        </is>
      </c>
    </row>
    <row r="39">
      <c r="B39" s="25" t="inlineStr">
        <is>
          <t>[2022A] Operating cash flow inflects strongly positive on accelerated milestone installment receipts.</t>
        </is>
      </c>
    </row>
    <row r="40">
      <c r="B40" s="25" t="inlineStr">
        <is>
          <t>[2023A] Robust FCF generation; escrow disbursements unlocked upon verified completion milestones.</t>
        </is>
      </c>
    </row>
    <row r="41">
      <c r="B41" s="25" t="inlineStr">
        <is>
          <t>[2024A] FCF conversion remains superior, generating ample liquidity to service amortizing credit facilities.</t>
        </is>
      </c>
    </row>
    <row r="42">
      <c r="B42" s="25" t="inlineStr">
        <is>
          <t>[2025E] Solid positive free cash flow enabling debt pre-funding and dividend flexibility.</t>
        </is>
      </c>
    </row>
    <row r="43">
      <c r="B43" s="25" t="inlineStr">
        <is>
          <t>[2026E] Exceptional FCF surge from final 30-40% handover cash collections.</t>
        </is>
      </c>
    </row>
    <row r="44">
      <c r="B44" s="25" t="inlineStr">
        <is>
          <t>[2027E] Organic liquidity runway exceeding 36 months of corporate overhead and interest expenses.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SOBHA Benchmark Eurobond Notes</t>
        </is>
      </c>
    </row>
    <row r="7">
      <c r="B7" s="7" t="inlineStr">
        <is>
          <t xml:space="preserve">  Beginning Principal Balance</t>
        </is>
      </c>
      <c r="C7" s="8" t="n">
        <v>290.1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96.7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64.5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0.0795</f>
        <v/>
      </c>
      <c r="D11" s="8">
        <f>D10 * 0.0795</f>
        <v/>
      </c>
      <c r="E11" s="8">
        <f>E10 * 0.0795</f>
        <v/>
      </c>
      <c r="F11" s="8">
        <f>F10 * 0.0795</f>
        <v/>
      </c>
      <c r="G11" s="8">
        <f>G10 * 0.0795</f>
        <v/>
      </c>
      <c r="H11" s="8">
        <f>H10 * 0.0795</f>
        <v/>
      </c>
      <c r="I11" s="8">
        <f>I10 * 0.0795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354.5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91</v>
      </c>
      <c r="C32" s="8" t="n">
        <v>166.8</v>
      </c>
      <c r="D32" s="8" t="n">
        <v>212.4</v>
      </c>
      <c r="E32" s="8" t="n">
        <v>136.5</v>
      </c>
      <c r="F32" s="8" t="n">
        <v>91</v>
      </c>
      <c r="G32" s="8" t="n">
        <v>60.7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SOBHA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341.3</v>
      </c>
      <c r="F37" s="29" t="inlineStr">
        <is>
          <t>7.950%</t>
        </is>
      </c>
      <c r="G37" s="30" t="n">
        <v>102</v>
      </c>
      <c r="H37" s="31" t="n">
        <v>7.95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SOBHA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227.5</v>
      </c>
      <c r="F38" s="29" t="inlineStr">
        <is>
          <t>7.300%</t>
        </is>
      </c>
      <c r="G38" s="30" t="n">
        <v>101.5</v>
      </c>
      <c r="H38" s="31" t="n">
        <v>7.3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113.8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75.8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SOBHA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212.4</v>
      </c>
    </row>
    <row r="45">
      <c r="B45" s="7" t="inlineStr">
        <is>
          <t>Drawn Amount ($M)</t>
        </is>
      </c>
      <c r="C45" s="8" t="n">
        <v>75.8</v>
      </c>
    </row>
    <row r="46">
      <c r="B46" s="18" t="inlineStr">
        <is>
          <t>AVAILABLE UNDRAWN HEADROOM ($M)</t>
        </is>
      </c>
      <c r="C46" s="19" t="n">
        <v>136.6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3.50x</t>
        </is>
      </c>
      <c r="D55" s="24" t="inlineStr">
        <is>
          <t>0.83x</t>
        </is>
      </c>
      <c r="E55" s="32" t="inlineStr">
        <is>
          <t>2.67x leverage buffer ($1281.6M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5.85x</t>
        </is>
      </c>
      <c r="E56" s="32" t="inlineStr">
        <is>
          <t>+3.35x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3.8% of Assets</t>
        </is>
      </c>
      <c r="E57" s="32" t="inlineStr">
        <is>
          <t>$363.0M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7.95%</t>
        </is>
      </c>
      <c r="F6" s="34" t="inlineStr">
        <is>
          <t>4.2x</t>
        </is>
      </c>
      <c r="G6" s="34" t="inlineStr">
        <is>
          <t>$102.00</t>
        </is>
      </c>
      <c r="H6" s="34" t="inlineStr">
        <is>
          <t>+0.0%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9.95%</t>
        </is>
      </c>
      <c r="F7" s="29" t="inlineStr">
        <is>
          <t>3.2x</t>
        </is>
      </c>
      <c r="G7" s="29" t="inlineStr">
        <is>
          <t>$86.00</t>
        </is>
      </c>
      <c r="H7" s="29" t="inlineStr">
        <is>
          <t>-15.7%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$70.00</t>
        </is>
      </c>
      <c r="H8" s="29" t="inlineStr">
        <is>
          <t>-31.4%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6.45%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+2.9%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189.6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SOBHA Senior Unsecured Eurobonds</t>
        </is>
      </c>
      <c r="C15" s="8" t="n">
        <v>568.8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70.0%</t>
        </is>
      </c>
      <c r="G15" s="29" t="inlineStr">
        <is>
          <t>102.0%</t>
        </is>
      </c>
    </row>
    <row r="16">
      <c r="B16" s="7" t="inlineStr">
        <is>
          <t>Subordinated Debt &amp; Intercompany Notes</t>
        </is>
      </c>
      <c r="C16" s="8" t="n">
        <v>113.8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303.4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7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Sobha Realty (SOBHA) — Earnings Presentation &amp; Management Guidance</t>
        </is>
      </c>
    </row>
    <row r="3">
      <c r="B3" s="2" t="inlineStr">
        <is>
          <t>Source: Sobha Realty FY2024 &amp; Recent Quarterly Earnings Presentation &amp; Global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$1782.0M (+8.0% YoY growth)</t>
        </is>
      </c>
      <c r="D7" s="35" t="inlineStr">
        <is>
          <t>$1757.2M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$1782.0M (+8.0% YoY growth). With current run-rate at $1757.2M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$528.0M (29.6% margin)</t>
        </is>
      </c>
      <c r="D8" s="35" t="inlineStr">
        <is>
          <t>$518.4M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$528.0M (29.6%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5" t="inlineStr">
        <is>
          <t>0.83x</t>
        </is>
      </c>
      <c r="E9" s="32" t="inlineStr">
        <is>
          <t>Ahead of Target</t>
        </is>
      </c>
      <c r="F9" s="37" t="inlineStr">
        <is>
          <t>Deleveraging on track with 2.67x buffer below covenant limit.
[QUESTION TO CFO TO VERIFY]: You previously committed to a Net Leverage ceiling of &lt; 3.00x Net Debt / EBITDA. Current actual leverage stands at 0.83x.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$176.4M (Maximum growth and sustaining envelope)</t>
        </is>
      </c>
      <c r="D10" s="35" t="inlineStr">
        <is>
          <t>$162.3M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$176.4M (Maximum growth and sustaining envelope). Current commitments stand at $162.3M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7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7" t="inlineStr">
        <is>
          <t>$5280.0M active development portfolio under execution</t>
        </is>
      </c>
    </row>
    <row r="17">
      <c r="B17" s="9" t="inlineStr">
        <is>
          <t>Active Residential Units</t>
        </is>
      </c>
      <c r="C17" s="37" t="inlineStr">
        <is>
          <t>7,425 units under construction across master sites</t>
        </is>
      </c>
    </row>
    <row r="18">
      <c r="B18" s="9" t="inlineStr">
        <is>
          <t>Target Handover Schedule</t>
        </is>
      </c>
      <c r="C18" s="37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7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7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7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7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7" t="inlineStr">
        <is>
          <t>$3052.5M to be recognized over 24-36 months of construction</t>
        </is>
      </c>
    </row>
    <row r="30">
      <c r="B30" s="9" t="inlineStr">
        <is>
          <t>Escrow Bank Protection</t>
        </is>
      </c>
      <c r="C30" s="37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7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7" t="inlineStr">
        <is>
          <t>$234.0M in central treasury accounts</t>
        </is>
      </c>
    </row>
    <row r="36">
      <c r="B36" s="9" t="inlineStr">
        <is>
          <t>Restricted Escrow Bank Balances</t>
        </is>
      </c>
      <c r="C36" s="37" t="inlineStr">
        <is>
          <t>$306.0M ring-fenced for specific project construction works</t>
        </is>
      </c>
    </row>
    <row r="37">
      <c r="B37" s="9" t="inlineStr">
        <is>
          <t>Undrawn Committed Bank Rcfs</t>
        </is>
      </c>
      <c r="C37" s="37" t="inlineStr">
        <is>
          <t>$265.4M in bilateral bank revolving credit lines</t>
        </is>
      </c>
    </row>
    <row r="38">
      <c r="B38" s="9" t="inlineStr">
        <is>
          <t>Total Available Liquidity Runway</t>
        </is>
      </c>
      <c r="C38" s="37" t="inlineStr">
        <is>
          <t>42 months of corporate debt service and fixed overhead pre-funded</t>
        </is>
      </c>
    </row>
    <row r="39"/>
    <row r="40">
      <c r="B40" s="3" t="inlineStr">
        <is>
          <t>INSTITUTIONAL MANAGEMENT QUESTIONS &amp; CONVICTION DRIVERS (1-ON-1 DUE DILIGENCE)</t>
        </is>
      </c>
    </row>
    <row r="41">
      <c r="B41" s="5" t="inlineStr">
        <is>
          <t>Focus Area</t>
        </is>
      </c>
      <c r="C41" s="5" t="inlineStr">
        <is>
          <t>Question to Ask CFO / Management</t>
        </is>
      </c>
      <c r="F41" s="5" t="inlineStr">
        <is>
          <t>Credit Relevance &amp; Deduced Ambiguity</t>
        </is>
      </c>
      <c r="H41" s="5" t="inlineStr">
        <is>
          <t>Conviction Trigger &amp; Decision Rule</t>
        </is>
      </c>
    </row>
    <row r="42">
      <c r="B42" s="9" t="inlineStr">
        <is>
          <t>Off-Plan Default Rates &amp; Secondary Market Resale Absorption</t>
        </is>
      </c>
      <c r="C42" s="37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42" s="25" t="inlineStr">
        <is>
          <t>High initial booking numbers can be misleading if speculative buyers cannot fund subsequent construction installments.</t>
        </is>
      </c>
      <c r="H42" s="38" t="inlineStr">
        <is>
          <t>Default rate &lt;3% and secondary prices &gt;10% above launch validate real end-user demand.</t>
        </is>
      </c>
    </row>
    <row r="43"/>
    <row r="44"/>
    <row r="45">
      <c r="B45" s="3" t="inlineStr">
        <is>
          <t>SCHEDULED EARNINGS RELEASE &amp; INVESTOR RELATIONS CALENDAR</t>
        </is>
      </c>
    </row>
    <row r="46">
      <c r="B46" s="5" t="inlineStr">
        <is>
          <t>Calendar Dimension</t>
        </is>
      </c>
      <c r="C46" s="5" t="inlineStr">
        <is>
          <t>Scheduled Detail &amp; IR Access</t>
        </is>
      </c>
    </row>
    <row r="47">
      <c r="B47" s="9" t="inlineStr">
        <is>
          <t>Next Scheduled Earnings Date</t>
        </is>
      </c>
      <c r="C47" s="37" t="inlineStr">
        <is>
          <t>2026-11-16</t>
        </is>
      </c>
    </row>
    <row r="48">
      <c r="B48" s="9" t="inlineStr">
        <is>
          <t>Reporting Period</t>
        </is>
      </c>
      <c r="C48" s="37" t="inlineStr">
        <is>
          <t>Q3 2026 Sales &amp; Sukuk Compliance</t>
        </is>
      </c>
    </row>
    <row r="49">
      <c r="B49" s="9" t="inlineStr">
        <is>
          <t>Confirmation Status</t>
        </is>
      </c>
      <c r="C49" s="37" t="inlineStr">
        <is>
          <t>Estimated</t>
        </is>
      </c>
    </row>
    <row r="50">
      <c r="B50" s="9" t="inlineStr">
        <is>
          <t>Conference Call &amp; Webcast Schedule</t>
        </is>
      </c>
      <c r="C50" s="37" t="inlineStr">
        <is>
          <t>15:00 Dubai</t>
        </is>
      </c>
    </row>
    <row r="51">
      <c r="B51" s="9" t="inlineStr">
        <is>
          <t>Official IR Portal / Webcast URL</t>
        </is>
      </c>
      <c r="C51" s="37" t="inlineStr">
        <is>
          <t>https://sobhadxb.com/investor-relations</t>
        </is>
      </c>
    </row>
  </sheetData>
  <mergeCells count="38">
    <mergeCell ref="C36:I36"/>
    <mergeCell ref="C23:I23"/>
    <mergeCell ref="C41:E41"/>
    <mergeCell ref="F9:I9"/>
    <mergeCell ref="C17:I17"/>
    <mergeCell ref="C48:I48"/>
    <mergeCell ref="B3:I3"/>
    <mergeCell ref="H41:I41"/>
    <mergeCell ref="C38:I38"/>
    <mergeCell ref="C19:I19"/>
    <mergeCell ref="C37:I37"/>
    <mergeCell ref="C28:I28"/>
    <mergeCell ref="C18:I18"/>
    <mergeCell ref="B2:I2"/>
    <mergeCell ref="C49:I49"/>
    <mergeCell ref="F11:I11"/>
    <mergeCell ref="C34:I34"/>
    <mergeCell ref="F42:G42"/>
    <mergeCell ref="C24:I24"/>
    <mergeCell ref="C30:I30"/>
    <mergeCell ref="C15:I15"/>
    <mergeCell ref="F41:G41"/>
    <mergeCell ref="F10:I10"/>
    <mergeCell ref="C14:I14"/>
    <mergeCell ref="F7:I7"/>
    <mergeCell ref="C35:I35"/>
    <mergeCell ref="C29:I29"/>
    <mergeCell ref="C47:I47"/>
    <mergeCell ref="C16:I16"/>
    <mergeCell ref="C25:I25"/>
    <mergeCell ref="C42:E42"/>
    <mergeCell ref="C31:I31"/>
    <mergeCell ref="C50:I50"/>
    <mergeCell ref="C22:I22"/>
    <mergeCell ref="F8:I8"/>
    <mergeCell ref="H42:I42"/>
    <mergeCell ref="C46:I46"/>
    <mergeCell ref="C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2026-10-28T05:17:06Z</dcterms:created>
  <dcterms:modified xmlns:dcterms="http://purl.org/dc/terms/" xmlns:xsi="http://www.w3.org/2001/XMLSchema-instance" xsi:type="dcterms:W3CDTF">2026-10-28T05:17:06Z</dcterms:modified>
</cp:coreProperties>
</file>