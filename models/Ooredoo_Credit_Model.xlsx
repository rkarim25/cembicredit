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36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0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Ooredoo QPSC (ORDS) — Institutional Credit Model</t>
        </is>
      </c>
    </row>
    <row r="3">
      <c r="B3" s="2" t="inlineStr">
        <is>
          <t>Sector: Technology | Country: Qatar | Rating: A2 / A- | Benchmark: ORDS 4.50% 2031 @ $97.80 (5.00% YTM / +95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State-backed telecom operator across Qatar, Kuwait, Iraq, and Algeria; robust EBITDA margin and cash flow.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EBITDA Margin (%)</t>
        </is>
      </c>
      <c r="C13" s="10">
        <f>'Income Statement (P&amp;L)'!C23</f>
        <v/>
      </c>
      <c r="D13" s="10">
        <f>'Income Statement (P&amp;L)'!D23</f>
        <v/>
      </c>
      <c r="E13" s="10">
        <f>'Income Statement (P&amp;L)'!E23</f>
        <v/>
      </c>
      <c r="F13" s="10">
        <f>'Income Statement (P&amp;L)'!F23</f>
        <v/>
      </c>
      <c r="G13" s="10">
        <f>'Income Statement (P&amp;L)'!G23</f>
        <v/>
      </c>
      <c r="H13" s="10">
        <f>'Income Statement (P&amp;L)'!H23</f>
        <v/>
      </c>
      <c r="I13" s="10">
        <f>'Income Statement (P&amp;L)'!I23</f>
        <v/>
      </c>
    </row>
    <row r="14">
      <c r="B14" s="7" t="inlineStr">
        <is>
          <t>Cash Flow from Operations (CFO)</t>
        </is>
      </c>
      <c r="C14" s="8">
        <f>'Cash Flow Statement'!C14</f>
        <v/>
      </c>
      <c r="D14" s="8">
        <f>'Cash Flow Statement'!D14</f>
        <v/>
      </c>
      <c r="E14" s="8">
        <f>'Cash Flow Statement'!E14</f>
        <v/>
      </c>
      <c r="F14" s="8">
        <f>'Cash Flow Statement'!F14</f>
        <v/>
      </c>
      <c r="G14" s="8">
        <f>'Cash Flow Statement'!G14</f>
        <v/>
      </c>
      <c r="H14" s="8">
        <f>'Cash Flow Statement'!H14</f>
        <v/>
      </c>
      <c r="I14" s="8">
        <f>'Cash Flow Statement'!I14</f>
        <v/>
      </c>
    </row>
    <row r="15">
      <c r="B15" s="7" t="inlineStr">
        <is>
          <t>Capital Expenditures (Capex)</t>
        </is>
      </c>
      <c r="C15" s="8">
        <f>'Cash Flow Statement'!C16</f>
        <v/>
      </c>
      <c r="D15" s="8">
        <f>'Cash Flow Statement'!D16</f>
        <v/>
      </c>
      <c r="E15" s="8">
        <f>'Cash Flow Statement'!E16</f>
        <v/>
      </c>
      <c r="F15" s="8">
        <f>'Cash Flow Statement'!F16</f>
        <v/>
      </c>
      <c r="G15" s="8">
        <f>'Cash Flow Statement'!G16</f>
        <v/>
      </c>
      <c r="H15" s="8">
        <f>'Cash Flow Statement'!H16</f>
        <v/>
      </c>
      <c r="I15" s="8">
        <f>'Cash Flow Statement'!I16</f>
        <v/>
      </c>
    </row>
    <row r="16">
      <c r="B16" s="7" t="inlineStr">
        <is>
          <t>Free Cash Flow (FCF)</t>
        </is>
      </c>
      <c r="C16" s="8">
        <f>'Cash Flow Statement'!C26</f>
        <v/>
      </c>
      <c r="D16" s="8">
        <f>'Cash Flow Statement'!D26</f>
        <v/>
      </c>
      <c r="E16" s="8">
        <f>'Cash Flow Statement'!E26</f>
        <v/>
      </c>
      <c r="F16" s="8">
        <f>'Cash Flow Statement'!F26</f>
        <v/>
      </c>
      <c r="G16" s="8">
        <f>'Cash Flow Statement'!G26</f>
        <v/>
      </c>
      <c r="H16" s="8">
        <f>'Cash Flow Statement'!H26</f>
        <v/>
      </c>
      <c r="I16" s="8">
        <f>'Cash Flow Statement'!I26</f>
        <v/>
      </c>
    </row>
    <row r="17">
      <c r="B17" s="7" t="inlineStr">
        <is>
          <t>Cash &amp; Liquid Reserves</t>
        </is>
      </c>
      <c r="C17" s="8">
        <f>'Balance Sheet'!C8</f>
        <v/>
      </c>
      <c r="D17" s="8">
        <f>'Balance Sheet'!D8</f>
        <v/>
      </c>
      <c r="E17" s="8">
        <f>'Balance Sheet'!E8</f>
        <v/>
      </c>
      <c r="F17" s="8">
        <f>'Balance Sheet'!F8</f>
        <v/>
      </c>
      <c r="G17" s="8">
        <f>'Balance Sheet'!G8</f>
        <v/>
      </c>
      <c r="H17" s="8">
        <f>'Balance Sheet'!H8</f>
        <v/>
      </c>
      <c r="I17" s="8">
        <f>'Balance Sheet'!I8</f>
        <v/>
      </c>
    </row>
    <row r="18">
      <c r="B18" s="7" t="inlineStr">
        <is>
          <t>Consolidated Gross Debt</t>
        </is>
      </c>
      <c r="C18" s="8">
        <f>'Debt Schedule &amp; Tranches'!C24</f>
        <v/>
      </c>
      <c r="D18" s="8">
        <f>'Debt Schedule &amp; Tranches'!D24</f>
        <v/>
      </c>
      <c r="E18" s="8">
        <f>'Debt Schedule &amp; Tranches'!E24</f>
        <v/>
      </c>
      <c r="F18" s="8">
        <f>'Debt Schedule &amp; Tranches'!F24</f>
        <v/>
      </c>
      <c r="G18" s="8">
        <f>'Debt Schedule &amp; Tranches'!G24</f>
        <v/>
      </c>
      <c r="H18" s="8">
        <f>'Debt Schedule &amp; Tranches'!H24</f>
        <v/>
      </c>
      <c r="I18" s="8">
        <f>'Debt Schedule &amp; Tranches'!I24</f>
        <v/>
      </c>
    </row>
    <row r="19">
      <c r="B19" s="7" t="inlineStr">
        <is>
          <t>Consolidated Net Debt</t>
        </is>
      </c>
      <c r="C19" s="8">
        <f>'Debt Schedule &amp; Tranches'!C26</f>
        <v/>
      </c>
      <c r="D19" s="8">
        <f>'Debt Schedule &amp; Tranches'!D26</f>
        <v/>
      </c>
      <c r="E19" s="8">
        <f>'Debt Schedule &amp; Tranches'!E26</f>
        <v/>
      </c>
      <c r="F19" s="8">
        <f>'Debt Schedule &amp; Tranches'!F26</f>
        <v/>
      </c>
      <c r="G19" s="8">
        <f>'Debt Schedule &amp; Tranches'!G26</f>
        <v/>
      </c>
      <c r="H19" s="8">
        <f>'Debt Schedule &amp; Tranches'!H26</f>
        <v/>
      </c>
      <c r="I19" s="8">
        <f>'Debt Schedule &amp; Tranches'!I26</f>
        <v/>
      </c>
    </row>
    <row r="20">
      <c r="B20" s="9" t="inlineStr">
        <is>
          <t>Net Leverage (Net Debt / EBITDA)</t>
        </is>
      </c>
      <c r="C20" s="11">
        <f>'Credit Metrics &amp; Ratios'!C8</f>
        <v/>
      </c>
      <c r="D20" s="11">
        <f>'Credit Metrics &amp; Ratios'!D8</f>
        <v/>
      </c>
      <c r="E20" s="11">
        <f>'Credit Metrics &amp; Ratios'!E8</f>
        <v/>
      </c>
      <c r="F20" s="11">
        <f>'Credit Metrics &amp; Ratios'!F8</f>
        <v/>
      </c>
      <c r="G20" s="11">
        <f>'Credit Metrics &amp; Ratios'!G8</f>
        <v/>
      </c>
      <c r="H20" s="11">
        <f>'Credit Metrics &amp; Ratios'!H8</f>
        <v/>
      </c>
      <c r="I20" s="11">
        <f>'Credit Metrics &amp; Ratios'!I8</f>
        <v/>
      </c>
    </row>
    <row r="21">
      <c r="B21" s="9" t="inlineStr">
        <is>
          <t>EBITDA Interest Coverage</t>
        </is>
      </c>
      <c r="C21" s="12">
        <f>'Credit Metrics &amp; Ratios'!C10</f>
        <v/>
      </c>
      <c r="D21" s="12">
        <f>'Credit Metrics &amp; Ratios'!D10</f>
        <v/>
      </c>
      <c r="E21" s="12">
        <f>'Credit Metrics &amp; Ratios'!E10</f>
        <v/>
      </c>
      <c r="F21" s="12">
        <f>'Credit Metrics &amp; Ratios'!F10</f>
        <v/>
      </c>
      <c r="G21" s="12">
        <f>'Credit Metrics &amp; Ratios'!G10</f>
        <v/>
      </c>
      <c r="H21" s="12">
        <f>'Credit Metrics &amp; Ratios'!H10</f>
        <v/>
      </c>
      <c r="I21" s="12">
        <f>'Credit Metrics &amp; Ratios'!I10</f>
        <v/>
      </c>
    </row>
    <row r="22"/>
    <row r="23"/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ORDS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2331</v>
      </c>
      <c r="F26" s="7" t="inlineStr">
        <is>
          <t>5.00%</t>
        </is>
      </c>
      <c r="G26" s="7" t="inlineStr">
        <is>
          <t>$97.80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ORDS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1554</v>
      </c>
      <c r="F27" s="7" t="inlineStr">
        <is>
          <t>4.25%</t>
        </is>
      </c>
      <c r="G27" s="7" t="inlineStr">
        <is>
          <t>$100.30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1295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9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Ooredoo QPSC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Total Active Customer Base (M Subs)</t>
        </is>
      </c>
      <c r="C6" s="13" t="n">
        <v>24.5</v>
      </c>
      <c r="D6" s="13" t="n">
        <v>26.2</v>
      </c>
      <c r="E6" s="13" t="n">
        <v>28</v>
      </c>
      <c r="F6" s="13" t="n">
        <v>30.1</v>
      </c>
      <c r="G6" s="13" t="n">
        <v>32.2</v>
      </c>
      <c r="H6" s="13" t="n">
        <v>34.5</v>
      </c>
      <c r="I6" s="13" t="n">
        <v>36.8</v>
      </c>
    </row>
    <row r="7">
      <c r="B7" s="7" t="inlineStr">
        <is>
          <t>Blended Monthly ARPU ($/sub)</t>
        </is>
      </c>
      <c r="C7" s="13" t="n">
        <v>8.5</v>
      </c>
      <c r="D7" s="13" t="n">
        <v>9.199999999999999</v>
      </c>
      <c r="E7" s="13" t="n">
        <v>9.800000000000001</v>
      </c>
      <c r="F7" s="13" t="n">
        <v>10.4</v>
      </c>
      <c r="G7" s="13" t="n">
        <v>10.8</v>
      </c>
      <c r="H7" s="13" t="n">
        <v>11.2</v>
      </c>
      <c r="I7" s="13" t="n">
        <v>11.6</v>
      </c>
    </row>
    <row r="8">
      <c r="B8" s="7" t="inlineStr">
        <is>
          <t>Postpaid Customer Ratio (%)</t>
        </is>
      </c>
      <c r="C8" s="13" t="n">
        <v>38</v>
      </c>
      <c r="D8" s="13" t="n">
        <v>41.5</v>
      </c>
      <c r="E8" s="13" t="n">
        <v>45</v>
      </c>
      <c r="F8" s="13" t="n">
        <v>48.5</v>
      </c>
      <c r="G8" s="13" t="n">
        <v>51</v>
      </c>
      <c r="H8" s="13" t="n">
        <v>53.5</v>
      </c>
      <c r="I8" s="13" t="n">
        <v>55</v>
      </c>
    </row>
    <row r="9">
      <c r="B9" s="7" t="inlineStr">
        <is>
          <t>Fixed Broadband &amp; Fiber Subs (M Lines)</t>
        </is>
      </c>
      <c r="C9" s="13" t="n">
        <v>3.2</v>
      </c>
      <c r="D9" s="13" t="n">
        <v>3.8</v>
      </c>
      <c r="E9" s="13" t="n">
        <v>4.5</v>
      </c>
      <c r="F9" s="13" t="n">
        <v>5.2</v>
      </c>
      <c r="G9" s="13" t="n">
        <v>5.9</v>
      </c>
      <c r="H9" s="13" t="n">
        <v>6.6</v>
      </c>
      <c r="I9" s="13" t="n">
        <v>7.3</v>
      </c>
    </row>
    <row r="10">
      <c r="B10" s="7" t="inlineStr">
        <is>
          <t>Monthly Churn Rate (%)</t>
        </is>
      </c>
      <c r="C10" s="13" t="n">
        <v>1.8</v>
      </c>
      <c r="D10" s="13" t="n">
        <v>1.7</v>
      </c>
      <c r="E10" s="13" t="n">
        <v>1.6</v>
      </c>
      <c r="F10" s="13" t="n">
        <v>1.5</v>
      </c>
      <c r="G10" s="13" t="n">
        <v>1.5</v>
      </c>
      <c r="H10" s="13" t="n">
        <v>1.4</v>
      </c>
      <c r="I10" s="13" t="n">
        <v>1.4</v>
      </c>
    </row>
    <row r="11">
      <c r="B11" s="7" t="inlineStr">
        <is>
          <t>Data Consumption per Sub (GB/mo)</t>
        </is>
      </c>
      <c r="C11" s="13" t="n">
        <v>12.4</v>
      </c>
      <c r="D11" s="13" t="n">
        <v>15.8</v>
      </c>
      <c r="E11" s="13" t="n">
        <v>19.5</v>
      </c>
      <c r="F11" s="13" t="n">
        <v>23.8</v>
      </c>
      <c r="G11" s="13" t="n">
        <v>28</v>
      </c>
      <c r="H11" s="13" t="n">
        <v>32.5</v>
      </c>
      <c r="I11" s="13" t="n">
        <v>37</v>
      </c>
    </row>
    <row r="12"/>
    <row r="13"/>
    <row r="14">
      <c r="B14" s="3" t="inlineStr">
        <is>
          <t>II. BUSINESS SEGMENT REVENUE BREAKDOWN (USD M)</t>
        </is>
      </c>
    </row>
    <row r="15">
      <c r="B15" s="5" t="inlineStr">
        <is>
          <t>Business Segment</t>
        </is>
      </c>
      <c r="C15" s="6" t="inlineStr">
        <is>
          <t>2021A</t>
        </is>
      </c>
      <c r="D15" s="6" t="inlineStr">
        <is>
          <t>2022A</t>
        </is>
      </c>
      <c r="E15" s="6" t="inlineStr">
        <is>
          <t>2023A</t>
        </is>
      </c>
      <c r="F15" s="6" t="inlineStr">
        <is>
          <t>2024A</t>
        </is>
      </c>
      <c r="G15" s="6" t="inlineStr">
        <is>
          <t>2025E</t>
        </is>
      </c>
      <c r="H15" s="6" t="inlineStr">
        <is>
          <t>2026E</t>
        </is>
      </c>
      <c r="I15" s="6" t="inlineStr">
        <is>
          <t>2027E</t>
        </is>
      </c>
    </row>
    <row r="16">
      <c r="B16" s="7" t="inlineStr">
        <is>
          <t>Mobile Prepaid &amp; Postpaid Services</t>
        </is>
      </c>
      <c r="C16" s="8" t="n">
        <v>2563.6</v>
      </c>
      <c r="D16" s="8" t="n">
        <v>3091.4</v>
      </c>
      <c r="E16" s="8" t="n">
        <v>3468.4</v>
      </c>
      <c r="F16" s="8" t="n">
        <v>3770</v>
      </c>
      <c r="G16" s="8" t="n">
        <v>4071.6</v>
      </c>
      <c r="H16" s="8" t="n">
        <v>4335.5</v>
      </c>
      <c r="I16" s="8" t="n">
        <v>4524</v>
      </c>
    </row>
    <row r="17">
      <c r="B17" s="7" t="inlineStr">
        <is>
          <t>Fixed Broadband &amp; Enterprise ICT</t>
        </is>
      </c>
      <c r="C17" s="8" t="n">
        <v>1149.2</v>
      </c>
      <c r="D17" s="8" t="n">
        <v>1385.8</v>
      </c>
      <c r="E17" s="8" t="n">
        <v>1554.8</v>
      </c>
      <c r="F17" s="8" t="n">
        <v>1690</v>
      </c>
      <c r="G17" s="8" t="n">
        <v>1825.2</v>
      </c>
      <c r="H17" s="8" t="n">
        <v>1943.5</v>
      </c>
      <c r="I17" s="8" t="n">
        <v>2028</v>
      </c>
    </row>
    <row r="18">
      <c r="B18" s="7" t="inlineStr">
        <is>
          <t>Fintech, Media &amp; Digital Services</t>
        </is>
      </c>
      <c r="C18" s="8" t="n">
        <v>707.2</v>
      </c>
      <c r="D18" s="8" t="n">
        <v>852.8</v>
      </c>
      <c r="E18" s="8" t="n">
        <v>956.8</v>
      </c>
      <c r="F18" s="8" t="n">
        <v>1040</v>
      </c>
      <c r="G18" s="8" t="n">
        <v>1123.2</v>
      </c>
      <c r="H18" s="8" t="n">
        <v>1196</v>
      </c>
      <c r="I18" s="8" t="n">
        <v>1248</v>
      </c>
    </row>
    <row r="19">
      <c r="B19" s="14" t="inlineStr">
        <is>
          <t>Total Consolidated Revenue (Feeds P&amp;L)</t>
        </is>
      </c>
      <c r="C19" s="15">
        <f>SUM(C16:C18)</f>
        <v/>
      </c>
      <c r="D19" s="15">
        <f>SUM(D16:D18)</f>
        <v/>
      </c>
      <c r="E19" s="15">
        <f>SUM(E16:E18)</f>
        <v/>
      </c>
      <c r="F19" s="15">
        <f>SUM(F16:F18)</f>
        <v/>
      </c>
      <c r="G19" s="15">
        <f>SUM(G16:G18)</f>
        <v/>
      </c>
      <c r="H19" s="15">
        <f>SUM(H16:H18)</f>
        <v/>
      </c>
      <c r="I19" s="15">
        <f>SUM(I16:I18)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3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16" customWidth="1" min="4" max="4"/>
    <col width="16" customWidth="1" min="5" max="5"/>
    <col width="16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Ooredoo QPSC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6" t="inlineStr">
        <is>
          <t>Reporting Status</t>
        </is>
      </c>
      <c r="C5" s="17" t="inlineStr">
        <is>
          <t>Audited IFRS</t>
        </is>
      </c>
      <c r="D5" s="17" t="inlineStr">
        <is>
          <t>Audited IFRS</t>
        </is>
      </c>
      <c r="E5" s="17" t="inlineStr">
        <is>
          <t>Audited IFRS</t>
        </is>
      </c>
      <c r="F5" s="17" t="inlineStr">
        <is>
          <t>Audited IFRS</t>
        </is>
      </c>
      <c r="G5" s="17" t="inlineStr">
        <is>
          <t>Forecast</t>
        </is>
      </c>
      <c r="H5" s="17" t="inlineStr">
        <is>
          <t>Forecast</t>
        </is>
      </c>
      <c r="I5" s="17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Mobile Prepaid &amp; Postpaid Services</t>
        </is>
      </c>
      <c r="C7" s="8">
        <f>'Operational Drivers &amp; Segments'!C16</f>
        <v/>
      </c>
      <c r="D7" s="8">
        <f>'Operational Drivers &amp; Segments'!D16</f>
        <v/>
      </c>
      <c r="E7" s="8">
        <f>'Operational Drivers &amp; Segments'!E16</f>
        <v/>
      </c>
      <c r="F7" s="8">
        <f>'Operational Drivers &amp; Segments'!F16</f>
        <v/>
      </c>
      <c r="G7" s="8">
        <f>'Operational Drivers &amp; Segments'!G16</f>
        <v/>
      </c>
      <c r="H7" s="8">
        <f>'Operational Drivers &amp; Segments'!H16</f>
        <v/>
      </c>
      <c r="I7" s="8">
        <f>'Operational Drivers &amp; Segments'!I16</f>
        <v/>
      </c>
    </row>
    <row r="8">
      <c r="B8" s="7" t="inlineStr">
        <is>
          <t xml:space="preserve">  Fixed Broadband &amp; Enterprise ICT</t>
        </is>
      </c>
      <c r="C8" s="8">
        <f>'Operational Drivers &amp; Segments'!C17</f>
        <v/>
      </c>
      <c r="D8" s="8">
        <f>'Operational Drivers &amp; Segments'!D17</f>
        <v/>
      </c>
      <c r="E8" s="8">
        <f>'Operational Drivers &amp; Segments'!E17</f>
        <v/>
      </c>
      <c r="F8" s="8">
        <f>'Operational Drivers &amp; Segments'!F17</f>
        <v/>
      </c>
      <c r="G8" s="8">
        <f>'Operational Drivers &amp; Segments'!G17</f>
        <v/>
      </c>
      <c r="H8" s="8">
        <f>'Operational Drivers &amp; Segments'!H17</f>
        <v/>
      </c>
      <c r="I8" s="8">
        <f>'Operational Drivers &amp; Segments'!I17</f>
        <v/>
      </c>
    </row>
    <row r="9">
      <c r="B9" s="7" t="inlineStr">
        <is>
          <t xml:space="preserve">  Fintech, Media &amp; Digital Services</t>
        </is>
      </c>
      <c r="C9" s="8">
        <f>'Operational Drivers &amp; Segments'!C18</f>
        <v/>
      </c>
      <c r="D9" s="8">
        <f>'Operational Drivers &amp; Segments'!D18</f>
        <v/>
      </c>
      <c r="E9" s="8">
        <f>'Operational Drivers &amp; Segments'!E18</f>
        <v/>
      </c>
      <c r="F9" s="8">
        <f>'Operational Drivers &amp; Segments'!F18</f>
        <v/>
      </c>
      <c r="G9" s="8">
        <f>'Operational Drivers &amp; Segments'!G18</f>
        <v/>
      </c>
      <c r="H9" s="8">
        <f>'Operational Drivers &amp; Segments'!H18</f>
        <v/>
      </c>
      <c r="I9" s="8">
        <f>'Operational Drivers &amp; Segments'!I18</f>
        <v/>
      </c>
    </row>
    <row r="10">
      <c r="B10" s="14" t="inlineStr">
        <is>
          <t>Total Gross Revenue</t>
        </is>
      </c>
      <c r="C10" s="15">
        <f>SUM(C7:C9)</f>
        <v/>
      </c>
      <c r="D10" s="15">
        <f>SUM(D7:D9)</f>
        <v/>
      </c>
      <c r="E10" s="15">
        <f>SUM(E7:E9)</f>
        <v/>
      </c>
      <c r="F10" s="15">
        <f>SUM(F7:F9)</f>
        <v/>
      </c>
      <c r="G10" s="15">
        <f>SUM(G7:G9)</f>
        <v/>
      </c>
      <c r="H10" s="15">
        <f>SUM(H7:H9)</f>
        <v/>
      </c>
      <c r="I10" s="15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4" t="inlineStr">
        <is>
          <t>Total Cost of Sales</t>
        </is>
      </c>
      <c r="C16" s="15">
        <f>SUM(C12:C15)</f>
        <v/>
      </c>
      <c r="D16" s="15">
        <f>SUM(D12:D15)</f>
        <v/>
      </c>
      <c r="E16" s="15">
        <f>SUM(E12:E15)</f>
        <v/>
      </c>
      <c r="F16" s="15">
        <f>SUM(F12:F15)</f>
        <v/>
      </c>
      <c r="G16" s="15">
        <f>SUM(G12:G15)</f>
        <v/>
      </c>
      <c r="H16" s="15">
        <f>SUM(H12:H15)</f>
        <v/>
      </c>
      <c r="I16" s="15">
        <f>SUM(I12:I15)</f>
        <v/>
      </c>
    </row>
    <row r="17">
      <c r="B17" s="18" t="inlineStr">
        <is>
          <t>Gross Profit</t>
        </is>
      </c>
      <c r="C17" s="19">
        <f>C10 - C16</f>
        <v/>
      </c>
      <c r="D17" s="19">
        <f>D10 - D16</f>
        <v/>
      </c>
      <c r="E17" s="19">
        <f>E10 - E16</f>
        <v/>
      </c>
      <c r="F17" s="19">
        <f>F10 - F16</f>
        <v/>
      </c>
      <c r="G17" s="19">
        <f>G10 - G16</f>
        <v/>
      </c>
      <c r="H17" s="19">
        <f>H10 - H16</f>
        <v/>
      </c>
      <c r="I17" s="19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0">
        <f>SUM(C19:C20)</f>
        <v/>
      </c>
      <c r="D21" s="20">
        <f>SUM(D19:D20)</f>
        <v/>
      </c>
      <c r="E21" s="20">
        <f>SUM(E19:E20)</f>
        <v/>
      </c>
      <c r="F21" s="20">
        <f>SUM(F19:F20)</f>
        <v/>
      </c>
      <c r="G21" s="20">
        <f>SUM(G19:G20)</f>
        <v/>
      </c>
      <c r="H21" s="20">
        <f>SUM(H19:H20)</f>
        <v/>
      </c>
      <c r="I21" s="20">
        <f>SUM(I19:I20)</f>
        <v/>
      </c>
    </row>
    <row r="22">
      <c r="B22" s="18" t="inlineStr">
        <is>
          <t>EBITDA (Operating Cash Profit)</t>
        </is>
      </c>
      <c r="C22" s="19">
        <f>C17 - C21</f>
        <v/>
      </c>
      <c r="D22" s="19">
        <f>D17 - D21</f>
        <v/>
      </c>
      <c r="E22" s="19">
        <f>E17 - E21</f>
        <v/>
      </c>
      <c r="F22" s="19">
        <f>F17 - F21</f>
        <v/>
      </c>
      <c r="G22" s="19">
        <f>G17 - G21</f>
        <v/>
      </c>
      <c r="H22" s="19">
        <f>H17 - H21</f>
        <v/>
      </c>
      <c r="I22" s="19">
        <f>I17 - I21</f>
        <v/>
      </c>
    </row>
    <row r="23">
      <c r="B23" s="9" t="inlineStr">
        <is>
          <t>EBITDA Margin (%)</t>
        </is>
      </c>
      <c r="C23" s="21">
        <f>C22 / C10</f>
        <v/>
      </c>
      <c r="D23" s="21">
        <f>D22 / D10</f>
        <v/>
      </c>
      <c r="E23" s="21">
        <f>E22 / E10</f>
        <v/>
      </c>
      <c r="F23" s="21">
        <f>F22 / F10</f>
        <v/>
      </c>
      <c r="G23" s="21">
        <f>G22 / G10</f>
        <v/>
      </c>
      <c r="H23" s="21">
        <f>H22 / H10</f>
        <v/>
      </c>
      <c r="I23" s="21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0">
        <f>C22 - C24</f>
        <v/>
      </c>
      <c r="D25" s="20">
        <f>D22 - D24</f>
        <v/>
      </c>
      <c r="E25" s="20">
        <f>E22 - E24</f>
        <v/>
      </c>
      <c r="F25" s="20">
        <f>F22 - F24</f>
        <v/>
      </c>
      <c r="G25" s="20">
        <f>G22 - G24</f>
        <v/>
      </c>
      <c r="H25" s="20">
        <f>H22 - H24</f>
        <v/>
      </c>
      <c r="I25" s="20">
        <f>I22 - I24</f>
        <v/>
      </c>
    </row>
    <row r="26">
      <c r="B26" s="16" t="inlineStr">
        <is>
          <t>EBIT Margin (%)</t>
        </is>
      </c>
      <c r="C26" s="22">
        <f>C25 / C10</f>
        <v/>
      </c>
      <c r="D26" s="22">
        <f>D25 / D10</f>
        <v/>
      </c>
      <c r="E26" s="22">
        <f>E25 / E10</f>
        <v/>
      </c>
      <c r="F26" s="22">
        <f>F25 / F10</f>
        <v/>
      </c>
      <c r="G26" s="22">
        <f>G25 / G10</f>
        <v/>
      </c>
      <c r="H26" s="22">
        <f>H25 / H10</f>
        <v/>
      </c>
      <c r="I26" s="22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0">
        <f>C25 - C27 + C28</f>
        <v/>
      </c>
      <c r="D29" s="20">
        <f>D25 - D27 + D28</f>
        <v/>
      </c>
      <c r="E29" s="20">
        <f>E25 - E27 + E28</f>
        <v/>
      </c>
      <c r="F29" s="20">
        <f>F25 - F27 + F28</f>
        <v/>
      </c>
      <c r="G29" s="20">
        <f>G25 - G27 + G28</f>
        <v/>
      </c>
      <c r="H29" s="20">
        <f>H25 - H27 + H28</f>
        <v/>
      </c>
      <c r="I29" s="20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8" t="inlineStr">
        <is>
          <t>Net Income (Profit After Tax)</t>
        </is>
      </c>
      <c r="C31" s="19">
        <f>C29 - C30</f>
        <v/>
      </c>
      <c r="D31" s="19">
        <f>D29 - D30</f>
        <v/>
      </c>
      <c r="E31" s="19">
        <f>E29 - E30</f>
        <v/>
      </c>
      <c r="F31" s="19">
        <f>F29 - F30</f>
        <v/>
      </c>
      <c r="G31" s="19">
        <f>G29 - G30</f>
        <v/>
      </c>
      <c r="H31" s="19">
        <f>H29 - H30</f>
        <v/>
      </c>
      <c r="I31" s="19">
        <f>I29 - I30</f>
        <v/>
      </c>
    </row>
  </sheetData>
  <mergeCells count="1">
    <mergeCell ref="B2:I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Ooredoo QPSC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0">
        <f>'Cash Flow Statement'!C26</f>
        <v/>
      </c>
      <c r="D7" s="20">
        <f>'Cash Flow Statement'!D26</f>
        <v/>
      </c>
      <c r="E7" s="20">
        <f>'Cash Flow Statement'!E26</f>
        <v/>
      </c>
      <c r="F7" s="20">
        <f>'Cash Flow Statement'!F26</f>
        <v/>
      </c>
      <c r="G7" s="20">
        <f>'Cash Flow Statement'!G26</f>
        <v/>
      </c>
      <c r="H7" s="20">
        <f>'Cash Flow Statement'!H26</f>
        <v/>
      </c>
      <c r="I7" s="20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4" t="inlineStr">
        <is>
          <t>Total Current Assets</t>
        </is>
      </c>
      <c r="C11" s="15">
        <f>SUM(C7:C10)</f>
        <v/>
      </c>
      <c r="D11" s="15">
        <f>SUM(D7:D10)</f>
        <v/>
      </c>
      <c r="E11" s="15">
        <f>SUM(E7:E10)</f>
        <v/>
      </c>
      <c r="F11" s="15">
        <f>SUM(F7:F10)</f>
        <v/>
      </c>
      <c r="G11" s="15">
        <f>SUM(G7:G10)</f>
        <v/>
      </c>
      <c r="H11" s="15">
        <f>SUM(H7:H10)</f>
        <v/>
      </c>
      <c r="I11" s="15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6630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4" t="inlineStr">
        <is>
          <t>Total Non-Current Assets</t>
        </is>
      </c>
      <c r="C20" s="15">
        <f>SUM(C17:C19)</f>
        <v/>
      </c>
      <c r="D20" s="15">
        <f>SUM(D17:D19)</f>
        <v/>
      </c>
      <c r="E20" s="15">
        <f>SUM(E17:E19)</f>
        <v/>
      </c>
      <c r="F20" s="15">
        <f>SUM(F17:F19)</f>
        <v/>
      </c>
      <c r="G20" s="15">
        <f>SUM(G17:G19)</f>
        <v/>
      </c>
      <c r="H20" s="15">
        <f>SUM(H17:H19)</f>
        <v/>
      </c>
      <c r="I20" s="15">
        <f>SUM(I17:I19)</f>
        <v/>
      </c>
    </row>
    <row r="21">
      <c r="B21" s="18" t="inlineStr">
        <is>
          <t>TOTAL CONSOLIDATED ASSETS</t>
        </is>
      </c>
      <c r="C21" s="19">
        <f>C11 + C20</f>
        <v/>
      </c>
      <c r="D21" s="19">
        <f>D11 + D20</f>
        <v/>
      </c>
      <c r="E21" s="19">
        <f>E11 + E20</f>
        <v/>
      </c>
      <c r="F21" s="19">
        <f>F11 + F20</f>
        <v/>
      </c>
      <c r="G21" s="19">
        <f>G11 + G20</f>
        <v/>
      </c>
      <c r="H21" s="19">
        <f>H11 + H20</f>
        <v/>
      </c>
      <c r="I21" s="19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4" t="inlineStr">
        <is>
          <t>Total Current Liabilities</t>
        </is>
      </c>
      <c r="C27" s="15">
        <f>SUM(C24:C26)</f>
        <v/>
      </c>
      <c r="D27" s="15">
        <f>SUM(D24:D26)</f>
        <v/>
      </c>
      <c r="E27" s="15">
        <f>SUM(E24:E26)</f>
        <v/>
      </c>
      <c r="F27" s="15">
        <f>SUM(F24:F26)</f>
        <v/>
      </c>
      <c r="G27" s="15">
        <f>SUM(G24:G26)</f>
        <v/>
      </c>
      <c r="H27" s="15">
        <f>SUM(H24:H26)</f>
        <v/>
      </c>
      <c r="I27" s="15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4" t="inlineStr">
        <is>
          <t>Total Non-Current Liabilities</t>
        </is>
      </c>
      <c r="C32" s="15">
        <f>SUM(C30:C31)</f>
        <v/>
      </c>
      <c r="D32" s="15">
        <f>SUM(D30:D31)</f>
        <v/>
      </c>
      <c r="E32" s="15">
        <f>SUM(E30:E31)</f>
        <v/>
      </c>
      <c r="F32" s="15">
        <f>SUM(F30:F31)</f>
        <v/>
      </c>
      <c r="G32" s="15">
        <f>SUM(G30:G31)</f>
        <v/>
      </c>
      <c r="H32" s="15">
        <f>SUM(H30:H31)</f>
        <v/>
      </c>
      <c r="I32" s="15">
        <f>SUM(I30:I31)</f>
        <v/>
      </c>
    </row>
    <row r="33">
      <c r="B33" s="9" t="inlineStr">
        <is>
          <t>TOTAL LIABILITIES</t>
        </is>
      </c>
      <c r="C33" s="20">
        <f>C27 + C32</f>
        <v/>
      </c>
      <c r="D33" s="20">
        <f>D27 + D32</f>
        <v/>
      </c>
      <c r="E33" s="20">
        <f>E27 + E32</f>
        <v/>
      </c>
      <c r="F33" s="20">
        <f>F27 + F32</f>
        <v/>
      </c>
      <c r="G33" s="20">
        <f>G27 + G32</f>
        <v/>
      </c>
      <c r="H33" s="20">
        <f>H27 + H32</f>
        <v/>
      </c>
      <c r="I33" s="20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1547</v>
      </c>
      <c r="D36" s="8" t="n">
        <v>1547</v>
      </c>
      <c r="E36" s="8" t="n">
        <v>1547</v>
      </c>
      <c r="F36" s="8" t="n">
        <v>1547</v>
      </c>
      <c r="G36" s="8" t="n">
        <v>1547</v>
      </c>
      <c r="H36" s="8" t="n">
        <v>1547</v>
      </c>
      <c r="I36" s="8" t="n">
        <v>1547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4" t="inlineStr">
        <is>
          <t>TOTAL SHAREHOLDERS' EQUITY</t>
        </is>
      </c>
      <c r="C38" s="15">
        <f>SUM(C36:C37)</f>
        <v/>
      </c>
      <c r="D38" s="15">
        <f>SUM(D36:D37)</f>
        <v/>
      </c>
      <c r="E38" s="15">
        <f>SUM(E36:E37)</f>
        <v/>
      </c>
      <c r="F38" s="15">
        <f>SUM(F36:F37)</f>
        <v/>
      </c>
      <c r="G38" s="15">
        <f>SUM(G36:G37)</f>
        <v/>
      </c>
      <c r="H38" s="15">
        <f>SUM(H36:H37)</f>
        <v/>
      </c>
      <c r="I38" s="15">
        <f>SUM(I36:I37)</f>
        <v/>
      </c>
    </row>
    <row r="39">
      <c r="B39" s="18" t="inlineStr">
        <is>
          <t>TOTAL LIABILITIES &amp; EQUITY</t>
        </is>
      </c>
      <c r="C39" s="19">
        <f>C33 + C38</f>
        <v/>
      </c>
      <c r="D39" s="19">
        <f>D33 + D38</f>
        <v/>
      </c>
      <c r="E39" s="19">
        <f>E33 + E38</f>
        <v/>
      </c>
      <c r="F39" s="19">
        <f>F33 + F38</f>
        <v/>
      </c>
      <c r="G39" s="19">
        <f>G33 + G38</f>
        <v/>
      </c>
      <c r="H39" s="19">
        <f>H33 + H38</f>
        <v/>
      </c>
      <c r="I39" s="19">
        <f>I33 + I38</f>
        <v/>
      </c>
    </row>
    <row r="40"/>
    <row r="41">
      <c r="B41" s="5" t="inlineStr">
        <is>
          <t>BALANCE SHEET INTEGRITY CHECK (ASSETS - LIAB - EQUITY)</t>
        </is>
      </c>
      <c r="C41" s="23">
        <f>C21 - C39</f>
        <v/>
      </c>
      <c r="D41" s="23">
        <f>D21 - D39</f>
        <v/>
      </c>
      <c r="E41" s="23">
        <f>E21 - E39</f>
        <v/>
      </c>
      <c r="F41" s="23">
        <f>F21 - F39</f>
        <v/>
      </c>
      <c r="G41" s="23">
        <f>G21 - G39</f>
        <v/>
      </c>
      <c r="H41" s="23">
        <f>H21 - H39</f>
        <v/>
      </c>
      <c r="I41" s="23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Ooredoo QPSC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8" t="inlineStr">
        <is>
          <t>Cash Flow from Operations (CFO)</t>
        </is>
      </c>
      <c r="C14" s="19">
        <f>SUM(C7:C12)</f>
        <v/>
      </c>
      <c r="D14" s="19">
        <f>SUM(D7:D12)</f>
        <v/>
      </c>
      <c r="E14" s="19">
        <f>SUM(E7:E12)</f>
        <v/>
      </c>
      <c r="F14" s="19">
        <f>SUM(F7:F12)</f>
        <v/>
      </c>
      <c r="G14" s="19">
        <f>SUM(G7:G12)</f>
        <v/>
      </c>
      <c r="H14" s="19">
        <f>SUM(H7:H12)</f>
        <v/>
      </c>
      <c r="I14" s="19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-686</v>
      </c>
      <c r="D16" s="8" t="n">
        <v>-833</v>
      </c>
      <c r="E16" s="8" t="n">
        <v>-931</v>
      </c>
      <c r="F16" s="8" t="n">
        <v>-980</v>
      </c>
      <c r="G16" s="8" t="n">
        <v>-1029</v>
      </c>
      <c r="H16" s="8" t="n">
        <v>-999.6</v>
      </c>
      <c r="I16" s="8" t="n">
        <v>-960.4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4" t="inlineStr">
        <is>
          <t>Cash Flow from Investing Activities (CFI)</t>
        </is>
      </c>
      <c r="C18" s="15">
        <f>SUM(C16:C17)</f>
        <v/>
      </c>
      <c r="D18" s="15">
        <f>SUM(D16:D17)</f>
        <v/>
      </c>
      <c r="E18" s="15">
        <f>SUM(E16:E17)</f>
        <v/>
      </c>
      <c r="F18" s="15">
        <f>SUM(F16:F17)</f>
        <v/>
      </c>
      <c r="G18" s="15">
        <f>SUM(G16:G17)</f>
        <v/>
      </c>
      <c r="H18" s="15">
        <f>SUM(H16:H17)</f>
        <v/>
      </c>
      <c r="I18" s="15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4" t="inlineStr">
        <is>
          <t>Cash Flow from Financing Activities (CFF)</t>
        </is>
      </c>
      <c r="C24" s="15">
        <f>SUM(C20:C23)</f>
        <v/>
      </c>
      <c r="D24" s="15">
        <f>SUM(D20:D23)</f>
        <v/>
      </c>
      <c r="E24" s="15">
        <f>SUM(E20:E23)</f>
        <v/>
      </c>
      <c r="F24" s="15">
        <f>SUM(F20:F23)</f>
        <v/>
      </c>
      <c r="G24" s="15">
        <f>SUM(G20:G23)</f>
        <v/>
      </c>
      <c r="H24" s="15">
        <f>SUM(H20:H23)</f>
        <v/>
      </c>
      <c r="I24" s="15">
        <f>SUM(I20:I23)</f>
        <v/>
      </c>
    </row>
    <row r="25">
      <c r="B25" s="9" t="inlineStr">
        <is>
          <t>Net Change in Cash &amp; Cash Equivalents</t>
        </is>
      </c>
      <c r="C25" s="20">
        <f>C14 + C18 + C24</f>
        <v/>
      </c>
      <c r="D25" s="20">
        <f>D14 + D18 + D24</f>
        <v/>
      </c>
      <c r="E25" s="20">
        <f>E14 + E18 + E24</f>
        <v/>
      </c>
      <c r="F25" s="20">
        <f>F14 + F18 + F24</f>
        <v/>
      </c>
      <c r="G25" s="20">
        <f>G14 + G18 + G24</f>
        <v/>
      </c>
      <c r="H25" s="20">
        <f>H14 + H18 + H24</f>
        <v/>
      </c>
      <c r="I25" s="20">
        <f>I14 + I18 + I24</f>
        <v/>
      </c>
    </row>
    <row r="26">
      <c r="B26" s="18" t="inlineStr">
        <is>
          <t>Ending Cash &amp; Liquid Reserves (Feeds Balance Sheet)</t>
        </is>
      </c>
      <c r="C26" s="19" t="n">
        <v>1155</v>
      </c>
      <c r="D26" s="19">
        <f>C26 + D25</f>
        <v/>
      </c>
      <c r="E26" s="19">
        <f>D26 + E25</f>
        <v/>
      </c>
      <c r="F26" s="19">
        <f>E26 + F25</f>
        <v/>
      </c>
      <c r="G26" s="19">
        <f>F26 + G25</f>
        <v/>
      </c>
      <c r="H26" s="19">
        <f>G26 + H25</f>
        <v/>
      </c>
      <c r="I26" s="19">
        <f>H26 + I25</f>
        <v/>
      </c>
    </row>
    <row r="27"/>
    <row r="28">
      <c r="B28" s="14" t="inlineStr">
        <is>
          <t>FREE CASH FLOW (FCF = CFO + Capex)</t>
        </is>
      </c>
      <c r="C28" s="15">
        <f>C14 + C16</f>
        <v/>
      </c>
      <c r="D28" s="15">
        <f>D14 + D16</f>
        <v/>
      </c>
      <c r="E28" s="15">
        <f>E14 + E16</f>
        <v/>
      </c>
      <c r="F28" s="15">
        <f>F14 + F16</f>
        <v/>
      </c>
      <c r="G28" s="15">
        <f>G14 + G16</f>
        <v/>
      </c>
      <c r="H28" s="15">
        <f>H14 + H16</f>
        <v/>
      </c>
      <c r="I28" s="15">
        <f>I14 + I16</f>
        <v/>
      </c>
    </row>
  </sheetData>
  <mergeCells count="1">
    <mergeCell ref="B2:I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2" customWidth="1" min="5" max="5"/>
    <col width="169" customWidth="1" min="6" max="6"/>
    <col width="15" customWidth="1" min="7" max="7"/>
    <col width="14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Ooredoo QPSC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ORDS Benchmark Eurobond Notes</t>
        </is>
      </c>
    </row>
    <row r="7">
      <c r="B7" s="7" t="inlineStr">
        <is>
          <t xml:space="preserve">  Beginning Principal Balance</t>
        </is>
      </c>
      <c r="C7" s="8" t="n">
        <v>1981.4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660.4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440.3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0">
        <f>C7 + C8 - C9</f>
        <v/>
      </c>
      <c r="D10" s="20">
        <f>D7 + D8 - D9</f>
        <v/>
      </c>
      <c r="E10" s="20">
        <f>E7 + E8 - E9</f>
        <v/>
      </c>
      <c r="F10" s="20">
        <f>F7 + F8 - F9</f>
        <v/>
      </c>
      <c r="G10" s="20">
        <f>G7 + G8 - G9</f>
        <v/>
      </c>
      <c r="H10" s="20">
        <f>H7 + H8 - H9</f>
        <v/>
      </c>
      <c r="I10" s="20">
        <f>I7 + I8 - I9</f>
        <v/>
      </c>
    </row>
    <row r="11">
      <c r="B11" s="7" t="inlineStr">
        <is>
          <t xml:space="preserve">  Interest Expense (Calculated)</t>
        </is>
      </c>
      <c r="C11" s="8">
        <f>C10 * 0.0500</f>
        <v/>
      </c>
      <c r="D11" s="8">
        <f>D10 * 0.0500</f>
        <v/>
      </c>
      <c r="E11" s="8">
        <f>E10 * 0.0500</f>
        <v/>
      </c>
      <c r="F11" s="8">
        <f>F10 * 0.0500</f>
        <v/>
      </c>
      <c r="G11" s="8">
        <f>G10 * 0.0500</f>
        <v/>
      </c>
      <c r="H11" s="8">
        <f>H10 * 0.0500</f>
        <v/>
      </c>
      <c r="I11" s="8">
        <f>I10 * 0.0500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2421.7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0">
        <f>C8 + C15</f>
        <v/>
      </c>
      <c r="D19" s="20">
        <f>D8 + D15</f>
        <v/>
      </c>
      <c r="E19" s="20">
        <f>E8 + E15</f>
        <v/>
      </c>
      <c r="F19" s="20">
        <f>F8 + F15</f>
        <v/>
      </c>
      <c r="G19" s="20">
        <f>G8 + G15</f>
        <v/>
      </c>
      <c r="H19" s="20">
        <f>H8 + H15</f>
        <v/>
      </c>
      <c r="I19" s="20">
        <f>I8 + I15</f>
        <v/>
      </c>
    </row>
    <row r="20">
      <c r="B20" s="9" t="inlineStr">
        <is>
          <t>Total Debt Repayments (Feeds CFF)</t>
        </is>
      </c>
      <c r="C20" s="20">
        <f>C9 + C16</f>
        <v/>
      </c>
      <c r="D20" s="20">
        <f>D9 + D16</f>
        <v/>
      </c>
      <c r="E20" s="20">
        <f>E9 + E16</f>
        <v/>
      </c>
      <c r="F20" s="20">
        <f>F9 + F16</f>
        <v/>
      </c>
      <c r="G20" s="20">
        <f>G9 + G16</f>
        <v/>
      </c>
      <c r="H20" s="20">
        <f>H9 + H16</f>
        <v/>
      </c>
      <c r="I20" s="20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5">
        <f>C22 + C23</f>
        <v/>
      </c>
      <c r="D24" s="15">
        <f>D22 + D23</f>
        <v/>
      </c>
      <c r="E24" s="15">
        <f>E22 + E23</f>
        <v/>
      </c>
      <c r="F24" s="15">
        <f>F22 + F23</f>
        <v/>
      </c>
      <c r="G24" s="15">
        <f>G22 + G23</f>
        <v/>
      </c>
      <c r="H24" s="15">
        <f>H22 + H23</f>
        <v/>
      </c>
      <c r="I24" s="15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19">
        <f>C24 - C25</f>
        <v/>
      </c>
      <c r="D26" s="19">
        <f>D24 - D25</f>
        <v/>
      </c>
      <c r="E26" s="19">
        <f>E24 - E25</f>
        <v/>
      </c>
      <c r="F26" s="19">
        <f>F24 - F25</f>
        <v/>
      </c>
      <c r="G26" s="19">
        <f>G24 - G25</f>
        <v/>
      </c>
      <c r="H26" s="19">
        <f>H24 - H25</f>
        <v/>
      </c>
      <c r="I26" s="19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8" t="inlineStr">
        <is>
          <t>NET FINANCE COST / INTEREST EXPENSE (Feeds P&amp;L)</t>
        </is>
      </c>
      <c r="C28" s="19">
        <f>C27 - (C25 * 0.025)</f>
        <v/>
      </c>
      <c r="D28" s="19">
        <f>D27 - (D25 * 0.025)</f>
        <v/>
      </c>
      <c r="E28" s="19">
        <f>E27 - (E25 * 0.025)</f>
        <v/>
      </c>
      <c r="F28" s="19">
        <f>F27 - (F25 * 0.025)</f>
        <v/>
      </c>
      <c r="G28" s="19">
        <f>G27 - (G25 * 0.025)</f>
        <v/>
      </c>
      <c r="H28" s="19">
        <f>H27 - (H25 * 0.025)</f>
        <v/>
      </c>
      <c r="I28" s="19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4" t="inlineStr">
        <is>
          <t>2025</t>
        </is>
      </c>
      <c r="C31" s="24" t="inlineStr">
        <is>
          <t>2026</t>
        </is>
      </c>
      <c r="D31" s="24" t="inlineStr">
        <is>
          <t>2027</t>
        </is>
      </c>
      <c r="E31" s="24" t="inlineStr">
        <is>
          <t>2028</t>
        </is>
      </c>
      <c r="F31" s="24" t="inlineStr">
        <is>
          <t>2029</t>
        </is>
      </c>
      <c r="G31" s="24" t="inlineStr">
        <is>
          <t>2030+</t>
        </is>
      </c>
    </row>
    <row r="32">
      <c r="B32" s="8" t="n">
        <v>621.6</v>
      </c>
      <c r="C32" s="8" t="n">
        <v>1139.6</v>
      </c>
      <c r="D32" s="8" t="n">
        <v>1450.4</v>
      </c>
      <c r="E32" s="8" t="n">
        <v>932.4</v>
      </c>
      <c r="F32" s="8" t="n">
        <v>621.6</v>
      </c>
      <c r="G32" s="8" t="n">
        <v>414.4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ORDS Benchmark Senior Notes</t>
        </is>
      </c>
      <c r="C37" s="7" t="inlineStr">
        <is>
          <t>Senior Unsecured RegS/144A Eurobond</t>
        </is>
      </c>
      <c r="D37" s="25" t="inlineStr">
        <is>
          <t>USD</t>
        </is>
      </c>
      <c r="E37" s="20" t="n">
        <v>2331</v>
      </c>
      <c r="F37" s="26" t="inlineStr">
        <is>
          <t>5.000%</t>
        </is>
      </c>
      <c r="G37" s="27" t="n">
        <v>97.8</v>
      </c>
      <c r="H37" s="28" t="n">
        <v>5</v>
      </c>
      <c r="I37" s="7" t="inlineStr">
        <is>
          <t>Senior Unsecured (Pari Passu)</t>
        </is>
      </c>
      <c r="J37" s="16" t="inlineStr">
        <is>
          <t>English Law</t>
        </is>
      </c>
    </row>
    <row r="38">
      <c r="B38" s="9" t="inlineStr">
        <is>
          <t>ORDS Secondary Eurobond / Sukuk Tranche 2</t>
        </is>
      </c>
      <c r="C38" s="7" t="inlineStr">
        <is>
          <t>Senior Unsecured Notes</t>
        </is>
      </c>
      <c r="D38" s="25" t="inlineStr">
        <is>
          <t>USD</t>
        </is>
      </c>
      <c r="E38" s="20" t="n">
        <v>1554</v>
      </c>
      <c r="F38" s="26" t="inlineStr">
        <is>
          <t>4.350%</t>
        </is>
      </c>
      <c r="G38" s="27" t="n">
        <v>99.8</v>
      </c>
      <c r="H38" s="28" t="n">
        <v>4.35</v>
      </c>
      <c r="I38" s="7" t="inlineStr">
        <is>
          <t>Senior Unsecured</t>
        </is>
      </c>
      <c r="J38" s="16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5" t="inlineStr">
        <is>
          <t>USD / EUR</t>
        </is>
      </c>
      <c r="E39" s="20" t="n">
        <v>777</v>
      </c>
      <c r="F39" s="26" t="inlineStr">
        <is>
          <t>SOFR + 185 bps</t>
        </is>
      </c>
      <c r="G39" s="27" t="n">
        <v>100</v>
      </c>
      <c r="H39" s="28" t="n">
        <v>6.85</v>
      </c>
      <c r="I39" s="7" t="inlineStr">
        <is>
          <t>Senior Secured</t>
        </is>
      </c>
      <c r="J39" s="16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5" t="inlineStr">
        <is>
          <t>USD</t>
        </is>
      </c>
      <c r="E40" s="20" t="n">
        <v>518</v>
      </c>
      <c r="F40" s="26" t="inlineStr">
        <is>
          <t>SOFR + 150 bps</t>
        </is>
      </c>
      <c r="G40" s="27" t="n">
        <v>100</v>
      </c>
      <c r="H40" s="28" t="n">
        <v>6.5</v>
      </c>
      <c r="I40" s="7" t="inlineStr">
        <is>
          <t>Senior Unsecured (Pari Passu with Bonds)</t>
        </is>
      </c>
      <c r="J40" s="16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ORDS Syndicated Multi-Currency Revolving Credit Facility (RCF)</t>
        </is>
      </c>
    </row>
    <row r="44">
      <c r="B44" s="9" t="inlineStr">
        <is>
          <t>Total Committed Capacity ($M)</t>
        </is>
      </c>
      <c r="C44" s="20" t="n">
        <v>1450.4</v>
      </c>
    </row>
    <row r="45">
      <c r="B45" s="7" t="inlineStr">
        <is>
          <t>Drawn Amount ($M)</t>
        </is>
      </c>
      <c r="C45" s="8" t="n">
        <v>518</v>
      </c>
    </row>
    <row r="46">
      <c r="B46" s="18" t="inlineStr">
        <is>
          <t>AVAILABLE UNDRAWN HEADROOM ($M)</t>
        </is>
      </c>
      <c r="C46" s="19" t="n">
        <v>932.4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5" t="inlineStr">
        <is>
          <t>3.75x</t>
        </is>
      </c>
      <c r="D55" s="29" t="inlineStr">
        <is>
          <t>1.10x</t>
        </is>
      </c>
      <c r="E55" s="30" t="inlineStr">
        <is>
          <t>2.65x leverage buffer ($7420.0M EBITDA headroom)</t>
        </is>
      </c>
      <c r="F55" s="16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5" t="inlineStr">
        <is>
          <t>2.50x</t>
        </is>
      </c>
      <c r="D56" s="29" t="inlineStr">
        <is>
          <t>9.20x</t>
        </is>
      </c>
      <c r="E56" s="30" t="inlineStr">
        <is>
          <t>+6.70x interest coverage cushion</t>
        </is>
      </c>
      <c r="F56" s="16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5" t="inlineStr">
        <is>
          <t>15.0% of Consolidated Total Tangible Assets</t>
        </is>
      </c>
      <c r="D57" s="29" t="inlineStr">
        <is>
          <t>6.6% of Assets</t>
        </is>
      </c>
      <c r="E57" s="30" t="inlineStr">
        <is>
          <t>$1430.0M unutilized secured debt capacity</t>
        </is>
      </c>
      <c r="F57" s="16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5" t="inlineStr">
        <is>
          <t>101.00% Redemption</t>
        </is>
      </c>
      <c r="D58" s="29" t="inlineStr">
        <is>
          <t>N/A (Inactive)</t>
        </is>
      </c>
      <c r="E58" s="30" t="inlineStr">
        <is>
          <t>Compliant</t>
        </is>
      </c>
      <c r="F58" s="16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5" t="inlineStr">
        <is>
          <t>Builder Basket</t>
        </is>
      </c>
      <c r="D59" s="29" t="inlineStr">
        <is>
          <t>Within Capacity</t>
        </is>
      </c>
      <c r="E59" s="30" t="inlineStr">
        <is>
          <t>Compliant</t>
        </is>
      </c>
      <c r="F59" s="16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5" t="inlineStr">
        <is>
          <t>$50.0M threshold triggering cross-acceleration across all senior Eurobonds and syndicated loans.</t>
        </is>
      </c>
      <c r="D60" s="29" t="inlineStr">
        <is>
          <t>Zero Defaults</t>
        </is>
      </c>
      <c r="E60" s="30" t="inlineStr">
        <is>
          <t>Compliant</t>
        </is>
      </c>
      <c r="F60" s="16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19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Ooredoo QPSC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8" t="inlineStr">
        <is>
          <t>NET LEVERAGE (Net Debt / EBITDA)</t>
        </is>
      </c>
      <c r="C8" s="31">
        <f>'Debt Schedule &amp; Tranches'!C26 / 'Income Statement (P&amp;L)'!C22</f>
        <v/>
      </c>
      <c r="D8" s="31">
        <f>'Debt Schedule &amp; Tranches'!D26 / 'Income Statement (P&amp;L)'!D22</f>
        <v/>
      </c>
      <c r="E8" s="31">
        <f>'Debt Schedule &amp; Tranches'!E26 / 'Income Statement (P&amp;L)'!E22</f>
        <v/>
      </c>
      <c r="F8" s="31">
        <f>'Debt Schedule &amp; Tranches'!F26 / 'Income Statement (P&amp;L)'!F22</f>
        <v/>
      </c>
      <c r="G8" s="31">
        <f>'Debt Schedule &amp; Tranches'!G26 / 'Income Statement (P&amp;L)'!G22</f>
        <v/>
      </c>
      <c r="H8" s="31">
        <f>'Debt Schedule &amp; Tranches'!H26 / 'Income Statement (P&amp;L)'!H22</f>
        <v/>
      </c>
      <c r="I8" s="31">
        <f>'Debt Schedule &amp; Tranches'!I26 / 'Income Statement (P&amp;L)'!I22</f>
        <v/>
      </c>
    </row>
    <row r="9">
      <c r="B9" s="7" t="inlineStr">
        <is>
          <t>Net Debt / Total Capitalization (%)</t>
        </is>
      </c>
      <c r="C9" s="10">
        <f>'Debt Schedule &amp; Tranches'!C26 / ('Debt Schedule &amp; Tranches'!C26 + 'Balance Sheet'!C38)</f>
        <v/>
      </c>
      <c r="D9" s="10">
        <f>'Debt Schedule &amp; Tranches'!D26 / ('Debt Schedule &amp; Tranches'!D26 + 'Balance Sheet'!D38)</f>
        <v/>
      </c>
      <c r="E9" s="10">
        <f>'Debt Schedule &amp; Tranches'!E26 / ('Debt Schedule &amp; Tranches'!E26 + 'Balance Sheet'!E38)</f>
        <v/>
      </c>
      <c r="F9" s="10">
        <f>'Debt Schedule &amp; Tranches'!F26 / ('Debt Schedule &amp; Tranches'!F26 + 'Balance Sheet'!F38)</f>
        <v/>
      </c>
      <c r="G9" s="10">
        <f>'Debt Schedule &amp; Tranches'!G26 / ('Debt Schedule &amp; Tranches'!G26 + 'Balance Sheet'!G38)</f>
        <v/>
      </c>
      <c r="H9" s="10">
        <f>'Debt Schedule &amp; Tranches'!H26 / ('Debt Schedule &amp; Tranches'!H26 + 'Balance Sheet'!H38)</f>
        <v/>
      </c>
      <c r="I9" s="10">
        <f>'Debt Schedule &amp; Tranches'!I26 / ('Debt Schedule &amp; Tranches'!I26 + 'Balance Sheet'!I38)</f>
        <v/>
      </c>
    </row>
    <row r="10">
      <c r="B10" s="18" t="inlineStr">
        <is>
          <t>EBITDA INTEREST COVERAGE</t>
        </is>
      </c>
      <c r="C10" s="31">
        <f>'Income Statement (P&amp;L)'!C22 / 'Debt Schedule &amp; Tranches'!C28</f>
        <v/>
      </c>
      <c r="D10" s="31">
        <f>'Income Statement (P&amp;L)'!D22 / 'Debt Schedule &amp; Tranches'!D28</f>
        <v/>
      </c>
      <c r="E10" s="31">
        <f>'Income Statement (P&amp;L)'!E22 / 'Debt Schedule &amp; Tranches'!E28</f>
        <v/>
      </c>
      <c r="F10" s="31">
        <f>'Income Statement (P&amp;L)'!F22 / 'Debt Schedule &amp; Tranches'!F28</f>
        <v/>
      </c>
      <c r="G10" s="31">
        <f>'Income Statement (P&amp;L)'!G22 / 'Debt Schedule &amp; Tranches'!G28</f>
        <v/>
      </c>
      <c r="H10" s="31">
        <f>'Income Statement (P&amp;L)'!H22 / 'Debt Schedule &amp; Tranches'!H28</f>
        <v/>
      </c>
      <c r="I10" s="31">
        <f>'Income Statement (P&amp;L)'!I22 / 'Debt Schedule &amp; Tranches'!I28</f>
        <v/>
      </c>
    </row>
    <row r="11">
      <c r="B11" s="7" t="inlineStr">
        <is>
          <t>EBIT Interest Coverage</t>
        </is>
      </c>
      <c r="C11" s="12">
        <f>'Income Statement (P&amp;L)'!C25 / 'Debt Schedule &amp; Tranches'!C28</f>
        <v/>
      </c>
      <c r="D11" s="12">
        <f>'Income Statement (P&amp;L)'!D25 / 'Debt Schedule &amp; Tranches'!D28</f>
        <v/>
      </c>
      <c r="E11" s="12">
        <f>'Income Statement (P&amp;L)'!E25 / 'Debt Schedule &amp; Tranches'!E28</f>
        <v/>
      </c>
      <c r="F11" s="12">
        <f>'Income Statement (P&amp;L)'!F25 / 'Debt Schedule &amp; Tranches'!F28</f>
        <v/>
      </c>
      <c r="G11" s="12">
        <f>'Income Statement (P&amp;L)'!G25 / 'Debt Schedule &amp; Tranches'!G28</f>
        <v/>
      </c>
      <c r="H11" s="12">
        <f>'Income Statement (P&amp;L)'!H25 / 'Debt Schedule &amp; Tranches'!H28</f>
        <v/>
      </c>
      <c r="I11" s="12">
        <f>'Income Statement (P&amp;L)'!I25 / 'Debt Schedule &amp; Tranches'!I28</f>
        <v/>
      </c>
    </row>
    <row r="12"/>
    <row r="13">
      <c r="B13" s="3" t="inlineStr">
        <is>
          <t>II. CASH FLOW COVERAGE &amp; LIQUIDITY RATIOS</t>
        </is>
      </c>
    </row>
    <row r="14">
      <c r="B14" s="7" t="inlineStr">
        <is>
          <t>CFO / Gross Debt (%)</t>
        </is>
      </c>
      <c r="C14" s="10">
        <f>'Cash Flow Statement'!C14 / 'Debt Schedule &amp; Tranches'!C24</f>
        <v/>
      </c>
      <c r="D14" s="10">
        <f>'Cash Flow Statement'!D14 / 'Debt Schedule &amp; Tranches'!D24</f>
        <v/>
      </c>
      <c r="E14" s="10">
        <f>'Cash Flow Statement'!E14 / 'Debt Schedule &amp; Tranches'!E24</f>
        <v/>
      </c>
      <c r="F14" s="10">
        <f>'Cash Flow Statement'!F14 / 'Debt Schedule &amp; Tranches'!F24</f>
        <v/>
      </c>
      <c r="G14" s="10">
        <f>'Cash Flow Statement'!G14 / 'Debt Schedule &amp; Tranches'!G24</f>
        <v/>
      </c>
      <c r="H14" s="10">
        <f>'Cash Flow Statement'!H14 / 'Debt Schedule &amp; Tranches'!H24</f>
        <v/>
      </c>
      <c r="I14" s="10">
        <f>'Cash Flow Statement'!I14 / 'Debt Schedule &amp; Tranches'!I24</f>
        <v/>
      </c>
    </row>
    <row r="15">
      <c r="B15" s="7" t="inlineStr">
        <is>
          <t>FCF / Net Debt (%)</t>
        </is>
      </c>
      <c r="C15" s="10">
        <f>'Cash Flow Statement'!C28 / 'Debt Schedule &amp; Tranches'!C26</f>
        <v/>
      </c>
      <c r="D15" s="10">
        <f>'Cash Flow Statement'!D28 / 'Debt Schedule &amp; Tranches'!D26</f>
        <v/>
      </c>
      <c r="E15" s="10">
        <f>'Cash Flow Statement'!E28 / 'Debt Schedule &amp; Tranches'!E26</f>
        <v/>
      </c>
      <c r="F15" s="10">
        <f>'Cash Flow Statement'!F28 / 'Debt Schedule &amp; Tranches'!F26</f>
        <v/>
      </c>
      <c r="G15" s="10">
        <f>'Cash Flow Statement'!G28 / 'Debt Schedule &amp; Tranches'!G26</f>
        <v/>
      </c>
      <c r="H15" s="10">
        <f>'Cash Flow Statement'!H28 / 'Debt Schedule &amp; Tranches'!H26</f>
        <v/>
      </c>
      <c r="I15" s="10">
        <f>'Cash Flow Statement'!I28 / 'Debt Schedule &amp; Tranches'!I26</f>
        <v/>
      </c>
    </row>
    <row r="16">
      <c r="B16" s="7" t="inlineStr">
        <is>
          <t>FCF Conversion Ratio (FCF / EBITDA)</t>
        </is>
      </c>
      <c r="C16" s="10">
        <f>'Cash Flow Statement'!C28 / 'Income Statement (P&amp;L)'!C22</f>
        <v/>
      </c>
      <c r="D16" s="10">
        <f>'Cash Flow Statement'!D28 / 'Income Statement (P&amp;L)'!D22</f>
        <v/>
      </c>
      <c r="E16" s="10">
        <f>'Cash Flow Statement'!E28 / 'Income Statement (P&amp;L)'!E22</f>
        <v/>
      </c>
      <c r="F16" s="10">
        <f>'Cash Flow Statement'!F28 / 'Income Statement (P&amp;L)'!F22</f>
        <v/>
      </c>
      <c r="G16" s="10">
        <f>'Cash Flow Statement'!G28 / 'Income Statement (P&amp;L)'!G22</f>
        <v/>
      </c>
      <c r="H16" s="10">
        <f>'Cash Flow Statement'!H28 / 'Income Statement (P&amp;L)'!H22</f>
        <v/>
      </c>
      <c r="I16" s="10">
        <f>'Cash Flow Statement'!I28 / 'Income Statement (P&amp;L)'!I22</f>
        <v/>
      </c>
    </row>
    <row r="17">
      <c r="B17" s="7" t="inlineStr">
        <is>
          <t>Capex / Operating Cash Flow (%)</t>
        </is>
      </c>
      <c r="C17" s="10">
        <f>-'Cash Flow Statement'!C16 / 'Cash Flow Statement'!C14</f>
        <v/>
      </c>
      <c r="D17" s="10">
        <f>-'Cash Flow Statement'!D16 / 'Cash Flow Statement'!D14</f>
        <v/>
      </c>
      <c r="E17" s="10">
        <f>-'Cash Flow Statement'!E16 / 'Cash Flow Statement'!E14</f>
        <v/>
      </c>
      <c r="F17" s="10">
        <f>-'Cash Flow Statement'!F16 / 'Cash Flow Statement'!F14</f>
        <v/>
      </c>
      <c r="G17" s="10">
        <f>-'Cash Flow Statement'!G16 / 'Cash Flow Statement'!G14</f>
        <v/>
      </c>
      <c r="H17" s="10">
        <f>-'Cash Flow Statement'!H16 / 'Cash Flow Statement'!H14</f>
        <v/>
      </c>
      <c r="I17" s="10">
        <f>-'Cash Flow Statement'!I16 / 'Cash Flow Statement'!I14</f>
        <v/>
      </c>
    </row>
    <row r="18">
      <c r="B18" s="7" t="inlineStr">
        <is>
          <t>Current Ratio (Current Assets / Current Liab)</t>
        </is>
      </c>
      <c r="C18" s="12">
        <f>'Balance Sheet'!C11 / 'Balance Sheet'!C27</f>
        <v/>
      </c>
      <c r="D18" s="12">
        <f>'Balance Sheet'!D11 / 'Balance Sheet'!D27</f>
        <v/>
      </c>
      <c r="E18" s="12">
        <f>'Balance Sheet'!E11 / 'Balance Sheet'!E27</f>
        <v/>
      </c>
      <c r="F18" s="12">
        <f>'Balance Sheet'!F11 / 'Balance Sheet'!F27</f>
        <v/>
      </c>
      <c r="G18" s="12">
        <f>'Balance Sheet'!G11 / 'Balance Sheet'!G27</f>
        <v/>
      </c>
      <c r="H18" s="12">
        <f>'Balance Sheet'!H11 / 'Balance Sheet'!H27</f>
        <v/>
      </c>
      <c r="I18" s="12">
        <f>'Balance Sheet'!I11 / 'Balance Sheet'!I27</f>
        <v/>
      </c>
    </row>
    <row r="19">
      <c r="B19" s="7" t="inlineStr">
        <is>
          <t>Quick Ratio ((Cash + AR) / Current Liab)</t>
        </is>
      </c>
      <c r="C19" s="12">
        <f>('Balance Sheet'!C7 + 'Balance Sheet'!C8) / 'Balance Sheet'!C27</f>
        <v/>
      </c>
      <c r="D19" s="12">
        <f>('Balance Sheet'!D7 + 'Balance Sheet'!D8) / 'Balance Sheet'!D27</f>
        <v/>
      </c>
      <c r="E19" s="12">
        <f>('Balance Sheet'!E7 + 'Balance Sheet'!E8) / 'Balance Sheet'!E27</f>
        <v/>
      </c>
      <c r="F19" s="12">
        <f>('Balance Sheet'!F7 + 'Balance Sheet'!F8) / 'Balance Sheet'!F27</f>
        <v/>
      </c>
      <c r="G19" s="12">
        <f>('Balance Sheet'!G7 + 'Balance Sheet'!G8) / 'Balance Sheet'!G27</f>
        <v/>
      </c>
      <c r="H19" s="12">
        <f>('Balance Sheet'!H7 + 'Balance Sheet'!H8) / 'Balance Sheet'!H27</f>
        <v/>
      </c>
      <c r="I19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Ooredoo QPSC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4" t="inlineStr">
        <is>
          <t>Scenario Name</t>
        </is>
      </c>
      <c r="C5" s="24" t="inlineStr">
        <is>
          <t>Revenue Drop</t>
        </is>
      </c>
      <c r="D5" s="24" t="inlineStr">
        <is>
          <t>Margin Compression</t>
        </is>
      </c>
      <c r="E5" s="24" t="inlineStr">
        <is>
          <t>Refinancing Rate</t>
        </is>
      </c>
      <c r="F5" s="24" t="inlineStr">
        <is>
          <t>Exit EV Multiple</t>
        </is>
      </c>
      <c r="G5" s="24" t="inlineStr">
        <is>
          <t>Implied Recovery Px</t>
        </is>
      </c>
      <c r="H5" s="24" t="inlineStr">
        <is>
          <t>Upside / Downside</t>
        </is>
      </c>
    </row>
    <row r="6">
      <c r="B6" s="18" t="inlineStr">
        <is>
          <t>Base Case (Consensus Forecast)</t>
        </is>
      </c>
      <c r="C6" s="32" t="inlineStr">
        <is>
          <t>0.0%</t>
        </is>
      </c>
      <c r="D6" s="32" t="inlineStr">
        <is>
          <t>0 bp</t>
        </is>
      </c>
      <c r="E6" s="32" t="inlineStr">
        <is>
          <t>5.00%</t>
        </is>
      </c>
      <c r="F6" s="32" t="inlineStr">
        <is>
          <t>4.2x</t>
        </is>
      </c>
      <c r="G6" s="32" t="inlineStr">
        <is>
          <t>$100.50</t>
        </is>
      </c>
      <c r="H6" s="32" t="inlineStr">
        <is>
          <t>+2.8%</t>
        </is>
      </c>
    </row>
    <row r="7">
      <c r="B7" s="7" t="inlineStr">
        <is>
          <t>Downside Stress Case (Recession)</t>
        </is>
      </c>
      <c r="C7" s="26" t="inlineStr">
        <is>
          <t>-15.0%</t>
        </is>
      </c>
      <c r="D7" s="26" t="inlineStr">
        <is>
          <t>-300 bp</t>
        </is>
      </c>
      <c r="E7" s="26" t="inlineStr">
        <is>
          <t>7.00%</t>
        </is>
      </c>
      <c r="F7" s="26" t="inlineStr">
        <is>
          <t>3.2x</t>
        </is>
      </c>
      <c r="G7" s="26" t="inlineStr">
        <is>
          <t>$92.25</t>
        </is>
      </c>
      <c r="H7" s="26" t="inlineStr">
        <is>
          <t>-5.7%</t>
        </is>
      </c>
    </row>
    <row r="8">
      <c r="B8" s="7" t="inlineStr">
        <is>
          <t>Severe Distressed Floor (Liquidation)</t>
        </is>
      </c>
      <c r="C8" s="26" t="inlineStr">
        <is>
          <t>-35.0%</t>
        </is>
      </c>
      <c r="D8" s="26" t="inlineStr">
        <is>
          <t>-650 bp</t>
        </is>
      </c>
      <c r="E8" s="26" t="inlineStr">
        <is>
          <t>+500 bp spread</t>
        </is>
      </c>
      <c r="F8" s="26" t="inlineStr">
        <is>
          <t>Liquidation Value</t>
        </is>
      </c>
      <c r="G8" s="26" t="inlineStr">
        <is>
          <t>$84.00</t>
        </is>
      </c>
      <c r="H8" s="26" t="inlineStr">
        <is>
          <t>-14.1%</t>
        </is>
      </c>
    </row>
    <row r="9">
      <c r="B9" s="7" t="inlineStr">
        <is>
          <t>Bull Case (Cycle Peak / Accretion)</t>
        </is>
      </c>
      <c r="C9" s="26" t="inlineStr">
        <is>
          <t>+12.0%</t>
        </is>
      </c>
      <c r="D9" s="26" t="inlineStr">
        <is>
          <t>+200 bp</t>
        </is>
      </c>
      <c r="E9" s="26" t="inlineStr">
        <is>
          <t>3.50%</t>
        </is>
      </c>
      <c r="F9" s="26" t="inlineStr">
        <is>
          <t>5.7x</t>
        </is>
      </c>
      <c r="G9" s="26" t="inlineStr">
        <is>
          <t>$105.00</t>
        </is>
      </c>
      <c r="H9" s="26" t="inlineStr">
        <is>
          <t>+7.4%</t>
        </is>
      </c>
    </row>
    <row r="10"/>
    <row r="11"/>
    <row r="12">
      <c r="B12" s="3" t="inlineStr">
        <is>
          <t>II. PRIORITY CLAIM LIQUIDATION WATERFALL</t>
        </is>
      </c>
    </row>
    <row r="13">
      <c r="B13" s="24" t="inlineStr">
        <is>
          <t>Tranche Claim</t>
        </is>
      </c>
      <c r="C13" s="24" t="inlineStr">
        <is>
          <t>Claim Amount ($M)</t>
        </is>
      </c>
      <c r="D13" s="24" t="inlineStr">
        <is>
          <t>Seniority Ranking</t>
        </is>
      </c>
      <c r="E13" s="24" t="inlineStr">
        <is>
          <t>Estimated Collateral</t>
        </is>
      </c>
      <c r="F13" s="24" t="inlineStr">
        <is>
          <t>Recovery Floor (%)</t>
        </is>
      </c>
      <c r="G13" s="24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1295</v>
      </c>
      <c r="D14" s="7" t="inlineStr">
        <is>
          <t>Senior Secured (Pari Passu)</t>
        </is>
      </c>
      <c r="E14" s="7" t="inlineStr">
        <is>
          <t>First Lien Fixed Charges</t>
        </is>
      </c>
      <c r="F14" s="26" t="inlineStr">
        <is>
          <t>100.0%</t>
        </is>
      </c>
      <c r="G14" s="26" t="inlineStr">
        <is>
          <t>100.0%</t>
        </is>
      </c>
    </row>
    <row r="15">
      <c r="B15" s="7" t="inlineStr">
        <is>
          <t>ORDS Senior Unsecured Eurobonds</t>
        </is>
      </c>
      <c r="C15" s="8" t="n">
        <v>3885</v>
      </c>
      <c r="D15" s="7" t="inlineStr">
        <is>
          <t>Senior Unsecured</t>
        </is>
      </c>
      <c r="E15" s="7" t="inlineStr">
        <is>
          <t>General Corporate Guarantee</t>
        </is>
      </c>
      <c r="F15" s="26" t="inlineStr">
        <is>
          <t>84.0%</t>
        </is>
      </c>
      <c r="G15" s="26" t="inlineStr">
        <is>
          <t>100.5%</t>
        </is>
      </c>
    </row>
    <row r="16">
      <c r="B16" s="7" t="inlineStr">
        <is>
          <t>Subordinated Debt &amp; Intercompany Notes</t>
        </is>
      </c>
      <c r="C16" s="8" t="n">
        <v>777</v>
      </c>
      <c r="D16" s="7" t="inlineStr">
        <is>
          <t>Subordinated</t>
        </is>
      </c>
      <c r="E16" s="7" t="inlineStr">
        <is>
          <t>Junior Unsecured Claim</t>
        </is>
      </c>
      <c r="F16" s="26" t="inlineStr">
        <is>
          <t>0.0%</t>
        </is>
      </c>
      <c r="G16" s="26" t="inlineStr">
        <is>
          <t>25.0%</t>
        </is>
      </c>
    </row>
    <row r="17">
      <c r="B17" s="7" t="inlineStr">
        <is>
          <t>Equity Shareholders</t>
        </is>
      </c>
      <c r="C17" s="8" t="n">
        <v>2072</v>
      </c>
      <c r="D17" s="7" t="inlineStr">
        <is>
          <t>Residual Equity</t>
        </is>
      </c>
      <c r="E17" s="7" t="inlineStr">
        <is>
          <t>Ordinary Shares</t>
        </is>
      </c>
      <c r="F17" s="26" t="inlineStr">
        <is>
          <t>0.0%</t>
        </is>
      </c>
      <c r="G17" s="26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English Law / DIFC / NY Jurisdiction.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36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00" customWidth="1" min="3" max="3"/>
    <col width="32" customWidth="1" min="4" max="4"/>
    <col width="19" customWidth="1" min="5" max="5"/>
    <col width="87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Ooredoo QPSC (ORDS) — Earnings Presentation &amp; Management Guidance</t>
        </is>
      </c>
    </row>
    <row r="3">
      <c r="B3" s="2" t="inlineStr">
        <is>
          <t>Source: Ooredoo QPSC FY2024 &amp; Recent Quarterly Earnings Presentation &amp; Analyst Briefing | Reporting Currency: USD / Local Currency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Analysis &amp; Operational Commentary</t>
        </is>
      </c>
    </row>
    <row r="7">
      <c r="B7" s="9" t="inlineStr">
        <is>
          <t>2025E Full-Year Gross Revenue Target</t>
        </is>
      </c>
      <c r="C7" s="9" t="inlineStr">
        <is>
          <t>$7020.0M (+8.0% YoY growth)</t>
        </is>
      </c>
      <c r="D7" s="33" t="inlineStr">
        <is>
          <t>$6922.5M (+6.5% YoY)</t>
        </is>
      </c>
      <c r="E7" s="34" t="inlineStr">
        <is>
          <t>On Track</t>
        </is>
      </c>
      <c r="F7" s="35" t="inlineStr">
        <is>
          <t>Commercial volumes and contract deliveries progressing in line with FY budget.</t>
        </is>
      </c>
    </row>
    <row r="8">
      <c r="B8" s="9" t="inlineStr">
        <is>
          <t>2025E Consolidated EBITDA Target</t>
        </is>
      </c>
      <c r="C8" s="9" t="inlineStr">
        <is>
          <t>$3080.0M (43.9% margin)</t>
        </is>
      </c>
      <c r="D8" s="33" t="inlineStr">
        <is>
          <t>$3024.0M</t>
        </is>
      </c>
      <c r="E8" s="34" t="inlineStr">
        <is>
          <t>On Track</t>
        </is>
      </c>
      <c r="F8" s="35" t="inlineStr">
        <is>
          <t>Operating cost discipline and high capacity utilization protecting margin guidance.</t>
        </is>
      </c>
    </row>
    <row r="9">
      <c r="B9" s="9" t="inlineStr">
        <is>
          <t>Long-Term Net Leverage Ceiling</t>
        </is>
      </c>
      <c r="C9" s="9" t="inlineStr">
        <is>
          <t>&lt; 3.25x Net Debt / EBITDA</t>
        </is>
      </c>
      <c r="D9" s="33" t="inlineStr">
        <is>
          <t>1.10x</t>
        </is>
      </c>
      <c r="E9" s="30" t="inlineStr">
        <is>
          <t>Ahead of Target</t>
        </is>
      </c>
      <c r="F9" s="35" t="inlineStr">
        <is>
          <t>Deleveraging on track with 2.65x buffer below covenant limit.</t>
        </is>
      </c>
    </row>
    <row r="10">
      <c r="B10" s="9" t="inlineStr">
        <is>
          <t>2025E Strategic Capex Envelope</t>
        </is>
      </c>
      <c r="C10" s="9" t="inlineStr">
        <is>
          <t>$1029.0M (Maximum growth and sustaining envelope)</t>
        </is>
      </c>
      <c r="D10" s="33" t="inlineStr">
        <is>
          <t>$946.7M committed</t>
        </is>
      </c>
      <c r="E10" s="34" t="inlineStr">
        <is>
          <t>On Track</t>
        </is>
      </c>
      <c r="F10" s="35" t="inlineStr">
        <is>
          <t>Phased capital deployment self-funded from operating cashflow with zero debt draw.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3" t="inlineStr">
        <is>
          <t>35% payout policy maintained</t>
        </is>
      </c>
      <c r="E11" s="34" t="inlineStr">
        <is>
          <t>On Track</t>
        </is>
      </c>
      <c r="F11" s="35" t="inlineStr">
        <is>
          <t>Dividend fully covered 2.4x by organic Free Cash Flow.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Strategic Technology Investments</t>
        </is>
      </c>
      <c r="C15" s="35" t="inlineStr">
        <is>
          <t>5G Spectrum Deployment, 4G LTE Rural Densification, FTTH Fiber Expansion, Tier-III Data Centers</t>
        </is>
      </c>
    </row>
    <row r="16">
      <c r="B16" s="9" t="inlineStr">
        <is>
          <t>Three Year Capex Program</t>
        </is>
      </c>
      <c r="C16" s="35" t="inlineStr">
        <is>
          <t>$2744.0M network enhancement program</t>
        </is>
      </c>
    </row>
    <row r="17">
      <c r="B17" s="9" t="inlineStr">
        <is>
          <t>Fiber Network Rollout</t>
        </is>
      </c>
      <c r="C17" s="35" t="inlineStr">
        <is>
          <t>Targeting 2.5M additional homes passed with high-speed fiber broadband by 2027</t>
        </is>
      </c>
    </row>
    <row r="18">
      <c r="B18" s="9" t="inlineStr">
        <is>
          <t>Green Telecom Initiatives</t>
        </is>
      </c>
      <c r="C18" s="35" t="inlineStr">
        <is>
          <t>Solar hybrid power deployed at 35%+ of off-grid tower sites</t>
        </is>
      </c>
    </row>
    <row r="19"/>
    <row r="20">
      <c r="B20" s="3" t="inlineStr">
        <is>
          <t>III. GEOGRAPHIC &amp; CURRENCY EXPOSURE MATRIX</t>
        </is>
      </c>
    </row>
    <row r="21">
      <c r="B21" s="5" t="inlineStr">
        <is>
          <t>Exposure Category</t>
        </is>
      </c>
      <c r="C21" s="5" t="inlineStr">
        <is>
          <t>Contractual / Balance Sheet Profile</t>
        </is>
      </c>
    </row>
    <row r="22">
      <c r="B22" s="9" t="inlineStr">
        <is>
          <t>Fx Debt Hedging Ratio</t>
        </is>
      </c>
      <c r="C22" s="35" t="inlineStr">
        <is>
          <t>82.0% of foreign currency debt hedged via cross-currency swaps and forwards</t>
        </is>
      </c>
    </row>
    <row r="23">
      <c r="B23" s="9" t="inlineStr">
        <is>
          <t>Tariff Pricing Elasticity</t>
        </is>
      </c>
      <c r="C23" s="35" t="inlineStr">
        <is>
          <t>Contractual ability to adjust post-paid and pre-paid tariffs every 3-6 months to match inflation</t>
        </is>
      </c>
    </row>
    <row r="24">
      <c r="B24" s="9" t="inlineStr">
        <is>
          <t>Digital Revenue Mix</t>
        </is>
      </c>
      <c r="C24" s="35" t="inlineStr">
        <is>
          <t>Digital services, cloud, and fintech solutions expanding to 24% of consolidated revenue</t>
        </is>
      </c>
    </row>
    <row r="25"/>
    <row r="26">
      <c r="B26" s="3" t="inlineStr">
        <is>
          <t>IV. CONTRACT BACKLOG &amp; COMMERCIAL MOAT</t>
        </is>
      </c>
    </row>
    <row r="27">
      <c r="B27" s="5" t="inlineStr">
        <is>
          <t>Dimension</t>
        </is>
      </c>
      <c r="C27" s="5" t="inlineStr">
        <is>
          <t>Commercial / Asset Metrics</t>
        </is>
      </c>
    </row>
    <row r="28">
      <c r="B28" s="9" t="inlineStr">
        <is>
          <t>Postpaid Subscriber Share</t>
        </is>
      </c>
      <c r="C28" s="35" t="inlineStr">
        <is>
          <t>58.5% of total mobile base providing high-retention recurring revenue</t>
        </is>
      </c>
    </row>
    <row r="29">
      <c r="B29" s="9" t="inlineStr">
        <is>
          <t>Blended Monthly Arpu Trend</t>
        </is>
      </c>
      <c r="C29" s="35" t="inlineStr">
        <is>
          <t>Healthy double-digit growth in ARPU supported by high-speed data consumption</t>
        </is>
      </c>
    </row>
    <row r="30">
      <c r="B30" s="9" t="inlineStr">
        <is>
          <t>Corporate B2B Contract Backlog</t>
        </is>
      </c>
      <c r="C30" s="35" t="inlineStr">
        <is>
          <t>$2925.0M in multi-year enterprise ICT and cloud contracts</t>
        </is>
      </c>
    </row>
    <row r="31"/>
    <row r="32">
      <c r="B32" s="3" t="inlineStr">
        <is>
          <t>V. LIQUIDITY WATERFALL &amp; HEADROOM</t>
        </is>
      </c>
    </row>
    <row r="33">
      <c r="B33" s="5" t="inlineStr">
        <is>
          <t>Liquidity Component</t>
        </is>
      </c>
      <c r="C33" s="5" t="inlineStr">
        <is>
          <t>Available Buffer / Runway</t>
        </is>
      </c>
    </row>
    <row r="34">
      <c r="B34" s="9" t="inlineStr">
        <is>
          <t>Cash And Liquid Investments</t>
        </is>
      </c>
      <c r="C34" s="35" t="inlineStr">
        <is>
          <t>$2100.0M (Maintained predominantly in USD and EUR)</t>
        </is>
      </c>
    </row>
    <row r="35">
      <c r="B35" s="9" t="inlineStr">
        <is>
          <t>Undrawn Committed Bank Facilities</t>
        </is>
      </c>
      <c r="C35" s="35" t="inlineStr">
        <is>
          <t>$1554.0M in committed revolving credit facilities</t>
        </is>
      </c>
    </row>
    <row r="36">
      <c r="B36" s="9" t="inlineStr">
        <is>
          <t>Liquidity Runway</t>
        </is>
      </c>
      <c r="C36" s="35" t="inlineStr">
        <is>
          <t>Comfortable 32+ months of debt maturities and spectrum commitments fully funded</t>
        </is>
      </c>
    </row>
  </sheetData>
  <mergeCells count="24">
    <mergeCell ref="C36:I36"/>
    <mergeCell ref="C23:I23"/>
    <mergeCell ref="F9:I9"/>
    <mergeCell ref="C17:I17"/>
    <mergeCell ref="B3:I3"/>
    <mergeCell ref="C28:I28"/>
    <mergeCell ref="C18:I18"/>
    <mergeCell ref="B2:I2"/>
    <mergeCell ref="F11:I11"/>
    <mergeCell ref="C34:I34"/>
    <mergeCell ref="C24:I24"/>
    <mergeCell ref="C30:I30"/>
    <mergeCell ref="C15:I15"/>
    <mergeCell ref="C33:I33"/>
    <mergeCell ref="F10:I10"/>
    <mergeCell ref="C14:I14"/>
    <mergeCell ref="F7:I7"/>
    <mergeCell ref="C35:I35"/>
    <mergeCell ref="C29:I29"/>
    <mergeCell ref="C16:I16"/>
    <mergeCell ref="C22:I22"/>
    <mergeCell ref="F8:I8"/>
    <mergeCell ref="C21:I21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2026-09-19T21:22:56Z</dcterms:created>
  <dcterms:modified xmlns:dcterms="http://purl.org/dc/terms/" xmlns:xsi="http://www.w3.org/2001/XMLSchema-instance" xsi:type="dcterms:W3CDTF">2026-09-19T21:22:56Z</dcterms:modified>
</cp:coreProperties>
</file>