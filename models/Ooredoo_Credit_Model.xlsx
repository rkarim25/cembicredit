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(+$27.3M)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(+$33.6M)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(+$37.8M)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(+$42.0M)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(+$46.2M)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(+$49.6M)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(+$52.1M)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(+$27.3M)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(+$33.6M)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(+$37.8M)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(+$42.0M)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(+$46.2M)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(+$49.6M)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(+$52.1M)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(ORDS) — Institutional Credit Model</t>
        </is>
      </c>
    </row>
    <row r="3">
      <c r="B3" s="2" t="inlineStr">
        <is>
          <t>Sector: Technology | Country: Qatar | Rating: A2 / A- | Benchmark: ORDS 4.50% 2031 @ $97.80 (5.00% YTM / +95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State-backed telecom operator across Qatar, Kuwait, Iraq, and Algeria; robust EBITDA margin and cash flow.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ORDS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2331</v>
      </c>
      <c r="F26" s="7" t="inlineStr">
        <is>
          <t>5.00%</t>
        </is>
      </c>
      <c r="G26" s="7" t="inlineStr">
        <is>
          <t>$97.80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ORDS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1554</v>
      </c>
      <c r="F27" s="7" t="inlineStr">
        <is>
          <t>4.25%</t>
        </is>
      </c>
      <c r="G27" s="7" t="inlineStr">
        <is>
          <t>$100.30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1295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2563.6</v>
      </c>
      <c r="D16" s="8" t="n">
        <v>3091.4</v>
      </c>
      <c r="E16" s="8" t="n">
        <v>3468.4</v>
      </c>
      <c r="F16" s="8" t="n">
        <v>3770</v>
      </c>
      <c r="G16" s="8" t="n">
        <v>4071.6</v>
      </c>
      <c r="H16" s="8" t="n">
        <v>4335.5</v>
      </c>
      <c r="I16" s="8" t="n">
        <v>4524</v>
      </c>
    </row>
    <row r="17">
      <c r="B17" s="7" t="inlineStr">
        <is>
          <t>Fixed Broadband &amp; Enterprise ICT</t>
        </is>
      </c>
      <c r="C17" s="8" t="n">
        <v>1149.2</v>
      </c>
      <c r="D17" s="8" t="n">
        <v>1385.8</v>
      </c>
      <c r="E17" s="8" t="n">
        <v>1554.8</v>
      </c>
      <c r="F17" s="8" t="n">
        <v>1690</v>
      </c>
      <c r="G17" s="8" t="n">
        <v>1825.2</v>
      </c>
      <c r="H17" s="8" t="n">
        <v>1943.5</v>
      </c>
      <c r="I17" s="8" t="n">
        <v>2028</v>
      </c>
    </row>
    <row r="18">
      <c r="B18" s="7" t="inlineStr">
        <is>
          <t>Fintech, Media &amp; Digital Services</t>
        </is>
      </c>
      <c r="C18" s="8" t="n">
        <v>707.2</v>
      </c>
      <c r="D18" s="8" t="n">
        <v>852.8</v>
      </c>
      <c r="E18" s="8" t="n">
        <v>956.8</v>
      </c>
      <c r="F18" s="8" t="n">
        <v>1040</v>
      </c>
      <c r="G18" s="8" t="n">
        <v>1123.2</v>
      </c>
      <c r="H18" s="8" t="n">
        <v>1196</v>
      </c>
      <c r="I18" s="8" t="n">
        <v>1248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27.3</v>
      </c>
      <c r="D35" s="23" t="n">
        <v>33.6</v>
      </c>
      <c r="E35" s="23" t="n">
        <v>37.8</v>
      </c>
      <c r="F35" s="23" t="n">
        <v>42</v>
      </c>
      <c r="G35" s="23" t="n">
        <v>46.2</v>
      </c>
      <c r="H35" s="23" t="n">
        <v>49.6</v>
      </c>
      <c r="I35" s="23" t="n">
        <v>52.1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(+$27.3M)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(+$33.6M)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(+$37.8M)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(+$42.0M)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(+$46.2M)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(+$49.6M)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(+$52.1M)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6630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1547</v>
      </c>
      <c r="D36" s="8" t="n">
        <v>1547</v>
      </c>
      <c r="E36" s="8" t="n">
        <v>1547</v>
      </c>
      <c r="F36" s="8" t="n">
        <v>1547</v>
      </c>
      <c r="G36" s="8" t="n">
        <v>1547</v>
      </c>
      <c r="H36" s="8" t="n">
        <v>1547</v>
      </c>
      <c r="I36" s="8" t="n">
        <v>1547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-726.2</v>
      </c>
      <c r="D16" s="8" t="n">
        <v>-1270.1</v>
      </c>
      <c r="E16" s="8" t="n">
        <v>-1428.8</v>
      </c>
      <c r="F16" s="8" t="n">
        <v>-1352.4</v>
      </c>
      <c r="G16" s="8" t="n">
        <v>-1228.9</v>
      </c>
      <c r="H16" s="8" t="n">
        <v>-1318.3</v>
      </c>
      <c r="I16" s="8" t="n">
        <v>-1385.3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1155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231.5</v>
      </c>
      <c r="D32" s="8" t="n">
        <v>467.6</v>
      </c>
      <c r="E32" s="8" t="n">
        <v>527.4</v>
      </c>
      <c r="F32" s="8" t="n">
        <v>347.6</v>
      </c>
      <c r="G32" s="8" t="n">
        <v>370.8</v>
      </c>
      <c r="H32" s="8" t="n">
        <v>390.6</v>
      </c>
      <c r="I32" s="8" t="n">
        <v>404.2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ORDS Benchmark Eurobond Notes</t>
        </is>
      </c>
    </row>
    <row r="7">
      <c r="B7" s="7" t="inlineStr">
        <is>
          <t xml:space="preserve">  Beginning Principal Balance</t>
        </is>
      </c>
      <c r="C7" s="8" t="n">
        <v>1981.4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660.4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440.3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0.0500</f>
        <v/>
      </c>
      <c r="D11" s="8">
        <f>D10 * 0.0500</f>
        <v/>
      </c>
      <c r="E11" s="8">
        <f>E10 * 0.0500</f>
        <v/>
      </c>
      <c r="F11" s="8">
        <f>F10 * 0.0500</f>
        <v/>
      </c>
      <c r="G11" s="8">
        <f>G10 * 0.0500</f>
        <v/>
      </c>
      <c r="H11" s="8">
        <f>H10 * 0.0500</f>
        <v/>
      </c>
      <c r="I11" s="8">
        <f>I10 * 0.0500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2421.7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621.6</v>
      </c>
      <c r="C32" s="8" t="n">
        <v>1139.6</v>
      </c>
      <c r="D32" s="8" t="n">
        <v>1450.4</v>
      </c>
      <c r="E32" s="8" t="n">
        <v>932.4</v>
      </c>
      <c r="F32" s="8" t="n">
        <v>621.6</v>
      </c>
      <c r="G32" s="8" t="n">
        <v>414.4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ORDS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2331</v>
      </c>
      <c r="F37" s="29" t="inlineStr">
        <is>
          <t>5.000%</t>
        </is>
      </c>
      <c r="G37" s="30" t="n">
        <v>97.8</v>
      </c>
      <c r="H37" s="31" t="n">
        <v>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ORDS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1554</v>
      </c>
      <c r="F38" s="29" t="inlineStr">
        <is>
          <t>4.350%</t>
        </is>
      </c>
      <c r="G38" s="30" t="n">
        <v>99.8</v>
      </c>
      <c r="H38" s="31" t="n">
        <v>4.35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777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518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ORDS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1450.4</v>
      </c>
    </row>
    <row r="45">
      <c r="B45" s="7" t="inlineStr">
        <is>
          <t>Drawn Amount ($M)</t>
        </is>
      </c>
      <c r="C45" s="8" t="n">
        <v>518</v>
      </c>
    </row>
    <row r="46">
      <c r="B46" s="18" t="inlineStr">
        <is>
          <t>AVAILABLE UNDRAWN HEADROOM ($M)</t>
        </is>
      </c>
      <c r="C46" s="19" t="n">
        <v>932.4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1.10x</t>
        </is>
      </c>
      <c r="E55" s="32" t="inlineStr">
        <is>
          <t>2.65x leverage buffer ($7420.0M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9.20x</t>
        </is>
      </c>
      <c r="E56" s="32" t="inlineStr">
        <is>
          <t>+6.70x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6.6% of Assets</t>
        </is>
      </c>
      <c r="E57" s="32" t="inlineStr">
        <is>
          <t>$1430.0M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5.00%</t>
        </is>
      </c>
      <c r="F6" s="34" t="inlineStr">
        <is>
          <t>4.2x</t>
        </is>
      </c>
      <c r="G6" s="34" t="inlineStr">
        <is>
          <t>$100.50</t>
        </is>
      </c>
      <c r="H6" s="34" t="inlineStr">
        <is>
          <t>+2.8%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7.00%</t>
        </is>
      </c>
      <c r="F7" s="29" t="inlineStr">
        <is>
          <t>3.2x</t>
        </is>
      </c>
      <c r="G7" s="29" t="inlineStr">
        <is>
          <t>$92.25</t>
        </is>
      </c>
      <c r="H7" s="29" t="inlineStr">
        <is>
          <t>-5.7%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$84.00</t>
        </is>
      </c>
      <c r="H8" s="29" t="inlineStr">
        <is>
          <t>-14.1%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3.50%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+7.4%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1295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ORDS Senior Unsecured Eurobonds</t>
        </is>
      </c>
      <c r="C15" s="8" t="n">
        <v>3885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84.0%</t>
        </is>
      </c>
      <c r="G15" s="29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777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2072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Ooredoo QPSC (ORDS) — Earnings Presentation &amp; Management Guidance</t>
        </is>
      </c>
    </row>
    <row r="3">
      <c r="B3" s="2" t="inlineStr">
        <is>
          <t>Source: Ooredoo QPSC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$7020.0M (+8.0% YoY growth)</t>
        </is>
      </c>
      <c r="D7" s="35" t="inlineStr">
        <is>
          <t>$6922.5M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$7020.0M (+8.0% YoY growth). With current run-rate at $6922.5M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$3080.0M (43.9% margin)</t>
        </is>
      </c>
      <c r="D8" s="35" t="inlineStr">
        <is>
          <t>$3024.0M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$3080.0M (43.9%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1.10x</t>
        </is>
      </c>
      <c r="E9" s="32" t="inlineStr">
        <is>
          <t>Ahead of Target</t>
        </is>
      </c>
      <c r="F9" s="37" t="inlineStr">
        <is>
          <t>Deleveraging on track with 2.65x buffer below covenant limit.
[QUESTION TO CFO TO VERIFY]: You previously committed to a Net Leverage ceiling of &lt; 3.25x Net Debt / EBITDA. Current actual leverage stands at 1.10x.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$1029.0M (Maximum growth and sustaining envelope)</t>
        </is>
      </c>
      <c r="D10" s="35" t="inlineStr">
        <is>
          <t>$946.7M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$1029.0M (Maximum growth and sustaining envelope). Current commitments stand at $946.7M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$2744.0M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$2925.0M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$2100.0M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$1554.0M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14:00 Local / Pre-Market</t>
        </is>
      </c>
    </row>
    <row r="49">
      <c r="B49" s="9" t="inlineStr">
        <is>
          <t>Official IR Portal / Webcast URL</t>
        </is>
      </c>
      <c r="C49" s="37" t="inlineStr">
        <is>
          <t>https://www.google.com/finance/quote/ORDS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2026-10-27T05:16:55Z</dcterms:created>
  <dcterms:modified xmlns:dcterms="http://purl.org/dc/terms/" xmlns:xsi="http://www.w3.org/2001/XMLSchema-instance" xsi:type="dcterms:W3CDTF">2026-10-27T05:16:55Z</dcterms:modified>
</cp:coreProperties>
</file>