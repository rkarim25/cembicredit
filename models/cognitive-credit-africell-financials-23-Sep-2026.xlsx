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nnual and Quarterly" sheetId="1" r:id="rId2"/>
    <sheet name="Quarterly YTD" sheetId="2" r:id="rId3"/>
    <sheet name="Rolling LTM" sheetId="3" r:id="rId4"/>
  </sheets>
  <calcPr calcId="0" iterate="1" iterateCount="24" iterateDelta="0.1"/>
</workbook>
</file>

<file path=xl/sharedStrings.xml><?xml version="1.0" encoding="utf-8"?>
<sst xmlns="http://schemas.openxmlformats.org/spreadsheetml/2006/main" count="860" uniqueCount="268">
  <si>
    <t>$mm, Dec year-end</t>
  </si>
  <si>
    <t>FY22</t>
  </si>
  <si>
    <t>FY23</t>
  </si>
  <si>
    <t>FY24</t>
  </si>
  <si>
    <t>FY25</t>
  </si>
  <si>
    <t>LTM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</si>
  <si>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</si>
  <si>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</si>
  <si>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</si>
  <si>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</si>
  <si>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</si>
  <si>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</si>
  <si>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</si>
  <si>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</si>
  <si>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</si>
  <si>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</si>
  <si>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</si>
  <si>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</si>
  <si>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Q/o/Q</t>
  </si>
  <si>
    <t>Y/o/Y</t>
  </si>
  <si>
    <t xml:space="preserve"> Income Statement</t>
  </si>
  <si>
    <t>Revenues</t>
  </si>
  <si>
    <t>Operating costs and commissions</t>
  </si>
  <si>
    <t>Administrative, marketing and selling expenses</t>
  </si>
  <si>
    <t>Depreciation of tangible assets</t>
  </si>
  <si>
    <t>Amortization of intangible assets</t>
  </si>
  <si>
    <t>(Provision)/write-back for expected credit losses on trade receivables</t>
  </si>
  <si>
    <t>Write-back/(provision) for expected credit losses on trade receivables</t>
  </si>
  <si>
    <t>NM</t>
  </si>
  <si>
    <t>Provision for expected credit losses on balances due from related parties</t>
  </si>
  <si>
    <t>Receivables written off</t>
  </si>
  <si>
    <t>Other gain/(loss), net</t>
  </si>
  <si>
    <t>OPERATING PROFIT</t>
  </si>
  <si>
    <t>Interest income on balances due from related parties</t>
  </si>
  <si>
    <t>Interest income on balances due from a related party</t>
  </si>
  <si>
    <t>Other interest income</t>
  </si>
  <si>
    <t>Finance costs, net</t>
  </si>
  <si>
    <t>Loss on exchange, net</t>
  </si>
  <si>
    <t>Net (loss)/gain on net monetary position</t>
  </si>
  <si>
    <t>LOSS BEFORE INCOME TAX FROM CONTINUING OPERATIONS</t>
  </si>
  <si>
    <t>Income tax expense</t>
  </si>
  <si>
    <t>LOSS FOR THE PERIOD FROM CONTINUING OPERATIONS</t>
  </si>
  <si>
    <t>Profit/(loss) for the period from discontinued operations</t>
  </si>
  <si>
    <t>LOSS FOR THE PERIOD</t>
  </si>
  <si>
    <t>Equity holders of the Company</t>
  </si>
  <si>
    <t>Non-controlling interests</t>
  </si>
  <si>
    <t>Exchange differences on translation of foreign operations</t>
  </si>
  <si>
    <t>Defined benefit plan actuarial gain</t>
  </si>
  <si>
    <t>Total other comprehensive (loss)/gain</t>
  </si>
  <si>
    <t>TOTAL COMPREHENSIVE LOSS FOR THE PERIOD</t>
  </si>
  <si>
    <t xml:space="preserve"> Cash Flow Statement</t>
  </si>
  <si>
    <t>Loss before income tax from continuing operations</t>
  </si>
  <si>
    <t>Profit/(loss) from discontinued operations</t>
  </si>
  <si>
    <t>Depreciation on tangible assets</t>
  </si>
  <si>
    <t>(Write-back) Provision for expected credit losses on trade receivables</t>
  </si>
  <si>
    <t>Provision for expected credit losses on trade receivables</t>
  </si>
  <si>
    <t>Re-measurement gain on long-term liability</t>
  </si>
  <si>
    <t>Write-back for expected credit losses on trade receivables, net</t>
  </si>
  <si>
    <t>(Write-back) Provision for expected credit losses on bank balances</t>
  </si>
  <si>
    <t>Provision for expected credit losses on balance due from a related party</t>
  </si>
  <si>
    <t>Provision (Write-back) for expected credit losses on bank balances</t>
  </si>
  <si>
    <t>Provision for/(write-back of) expected credit losses on bank balances</t>
  </si>
  <si>
    <t>Provision for expected credit losses on bank balances</t>
  </si>
  <si>
    <t>Net movement in other provisions during the period</t>
  </si>
  <si>
    <t>(Reversal of)/provision for inventory obsolescence, net</t>
  </si>
  <si>
    <t>(Write back)/provision for slow moving and obsolete inventory, net</t>
  </si>
  <si>
    <t>Write-back of provision for slow moving and obsolete inventory, net</t>
  </si>
  <si>
    <t>Finance costs</t>
  </si>
  <si>
    <t>Gain on disposal of property and equipment</t>
  </si>
  <si>
    <t>(Loss) gain on termination of lease contracts</t>
  </si>
  <si>
    <t>Net loss/(gain) on net monetary position</t>
  </si>
  <si>
    <t>Increase in trade receivables and contract costs</t>
  </si>
  <si>
    <t>Decrease/(increase) in trade receivables and contract assets</t>
  </si>
  <si>
    <t>Decrease /(increase) in inventories</t>
  </si>
  <si>
    <t>Prepayments and other debit balances</t>
  </si>
  <si>
    <t>Increase in prepayments and other debit balances</t>
  </si>
  <si>
    <t>Decrease in accounts payable, advances from distributors, and accrued expenses and</t>
  </si>
  <si>
    <t>other credit expenses</t>
  </si>
  <si>
    <t>Increase/(decrease) in accounts payable, advances from distributors and accrued expenses and other credit balances</t>
  </si>
  <si>
    <t>Balance with related parties</t>
  </si>
  <si>
    <t>Contract liabilities</t>
  </si>
  <si>
    <t>Balances with a related party and shareholders</t>
  </si>
  <si>
    <t>Decrease in long term debt to supplier</t>
  </si>
  <si>
    <t>Increase/(decrease) in restricted bank balances</t>
  </si>
  <si>
    <t>(Decrease)/increase in contract liabilities</t>
  </si>
  <si>
    <t>Interest received</t>
  </si>
  <si>
    <t>Finance costs paid</t>
  </si>
  <si>
    <t>Cash from operations</t>
  </si>
  <si>
    <t>Income tax paid</t>
  </si>
  <si>
    <t>Provisions paid</t>
  </si>
  <si>
    <t>Net cash from operating activities</t>
  </si>
  <si>
    <t>Acquisition of property, equipment and intangible assets</t>
  </si>
  <si>
    <t>Acquisition of intangible assets</t>
  </si>
  <si>
    <t>Due from related parties</t>
  </si>
  <si>
    <t>Payment for telecom license</t>
  </si>
  <si>
    <t>Advances to suppliers</t>
  </si>
  <si>
    <t>Proceeds from disposal of property and equipment</t>
  </si>
  <si>
    <t>Due from a related party</t>
  </si>
  <si>
    <t>Movement in term deposits</t>
  </si>
  <si>
    <t>Net cash used in investing activities</t>
  </si>
  <si>
    <t>Term loans proceeds</t>
  </si>
  <si>
    <t>Terms loans payments</t>
  </si>
  <si>
    <t>Lease liabilities paid</t>
  </si>
  <si>
    <t>Interest paid</t>
  </si>
  <si>
    <t>Restricted bank balances</t>
  </si>
  <si>
    <t>Proceeds from bond issued</t>
  </si>
  <si>
    <t>Net cash (used in)/from financing activities</t>
  </si>
  <si>
    <t>(DECREASE) / INCREASE IN CASH AND CASH EQUIVALENTS</t>
  </si>
  <si>
    <t>Effects of exchange rate changes</t>
  </si>
  <si>
    <t>Cash and cash equivalents at beginning of the period</t>
  </si>
  <si>
    <t>CASH AND CASH EQUIVALENTS AT 30 JUNE</t>
  </si>
  <si>
    <t xml:space="preserve"> Balance Sheet</t>
  </si>
  <si>
    <t>Goodwill</t>
  </si>
  <si>
    <t>Intangible assets</t>
  </si>
  <si>
    <t>Property and equipment</t>
  </si>
  <si>
    <t>Right-of-use assets</t>
  </si>
  <si>
    <t>Deferred tax assets</t>
  </si>
  <si>
    <t>Non-current assets</t>
  </si>
  <si>
    <t>Inventories</t>
  </si>
  <si>
    <t>Contract assets</t>
  </si>
  <si>
    <t>Trade receivables</t>
  </si>
  <si>
    <t>Bank balances and cash</t>
  </si>
  <si>
    <t>Current assets</t>
  </si>
  <si>
    <t>TOTAL ASSETS</t>
  </si>
  <si>
    <t>Share capital</t>
  </si>
  <si>
    <t>Other reserve</t>
  </si>
  <si>
    <t>Legal reserve</t>
  </si>
  <si>
    <t>Foreign currency translation reserve</t>
  </si>
  <si>
    <t>Accumulated losses</t>
  </si>
  <si>
    <t>Equity attributable to equity holders of the Company</t>
  </si>
  <si>
    <t>Total equity</t>
  </si>
  <si>
    <t>Deferred tax liabilities</t>
  </si>
  <si>
    <t>Provisions for risks and charges</t>
  </si>
  <si>
    <t>Other long-term payables</t>
  </si>
  <si>
    <t>Term loans</t>
  </si>
  <si>
    <t>Lease liabilities</t>
  </si>
  <si>
    <t>Senior Secured Notes</t>
  </si>
  <si>
    <t>Long-term debt to a supplier</t>
  </si>
  <si>
    <t>Liabilities Non-current liabilities</t>
  </si>
  <si>
    <t>Senior secured notes</t>
  </si>
  <si>
    <t>Due to related parties</t>
  </si>
  <si>
    <t>Short-term lease liabilities</t>
  </si>
  <si>
    <t>Advances from distributors</t>
  </si>
  <si>
    <t>Other long-term payable – current portion</t>
  </si>
  <si>
    <t>Accrued expenses and other credit balances</t>
  </si>
  <si>
    <t>Income tax liability</t>
  </si>
  <si>
    <t>Accounts payable</t>
  </si>
  <si>
    <t>Bank overdrafts</t>
  </si>
  <si>
    <t>Current liabilities</t>
  </si>
  <si>
    <t>Total liabilities</t>
  </si>
  <si>
    <t>TOTAL EQUITY AND LIABILITIES</t>
  </si>
  <si>
    <t xml:space="preserve"> Debt Note</t>
  </si>
  <si>
    <t>Africell Holding Term loan Sep-2027</t>
  </si>
  <si>
    <t>Limited Africell Holding Syndicated term loan Sep-2026</t>
  </si>
  <si>
    <t>Limited Africell Holding Term loan Mar-2032</t>
  </si>
  <si>
    <t>Limited Africell Gambia Limited Bank loan May-2025</t>
  </si>
  <si>
    <t>Africell Gambia Limited Bank loan Dec-2024</t>
  </si>
  <si>
    <t>Africell RDC SA Africell Bank loan Feb-2026</t>
  </si>
  <si>
    <t>Sierra Leone Limited Bank loan Apr-2027</t>
  </si>
  <si>
    <t>Leases Liabilities (Balance Sheet)</t>
  </si>
  <si>
    <t>Total Gross Debt</t>
  </si>
  <si>
    <t>Gross Leverage</t>
  </si>
  <si>
    <t>Adjusted Gross Leverage</t>
  </si>
  <si>
    <t>Total Net Debt</t>
  </si>
  <si>
    <t>Net Leverage</t>
  </si>
  <si>
    <t>Adjusted Net Leverage</t>
  </si>
  <si>
    <t xml:space="preserve"> EBITDA Analysis</t>
  </si>
  <si>
    <t>Derived EBITDA</t>
  </si>
  <si>
    <t>Loss before tax from continuing operations</t>
  </si>
  <si>
    <t>Depreciation of property, equipment and right-of-use assets</t>
  </si>
  <si>
    <t>Net gain on net monetary position</t>
  </si>
  <si>
    <t>Company Reported Adjusted EBITDA</t>
  </si>
  <si>
    <t>Implied Adjustments to Derived EBITDA</t>
  </si>
  <si>
    <t>Adjustments / Derived EBITDA</t>
  </si>
  <si>
    <t>Derived EBITDA / Adjusted EBITDA</t>
  </si>
  <si>
    <t xml:space="preserve"> Geographic and Segmental Disclosure</t>
  </si>
  <si>
    <t>Democratic Republic of Congo</t>
  </si>
  <si>
    <t>Sierra Leone</t>
  </si>
  <si>
    <t>The Gambia</t>
  </si>
  <si>
    <t>Angola</t>
  </si>
  <si>
    <t>Other segments</t>
  </si>
  <si>
    <t>Total Revenue by Segment</t>
  </si>
  <si>
    <t>Total Company Reported Adjusted EBITDA by Segment</t>
  </si>
  <si>
    <t xml:space="preserve"> KPIs</t>
  </si>
  <si>
    <t>Airtime revenues (Postpaid Lines) (thousands)</t>
  </si>
  <si>
    <t>Data revenues (Postpaid Lines) (thousands)</t>
  </si>
  <si>
    <t>Value added services (Postpaid Lines) (thousands)</t>
  </si>
  <si>
    <t>Roaming revenues (Postpaid Lines) (thousands)</t>
  </si>
  <si>
    <t>Monthly subscriptions (Postpaid Lines) (thousands)</t>
  </si>
  <si>
    <t>Postpaid Lines () (thousands)</t>
  </si>
  <si>
    <t>Data revenues (Prepaid Lines) (thousands)</t>
  </si>
  <si>
    <t>Airtime revenues (Prepaid Lines) (thousands)</t>
  </si>
  <si>
    <t>Connection revenues (Prepaid Lines) (thousands)</t>
  </si>
  <si>
    <t>Value added services (Prepaid Lines) (thousands)</t>
  </si>
  <si>
    <t>Roaming revenues (Prepaid Lines) (thousands)</t>
  </si>
  <si>
    <t>Prepaid Lines () (thousands)</t>
  </si>
  <si>
    <t>Interconnection revenues (Network and others) (thousands)</t>
  </si>
  <si>
    <t>Internet services (Network and others) (thousands)</t>
  </si>
  <si>
    <t>Visitors roaming revenues (Network and others) (thousands)</t>
  </si>
  <si>
    <t>Handset sales (Network and others) (thousands)</t>
  </si>
  <si>
    <t>Co-location revenues (Network and others) (thousands)</t>
  </si>
  <si>
    <t>Other revenues (Network and others) (thousands)</t>
  </si>
  <si>
    <t>Network and others () (thousands)</t>
  </si>
  <si>
    <t xml:space="preserve"> Metrics</t>
  </si>
  <si>
    <t>EBITDA Margin</t>
  </si>
  <si>
    <t>Adjusted EBITDA Margin</t>
  </si>
  <si>
    <t>EBIT Margin</t>
  </si>
  <si>
    <t>EBT Margin</t>
  </si>
  <si>
    <t>Net Profit Margin</t>
  </si>
  <si>
    <t>Depreciation and Amortisation</t>
  </si>
  <si>
    <t>Total Impairment</t>
  </si>
  <si>
    <t>Depreciation Rate</t>
  </si>
  <si>
    <t>Amortisation Rate</t>
  </si>
  <si>
    <t>Gross Capex</t>
  </si>
  <si>
    <t>Net Capex</t>
  </si>
  <si>
    <t>Gross Capex / Sales</t>
  </si>
  <si>
    <t>PPE Growth Rate</t>
  </si>
  <si>
    <t>Gross Capex / D&amp;A</t>
  </si>
  <si>
    <t>Intangibles Growth Rate</t>
  </si>
  <si>
    <t>Funds From Operations (FFO)</t>
  </si>
  <si>
    <t>Free Cash Flow (FCF)</t>
  </si>
  <si>
    <t>Free Cash Flow to the Firm (FCFF)</t>
  </si>
  <si>
    <t>LTM FFO / Total Net Debt</t>
  </si>
  <si>
    <t>LTM FCF / Total Net Debt</t>
  </si>
  <si>
    <t>LTM FCFF / Total Net Debt</t>
  </si>
  <si>
    <t>Days in Period</t>
  </si>
  <si>
    <t>Accounts Receivable Days</t>
  </si>
  <si>
    <t>Accounts Payable Days</t>
  </si>
  <si>
    <t>Net Working Capital</t>
  </si>
  <si>
    <t>Change In Net Working Capital</t>
  </si>
  <si>
    <t>Net Cash Interest</t>
  </si>
  <si>
    <t>Effective Interest Rate</t>
  </si>
  <si>
    <t>Interest Coverage Ratio (EBITDA)</t>
  </si>
  <si>
    <t>Interest Coverage Ratio (Adjusted EBITDA)</t>
  </si>
  <si>
    <t>Net Cash Tax</t>
  </si>
  <si>
    <t>LTM Fixed Charges</t>
  </si>
  <si>
    <t>Fixed Charge Coverage Ratio (EBITDA)</t>
  </si>
  <si>
    <t>Fixed Charge Coverage Ratio (Adjusted EBITDA)</t>
  </si>
  <si>
    <t xml:space="preserve"> Year-over-year Changes</t>
  </si>
  <si>
    <t>Y/o/Y Revenue Change</t>
  </si>
  <si>
    <t>Y/o/Y EBITDA Change</t>
  </si>
  <si>
    <t>Y/o/Y Adjusted EBITDA Change</t>
  </si>
  <si>
    <t>Y/o/Y EBIT Change</t>
  </si>
  <si>
    <t>Y/o/Y EBT Change</t>
  </si>
  <si>
    <t>Y/o/Y Net Income Change</t>
  </si>
  <si>
    <t>Y/o/Y CFO Change</t>
  </si>
  <si>
    <t>Y/o/Y Gross Capex Change</t>
  </si>
  <si>
    <t>Y/o/Y FFO Change</t>
  </si>
  <si>
    <t>Y/o/Y FCF Change</t>
  </si>
  <si>
    <t>Y/o/Y FCFF Change</t>
  </si>
  <si>
    <t>Y/o/Y Total Net Cash Flow Change</t>
  </si>
  <si>
    <t>Y/o/Y Gross Debt Change</t>
  </si>
  <si>
    <t>Y/o/Y Gross Leverage Change</t>
  </si>
  <si>
    <t>Y/o/Y Adjusted Gross Leverage Change</t>
  </si>
  <si>
    <t>Y/o/Y Net Debt Change</t>
  </si>
  <si>
    <t>Y/o/Y Net Leverage Change</t>
  </si>
  <si>
    <t>Y/o/Y Adjusted Net Leverage Change</t>
  </si>
  <si>
    <t>Y/o/Y EBITDA Margin Change</t>
  </si>
  <si>
    <t>Y/o/Y Adjusted EBITDA Margin Change</t>
  </si>
  <si>
    <t>Y/o/Y EBIT Margin Change</t>
  </si>
  <si>
    <t>Please note that the download and usage of data is subject to the Terms &amp; Conditions of your Cognitive Credit Licence.</t>
  </si>
  <si>
    <t>Downloaded by Reza Karim at 23 Sep 2026, 14:05</t>
  </si>
  <si>
    <t>https://app.cognitivecredit.com/company/africell/financials</t>
  </si>
  <si>
    <t>1H23</t>
  </si>
  <si>
    <t>1H24</t>
  </si>
  <si>
    <t>1H25</t>
  </si>
  <si>
    <t>1H26</t>
  </si>
  <si>
    <t>2Q23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</si>
</sst>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1" formatCode="_(#,##0.0_);(#,##0.0);_(&quot;-&quot;??_);@"/>
    <numFmt numFmtId="172" formatCode="#,##0.0%"/>
    <numFmt numFmtId="173" formatCode="#,##0.0&quot;x&quot;"/>
    <numFmt numFmtId="174" formatCode="#,##0&quot;bp&quot;"/>
    <numFmt numFmtId="175" formatCode="#,##0&quot;d&quot;"/>
    <numFmt numFmtId="176" formatCode="#,##0.000%"/>
  </numFmts>
  <fonts count="4">
    <font>
      <b val="0"/>
      <i val="0"/>
      <sz val="9"/>
      <color rgb="FF041C2C"/>
      <name val="Open Sans"/>
    </font>
    <font>
      <b/>
      <i val="0"/>
      <sz val="9"/>
      <color rgb="FF041C2C"/>
      <name val="Open Sans"/>
    </font>
    <font>
      <b val="0"/>
      <i val="0"/>
      <sz val="9"/>
      <color rgb="FFFCFDFD"/>
      <name val="Open Sans"/>
    </font>
    <font>
      <b val="0"/>
      <i val="0"/>
      <u/>
      <sz val="9"/>
      <color rgb="FF007DA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041C2C"/>
      </patternFill>
    </fill>
    <fill>
      <patternFill patternType="solid">
        <fgColor rgb="FF95CAC3"/>
      </patternFill>
    </fill>
  </fills>
  <borders count="3">
    <border>
      <left/>
      <right/>
      <top/>
      <bottom/>
    </border>
    <border>
      <left/>
      <right/>
      <top/>
      <bottom style="thin">
        <color rgb="FF041C2C"/>
      </bottom>
    </border>
    <border>
      <left/>
      <right/>
      <top style="thin">
        <color rgb="FF041C2C"/>
      </top>
      <bottom/>
    </border>
  </borders>
  <cellStyleXfs count="1">
    <xf numFmtId="171" fontId="0" fillId="0" borderId="0">
      <alignment horizontal="right" vertical="top" wrapText="1"/>
      <protection locked="0"/>
    </xf>
  </cellStyleXfs>
  <cellXfs count="31">
    <xf numFmtId="171" fontId="0" fillId="0" borderId="0" xfId="0" applyFont="1" applyNumberFormat="1">
      <alignment horizontal="right" vertical="top" wrapText="1"/>
      <protection locked="0"/>
    </xf>
    <xf numFmtId="171" fontId="1" fillId="0" borderId="0" xfId="0" applyFont="1" applyNumberFormat="1">
      <alignment horizontal="center" vertical="top" wrapText="1"/>
      <protection locked="0"/>
    </xf>
    <xf numFmtId="171" fontId="2" fillId="2" borderId="1" xfId="0" applyFont="1" applyFill="1" applyBorder="1" applyNumberFormat="1">
      <alignment horizontal="left" vertical="top" wrapText="1"/>
      <protection locked="0"/>
    </xf>
    <xf numFmtId="171" fontId="0" fillId="0" borderId="1" xfId="0" applyFont="1" applyBorder="1" applyNumberFormat="1">
      <alignment horizontal="right" vertical="top" wrapText="1"/>
      <protection locked="0"/>
    </xf>
    <xf numFmtId="171" fontId="1" fillId="0" borderId="0" xfId="0" applyFont="1" applyNumberFormat="1">
      <alignment horizontal="right" vertical="top"/>
      <protection locked="0"/>
    </xf>
    <xf numFmtId="171" fontId="1" fillId="0" borderId="0" xfId="0" applyFont="1" applyNumberFormat="1">
      <alignment horizontal="right" vertical="top" wrapText="1"/>
      <protection locked="0"/>
    </xf>
    <xf numFmtId="171" fontId="1" fillId="3" borderId="0" xfId="0" applyFont="1" applyFill="1" applyNumberFormat="1">
      <alignment horizontal="right" vertical="top" wrapText="1"/>
    </xf>
    <xf numFmtId="171" fontId="1" fillId="0" borderId="0" xfId="0" applyFont="1" applyNumberFormat="1">
      <alignment horizontal="right" vertical="top" wrapText="1"/>
    </xf>
    <xf numFmtId="172" fontId="1" fillId="3" borderId="0" xfId="0" applyFont="1" applyFill="1" applyNumberFormat="1">
      <alignment horizontal="right" vertical="top" wrapText="1"/>
    </xf>
    <xf numFmtId="171" fontId="0" fillId="0" borderId="0" xfId="0" applyFont="1" applyNumberFormat="1">
      <alignment horizontal="right" vertical="top"/>
      <protection locked="0"/>
    </xf>
    <xf numFmtId="171" fontId="0" fillId="3" borderId="0" xfId="0" applyFont="1" applyFill="1" applyNumberFormat="1">
      <alignment horizontal="right" vertical="top" wrapText="1"/>
    </xf>
    <xf numFmtId="171" fontId="0" fillId="0" borderId="0" xfId="0" applyFont="1" applyNumberFormat="1">
      <alignment horizontal="right" vertical="top" wrapText="1"/>
    </xf>
    <xf numFmtId="172" fontId="0" fillId="3" borderId="0" xfId="0" applyFont="1" applyFill="1" applyNumberFormat="1">
      <alignment horizontal="right" vertical="top"/>
    </xf>
    <xf numFmtId="171" fontId="0" fillId="0" borderId="2" xfId="0" applyFont="1" applyBorder="1" applyNumberFormat="1">
      <alignment horizontal="right" vertical="top" wrapText="1"/>
      <protection locked="0"/>
    </xf>
    <xf numFmtId="171" fontId="0" fillId="3" borderId="0" xfId="0" applyFont="1" applyFill="1" applyNumberFormat="1">
      <alignment horizontal="right" vertical="top" wrapText="1"/>
      <protection locked="0"/>
    </xf>
    <xf numFmtId="173" fontId="0" fillId="0" borderId="0" xfId="0" applyFont="1" applyNumberFormat="1">
      <alignment horizontal="right" vertical="top"/>
    </xf>
    <xf numFmtId="173" fontId="0" fillId="3" borderId="0" xfId="0" applyFont="1" applyFill="1" applyNumberFormat="1">
      <alignment horizontal="right" vertical="top"/>
    </xf>
    <xf numFmtId="173" fontId="1" fillId="0" borderId="0" xfId="0" applyFont="1" applyNumberFormat="1">
      <alignment horizontal="right" vertical="top" wrapText="1"/>
    </xf>
    <xf numFmtId="173" fontId="1" fillId="3" borderId="0" xfId="0" applyFont="1" applyFill="1" applyNumberFormat="1">
      <alignment horizontal="right" vertical="top" wrapText="1"/>
    </xf>
    <xf numFmtId="172" fontId="0" fillId="0" borderId="0" xfId="0" applyFont="1" applyNumberFormat="1">
      <alignment horizontal="right" vertical="top"/>
    </xf>
    <xf numFmtId="174" fontId="0" fillId="3" borderId="0" xfId="0" applyFont="1" applyFill="1" applyNumberFormat="1">
      <alignment horizontal="right" vertical="top"/>
    </xf>
    <xf numFmtId="175" fontId="0" fillId="0" borderId="0" xfId="0" applyFont="1" applyNumberFormat="1">
      <alignment horizontal="right" vertical="top"/>
      <protection locked="0"/>
    </xf>
    <xf numFmtId="175" fontId="0" fillId="3" borderId="0" xfId="0" applyFont="1" applyFill="1" applyNumberFormat="1">
      <alignment horizontal="right" vertical="top"/>
      <protection locked="0"/>
    </xf>
    <xf numFmtId="175" fontId="0" fillId="3" borderId="0" xfId="0" applyFont="1" applyFill="1" applyNumberFormat="1">
      <alignment horizontal="right" vertical="top"/>
    </xf>
    <xf numFmtId="175" fontId="0" fillId="0" borderId="0" xfId="0" applyFont="1" applyNumberFormat="1">
      <alignment horizontal="right" vertical="top"/>
    </xf>
    <xf numFmtId="176" fontId="0" fillId="0" borderId="0" xfId="0" applyFont="1" applyNumberFormat="1">
      <alignment horizontal="right" vertical="top"/>
    </xf>
    <xf numFmtId="176" fontId="0" fillId="3" borderId="0" xfId="0" applyFont="1" applyFill="1" applyNumberFormat="1">
      <alignment horizontal="right" vertical="top"/>
    </xf>
    <xf numFmtId="172" fontId="0" fillId="0" borderId="0" xfId="0" applyFont="1" applyNumberFormat="1">
      <alignment horizontal="right" vertical="top"/>
      <protection locked="0"/>
    </xf>
    <xf numFmtId="174" fontId="0" fillId="0" borderId="0" xfId="0" applyFont="1" applyNumberFormat="1">
      <alignment horizontal="right" vertical="top"/>
    </xf>
    <xf numFmtId="171" fontId="0" fillId="0" borderId="0" xfId="0" applyFont="1" applyNumberFormat="1">
      <alignment horizontal="left" vertical="top" wrapText="1"/>
      <protection locked="0"/>
    </xf>
    <xf numFmtId="171" fontId="3" fillId="0" borderId="0" xfId="0" applyFont="1" applyNumberFormat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fricell/financial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fricell/financia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fricell/financi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D3E5213-B8A2-0F2D-888E-B37CBDEF3CD6}" mc:Ignorable="x14ac xr xr2 xr3">
  <dimension ref="A1:T284"/>
  <sheetViews>
    <sheetView defaultGridColor="0" colorId="9"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20" width="10.7109375" customWidth="1"/>
  </cols>
  <sheetData>
    <row customHeight="1" ht="15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customHeight="1" ht="15">
      <c r="A2" s="2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customHeight="1" ht="15">
      <c r="A3" s="4" t="s">
        <v>21</v>
      </c>
      <c r="B3" s="5">
        <v>308.108761</v>
      </c>
      <c r="C3" s="5">
        <v>356.197081</v>
      </c>
      <c r="D3" s="5">
        <v>355.993682</v>
      </c>
      <c r="E3" s="5">
        <v>408.648772</v>
      </c>
      <c r="F3" s="6">
        <f>E3+'Quarterly YTD'!O3-'Quarterly YTD'!K3</f>
        <v>445.671771</v>
      </c>
      <c r="G3" s="5">
        <v>71.173501</v>
      </c>
      <c r="H3" s="7">
        <f>C3-'Quarterly YTD'!D3</f>
        <v>92.106065</v>
      </c>
      <c r="I3" s="5">
        <v>85.804548</v>
      </c>
      <c r="J3" s="5">
        <v>88.795866</v>
      </c>
      <c r="K3" s="5">
        <v>88.056758</v>
      </c>
      <c r="L3" s="7">
        <f>D3-'Quarterly YTD'!H3</f>
        <v>93.33651</v>
      </c>
      <c r="M3" s="5">
        <v>93.498313</v>
      </c>
      <c r="N3" s="5">
        <v>100.309775</v>
      </c>
      <c r="O3" s="5">
        <v>106.756082</v>
      </c>
      <c r="P3" s="7">
        <f>E3-'Quarterly YTD'!L3</f>
        <v>108.084602</v>
      </c>
      <c r="Q3" s="5">
        <v>114.34153</v>
      </c>
      <c r="R3" s="5">
        <v>116.489557</v>
      </c>
      <c r="S3" s="8">
        <f t="shared" si="2" ref="S3:S242">IF(AND(R3=0,Q3=0),0,IF(OR(Q3=0,Q3="NM",R3="NM"),"NM",IF(Q3&lt;0,-(R3/Q3-1),R3/Q3-1)))</f>
        <v>0.0187860613724515</v>
      </c>
      <c r="T3" s="8">
        <f t="shared" si="3" ref="T3:T242">IF(AND(R3=0,N3=0),0,IF(OR(N3=0,N3="NM",R3="NM"),"NM",IF(N3&lt;0,-(R3/N3-1),R3/N3-1)))</f>
        <v>0.161298158629107</v>
      </c>
    </row>
    <row customHeight="1" ht="15">
      <c r="A4" s="9" t="s">
        <v>22</v>
      </c>
      <c r="B4" s="0">
        <v>-136.085149</v>
      </c>
      <c r="C4" s="0">
        <v>-139.635052</v>
      </c>
      <c r="D4" s="0">
        <v>-145.864517</v>
      </c>
      <c r="E4" s="0">
        <v>-144.119262</v>
      </c>
      <c r="F4" s="10">
        <f>E4+'Quarterly YTD'!O4-'Quarterly YTD'!K4</f>
        <v>-149.350979</v>
      </c>
      <c r="G4" s="0">
        <v>-29.166475</v>
      </c>
      <c r="H4" s="11">
        <f>C4-'Quarterly YTD'!D4</f>
        <v>-31.506634</v>
      </c>
      <c r="I4" s="0">
        <v>-31.334551</v>
      </c>
      <c r="J4" s="0">
        <v>-37.769739</v>
      </c>
      <c r="K4" s="0">
        <v>-41.459787</v>
      </c>
      <c r="L4" s="11">
        <f>D4-'Quarterly YTD'!H4</f>
        <v>-35.30044</v>
      </c>
      <c r="M4" s="0">
        <v>-34.165761</v>
      </c>
      <c r="N4" s="0">
        <v>-35.956565</v>
      </c>
      <c r="O4" s="0">
        <v>-35.515765</v>
      </c>
      <c r="P4" s="11">
        <f>E4-'Quarterly YTD'!L4</f>
        <v>-38.481171</v>
      </c>
      <c r="Q4" s="0">
        <v>-37.420421</v>
      </c>
      <c r="R4" s="0">
        <v>-37.933622</v>
      </c>
      <c r="S4" s="12">
        <f t="shared" si="0" ref="S4:S248">IF(AND(R4=0,Q4=0),0,IF(OR(Q4=0,Q4="NM",R4="NM"),"NM",IF(Q4&lt;0,(R4/Q4-1),-(R4/Q4-1))))</f>
        <v>0.013714463554539</v>
      </c>
      <c r="T4" s="12">
        <f t="shared" si="1" ref="T4:T248">IF(AND(R4=0,N4=0),0,IF(OR(N4=0,N4="NM",R4="NM"),"NM",IF(N4&lt;0,(R4/N4-1),-(R4/N4-1))))</f>
        <v>0.0549845904357105</v>
      </c>
    </row>
    <row customHeight="1" ht="15">
      <c r="A5" s="9" t="s">
        <v>23</v>
      </c>
      <c r="B5" s="0">
        <v>-108.124855</v>
      </c>
      <c r="C5" s="0">
        <v>-115.298115</v>
      </c>
      <c r="D5" s="0">
        <v>-130.957906</v>
      </c>
      <c r="E5" s="0">
        <v>-130.081</v>
      </c>
      <c r="F5" s="10">
        <f>E5+'Quarterly YTD'!O5-'Quarterly YTD'!K5</f>
        <v>-142.367568</v>
      </c>
      <c r="G5" s="0">
        <v>-20.450035</v>
      </c>
      <c r="H5" s="11">
        <f>C5-'Quarterly YTD'!D5</f>
        <v>-35.695191</v>
      </c>
      <c r="I5" s="0">
        <v>-28.487093</v>
      </c>
      <c r="J5" s="0">
        <v>-28.482691</v>
      </c>
      <c r="K5" s="0">
        <v>-31.407928</v>
      </c>
      <c r="L5" s="11">
        <f>D5-'Quarterly YTD'!H5</f>
        <v>-42.580194</v>
      </c>
      <c r="M5" s="0">
        <v>-30.456847</v>
      </c>
      <c r="N5" s="0">
        <v>-34.716748</v>
      </c>
      <c r="O5" s="0">
        <v>-26.436797</v>
      </c>
      <c r="P5" s="11">
        <f>E5-'Quarterly YTD'!L5</f>
        <v>-38.470608</v>
      </c>
      <c r="Q5" s="0">
        <v>-37.877638</v>
      </c>
      <c r="R5" s="0">
        <v>-39.582525</v>
      </c>
      <c r="S5" s="12">
        <f t="shared" si="0"/>
        <v>0.0450103831711999</v>
      </c>
      <c r="T5" s="12">
        <f t="shared" si="1"/>
        <v>0.140156474333368</v>
      </c>
    </row>
    <row customHeight="1" ht="15">
      <c r="A6" s="9" t="s">
        <v>24</v>
      </c>
      <c r="B6" s="0">
        <v>-42.745142</v>
      </c>
      <c r="C6" s="0">
        <v>-47.380285</v>
      </c>
      <c r="D6" s="0">
        <v>-48.614609</v>
      </c>
      <c r="E6" s="0">
        <v>-50.741037</v>
      </c>
      <c r="F6" s="10">
        <f>E6+'Quarterly YTD'!O6-'Quarterly YTD'!K6</f>
        <v>-56.226568</v>
      </c>
      <c r="G6" s="0">
        <v>-10.386751</v>
      </c>
      <c r="H6" s="11">
        <f>C6-'Quarterly YTD'!D6</f>
        <v>-11.997254</v>
      </c>
      <c r="I6" s="0">
        <v>-12.244525</v>
      </c>
      <c r="J6" s="0">
        <v>-13.211034</v>
      </c>
      <c r="K6" s="0">
        <v>-10.236228</v>
      </c>
      <c r="L6" s="11">
        <f>D6-'Quarterly YTD'!H6</f>
        <v>-12.922822</v>
      </c>
      <c r="M6" s="0">
        <v>-12.306473</v>
      </c>
      <c r="N6" s="0">
        <v>-11.951909</v>
      </c>
      <c r="O6" s="0">
        <v>-13.19391</v>
      </c>
      <c r="P6" s="11">
        <f>E6-'Quarterly YTD'!L6</f>
        <v>-13.288745</v>
      </c>
      <c r="Q6" s="0">
        <v>-15.027019</v>
      </c>
      <c r="R6" s="0">
        <v>-14.716894</v>
      </c>
      <c r="S6" s="12">
        <f t="shared" si="0"/>
        <v>-0.0206378257723637</v>
      </c>
      <c r="T6" s="12">
        <f t="shared" si="1"/>
        <v>0.231342541178986</v>
      </c>
    </row>
    <row customHeight="1" ht="15">
      <c r="A7" s="9" t="s">
        <v>25</v>
      </c>
      <c r="B7" s="0">
        <v>-11.955373</v>
      </c>
      <c r="C7" s="0">
        <v>-15.925177</v>
      </c>
      <c r="D7" s="0">
        <v>-20.609792</v>
      </c>
      <c r="E7" s="0">
        <v>-19.385894</v>
      </c>
      <c r="F7" s="10">
        <f>E7+'Quarterly YTD'!O7-'Quarterly YTD'!K7</f>
        <v>-18.961141</v>
      </c>
      <c r="G7" s="0">
        <v>-4.173107</v>
      </c>
      <c r="H7" s="11">
        <f>C7-'Quarterly YTD'!D7</f>
        <v>-4.928568</v>
      </c>
      <c r="I7" s="0">
        <v>-5.009905</v>
      </c>
      <c r="J7" s="0">
        <v>-5.304571</v>
      </c>
      <c r="K7" s="0">
        <v>-5.122623</v>
      </c>
      <c r="L7" s="11">
        <f>D7-'Quarterly YTD'!H7</f>
        <v>-5.172693</v>
      </c>
      <c r="M7" s="0">
        <v>-4.898694</v>
      </c>
      <c r="N7" s="0">
        <v>-5.10543</v>
      </c>
      <c r="O7" s="0">
        <v>-5.151362</v>
      </c>
      <c r="P7" s="11">
        <f>E7-'Quarterly YTD'!L7</f>
        <v>-4.230408</v>
      </c>
      <c r="Q7" s="0">
        <v>-4.784049</v>
      </c>
      <c r="R7" s="0">
        <v>-4.795322</v>
      </c>
      <c r="S7" s="12">
        <f t="shared" si="0"/>
        <v>0.00235637218598717</v>
      </c>
      <c r="T7" s="12">
        <f t="shared" si="1"/>
        <v>-0.0607408190886959</v>
      </c>
    </row>
    <row customHeight="1" ht="15">
      <c r="A8" s="9" t="s">
        <v>26</v>
      </c>
      <c r="B8" s="0">
        <v>0</v>
      </c>
      <c r="C8" s="0">
        <v>0</v>
      </c>
      <c r="D8" s="0">
        <v>0</v>
      </c>
      <c r="E8" s="0">
        <v>0</v>
      </c>
      <c r="F8" s="10">
        <f>E8+'Quarterly YTD'!O8-'Quarterly YTD'!K8</f>
        <v>0</v>
      </c>
      <c r="G8" s="0">
        <v>0</v>
      </c>
      <c r="H8" s="11">
        <f>C8-'Quarterly YTD'!D8</f>
        <v>0</v>
      </c>
      <c r="I8" s="0">
        <v>0</v>
      </c>
      <c r="J8" s="0">
        <v>0</v>
      </c>
      <c r="K8" s="0">
        <v>0</v>
      </c>
      <c r="L8" s="11">
        <f>D8-'Quarterly YTD'!H8</f>
        <v>0</v>
      </c>
      <c r="M8" s="0">
        <v>0.039965</v>
      </c>
      <c r="N8" s="0">
        <v>0</v>
      </c>
      <c r="O8" s="0">
        <v>0</v>
      </c>
      <c r="P8" s="11">
        <f>E8-'Quarterly YTD'!L8</f>
        <v>0</v>
      </c>
      <c r="Q8" s="0">
        <v>-0.115606</v>
      </c>
      <c r="R8" s="0">
        <v>0</v>
      </c>
      <c r="S8" s="12">
        <f t="shared" si="0"/>
        <v>-1</v>
      </c>
      <c r="T8" s="12">
        <f t="shared" si="1"/>
        <v>0</v>
      </c>
    </row>
    <row customHeight="1" ht="15">
      <c r="A9" s="9" t="s">
        <v>27</v>
      </c>
      <c r="B9" s="0">
        <v>-1.660354</v>
      </c>
      <c r="C9" s="0">
        <v>1.024685</v>
      </c>
      <c r="D9" s="0">
        <v>-0.904712</v>
      </c>
      <c r="E9" s="0">
        <v>-0.605485</v>
      </c>
      <c r="F9" s="10">
        <f>E9+'Quarterly YTD'!O9-'Quarterly YTD'!K9</f>
        <v>-0.218586</v>
      </c>
      <c r="G9" s="0">
        <v>-0.008508</v>
      </c>
      <c r="H9" s="11">
        <f>C9-'Quarterly YTD'!D9</f>
        <v>1.056003</v>
      </c>
      <c r="I9" s="0">
        <v>-0.008613</v>
      </c>
      <c r="J9" s="0">
        <v>-0.07367</v>
      </c>
      <c r="K9" s="0">
        <v>-0.455058</v>
      </c>
      <c r="L9" s="11">
        <f>D9-'Quarterly YTD'!H9</f>
        <v>-0.367371</v>
      </c>
      <c r="M9" s="0">
        <v>0</v>
      </c>
      <c r="N9" s="0">
        <v>-0.005824</v>
      </c>
      <c r="O9" s="0">
        <v>-0.03522</v>
      </c>
      <c r="P9" s="11">
        <f>E9-'Quarterly YTD'!L9</f>
        <v>-0.604406</v>
      </c>
      <c r="Q9" s="0">
        <v>0</v>
      </c>
      <c r="R9" s="0">
        <v>0.536646</v>
      </c>
      <c r="S9" s="12" t="str">
        <f t="shared" si="2"/>
        <v>NM</v>
      </c>
      <c r="T9" s="12">
        <f t="shared" si="3"/>
        <v>93.1438873626374</v>
      </c>
    </row>
    <row customHeight="1" ht="15">
      <c r="A10" s="9" t="s">
        <v>29</v>
      </c>
      <c r="B10" s="0">
        <v>-0.390413</v>
      </c>
      <c r="C10" s="0">
        <v>0</v>
      </c>
      <c r="D10" s="0">
        <v>-0.12936</v>
      </c>
      <c r="E10" s="0">
        <v>-0.065328</v>
      </c>
      <c r="F10" s="10">
        <f>E10+'Quarterly YTD'!O10-'Quarterly YTD'!K10</f>
        <v>-0.432576</v>
      </c>
      <c r="G10" s="0">
        <v>0</v>
      </c>
      <c r="H10" s="11">
        <f>C10-'Quarterly YTD'!D10</f>
        <v>0</v>
      </c>
      <c r="I10" s="0">
        <v>0</v>
      </c>
      <c r="J10" s="0">
        <v>0</v>
      </c>
      <c r="K10" s="0">
        <v>-0.12936</v>
      </c>
      <c r="L10" s="11">
        <f>D10-'Quarterly YTD'!H10</f>
        <v>0</v>
      </c>
      <c r="M10" s="0">
        <v>0</v>
      </c>
      <c r="N10" s="0">
        <v>-0.013296</v>
      </c>
      <c r="O10" s="0">
        <v>-0.013345</v>
      </c>
      <c r="P10" s="11">
        <f>E10-'Quarterly YTD'!L10</f>
        <v>-0.013296</v>
      </c>
      <c r="Q10" s="0">
        <v>-0.338567</v>
      </c>
      <c r="R10" s="0">
        <v>-0.067368</v>
      </c>
      <c r="S10" s="12">
        <f t="shared" si="2"/>
        <v>0.801020182120526</v>
      </c>
      <c r="T10" s="12">
        <f t="shared" si="3"/>
        <v>-4.06678700361011</v>
      </c>
    </row>
    <row customHeight="1" ht="15">
      <c r="A11" s="9" t="s">
        <v>30</v>
      </c>
      <c r="B11" s="0">
        <v>0</v>
      </c>
      <c r="C11" s="0">
        <v>0</v>
      </c>
      <c r="D11" s="0">
        <v>-0.072471</v>
      </c>
      <c r="E11" s="0">
        <v>-0.06976</v>
      </c>
      <c r="F11" s="10">
        <f>E11+'Quarterly YTD'!O11-'Quarterly YTD'!K11</f>
        <v>-0.084892</v>
      </c>
      <c r="G11" s="0">
        <v>0</v>
      </c>
      <c r="H11" s="11">
        <f>C11-'Quarterly YTD'!D11</f>
        <v>0</v>
      </c>
      <c r="I11" s="0">
        <v>0</v>
      </c>
      <c r="J11" s="0">
        <v>0</v>
      </c>
      <c r="K11" s="0">
        <v>0</v>
      </c>
      <c r="L11" s="11">
        <f>D11-'Quarterly YTD'!H11</f>
        <v>-0.072471</v>
      </c>
      <c r="M11" s="0">
        <v>0</v>
      </c>
      <c r="N11" s="0">
        <v>0</v>
      </c>
      <c r="O11" s="0">
        <v>0</v>
      </c>
      <c r="P11" s="11">
        <f>E11-'Quarterly YTD'!L11</f>
        <v>-0.06976</v>
      </c>
      <c r="Q11" s="0">
        <v>0</v>
      </c>
      <c r="R11" s="0">
        <v>-0.015132</v>
      </c>
      <c r="S11" s="12" t="str">
        <f t="shared" si="0"/>
        <v>NM</v>
      </c>
      <c r="T11" s="12" t="str">
        <f t="shared" si="1"/>
        <v>NM</v>
      </c>
    </row>
    <row customHeight="1" ht="15">
      <c r="A12" s="9" t="s">
        <v>31</v>
      </c>
      <c r="B12" s="0">
        <v>8.760054</v>
      </c>
      <c r="C12" s="0">
        <v>12.047365</v>
      </c>
      <c r="D12" s="0">
        <v>1.444997</v>
      </c>
      <c r="E12" s="0">
        <v>4.922003</v>
      </c>
      <c r="F12" s="10">
        <f>E12+'Quarterly YTD'!O12-'Quarterly YTD'!K12</f>
        <v>5.827131</v>
      </c>
      <c r="G12" s="0">
        <v>0.649341</v>
      </c>
      <c r="H12" s="11">
        <f>C12-'Quarterly YTD'!D12</f>
        <v>11.983504</v>
      </c>
      <c r="I12" s="0">
        <v>0.289148</v>
      </c>
      <c r="J12" s="0">
        <v>-0.703136</v>
      </c>
      <c r="K12" s="0">
        <v>1.788856</v>
      </c>
      <c r="L12" s="11">
        <f>D12-'Quarterly YTD'!H12</f>
        <v>0.0701290000000001</v>
      </c>
      <c r="M12" s="0">
        <v>0.095351</v>
      </c>
      <c r="N12" s="0">
        <v>-0.20662</v>
      </c>
      <c r="O12" s="0">
        <v>1.138677</v>
      </c>
      <c r="P12" s="11">
        <f>E12-'Quarterly YTD'!L12</f>
        <v>3.869204</v>
      </c>
      <c r="Q12" s="0">
        <v>-0.272845</v>
      </c>
      <c r="R12" s="0">
        <v>1.092095</v>
      </c>
      <c r="S12" s="12">
        <f t="shared" si="2"/>
        <v>5.00262053546886</v>
      </c>
      <c r="T12" s="12">
        <f t="shared" si="3"/>
        <v>6.28552415061466</v>
      </c>
    </row>
    <row customHeight="1" ht="15">
      <c r="A13" s="4" t="s">
        <v>32</v>
      </c>
      <c r="B13" s="7">
        <f t="shared" si="5" ref="B13:O13">SUM(B3:B7)+SUM(B9:B10)+B12</f>
        <v>15.907529</v>
      </c>
      <c r="C13" s="7">
        <f t="shared" si="4" ref="C13:R13">SUM(C3:C7)+SUM(C9:C12)</f>
        <v>51.030502</v>
      </c>
      <c r="D13" s="7">
        <f t="shared" si="4"/>
        <v>10.285312</v>
      </c>
      <c r="E13" s="7">
        <f t="shared" si="4"/>
        <v>68.503009</v>
      </c>
      <c r="F13" s="6">
        <f>E13+'Quarterly YTD'!O13-'Quarterly YTD'!K13</f>
        <v>83.856592</v>
      </c>
      <c r="G13" s="7">
        <f t="shared" si="5"/>
        <v>7.637966</v>
      </c>
      <c r="H13" s="7">
        <f t="shared" si="7" ref="H13:P13">SUM(H3:H12)</f>
        <v>21.017925</v>
      </c>
      <c r="I13" s="7">
        <f t="shared" si="6" ref="I13:J13">SUM(I3:I7)+I9+I12</f>
        <v>9.00900899999999</v>
      </c>
      <c r="J13" s="7">
        <f t="shared" si="6"/>
        <v>3.251025</v>
      </c>
      <c r="K13" s="7">
        <f t="shared" si="5"/>
        <v>1.03463</v>
      </c>
      <c r="L13" s="7">
        <f t="shared" si="7"/>
        <v>-3.009352</v>
      </c>
      <c r="M13" s="7">
        <f t="shared" si="8" ref="M13:Q13">SUM(M3:M8)+M10+M12</f>
        <v>11.805854</v>
      </c>
      <c r="N13" s="7">
        <f t="shared" si="4"/>
        <v>12.353383</v>
      </c>
      <c r="O13" s="7">
        <f t="shared" si="5"/>
        <v>27.54836</v>
      </c>
      <c r="P13" s="7">
        <f t="shared" si="7"/>
        <v>16.795412</v>
      </c>
      <c r="Q13" s="7">
        <f t="shared" si="8"/>
        <v>18.505385</v>
      </c>
      <c r="R13" s="7">
        <f t="shared" si="4"/>
        <v>21.007435</v>
      </c>
      <c r="S13" s="8">
        <f t="shared" si="2"/>
        <v>0.135206589865599</v>
      </c>
      <c r="T13" s="8">
        <f t="shared" si="3"/>
        <v>0.700541058267197</v>
      </c>
    </row>
    <row customHeight="1" ht="15">
      <c r="A14" s="9" t="s">
        <v>33</v>
      </c>
      <c r="B14" s="0">
        <v>1.932958</v>
      </c>
      <c r="C14" s="0">
        <v>2.126254</v>
      </c>
      <c r="D14" s="0">
        <v>2.33888</v>
      </c>
      <c r="E14" s="0">
        <v>2.572767</v>
      </c>
      <c r="F14" s="10">
        <f>E14+'Quarterly YTD'!O14-'Quarterly YTD'!K14</f>
        <v>2.572767</v>
      </c>
      <c r="G14" s="0">
        <v>0</v>
      </c>
      <c r="H14" s="11">
        <f>C14-'Quarterly YTD'!D14</f>
        <v>2.126254</v>
      </c>
      <c r="I14" s="0">
        <v>0</v>
      </c>
      <c r="J14" s="0">
        <v>0</v>
      </c>
      <c r="K14" s="0">
        <v>0</v>
      </c>
      <c r="L14" s="11">
        <f>D14-'Quarterly YTD'!H14</f>
        <v>2.33888</v>
      </c>
      <c r="M14" s="0">
        <v>0</v>
      </c>
      <c r="N14" s="0">
        <v>0</v>
      </c>
      <c r="O14" s="0">
        <v>0</v>
      </c>
      <c r="P14" s="11">
        <f>E14-'Quarterly YTD'!L14</f>
        <v>2.572767</v>
      </c>
      <c r="Q14" s="0">
        <v>0</v>
      </c>
      <c r="R14" s="0">
        <v>0</v>
      </c>
      <c r="S14" s="12">
        <f t="shared" si="2"/>
        <v>0</v>
      </c>
      <c r="T14" s="12">
        <f t="shared" si="3"/>
        <v>0</v>
      </c>
    </row>
    <row customHeight="1" ht="15">
      <c r="A15" s="9" t="s">
        <v>34</v>
      </c>
      <c r="B15" s="0">
        <v>0</v>
      </c>
      <c r="C15" s="0">
        <v>0</v>
      </c>
      <c r="D15" s="0">
        <v>0</v>
      </c>
      <c r="E15" s="0">
        <v>0</v>
      </c>
      <c r="F15" s="10">
        <f>E15+'Quarterly YTD'!O15-'Quarterly YTD'!K15</f>
        <v>0.128638</v>
      </c>
      <c r="G15" s="0">
        <v>0.531564</v>
      </c>
      <c r="H15" s="11">
        <f>C15-'Quarterly YTD'!D15</f>
        <v>-1.594691</v>
      </c>
      <c r="I15" s="0">
        <v>0.58472</v>
      </c>
      <c r="J15" s="0">
        <v>0.58472</v>
      </c>
      <c r="K15" s="0">
        <v>0.58472</v>
      </c>
      <c r="L15" s="11">
        <f>D15-'Quarterly YTD'!H15</f>
        <v>-1.75416</v>
      </c>
      <c r="M15" s="0">
        <v>0.643189</v>
      </c>
      <c r="N15" s="0">
        <v>0.643195</v>
      </c>
      <c r="O15" s="0">
        <v>0.643192</v>
      </c>
      <c r="P15" s="11">
        <f>E15-'Quarterly YTD'!L15</f>
        <v>-1.929576</v>
      </c>
      <c r="Q15" s="0">
        <v>0.707511</v>
      </c>
      <c r="R15" s="0">
        <v>0.707511</v>
      </c>
      <c r="S15" s="12">
        <f t="shared" si="2"/>
        <v>0</v>
      </c>
      <c r="T15" s="12">
        <f t="shared" si="3"/>
        <v>0.0999945584154107</v>
      </c>
    </row>
    <row customHeight="1" ht="15">
      <c r="A16" s="9" t="s">
        <v>35</v>
      </c>
      <c r="B16" s="0">
        <v>0.187722</v>
      </c>
      <c r="C16" s="0">
        <v>0.156096</v>
      </c>
      <c r="D16" s="0">
        <v>0.329062</v>
      </c>
      <c r="E16" s="0">
        <v>0.269998</v>
      </c>
      <c r="F16" s="10">
        <f>E16+'Quarterly YTD'!O16-'Quarterly YTD'!K16</f>
        <v>0.501385</v>
      </c>
      <c r="G16" s="0">
        <v>0.038724</v>
      </c>
      <c r="H16" s="11">
        <f>C16-'Quarterly YTD'!D16</f>
        <v>0.040954</v>
      </c>
      <c r="I16" s="0">
        <v>0.040809</v>
      </c>
      <c r="J16" s="0">
        <v>0.038332</v>
      </c>
      <c r="K16" s="0">
        <v>0.037117</v>
      </c>
      <c r="L16" s="11">
        <f>D16-'Quarterly YTD'!H16</f>
        <v>0.212804</v>
      </c>
      <c r="M16" s="0">
        <v>0.109547</v>
      </c>
      <c r="N16" s="0">
        <v>0.047734</v>
      </c>
      <c r="O16" s="0">
        <v>0.072899</v>
      </c>
      <c r="P16" s="11">
        <f>E16-'Quarterly YTD'!L16</f>
        <v>0.039818</v>
      </c>
      <c r="Q16" s="0">
        <v>0.236924</v>
      </c>
      <c r="R16" s="0">
        <v>0.151744</v>
      </c>
      <c r="S16" s="12">
        <f t="shared" si="2"/>
        <v>-0.359524573280883</v>
      </c>
      <c r="T16" s="12">
        <f t="shared" si="3"/>
        <v>2.1789500146646</v>
      </c>
    </row>
    <row customHeight="1" ht="15">
      <c r="A17" s="9" t="s">
        <v>36</v>
      </c>
      <c r="B17" s="0">
        <v>-55.213244</v>
      </c>
      <c r="C17" s="0">
        <v>-64.737849</v>
      </c>
      <c r="D17" s="0">
        <v>-74.276529</v>
      </c>
      <c r="E17" s="0">
        <v>-71.039195</v>
      </c>
      <c r="F17" s="10">
        <f>E17+'Quarterly YTD'!O17-'Quarterly YTD'!K17</f>
        <v>-77.784129</v>
      </c>
      <c r="G17" s="0">
        <v>-13.691071</v>
      </c>
      <c r="H17" s="11">
        <f>C17-'Quarterly YTD'!D17</f>
        <v>-16.487628</v>
      </c>
      <c r="I17" s="0">
        <v>-15.328047</v>
      </c>
      <c r="J17" s="0">
        <v>-15.410468</v>
      </c>
      <c r="K17" s="0">
        <v>-15.632486</v>
      </c>
      <c r="L17" s="11">
        <f>D17-'Quarterly YTD'!H17</f>
        <v>-27.905528</v>
      </c>
      <c r="M17" s="0">
        <v>-17.043553</v>
      </c>
      <c r="N17" s="0">
        <v>-17.184806</v>
      </c>
      <c r="O17" s="0">
        <v>-17.741476</v>
      </c>
      <c r="P17" s="11">
        <f>E17-'Quarterly YTD'!L17</f>
        <v>-19.06936</v>
      </c>
      <c r="Q17" s="0">
        <v>-20.252271</v>
      </c>
      <c r="R17" s="0">
        <v>-20.721022</v>
      </c>
      <c r="S17" s="12">
        <f t="shared" si="0"/>
        <v>0.0231456017944853</v>
      </c>
      <c r="T17" s="12">
        <f t="shared" si="1"/>
        <v>0.205775730025698</v>
      </c>
    </row>
    <row customHeight="1" ht="15">
      <c r="A18" s="9" t="s">
        <v>37</v>
      </c>
      <c r="B18" s="0">
        <v>-24.108535</v>
      </c>
      <c r="C18" s="0">
        <v>-114.151736</v>
      </c>
      <c r="D18" s="0">
        <v>-39.271284</v>
      </c>
      <c r="E18" s="0">
        <v>37.680522</v>
      </c>
      <c r="F18" s="10">
        <f>E18+'Quarterly YTD'!O18-'Quarterly YTD'!K18</f>
        <v>33.66656</v>
      </c>
      <c r="G18" s="0">
        <v>2.115323</v>
      </c>
      <c r="H18" s="11">
        <f>C18-'Quarterly YTD'!D18</f>
        <v>-30.669429</v>
      </c>
      <c r="I18" s="0">
        <v>-12.388792</v>
      </c>
      <c r="J18" s="0">
        <v>-10.767847</v>
      </c>
      <c r="K18" s="0">
        <v>-10.3553</v>
      </c>
      <c r="L18" s="11">
        <f>D18-'Quarterly YTD'!H18</f>
        <v>-5.759345</v>
      </c>
      <c r="M18" s="0">
        <v>-5.577573</v>
      </c>
      <c r="N18" s="0">
        <v>-7.600561</v>
      </c>
      <c r="O18" s="0">
        <v>15.383757</v>
      </c>
      <c r="P18" s="11">
        <f>E18-'Quarterly YTD'!L18</f>
        <v>35.474899</v>
      </c>
      <c r="Q18" s="0">
        <v>-13.410153</v>
      </c>
      <c r="R18" s="0">
        <v>-3.781943</v>
      </c>
      <c r="S18" s="12">
        <f t="shared" si="0"/>
        <v>-0.717979131185155</v>
      </c>
      <c r="T18" s="12">
        <f t="shared" si="1"/>
        <v>-0.502412650855641</v>
      </c>
    </row>
    <row customHeight="1" ht="15">
      <c r="A19" s="9" t="s">
        <v>38</v>
      </c>
      <c r="B19" s="0">
        <v>0</v>
      </c>
      <c r="C19" s="0">
        <v>21.543365</v>
      </c>
      <c r="D19" s="0">
        <v>3.558212</v>
      </c>
      <c r="E19" s="0">
        <v>-1.599516</v>
      </c>
      <c r="F19" s="10">
        <f>E19+'Quarterly YTD'!O19-'Quarterly YTD'!K19</f>
        <v>1.419819</v>
      </c>
      <c r="G19" s="0">
        <v>-3.066506</v>
      </c>
      <c r="H19" s="11">
        <f>C19-'Quarterly YTD'!D19</f>
        <v>-7.755996</v>
      </c>
      <c r="I19" s="0">
        <v>3.717688</v>
      </c>
      <c r="J19" s="0">
        <v>0.254449</v>
      </c>
      <c r="K19" s="0">
        <v>-1.266755</v>
      </c>
      <c r="L19" s="11">
        <f>D19-'Quarterly YTD'!H19</f>
        <v>0.85283</v>
      </c>
      <c r="M19" s="0">
        <v>-0.211588</v>
      </c>
      <c r="N19" s="0">
        <v>-0.017313</v>
      </c>
      <c r="O19" s="0">
        <v>0.6408</v>
      </c>
      <c r="P19" s="11">
        <f>E19-'Quarterly YTD'!L19</f>
        <v>-2.011415</v>
      </c>
      <c r="Q19" s="0">
        <v>2.791561</v>
      </c>
      <c r="R19" s="0">
        <v>-0.001127</v>
      </c>
      <c r="S19" s="12">
        <f t="shared" si="2"/>
        <v>-1.00040371677352</v>
      </c>
      <c r="T19" s="12">
        <f t="shared" si="3"/>
        <v>0.934904407092936</v>
      </c>
    </row>
    <row customHeight="1" ht="15">
      <c r="A20" s="9" t="s">
        <v>39</v>
      </c>
      <c r="B20" s="11">
        <f>SUM(B13:B14)+SUM(B16:B18)</f>
        <v>-61.29357</v>
      </c>
      <c r="C20" s="11">
        <f t="shared" si="9" ref="C20:E20">SUM(C13:C14)+SUM(C16:C19)</f>
        <v>-104.033368</v>
      </c>
      <c r="D20" s="11">
        <f t="shared" si="9"/>
        <v>-97.036347</v>
      </c>
      <c r="E20" s="11">
        <f t="shared" si="9"/>
        <v>36.387585</v>
      </c>
      <c r="F20" s="10">
        <f>E20+'Quarterly YTD'!O20-'Quarterly YTD'!K20</f>
        <v>44.361632</v>
      </c>
      <c r="G20" s="11">
        <f t="shared" si="10" ref="G20:R20">G13+SUM(G15:G19)</f>
        <v>-6.434</v>
      </c>
      <c r="H20" s="11">
        <f t="shared" si="11" ref="H20:P20">SUM(H13:H19)</f>
        <v>-33.322611</v>
      </c>
      <c r="I20" s="11">
        <f t="shared" si="10"/>
        <v>-14.364613</v>
      </c>
      <c r="J20" s="11">
        <f t="shared" si="10"/>
        <v>-22.049789</v>
      </c>
      <c r="K20" s="11">
        <f t="shared" si="10"/>
        <v>-25.598074</v>
      </c>
      <c r="L20" s="11">
        <f t="shared" si="11"/>
        <v>-35.023871</v>
      </c>
      <c r="M20" s="11">
        <f t="shared" si="10"/>
        <v>-10.274124</v>
      </c>
      <c r="N20" s="11">
        <f t="shared" si="10"/>
        <v>-11.758368</v>
      </c>
      <c r="O20" s="11">
        <f t="shared" si="10"/>
        <v>26.547532</v>
      </c>
      <c r="P20" s="11">
        <f t="shared" si="11"/>
        <v>31.872545</v>
      </c>
      <c r="Q20" s="11">
        <f t="shared" si="10"/>
        <v>-11.421043</v>
      </c>
      <c r="R20" s="11">
        <f t="shared" si="10"/>
        <v>-2.637402</v>
      </c>
      <c r="S20" s="12">
        <f t="shared" si="2"/>
        <v>0.76907520617863</v>
      </c>
      <c r="T20" s="12">
        <f t="shared" si="3"/>
        <v>0.775699995101361</v>
      </c>
    </row>
    <row customHeight="1" ht="15">
      <c r="A21" s="9" t="s">
        <v>40</v>
      </c>
      <c r="B21" s="0">
        <v>-0.891378</v>
      </c>
      <c r="C21" s="0">
        <v>-11.454357</v>
      </c>
      <c r="D21" s="0">
        <v>-6.737506</v>
      </c>
      <c r="E21" s="0">
        <v>-6.007564</v>
      </c>
      <c r="F21" s="10">
        <f>E21+'Quarterly YTD'!O21-'Quarterly YTD'!K21</f>
        <v>-9.937987</v>
      </c>
      <c r="G21" s="0">
        <v>3.536041</v>
      </c>
      <c r="H21" s="11">
        <f>C21-'Quarterly YTD'!D21</f>
        <v>-5.868704</v>
      </c>
      <c r="I21" s="0">
        <v>-1.168225</v>
      </c>
      <c r="J21" s="0">
        <v>-1.159625</v>
      </c>
      <c r="K21" s="0">
        <v>-1.888589</v>
      </c>
      <c r="L21" s="11">
        <f>D21-'Quarterly YTD'!H21</f>
        <v>-2.521067</v>
      </c>
      <c r="M21" s="0">
        <v>-0.619647</v>
      </c>
      <c r="N21" s="0">
        <v>-0.722561</v>
      </c>
      <c r="O21" s="0">
        <v>-2.98096</v>
      </c>
      <c r="P21" s="11">
        <f>E21-'Quarterly YTD'!L21</f>
        <v>-1.684396</v>
      </c>
      <c r="Q21" s="0">
        <v>-2.331424</v>
      </c>
      <c r="R21" s="0">
        <v>-2.941207</v>
      </c>
      <c r="S21" s="12">
        <f t="shared" si="0"/>
        <v>0.261549593724693</v>
      </c>
      <c r="T21" s="12">
        <f t="shared" si="1"/>
        <v>3.07053106934916</v>
      </c>
    </row>
    <row customHeight="1" ht="15">
      <c r="A22" s="9" t="s">
        <v>41</v>
      </c>
      <c r="B22" s="11">
        <f t="shared" si="12" ref="B22:R125">SUM(B20:B21)</f>
        <v>-62.184948</v>
      </c>
      <c r="C22" s="11">
        <f t="shared" si="12"/>
        <v>-115.487725</v>
      </c>
      <c r="D22" s="11">
        <f t="shared" si="12"/>
        <v>-103.773853</v>
      </c>
      <c r="E22" s="11">
        <f t="shared" si="12"/>
        <v>30.380021</v>
      </c>
      <c r="F22" s="10">
        <f t="shared" si="12"/>
        <v>34.423645</v>
      </c>
      <c r="G22" s="11">
        <f t="shared" si="12"/>
        <v>-2.897959</v>
      </c>
      <c r="H22" s="11">
        <f t="shared" si="12"/>
        <v>-39.191315</v>
      </c>
      <c r="I22" s="11">
        <f t="shared" si="12"/>
        <v>-15.532838</v>
      </c>
      <c r="J22" s="11">
        <f t="shared" si="12"/>
        <v>-23.209414</v>
      </c>
      <c r="K22" s="11">
        <f t="shared" si="12"/>
        <v>-27.486663</v>
      </c>
      <c r="L22" s="11">
        <f t="shared" si="12"/>
        <v>-37.544938</v>
      </c>
      <c r="M22" s="11">
        <f t="shared" si="12"/>
        <v>-10.893771</v>
      </c>
      <c r="N22" s="11">
        <f t="shared" si="12"/>
        <v>-12.480929</v>
      </c>
      <c r="O22" s="11">
        <f t="shared" si="12"/>
        <v>23.566572</v>
      </c>
      <c r="P22" s="11">
        <f t="shared" si="12"/>
        <v>30.188149</v>
      </c>
      <c r="Q22" s="11">
        <f t="shared" si="12"/>
        <v>-13.752467</v>
      </c>
      <c r="R22" s="11">
        <f t="shared" si="12"/>
        <v>-5.578609</v>
      </c>
      <c r="S22" s="12">
        <f t="shared" si="2"/>
        <v>0.59435576176987</v>
      </c>
      <c r="T22" s="12">
        <f t="shared" si="3"/>
        <v>0.553029345812319</v>
      </c>
    </row>
    <row customHeight="1" ht="15">
      <c r="A23" s="9" t="s">
        <v>42</v>
      </c>
      <c r="B23" s="0">
        <v>0.397799</v>
      </c>
      <c r="C23" s="0">
        <v>0.001763</v>
      </c>
      <c r="D23" s="0">
        <v>0.042832</v>
      </c>
      <c r="E23" s="0">
        <v>0.042544</v>
      </c>
      <c r="F23" s="10">
        <f>E23+'Quarterly YTD'!O23-'Quarterly YTD'!K23</f>
        <v>0.003499</v>
      </c>
      <c r="G23" s="0">
        <v>-0.0208</v>
      </c>
      <c r="H23" s="11">
        <f>C23-'Quarterly YTD'!D23</f>
        <v>0.01314</v>
      </c>
      <c r="I23" s="0">
        <v>-0.026877</v>
      </c>
      <c r="J23" s="0">
        <v>0.029646</v>
      </c>
      <c r="K23" s="0">
        <v>0.003847</v>
      </c>
      <c r="L23" s="11">
        <f>D23-'Quarterly YTD'!H23</f>
        <v>0.036216</v>
      </c>
      <c r="M23" s="0">
        <v>0.00869</v>
      </c>
      <c r="N23" s="0">
        <v>0.026362</v>
      </c>
      <c r="O23" s="0">
        <v>-0.039343</v>
      </c>
      <c r="P23" s="11">
        <f>E23-'Quarterly YTD'!L23</f>
        <v>0.046835</v>
      </c>
      <c r="Q23" s="0">
        <v>-0.005043</v>
      </c>
      <c r="R23" s="0">
        <v>0.00105</v>
      </c>
      <c r="S23" s="12">
        <f t="shared" si="2"/>
        <v>1.20820939916716</v>
      </c>
      <c r="T23" s="12">
        <f t="shared" si="3"/>
        <v>-0.960169941582581</v>
      </c>
    </row>
    <row customHeight="1" ht="15">
      <c r="A24" s="4" t="s">
        <v>43</v>
      </c>
      <c r="B24" s="7">
        <f t="shared" si="12"/>
        <v>-61.787149</v>
      </c>
      <c r="C24" s="7">
        <f t="shared" si="12"/>
        <v>-115.485962</v>
      </c>
      <c r="D24" s="7">
        <f t="shared" si="12"/>
        <v>-103.731021</v>
      </c>
      <c r="E24" s="7">
        <f t="shared" si="12"/>
        <v>30.422565</v>
      </c>
      <c r="F24" s="6">
        <f t="shared" si="12"/>
        <v>34.427144</v>
      </c>
      <c r="G24" s="7">
        <f t="shared" si="12"/>
        <v>-2.918759</v>
      </c>
      <c r="H24" s="7">
        <f t="shared" si="12"/>
        <v>-39.178175</v>
      </c>
      <c r="I24" s="7">
        <f t="shared" si="12"/>
        <v>-15.559715</v>
      </c>
      <c r="J24" s="7">
        <f t="shared" si="12"/>
        <v>-23.179768</v>
      </c>
      <c r="K24" s="7">
        <f t="shared" si="12"/>
        <v>-27.482816</v>
      </c>
      <c r="L24" s="7">
        <f t="shared" si="12"/>
        <v>-37.508722</v>
      </c>
      <c r="M24" s="7">
        <f t="shared" si="12"/>
        <v>-10.885081</v>
      </c>
      <c r="N24" s="7">
        <f t="shared" si="12"/>
        <v>-12.454567</v>
      </c>
      <c r="O24" s="7">
        <f t="shared" si="12"/>
        <v>23.527229</v>
      </c>
      <c r="P24" s="7">
        <f t="shared" si="12"/>
        <v>30.234984</v>
      </c>
      <c r="Q24" s="7">
        <f t="shared" si="12"/>
        <v>-13.75751</v>
      </c>
      <c r="R24" s="7">
        <f t="shared" si="12"/>
        <v>-5.577559</v>
      </c>
      <c r="S24" s="8">
        <f t="shared" si="2"/>
        <v>0.594580778062309</v>
      </c>
      <c r="T24" s="8">
        <f t="shared" si="3"/>
        <v>0.552167570337853</v>
      </c>
    </row>
    <row customHeight="1" ht="15">
      <c r="A25" s="9" t="s">
        <v>44</v>
      </c>
      <c r="B25" s="0">
        <v>-61.744696</v>
      </c>
      <c r="C25" s="0">
        <v>-115.468153</v>
      </c>
      <c r="D25" s="0">
        <v>-103.758742</v>
      </c>
      <c r="E25" s="0">
        <v>30.417809</v>
      </c>
      <c r="F25" s="10">
        <f>E25+'Quarterly YTD'!O25-'Quarterly YTD'!K25</f>
        <v>34.470036</v>
      </c>
      <c r="G25" s="0">
        <v>-2.894362</v>
      </c>
      <c r="H25" s="11">
        <f>C25-'Quarterly YTD'!D25</f>
        <v>-39.171689</v>
      </c>
      <c r="I25" s="0">
        <v>-15.532933</v>
      </c>
      <c r="J25" s="0">
        <v>-23.226568</v>
      </c>
      <c r="K25" s="0">
        <v>-27.487553</v>
      </c>
      <c r="L25" s="11">
        <f>D25-'Quarterly YTD'!H25</f>
        <v>-37.511688</v>
      </c>
      <c r="M25" s="0">
        <v>-10.890588</v>
      </c>
      <c r="N25" s="0">
        <v>-12.47359</v>
      </c>
      <c r="O25" s="0">
        <v>23.497866</v>
      </c>
      <c r="P25" s="11">
        <f>E25-'Quarterly YTD'!L25</f>
        <v>30.284121</v>
      </c>
      <c r="Q25" s="0">
        <v>-13.714641</v>
      </c>
      <c r="R25" s="0">
        <v>-5.59731</v>
      </c>
      <c r="S25" s="12">
        <f t="shared" si="2"/>
        <v>0.591873385530106</v>
      </c>
      <c r="T25" s="12">
        <f t="shared" si="3"/>
        <v>0.551267117165146</v>
      </c>
    </row>
    <row customHeight="1" ht="15">
      <c r="A26" s="9" t="s">
        <v>45</v>
      </c>
      <c r="B26" s="0">
        <v>-0.042453</v>
      </c>
      <c r="C26" s="0">
        <v>-0.017809</v>
      </c>
      <c r="D26" s="0">
        <v>0.027721</v>
      </c>
      <c r="E26" s="0">
        <v>0.004756</v>
      </c>
      <c r="F26" s="10">
        <f>E26+'Quarterly YTD'!O26-'Quarterly YTD'!K26</f>
        <v>-0.042892</v>
      </c>
      <c r="G26" s="0">
        <v>-0.024397</v>
      </c>
      <c r="H26" s="11">
        <f>C26-'Quarterly YTD'!D26</f>
        <v>-0.006486</v>
      </c>
      <c r="I26" s="0">
        <v>-0.026782</v>
      </c>
      <c r="J26" s="0">
        <v>0.0468</v>
      </c>
      <c r="K26" s="0">
        <v>0.004737</v>
      </c>
      <c r="L26" s="11">
        <f>D26-'Quarterly YTD'!H26</f>
        <v>0.002966</v>
      </c>
      <c r="M26" s="0">
        <v>0.005507</v>
      </c>
      <c r="N26" s="0">
        <v>0.019023</v>
      </c>
      <c r="O26" s="0">
        <v>0.029363</v>
      </c>
      <c r="P26" s="11">
        <f>E26-'Quarterly YTD'!L26</f>
        <v>-0.049137</v>
      </c>
      <c r="Q26" s="0">
        <v>-0.042869</v>
      </c>
      <c r="R26" s="0">
        <v>0.019751</v>
      </c>
      <c r="S26" s="12">
        <f t="shared" si="2"/>
        <v>1.46072919825515</v>
      </c>
      <c r="T26" s="12">
        <f t="shared" si="3"/>
        <v>0.038269463281291</v>
      </c>
    </row>
    <row customHeight="1" ht="15">
      <c r="A27" s="9" t="s">
        <v>46</v>
      </c>
      <c r="B27" s="0">
        <v>-1.064477</v>
      </c>
      <c r="C27" s="0">
        <v>52.549161</v>
      </c>
      <c r="D27" s="0">
        <v>10.984271</v>
      </c>
      <c r="E27" s="0">
        <v>-21.059859</v>
      </c>
      <c r="F27" s="10">
        <f>E27+'Quarterly YTD'!O27-'Quarterly YTD'!K27</f>
        <v>-13.242169</v>
      </c>
      <c r="G27" s="0">
        <v>41.250916</v>
      </c>
      <c r="H27" s="11">
        <f>C27-'Quarterly YTD'!D27</f>
        <v>-0.805271000000005</v>
      </c>
      <c r="I27" s="0">
        <v>8.750888</v>
      </c>
      <c r="J27" s="0">
        <v>2.694295</v>
      </c>
      <c r="K27" s="0">
        <v>-1.462074</v>
      </c>
      <c r="L27" s="11">
        <f>D27-'Quarterly YTD'!H27</f>
        <v>1.001162</v>
      </c>
      <c r="M27" s="0">
        <v>0.736417</v>
      </c>
      <c r="N27" s="0">
        <v>-0.079767</v>
      </c>
      <c r="O27" s="0">
        <v>-8.302599</v>
      </c>
      <c r="P27" s="11">
        <f>E27-'Quarterly YTD'!L27</f>
        <v>-13.4139</v>
      </c>
      <c r="Q27" s="0">
        <v>9.290292</v>
      </c>
      <c r="R27" s="0">
        <v>-0.815962</v>
      </c>
      <c r="S27" s="12">
        <f t="shared" si="2"/>
        <v>-1.0878295321611</v>
      </c>
      <c r="T27" s="12">
        <f t="shared" si="3"/>
        <v>-9.22931788834982</v>
      </c>
    </row>
    <row customHeight="1" ht="15">
      <c r="A28" s="9" t="s">
        <v>47</v>
      </c>
      <c r="B28" s="0">
        <v>-0.048464</v>
      </c>
      <c r="C28" s="0">
        <v>0.016915</v>
      </c>
      <c r="D28" s="0">
        <v>0.078297</v>
      </c>
      <c r="E28" s="0">
        <v>0.73497</v>
      </c>
      <c r="F28" s="10">
        <f>E28+'Quarterly YTD'!O28-'Quarterly YTD'!K28</f>
        <v>0.73497</v>
      </c>
      <c r="G28" s="0">
        <v>0</v>
      </c>
      <c r="H28" s="11">
        <f>C28-'Quarterly YTD'!D28</f>
        <v>0.016915</v>
      </c>
      <c r="I28" s="0">
        <v>0</v>
      </c>
      <c r="J28" s="0">
        <v>0</v>
      </c>
      <c r="K28" s="0">
        <v>0</v>
      </c>
      <c r="L28" s="11">
        <f>D28-'Quarterly YTD'!H28</f>
        <v>0.078297</v>
      </c>
      <c r="M28" s="0">
        <v>0</v>
      </c>
      <c r="N28" s="0">
        <v>0</v>
      </c>
      <c r="O28" s="0">
        <v>0</v>
      </c>
      <c r="P28" s="11">
        <f>E28-'Quarterly YTD'!L28</f>
        <v>0.73497</v>
      </c>
      <c r="Q28" s="0">
        <v>0</v>
      </c>
      <c r="R28" s="0">
        <v>0</v>
      </c>
      <c r="S28" s="12">
        <f t="shared" si="2"/>
        <v>0</v>
      </c>
      <c r="T28" s="12">
        <f t="shared" si="3"/>
        <v>0</v>
      </c>
    </row>
    <row customHeight="1" ht="15">
      <c r="A29" s="9" t="s">
        <v>48</v>
      </c>
      <c r="B29" s="11">
        <f t="shared" si="12"/>
        <v>-1.112941</v>
      </c>
      <c r="C29" s="11">
        <f t="shared" si="12"/>
        <v>52.566076</v>
      </c>
      <c r="D29" s="11">
        <f t="shared" si="12"/>
        <v>11.062568</v>
      </c>
      <c r="E29" s="11">
        <f t="shared" si="12"/>
        <v>-20.324889</v>
      </c>
      <c r="F29" s="10">
        <f t="shared" si="12"/>
        <v>-12.507199</v>
      </c>
      <c r="G29" s="11">
        <f t="shared" si="13" ref="G29:R29">G27</f>
        <v>41.250916</v>
      </c>
      <c r="H29" s="11">
        <f t="shared" si="12"/>
        <v>-0.788356000000005</v>
      </c>
      <c r="I29" s="11">
        <f t="shared" si="13"/>
        <v>8.750888</v>
      </c>
      <c r="J29" s="11">
        <f t="shared" si="13"/>
        <v>2.694295</v>
      </c>
      <c r="K29" s="11">
        <f t="shared" si="13"/>
        <v>-1.462074</v>
      </c>
      <c r="L29" s="11">
        <f t="shared" si="12"/>
        <v>1.079459</v>
      </c>
      <c r="M29" s="11">
        <f t="shared" si="13"/>
        <v>0.736417</v>
      </c>
      <c r="N29" s="11">
        <f t="shared" si="13"/>
        <v>-0.079767</v>
      </c>
      <c r="O29" s="11">
        <f t="shared" si="13"/>
        <v>-8.302599</v>
      </c>
      <c r="P29" s="11">
        <f t="shared" si="12"/>
        <v>-12.67893</v>
      </c>
      <c r="Q29" s="11">
        <f t="shared" si="13"/>
        <v>9.290292</v>
      </c>
      <c r="R29" s="11">
        <f t="shared" si="13"/>
        <v>-0.815962</v>
      </c>
      <c r="S29" s="12">
        <f t="shared" si="2"/>
        <v>-1.0878295321611</v>
      </c>
      <c r="T29" s="12">
        <f t="shared" si="3"/>
        <v>-9.22931788834982</v>
      </c>
    </row>
    <row customHeight="1" ht="15">
      <c r="A30" s="9" t="s">
        <v>49</v>
      </c>
      <c r="B30" s="11">
        <f t="shared" si="14" ref="B30:R30">B24+B29</f>
        <v>-62.90009</v>
      </c>
      <c r="C30" s="11">
        <f t="shared" si="14"/>
        <v>-62.919886</v>
      </c>
      <c r="D30" s="11">
        <f t="shared" si="14"/>
        <v>-92.668453</v>
      </c>
      <c r="E30" s="11">
        <f t="shared" si="14"/>
        <v>10.097676</v>
      </c>
      <c r="F30" s="10">
        <f t="shared" si="14"/>
        <v>21.919945</v>
      </c>
      <c r="G30" s="11">
        <f t="shared" si="14"/>
        <v>38.332157</v>
      </c>
      <c r="H30" s="11">
        <f t="shared" si="14"/>
        <v>-39.966531</v>
      </c>
      <c r="I30" s="11">
        <f t="shared" si="14"/>
        <v>-6.808827</v>
      </c>
      <c r="J30" s="11">
        <f t="shared" si="14"/>
        <v>-20.485473</v>
      </c>
      <c r="K30" s="11">
        <f t="shared" si="14"/>
        <v>-28.94489</v>
      </c>
      <c r="L30" s="11">
        <f t="shared" si="14"/>
        <v>-36.429263</v>
      </c>
      <c r="M30" s="11">
        <f t="shared" si="14"/>
        <v>-10.148664</v>
      </c>
      <c r="N30" s="11">
        <f t="shared" si="14"/>
        <v>-12.534334</v>
      </c>
      <c r="O30" s="11">
        <f t="shared" si="14"/>
        <v>15.22463</v>
      </c>
      <c r="P30" s="11">
        <f t="shared" si="14"/>
        <v>17.556054</v>
      </c>
      <c r="Q30" s="11">
        <f t="shared" si="14"/>
        <v>-4.467218</v>
      </c>
      <c r="R30" s="11">
        <f t="shared" si="14"/>
        <v>-6.393521</v>
      </c>
      <c r="S30" s="12">
        <f t="shared" si="2"/>
        <v>-0.431208640366331</v>
      </c>
      <c r="T30" s="12">
        <f t="shared" si="3"/>
        <v>0.489919368671682</v>
      </c>
    </row>
    <row customHeight="1" ht="15">
      <c r="A31" s="9" t="s">
        <v>44</v>
      </c>
      <c r="B31" s="0">
        <v>-63.024558</v>
      </c>
      <c r="C31" s="0">
        <v>-62.963777</v>
      </c>
      <c r="D31" s="0">
        <v>-92.602016</v>
      </c>
      <c r="E31" s="0">
        <v>10.148129</v>
      </c>
      <c r="F31" s="10">
        <f>E31+'Quarterly YTD'!O31-'Quarterly YTD'!K31</f>
        <v>21.893804</v>
      </c>
      <c r="G31" s="0">
        <v>38.271897</v>
      </c>
      <c r="H31" s="11">
        <f>C31-'Quarterly YTD'!D31</f>
        <v>-39.982908</v>
      </c>
      <c r="I31" s="0">
        <v>-6.873388</v>
      </c>
      <c r="J31" s="0">
        <v>-20.371297</v>
      </c>
      <c r="K31" s="0">
        <v>-28.93372</v>
      </c>
      <c r="L31" s="11">
        <f>D31-'Quarterly YTD'!H31</f>
        <v>-36.423611</v>
      </c>
      <c r="M31" s="0">
        <v>-10.135332</v>
      </c>
      <c r="N31" s="0">
        <v>-12.487411</v>
      </c>
      <c r="O31" s="0">
        <v>15.302297</v>
      </c>
      <c r="P31" s="11">
        <f>E31-'Quarterly YTD'!L31</f>
        <v>17.468586</v>
      </c>
      <c r="Q31" s="0">
        <v>-4.556704</v>
      </c>
      <c r="R31" s="0">
        <v>-6.320375</v>
      </c>
      <c r="S31" s="12">
        <f t="shared" si="2"/>
        <v>-0.387049718392944</v>
      </c>
      <c r="T31" s="12">
        <f t="shared" si="3"/>
        <v>0.493860256541568</v>
      </c>
    </row>
    <row customHeight="1" ht="15">
      <c r="A32" s="9" t="s">
        <v>45</v>
      </c>
      <c r="B32" s="0">
        <v>0.124468</v>
      </c>
      <c r="C32" s="0">
        <v>0.043891</v>
      </c>
      <c r="D32" s="0">
        <v>-0.066437</v>
      </c>
      <c r="E32" s="0">
        <v>-0.050453</v>
      </c>
      <c r="F32" s="10">
        <f>E32+'Quarterly YTD'!O32-'Quarterly YTD'!K32</f>
        <v>0.026141</v>
      </c>
      <c r="G32" s="0">
        <v>0.06026</v>
      </c>
      <c r="H32" s="11">
        <f>C32-'Quarterly YTD'!D32</f>
        <v>0.016377</v>
      </c>
      <c r="I32" s="0">
        <v>0.064561</v>
      </c>
      <c r="J32" s="0">
        <v>-0.114176</v>
      </c>
      <c r="K32" s="0">
        <v>-0.01117</v>
      </c>
      <c r="L32" s="11">
        <f>D32-'Quarterly YTD'!H32</f>
        <v>-0.005652</v>
      </c>
      <c r="M32" s="0">
        <v>-0.013332</v>
      </c>
      <c r="N32" s="0">
        <v>-0.046923</v>
      </c>
      <c r="O32" s="0">
        <v>-0.077667</v>
      </c>
      <c r="P32" s="11">
        <f>E32-'Quarterly YTD'!L32</f>
        <v>0.087468</v>
      </c>
      <c r="Q32" s="0">
        <v>0.089486</v>
      </c>
      <c r="R32" s="0">
        <v>-0.073146</v>
      </c>
      <c r="S32" s="12">
        <f t="shared" si="2"/>
        <v>-1.81740160472029</v>
      </c>
      <c r="T32" s="12">
        <f t="shared" si="3"/>
        <v>-0.558851735822518</v>
      </c>
    </row>
    <row customHeight="1" ht="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customHeight="1" ht="15">
      <c r="A34" s="2" t="s">
        <v>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customHeight="1" ht="15">
      <c r="A35" s="9" t="s">
        <v>51</v>
      </c>
      <c r="B35" s="0">
        <v>-61.29357</v>
      </c>
      <c r="C35" s="0">
        <v>-104.033368</v>
      </c>
      <c r="D35" s="0">
        <v>-97.036347</v>
      </c>
      <c r="E35" s="0">
        <v>36.387585</v>
      </c>
      <c r="F35" s="10">
        <f>E35+'Quarterly YTD'!O35-'Quarterly YTD'!K35</f>
        <v>44.361632</v>
      </c>
      <c r="G35" s="11">
        <f>'Quarterly YTD'!D35-'Quarterly YTD'!C35</f>
        <v>-6.434</v>
      </c>
      <c r="H35" s="11">
        <f>C35-'Quarterly YTD'!D35</f>
        <v>-33.322611</v>
      </c>
      <c r="I35" s="0">
        <v>-14.364613</v>
      </c>
      <c r="J35" s="11">
        <f>'Quarterly YTD'!G35-I35</f>
        <v>-22.049789</v>
      </c>
      <c r="K35" s="11">
        <f>'Quarterly YTD'!H35-'Quarterly YTD'!G35</f>
        <v>-25.598074</v>
      </c>
      <c r="L35" s="11">
        <f>D35-'Quarterly YTD'!H35</f>
        <v>-35.023871</v>
      </c>
      <c r="M35" s="0">
        <v>-10.274124</v>
      </c>
      <c r="N35" s="0">
        <v>-11.758368</v>
      </c>
      <c r="O35" s="11">
        <f>'Quarterly YTD'!L35-'Quarterly YTD'!K35</f>
        <v>26.547532</v>
      </c>
      <c r="P35" s="11">
        <f>E35-'Quarterly YTD'!L35</f>
        <v>31.872545</v>
      </c>
      <c r="Q35" s="0">
        <v>-11.421043</v>
      </c>
      <c r="R35" s="0">
        <v>-2.637402</v>
      </c>
      <c r="S35" s="14"/>
      <c r="T35" s="14"/>
    </row>
    <row customHeight="1" ht="15">
      <c r="A36" s="9" t="s">
        <v>52</v>
      </c>
      <c r="B36" s="0">
        <v>0.397799</v>
      </c>
      <c r="C36" s="0">
        <v>0.001763</v>
      </c>
      <c r="D36" s="0">
        <v>0.042832</v>
      </c>
      <c r="E36" s="0">
        <v>0.042544</v>
      </c>
      <c r="F36" s="10">
        <f>E36+'Quarterly YTD'!O36-'Quarterly YTD'!K36</f>
        <v>0.003499</v>
      </c>
      <c r="G36" s="11">
        <f>'Quarterly YTD'!D36-'Quarterly YTD'!C36</f>
        <v>-0.0208</v>
      </c>
      <c r="H36" s="11">
        <f>C36-'Quarterly YTD'!D36</f>
        <v>0.01314</v>
      </c>
      <c r="I36" s="0">
        <v>-0.026877</v>
      </c>
      <c r="J36" s="11">
        <f>'Quarterly YTD'!G36-I36</f>
        <v>0.029646</v>
      </c>
      <c r="K36" s="11">
        <f>'Quarterly YTD'!H36-'Quarterly YTD'!G36</f>
        <v>0.003847</v>
      </c>
      <c r="L36" s="11">
        <f>D36-'Quarterly YTD'!H36</f>
        <v>0.036216</v>
      </c>
      <c r="M36" s="0">
        <v>0.00869</v>
      </c>
      <c r="N36" s="0">
        <v>0.026362</v>
      </c>
      <c r="O36" s="11">
        <f>'Quarterly YTD'!L36-'Quarterly YTD'!K36</f>
        <v>-0.039343</v>
      </c>
      <c r="P36" s="11">
        <f>E36-'Quarterly YTD'!L36</f>
        <v>0.046835</v>
      </c>
      <c r="Q36" s="0">
        <v>-0.005043</v>
      </c>
      <c r="R36" s="0">
        <v>0.00105</v>
      </c>
      <c r="S36" s="14"/>
      <c r="T36" s="14"/>
    </row>
    <row customHeight="1" ht="15">
      <c r="A37" s="9" t="s">
        <v>53</v>
      </c>
      <c r="B37" s="0">
        <v>42.745142</v>
      </c>
      <c r="C37" s="0">
        <v>47.380285</v>
      </c>
      <c r="D37" s="0">
        <v>48.614609</v>
      </c>
      <c r="E37" s="0">
        <v>50.741037</v>
      </c>
      <c r="F37" s="10">
        <f>E37+'Quarterly YTD'!O37-'Quarterly YTD'!K37</f>
        <v>56.226568</v>
      </c>
      <c r="G37" s="11">
        <f>'Quarterly YTD'!D37-'Quarterly YTD'!C37</f>
        <v>10.386751</v>
      </c>
      <c r="H37" s="11">
        <f>C37-'Quarterly YTD'!D37</f>
        <v>11.997254</v>
      </c>
      <c r="I37" s="0">
        <v>12.244525</v>
      </c>
      <c r="J37" s="11">
        <f>'Quarterly YTD'!G37-I37</f>
        <v>13.211034</v>
      </c>
      <c r="K37" s="11">
        <f>'Quarterly YTD'!H37-'Quarterly YTD'!G37</f>
        <v>10.236228</v>
      </c>
      <c r="L37" s="11">
        <f>D37-'Quarterly YTD'!H37</f>
        <v>12.922822</v>
      </c>
      <c r="M37" s="0">
        <v>12.306473</v>
      </c>
      <c r="N37" s="0">
        <v>11.951909</v>
      </c>
      <c r="O37" s="11">
        <f>'Quarterly YTD'!L37-'Quarterly YTD'!K37</f>
        <v>13.19391</v>
      </c>
      <c r="P37" s="11">
        <f>E37-'Quarterly YTD'!L37</f>
        <v>13.288745</v>
      </c>
      <c r="Q37" s="0">
        <v>15.027019</v>
      </c>
      <c r="R37" s="0">
        <v>14.716894</v>
      </c>
      <c r="S37" s="14"/>
      <c r="T37" s="14"/>
    </row>
    <row customHeight="1" ht="15">
      <c r="A38" s="9" t="s">
        <v>25</v>
      </c>
      <c r="B38" s="0">
        <v>11.955373</v>
      </c>
      <c r="C38" s="0">
        <v>15.925177</v>
      </c>
      <c r="D38" s="0">
        <v>20.609792</v>
      </c>
      <c r="E38" s="0">
        <v>19.385894</v>
      </c>
      <c r="F38" s="10">
        <f>E38+'Quarterly YTD'!O38-'Quarterly YTD'!K38</f>
        <v>18.961141</v>
      </c>
      <c r="G38" s="11">
        <f>'Quarterly YTD'!D38-'Quarterly YTD'!C38</f>
        <v>4.173107</v>
      </c>
      <c r="H38" s="11">
        <f>C38-'Quarterly YTD'!D38</f>
        <v>4.928568</v>
      </c>
      <c r="I38" s="0">
        <v>5.009905</v>
      </c>
      <c r="J38" s="11">
        <f>'Quarterly YTD'!G38-I38</f>
        <v>5.304571</v>
      </c>
      <c r="K38" s="11">
        <f>'Quarterly YTD'!H38-'Quarterly YTD'!G38</f>
        <v>5.122623</v>
      </c>
      <c r="L38" s="11">
        <f>D38-'Quarterly YTD'!H38</f>
        <v>5.172693</v>
      </c>
      <c r="M38" s="0">
        <v>4.898694</v>
      </c>
      <c r="N38" s="0">
        <v>5.10543</v>
      </c>
      <c r="O38" s="11">
        <f>'Quarterly YTD'!L38-'Quarterly YTD'!K38</f>
        <v>5.151362</v>
      </c>
      <c r="P38" s="11">
        <f>E38-'Quarterly YTD'!L38</f>
        <v>4.230408</v>
      </c>
      <c r="Q38" s="0">
        <v>4.784049</v>
      </c>
      <c r="R38" s="0">
        <v>4.795322</v>
      </c>
      <c r="S38" s="14"/>
      <c r="T38" s="14"/>
    </row>
    <row customHeight="1" ht="15">
      <c r="A39" s="9" t="s">
        <v>54</v>
      </c>
      <c r="B39" s="0">
        <v>0</v>
      </c>
      <c r="C39" s="0">
        <v>0</v>
      </c>
      <c r="D39" s="0">
        <v>0</v>
      </c>
      <c r="E39" s="0">
        <v>0</v>
      </c>
      <c r="F39" s="10">
        <f>E39+'Quarterly YTD'!O39-'Quarterly YTD'!K39</f>
        <v>0</v>
      </c>
      <c r="G39" s="11">
        <f>'Quarterly YTD'!D39-'Quarterly YTD'!C39</f>
        <v>0</v>
      </c>
      <c r="H39" s="11">
        <f>C39-'Quarterly YTD'!D39</f>
        <v>0</v>
      </c>
      <c r="I39" s="0">
        <v>0</v>
      </c>
      <c r="J39" s="11">
        <f>'Quarterly YTD'!G39-I39</f>
        <v>0.082283</v>
      </c>
      <c r="K39" s="11">
        <f>'Quarterly YTD'!H39-'Quarterly YTD'!G39</f>
        <v>-0.082283</v>
      </c>
      <c r="L39" s="11">
        <f>D39-'Quarterly YTD'!H39</f>
        <v>0</v>
      </c>
      <c r="M39" s="0">
        <v>0</v>
      </c>
      <c r="N39" s="0">
        <v>0</v>
      </c>
      <c r="O39" s="11">
        <f>'Quarterly YTD'!L39-'Quarterly YTD'!K39+0.034141</f>
        <v>0.034141</v>
      </c>
      <c r="P39" s="11">
        <f>E39-'Quarterly YTD'!L39</f>
        <v>0</v>
      </c>
      <c r="Q39" s="0">
        <v>0</v>
      </c>
      <c r="R39" s="0">
        <v>0</v>
      </c>
      <c r="S39" s="14"/>
      <c r="T39" s="14"/>
    </row>
    <row customHeight="1" ht="15">
      <c r="A40" s="9" t="s">
        <v>55</v>
      </c>
      <c r="B40" s="0">
        <v>1.070047</v>
      </c>
      <c r="C40" s="0">
        <v>-1.024685</v>
      </c>
      <c r="D40" s="0">
        <v>0.849054</v>
      </c>
      <c r="E40" s="0">
        <v>0.615199</v>
      </c>
      <c r="F40" s="10">
        <f>E40+'Quarterly YTD'!O40-'Quarterly YTD'!K40</f>
        <v>0.615199</v>
      </c>
      <c r="G40" s="11">
        <f>'Quarterly YTD'!D40-'Quarterly YTD'!C40</f>
        <v>0.008508</v>
      </c>
      <c r="H40" s="11">
        <f>C40-'Quarterly YTD'!D40</f>
        <v>-1.056003</v>
      </c>
      <c r="I40" s="0">
        <v>0.010468</v>
      </c>
      <c r="J40" s="11">
        <f>'Quarterly YTD'!G40-I40</f>
        <v>-0.010468</v>
      </c>
      <c r="K40" s="11">
        <f>'Quarterly YTD'!H40-'Quarterly YTD'!G40</f>
        <v>0.537341</v>
      </c>
      <c r="L40" s="11">
        <f>D40-'Quarterly YTD'!H40</f>
        <v>0.311713</v>
      </c>
      <c r="M40" s="0">
        <v>-0.039965</v>
      </c>
      <c r="N40" s="0">
        <v>0</v>
      </c>
      <c r="O40" s="11">
        <f>'Quarterly YTD'!L40-'Quarterly YTD'!K40</f>
        <v>0.001079</v>
      </c>
      <c r="P40" s="11">
        <f>E40-'Quarterly YTD'!L40</f>
        <v>0.61412</v>
      </c>
      <c r="Q40" s="0">
        <v>0.115606</v>
      </c>
      <c r="R40" s="0">
        <v>0</v>
      </c>
      <c r="S40" s="14"/>
      <c r="T40" s="14"/>
    </row>
    <row customHeight="1" ht="15">
      <c r="A41" s="9" t="s">
        <v>56</v>
      </c>
      <c r="B41" s="0">
        <v>0</v>
      </c>
      <c r="C41" s="0">
        <v>0</v>
      </c>
      <c r="D41" s="0">
        <v>-0.195467</v>
      </c>
      <c r="E41" s="0">
        <v>0</v>
      </c>
      <c r="F41" s="10">
        <f>E41+'Quarterly YTD'!O41-'Quarterly YTD'!K41</f>
        <v>0</v>
      </c>
      <c r="G41" s="11">
        <f>'Quarterly YTD'!D41-'Quarterly YTD'!C41</f>
        <v>0</v>
      </c>
      <c r="H41" s="11">
        <f>C41-'Quarterly YTD'!D41</f>
        <v>0</v>
      </c>
      <c r="I41" s="0">
        <v>0</v>
      </c>
      <c r="J41" s="11">
        <f>'Quarterly YTD'!G41-I41</f>
        <v>0</v>
      </c>
      <c r="K41" s="11">
        <f>'Quarterly YTD'!H41-'Quarterly YTD'!G41</f>
        <v>0</v>
      </c>
      <c r="L41" s="11">
        <f>D41-'Quarterly YTD'!H41</f>
        <v>-0.195467</v>
      </c>
      <c r="M41" s="0">
        <v>0</v>
      </c>
      <c r="N41" s="0">
        <v>0</v>
      </c>
      <c r="O41" s="11">
        <f>'Quarterly YTD'!L41-'Quarterly YTD'!K41</f>
        <v>0</v>
      </c>
      <c r="P41" s="11">
        <f>E41-'Quarterly YTD'!L41</f>
        <v>0</v>
      </c>
      <c r="Q41" s="0">
        <v>0</v>
      </c>
      <c r="R41" s="0">
        <v>0</v>
      </c>
      <c r="S41" s="14"/>
      <c r="T41" s="14"/>
    </row>
    <row customHeight="1" ht="15">
      <c r="A42" s="9" t="s">
        <v>57</v>
      </c>
      <c r="B42" s="0">
        <v>0</v>
      </c>
      <c r="C42" s="0">
        <v>0</v>
      </c>
      <c r="D42" s="0">
        <v>0</v>
      </c>
      <c r="E42" s="0">
        <v>0</v>
      </c>
      <c r="F42" s="10">
        <f>E42+'Quarterly YTD'!O42-'Quarterly YTD'!K42</f>
        <v>-0.386899</v>
      </c>
      <c r="G42" s="11">
        <f>'Quarterly YTD'!D42-'Quarterly YTD'!C42</f>
        <v>0</v>
      </c>
      <c r="H42" s="11">
        <f>C42-'Quarterly YTD'!D42</f>
        <v>0</v>
      </c>
      <c r="I42" s="0">
        <v>0</v>
      </c>
      <c r="J42" s="11">
        <f>'Quarterly YTD'!G42-I42</f>
        <v>0</v>
      </c>
      <c r="K42" s="11">
        <f>'Quarterly YTD'!H42-'Quarterly YTD'!G42</f>
        <v>0</v>
      </c>
      <c r="L42" s="11">
        <f>D42-'Quarterly YTD'!H42</f>
        <v>0</v>
      </c>
      <c r="M42" s="0">
        <v>0</v>
      </c>
      <c r="N42" s="0">
        <v>0.005824</v>
      </c>
      <c r="O42" s="11">
        <f>'Quarterly YTD'!L42-'Quarterly YTD'!K42</f>
        <v>0.034141</v>
      </c>
      <c r="P42" s="11">
        <f>E42-'Quarterly YTD'!L42</f>
        <v>0</v>
      </c>
      <c r="Q42" s="0">
        <v>0</v>
      </c>
      <c r="R42" s="0">
        <v>-0.536646</v>
      </c>
      <c r="S42" s="14"/>
      <c r="T42" s="14"/>
    </row>
    <row customHeight="1" ht="15">
      <c r="A43" s="9" t="s">
        <v>58</v>
      </c>
      <c r="B43" s="0">
        <v>0</v>
      </c>
      <c r="C43" s="0">
        <v>0</v>
      </c>
      <c r="D43" s="0">
        <v>0</v>
      </c>
      <c r="E43" s="0">
        <v>0</v>
      </c>
      <c r="F43" s="10">
        <f>E43+'Quarterly YTD'!O43-'Quarterly YTD'!K43</f>
        <v>0.096145</v>
      </c>
      <c r="G43" s="11">
        <f>'Quarterly YTD'!D43-'Quarterly YTD'!C43</f>
        <v>0</v>
      </c>
      <c r="H43" s="11">
        <f>C43-'Quarterly YTD'!D43</f>
        <v>0</v>
      </c>
      <c r="I43" s="0">
        <v>0</v>
      </c>
      <c r="J43" s="11">
        <f>'Quarterly YTD'!G43-I43</f>
        <v>0</v>
      </c>
      <c r="K43" s="11">
        <f>'Quarterly YTD'!H43-'Quarterly YTD'!G43</f>
        <v>0</v>
      </c>
      <c r="L43" s="11">
        <f>D43-'Quarterly YTD'!H43</f>
        <v>0</v>
      </c>
      <c r="M43" s="0">
        <v>0</v>
      </c>
      <c r="N43" s="0">
        <v>0.033789</v>
      </c>
      <c r="O43" s="11">
        <f>'Quarterly YTD'!L43-'Quarterly YTD'!K43</f>
        <v>-0.058709</v>
      </c>
      <c r="P43" s="11">
        <f>E43-'Quarterly YTD'!L43</f>
        <v>0</v>
      </c>
      <c r="Q43" s="0">
        <v>0</v>
      </c>
      <c r="R43" s="0">
        <v>-0.09289</v>
      </c>
      <c r="S43" s="14"/>
      <c r="T43" s="14"/>
    </row>
    <row customHeight="1" ht="15">
      <c r="A44" s="9" t="s">
        <v>59</v>
      </c>
      <c r="B44" s="0">
        <v>0.390413</v>
      </c>
      <c r="C44" s="0">
        <v>0</v>
      </c>
      <c r="D44" s="0">
        <v>0.12936</v>
      </c>
      <c r="E44" s="0">
        <v>0.065328</v>
      </c>
      <c r="F44" s="10">
        <f>E44+'Quarterly YTD'!O44-'Quarterly YTD'!K44</f>
        <v>0.432576</v>
      </c>
      <c r="G44" s="11">
        <f>'Quarterly YTD'!D44-'Quarterly YTD'!C44</f>
        <v>0</v>
      </c>
      <c r="H44" s="11">
        <f>C44-'Quarterly YTD'!D44</f>
        <v>0</v>
      </c>
      <c r="I44" s="0">
        <v>0</v>
      </c>
      <c r="J44" s="11">
        <f>'Quarterly YTD'!G44-I44</f>
        <v>0</v>
      </c>
      <c r="K44" s="11">
        <f>'Quarterly YTD'!H44-'Quarterly YTD'!G44</f>
        <v>0.12936</v>
      </c>
      <c r="L44" s="11">
        <f>D44-'Quarterly YTD'!H44</f>
        <v>0</v>
      </c>
      <c r="M44" s="0">
        <v>0.02539</v>
      </c>
      <c r="N44" s="0">
        <v>0.013296</v>
      </c>
      <c r="O44" s="11">
        <f>'Quarterly YTD'!L44-'Quarterly YTD'!K44+-0.000009</f>
        <v>0.013336</v>
      </c>
      <c r="P44" s="11">
        <f>E44-'Quarterly YTD'!L44</f>
        <v>0.013296</v>
      </c>
      <c r="Q44" s="0">
        <v>0.338567</v>
      </c>
      <c r="R44" s="0">
        <v>0.067368</v>
      </c>
      <c r="S44" s="14"/>
      <c r="T44" s="14"/>
    </row>
    <row customHeight="1" ht="15">
      <c r="A45" s="9" t="s">
        <v>60</v>
      </c>
      <c r="B45" s="0">
        <v>0</v>
      </c>
      <c r="C45" s="0">
        <v>0</v>
      </c>
      <c r="D45" s="0">
        <v>0</v>
      </c>
      <c r="E45" s="0">
        <v>0</v>
      </c>
      <c r="F45" s="10">
        <f>E45+'Quarterly YTD'!O45-'Quarterly YTD'!K45</f>
        <v>0</v>
      </c>
      <c r="G45" s="11">
        <f>'Quarterly YTD'!D45-'Quarterly YTD'!C45</f>
        <v>0</v>
      </c>
      <c r="H45" s="11">
        <f>C45-'Quarterly YTD'!D45</f>
        <v>0</v>
      </c>
      <c r="I45" s="0">
        <v>0</v>
      </c>
      <c r="J45" s="11">
        <f>'Quarterly YTD'!G45-I45</f>
        <v>0</v>
      </c>
      <c r="K45" s="11">
        <f>'Quarterly YTD'!H45-'Quarterly YTD'!G45</f>
        <v>-0.033497</v>
      </c>
      <c r="L45" s="11">
        <f>D45-'Quarterly YTD'!H45</f>
        <v>0.033497</v>
      </c>
      <c r="M45" s="0">
        <v>0</v>
      </c>
      <c r="N45" s="0">
        <v>0</v>
      </c>
      <c r="O45" s="11">
        <f>'Quarterly YTD'!L45-'Quarterly YTD'!K45</f>
        <v>0.031576</v>
      </c>
      <c r="P45" s="11">
        <f>E45-'Quarterly YTD'!L45</f>
        <v>-0.031576</v>
      </c>
      <c r="Q45" s="0">
        <v>0</v>
      </c>
      <c r="R45" s="0">
        <v>0</v>
      </c>
      <c r="S45" s="14"/>
      <c r="T45" s="14"/>
    </row>
    <row customHeight="1" ht="15">
      <c r="A46" s="9" t="s">
        <v>61</v>
      </c>
      <c r="B46" s="0">
        <v>0</v>
      </c>
      <c r="C46" s="0">
        <v>0</v>
      </c>
      <c r="D46" s="0">
        <v>-0.000452</v>
      </c>
      <c r="E46" s="0">
        <v>0.090045</v>
      </c>
      <c r="F46" s="10">
        <f>E46+'Quarterly YTD'!O46-'Quarterly YTD'!K46</f>
        <v>0.090045</v>
      </c>
      <c r="G46" s="11">
        <f>'Quarterly YTD'!D46-'Quarterly YTD'!C46</f>
        <v>0</v>
      </c>
      <c r="H46" s="11">
        <f>C46-'Quarterly YTD'!D46</f>
        <v>0</v>
      </c>
      <c r="I46" s="0">
        <v>0</v>
      </c>
      <c r="J46" s="11">
        <f>'Quarterly YTD'!G46-I46</f>
        <v>0</v>
      </c>
      <c r="K46" s="11">
        <f>'Quarterly YTD'!H46-'Quarterly YTD'!G46</f>
        <v>0</v>
      </c>
      <c r="L46" s="11">
        <f>D46-'Quarterly YTD'!H46</f>
        <v>-0.000452</v>
      </c>
      <c r="M46" s="0">
        <v>0</v>
      </c>
      <c r="N46" s="0">
        <v>0</v>
      </c>
      <c r="O46" s="11">
        <f>'Quarterly YTD'!L46-'Quarterly YTD'!K46</f>
        <v>0</v>
      </c>
      <c r="P46" s="11">
        <f>E46-'Quarterly YTD'!L46</f>
        <v>0.090045</v>
      </c>
      <c r="Q46" s="0">
        <v>0</v>
      </c>
      <c r="R46" s="0">
        <v>0</v>
      </c>
      <c r="S46" s="14"/>
      <c r="T46" s="14"/>
    </row>
    <row customHeight="1" ht="15">
      <c r="A47" s="9" t="s">
        <v>62</v>
      </c>
      <c r="B47" s="0">
        <v>0.038122</v>
      </c>
      <c r="C47" s="0">
        <v>0.036329</v>
      </c>
      <c r="D47" s="0">
        <v>0</v>
      </c>
      <c r="E47" s="0">
        <v>0</v>
      </c>
      <c r="F47" s="10">
        <f>E47+'Quarterly YTD'!O47-'Quarterly YTD'!K47</f>
        <v>0</v>
      </c>
      <c r="G47" s="11">
        <f>'Quarterly YTD'!D47-'Quarterly YTD'!C47</f>
        <v>-0.004655</v>
      </c>
      <c r="H47" s="11">
        <f>C47-'Quarterly YTD'!D47</f>
        <v>0.040984</v>
      </c>
      <c r="I47" s="0">
        <v>0</v>
      </c>
      <c r="J47" s="11">
        <f>'Quarterly YTD'!G47-I47</f>
        <v>0</v>
      </c>
      <c r="K47" s="11">
        <f>'Quarterly YTD'!H47-'Quarterly YTD'!G47</f>
        <v>0</v>
      </c>
      <c r="L47" s="11">
        <f>D47-'Quarterly YTD'!H47</f>
        <v>0</v>
      </c>
      <c r="M47" s="0">
        <v>0.02492</v>
      </c>
      <c r="N47" s="0">
        <v>0</v>
      </c>
      <c r="O47" s="11">
        <f>'Quarterly YTD'!L47-'Quarterly YTD'!K47+-0.058709</f>
        <v>-0.058709</v>
      </c>
      <c r="P47" s="11">
        <f>E47-'Quarterly YTD'!L47</f>
        <v>0</v>
      </c>
      <c r="Q47" s="0">
        <v>0.247744</v>
      </c>
      <c r="R47" s="0">
        <v>0</v>
      </c>
      <c r="S47" s="14"/>
      <c r="T47" s="14"/>
    </row>
    <row customHeight="1" ht="15">
      <c r="A48" s="9" t="s">
        <v>63</v>
      </c>
      <c r="B48" s="0">
        <v>-0.133104</v>
      </c>
      <c r="C48" s="0">
        <v>-1.237004</v>
      </c>
      <c r="D48" s="0">
        <v>2.400355</v>
      </c>
      <c r="E48" s="0">
        <v>1.255323</v>
      </c>
      <c r="F48" s="10">
        <f>E48+'Quarterly YTD'!O48-'Quarterly YTD'!K48</f>
        <v>1.263294</v>
      </c>
      <c r="G48" s="11">
        <f>'Quarterly YTD'!D48-'Quarterly YTD'!C48</f>
        <v>-1.509798</v>
      </c>
      <c r="H48" s="11">
        <f>C48-'Quarterly YTD'!D48</f>
        <v>-0.715181</v>
      </c>
      <c r="I48" s="0">
        <v>1.326513</v>
      </c>
      <c r="J48" s="11">
        <f>'Quarterly YTD'!G48-I48</f>
        <v>-0.603222</v>
      </c>
      <c r="K48" s="11">
        <f>'Quarterly YTD'!H48-'Quarterly YTD'!G48</f>
        <v>-0.00051000000000001</v>
      </c>
      <c r="L48" s="11">
        <f>D48-'Quarterly YTD'!H48</f>
        <v>1.677574</v>
      </c>
      <c r="M48" s="0">
        <v>0.147859</v>
      </c>
      <c r="N48" s="0">
        <v>0.513482</v>
      </c>
      <c r="O48" s="11">
        <f>'Quarterly YTD'!L48-'Quarterly YTD'!K48</f>
        <v>0.460688</v>
      </c>
      <c r="P48" s="11">
        <f>E48-'Quarterly YTD'!L48</f>
        <v>0.133294</v>
      </c>
      <c r="Q48" s="0">
        <v>0.571341</v>
      </c>
      <c r="R48" s="0">
        <v>0.097971</v>
      </c>
      <c r="S48" s="14"/>
      <c r="T48" s="14"/>
    </row>
    <row customHeight="1" ht="15">
      <c r="A49" s="9" t="s">
        <v>64</v>
      </c>
      <c r="B49" s="0">
        <v>0</v>
      </c>
      <c r="C49" s="0">
        <v>0</v>
      </c>
      <c r="D49" s="0">
        <v>0.028256</v>
      </c>
      <c r="E49" s="0">
        <v>-0.390374</v>
      </c>
      <c r="F49" s="10">
        <f>E49+'Quarterly YTD'!O49-'Quarterly YTD'!K49</f>
        <v>-0.390374</v>
      </c>
      <c r="G49" s="11">
        <f>'Quarterly YTD'!D49-'Quarterly YTD'!C49</f>
        <v>0</v>
      </c>
      <c r="H49" s="11">
        <f>C49-'Quarterly YTD'!D49</f>
        <v>0</v>
      </c>
      <c r="I49" s="0">
        <v>0</v>
      </c>
      <c r="J49" s="11">
        <f>'Quarterly YTD'!G49-I49</f>
        <v>0</v>
      </c>
      <c r="K49" s="11">
        <f>'Quarterly YTD'!H49-'Quarterly YTD'!G49</f>
        <v>0</v>
      </c>
      <c r="L49" s="11">
        <f>D49-'Quarterly YTD'!H49</f>
        <v>0.028256</v>
      </c>
      <c r="M49" s="0">
        <v>0</v>
      </c>
      <c r="N49" s="0">
        <v>0</v>
      </c>
      <c r="O49" s="11">
        <f>'Quarterly YTD'!L49-'Quarterly YTD'!K49</f>
        <v>0</v>
      </c>
      <c r="P49" s="11">
        <f>E49-'Quarterly YTD'!L49</f>
        <v>-0.390374</v>
      </c>
      <c r="Q49" s="0">
        <v>0</v>
      </c>
      <c r="R49" s="0">
        <v>0</v>
      </c>
      <c r="S49" s="14"/>
      <c r="T49" s="14"/>
    </row>
    <row customHeight="1" ht="15">
      <c r="A50" s="9" t="s">
        <v>65</v>
      </c>
      <c r="B50" s="0">
        <v>0</v>
      </c>
      <c r="C50" s="0">
        <v>0</v>
      </c>
      <c r="D50" s="0">
        <v>0</v>
      </c>
      <c r="E50" s="0">
        <v>0</v>
      </c>
      <c r="F50" s="10">
        <f>E50+'Quarterly YTD'!O50-'Quarterly YTD'!K50</f>
        <v>0</v>
      </c>
      <c r="G50" s="11">
        <f>'Quarterly YTD'!D50-'Quarterly YTD'!C50</f>
        <v>0</v>
      </c>
      <c r="H50" s="11">
        <f>C50-'Quarterly YTD'!D50</f>
        <v>0</v>
      </c>
      <c r="I50" s="0">
        <v>0</v>
      </c>
      <c r="J50" s="11">
        <f>'Quarterly YTD'!G50-I50</f>
        <v>0</v>
      </c>
      <c r="K50" s="11">
        <f>'Quarterly YTD'!H50-'Quarterly YTD'!G50</f>
        <v>0.043954</v>
      </c>
      <c r="L50" s="11">
        <f>D50-'Quarterly YTD'!H50</f>
        <v>-0.043954</v>
      </c>
      <c r="M50" s="0">
        <v>0.022856</v>
      </c>
      <c r="N50" s="0">
        <v>0</v>
      </c>
      <c r="O50" s="11">
        <f>'Quarterly YTD'!L50-'Quarterly YTD'!K50</f>
        <v>-0.298746</v>
      </c>
      <c r="P50" s="11">
        <f>E50-'Quarterly YTD'!L50</f>
        <v>0.298746</v>
      </c>
      <c r="Q50" s="0">
        <v>-0.169571</v>
      </c>
      <c r="R50" s="0">
        <v>0</v>
      </c>
      <c r="S50" s="14"/>
      <c r="T50" s="14"/>
    </row>
    <row customHeight="1" ht="15">
      <c r="A51" s="9" t="s">
        <v>66</v>
      </c>
      <c r="B51" s="0">
        <v>-0.070659</v>
      </c>
      <c r="C51" s="0">
        <v>0.556148</v>
      </c>
      <c r="D51" s="0">
        <v>0</v>
      </c>
      <c r="E51" s="0">
        <v>0</v>
      </c>
      <c r="F51" s="10">
        <f>E51+'Quarterly YTD'!O51-'Quarterly YTD'!K51</f>
        <v>-0.21317</v>
      </c>
      <c r="G51" s="11">
        <f>'Quarterly YTD'!D51-'Quarterly YTD'!C51</f>
        <v>0.574714</v>
      </c>
      <c r="H51" s="11">
        <f>C51-'Quarterly YTD'!D51</f>
        <v>0.28726</v>
      </c>
      <c r="I51" s="0">
        <v>-0.330228</v>
      </c>
      <c r="J51" s="11">
        <f>'Quarterly YTD'!G51-I51</f>
        <v>0.173323</v>
      </c>
      <c r="K51" s="11">
        <f>'Quarterly YTD'!H51-'Quarterly YTD'!G51</f>
        <v>0.156905</v>
      </c>
      <c r="L51" s="11">
        <f>D51-'Quarterly YTD'!H51</f>
        <v>0</v>
      </c>
      <c r="M51" s="0">
        <v>0</v>
      </c>
      <c r="N51" s="0">
        <v>-0.20006</v>
      </c>
      <c r="O51" s="11">
        <f>'Quarterly YTD'!L51-'Quarterly YTD'!K51</f>
        <v>0.177204</v>
      </c>
      <c r="P51" s="11">
        <f>E51-'Quarterly YTD'!L51</f>
        <v>0</v>
      </c>
      <c r="Q51" s="0">
        <v>0</v>
      </c>
      <c r="R51" s="0">
        <v>-0.220803</v>
      </c>
      <c r="S51" s="14"/>
      <c r="T51" s="14"/>
    </row>
    <row customHeight="1" ht="15">
      <c r="A52" s="9" t="s">
        <v>35</v>
      </c>
      <c r="B52" s="0">
        <v>-0.187722</v>
      </c>
      <c r="C52" s="0">
        <v>-0.156096</v>
      </c>
      <c r="D52" s="0">
        <v>-0.329052</v>
      </c>
      <c r="E52" s="0">
        <v>-0.269998</v>
      </c>
      <c r="F52" s="10">
        <f>E52+'Quarterly YTD'!O52-'Quarterly YTD'!K52</f>
        <v>-0.501385</v>
      </c>
      <c r="G52" s="11">
        <f>'Quarterly YTD'!D52-'Quarterly YTD'!C52</f>
        <v>-0.038724</v>
      </c>
      <c r="H52" s="11">
        <f>C52-'Quarterly YTD'!D52</f>
        <v>-0.040954</v>
      </c>
      <c r="I52" s="0">
        <v>-0.040809</v>
      </c>
      <c r="J52" s="11">
        <f>'Quarterly YTD'!G52-I52</f>
        <v>-0.038332</v>
      </c>
      <c r="K52" s="11">
        <f>'Quarterly YTD'!H52-'Quarterly YTD'!G52</f>
        <v>-0.037117</v>
      </c>
      <c r="L52" s="11">
        <f>D52-'Quarterly YTD'!H52</f>
        <v>-0.212794</v>
      </c>
      <c r="M52" s="0">
        <v>-0.109547</v>
      </c>
      <c r="N52" s="0">
        <v>-0.047734</v>
      </c>
      <c r="O52" s="11">
        <f>'Quarterly YTD'!L52-'Quarterly YTD'!K52</f>
        <v>-0.072899</v>
      </c>
      <c r="P52" s="11">
        <f>E52-'Quarterly YTD'!L52</f>
        <v>-0.039818</v>
      </c>
      <c r="Q52" s="0">
        <v>-0.236924</v>
      </c>
      <c r="R52" s="0">
        <v>-0.151744</v>
      </c>
      <c r="S52" s="14"/>
      <c r="T52" s="14"/>
    </row>
    <row customHeight="1" ht="15">
      <c r="A53" s="9" t="s">
        <v>34</v>
      </c>
      <c r="B53" s="0">
        <v>-1.932958</v>
      </c>
      <c r="C53" s="0">
        <v>-2.126254</v>
      </c>
      <c r="D53" s="0">
        <v>-2.33888</v>
      </c>
      <c r="E53" s="0">
        <v>-2.572767</v>
      </c>
      <c r="F53" s="10">
        <f>E53+'Quarterly YTD'!O53-'Quarterly YTD'!K53</f>
        <v>-2.701405</v>
      </c>
      <c r="G53" s="11">
        <f>'Quarterly YTD'!D53-'Quarterly YTD'!C53</f>
        <v>-0.531564</v>
      </c>
      <c r="H53" s="11">
        <f>C53-'Quarterly YTD'!D53</f>
        <v>-0.531563</v>
      </c>
      <c r="I53" s="0">
        <v>-0.58472</v>
      </c>
      <c r="J53" s="11">
        <f>'Quarterly YTD'!G53-I53</f>
        <v>-0.58472</v>
      </c>
      <c r="K53" s="11">
        <f>'Quarterly YTD'!H53-'Quarterly YTD'!G53</f>
        <v>-0.58472</v>
      </c>
      <c r="L53" s="11">
        <f>D53-'Quarterly YTD'!H53</f>
        <v>-0.58472</v>
      </c>
      <c r="M53" s="0">
        <v>-0.643189</v>
      </c>
      <c r="N53" s="0">
        <v>-0.643195</v>
      </c>
      <c r="O53" s="11">
        <f>'Quarterly YTD'!L53-'Quarterly YTD'!K53</f>
        <v>-0.643192</v>
      </c>
      <c r="P53" s="11">
        <f>E53-'Quarterly YTD'!L53</f>
        <v>-0.643191</v>
      </c>
      <c r="Q53" s="0">
        <v>-0.707511</v>
      </c>
      <c r="R53" s="0">
        <v>-0.707511</v>
      </c>
      <c r="S53" s="14"/>
      <c r="T53" s="14"/>
    </row>
    <row customHeight="1" ht="15">
      <c r="A54" s="9" t="s">
        <v>67</v>
      </c>
      <c r="B54" s="0">
        <v>55.213244</v>
      </c>
      <c r="C54" s="0">
        <v>64.737849</v>
      </c>
      <c r="D54" s="0">
        <v>74.276529</v>
      </c>
      <c r="E54" s="0">
        <v>71.039195</v>
      </c>
      <c r="F54" s="10">
        <f>E54+'Quarterly YTD'!O54-'Quarterly YTD'!K54</f>
        <v>77.784129</v>
      </c>
      <c r="G54" s="11">
        <f>'Quarterly YTD'!D54-'Quarterly YTD'!C54</f>
        <v>13.393927</v>
      </c>
      <c r="H54" s="11">
        <f>C54-'Quarterly YTD'!D54</f>
        <v>19.476713</v>
      </c>
      <c r="I54" s="0">
        <v>15.328047</v>
      </c>
      <c r="J54" s="11">
        <f>'Quarterly YTD'!G54-I54</f>
        <v>15.410468</v>
      </c>
      <c r="K54" s="11">
        <f>'Quarterly YTD'!H54-'Quarterly YTD'!G54</f>
        <v>15.632486</v>
      </c>
      <c r="L54" s="11">
        <f>D54-'Quarterly YTD'!H54</f>
        <v>27.905528</v>
      </c>
      <c r="M54" s="0">
        <v>17.043553</v>
      </c>
      <c r="N54" s="0">
        <v>17.184806</v>
      </c>
      <c r="O54" s="11">
        <f>'Quarterly YTD'!L54-'Quarterly YTD'!K54</f>
        <v>17.741476</v>
      </c>
      <c r="P54" s="11">
        <f>E54-'Quarterly YTD'!L54</f>
        <v>19.06936</v>
      </c>
      <c r="Q54" s="0">
        <v>20.252271</v>
      </c>
      <c r="R54" s="0">
        <v>20.721022</v>
      </c>
      <c r="S54" s="14"/>
      <c r="T54" s="14"/>
    </row>
    <row customHeight="1" ht="15">
      <c r="A55" s="9" t="s">
        <v>68</v>
      </c>
      <c r="B55" s="0">
        <v>-1.836886</v>
      </c>
      <c r="C55" s="0">
        <v>0.015574</v>
      </c>
      <c r="D55" s="0">
        <v>-0.032154</v>
      </c>
      <c r="E55" s="0">
        <v>-0.064657</v>
      </c>
      <c r="F55" s="10">
        <f>E55+'Quarterly YTD'!O55-'Quarterly YTD'!K55</f>
        <v>-0.019359</v>
      </c>
      <c r="G55" s="11">
        <f>'Quarterly YTD'!D55-'Quarterly YTD'!C55</f>
        <v>0.000664000000000001</v>
      </c>
      <c r="H55" s="11">
        <f>C55-'Quarterly YTD'!D55</f>
        <v>-0.011035</v>
      </c>
      <c r="I55" s="0">
        <v>-0.017654</v>
      </c>
      <c r="J55" s="11">
        <f>'Quarterly YTD'!G55-I55</f>
        <v>-0.000967</v>
      </c>
      <c r="K55" s="11">
        <f>'Quarterly YTD'!H55-'Quarterly YTD'!G55</f>
        <v>-0.009836</v>
      </c>
      <c r="L55" s="11">
        <f>D55-'Quarterly YTD'!H55</f>
        <v>-0.003697</v>
      </c>
      <c r="M55" s="0">
        <v>-0.01457</v>
      </c>
      <c r="N55" s="0">
        <v>-0.030728</v>
      </c>
      <c r="O55" s="11">
        <f>'Quarterly YTD'!L55-'Quarterly YTD'!K55</f>
        <v>-0.006377</v>
      </c>
      <c r="P55" s="11">
        <f>E55-'Quarterly YTD'!L55</f>
        <v>-0.012982</v>
      </c>
      <c r="Q55" s="0">
        <v>0</v>
      </c>
      <c r="R55" s="0">
        <v>0</v>
      </c>
      <c r="S55" s="14"/>
      <c r="T55" s="14"/>
    </row>
    <row customHeight="1" ht="15">
      <c r="A56" s="9" t="s">
        <v>69</v>
      </c>
      <c r="B56" s="0">
        <v>-0.009102</v>
      </c>
      <c r="C56" s="0">
        <v>0.023764</v>
      </c>
      <c r="D56" s="0">
        <v>-0.054614</v>
      </c>
      <c r="E56" s="0">
        <v>-0.047063</v>
      </c>
      <c r="F56" s="10">
        <f>E56+'Quarterly YTD'!O56-'Quarterly YTD'!K56</f>
        <v>-0.092696</v>
      </c>
      <c r="G56" s="11">
        <f>'Quarterly YTD'!D56-'Quarterly YTD'!C56</f>
        <v>-0.01335</v>
      </c>
      <c r="H56" s="11">
        <f>C56-'Quarterly YTD'!D56</f>
        <v>0.049436</v>
      </c>
      <c r="I56" s="0">
        <v>-0.009214</v>
      </c>
      <c r="J56" s="11">
        <f>'Quarterly YTD'!G56-I56</f>
        <v>-0.064849</v>
      </c>
      <c r="K56" s="11">
        <f>'Quarterly YTD'!H56-'Quarterly YTD'!G56</f>
        <v>-0.038324</v>
      </c>
      <c r="L56" s="11">
        <f>D56-'Quarterly YTD'!H56</f>
        <v>0.057773</v>
      </c>
      <c r="M56" s="0">
        <v>-0.004473</v>
      </c>
      <c r="N56" s="0">
        <v>0.004473</v>
      </c>
      <c r="O56" s="11">
        <f>'Quarterly YTD'!L56-'Quarterly YTD'!K56</f>
        <v>0</v>
      </c>
      <c r="P56" s="11">
        <f>E56-'Quarterly YTD'!L56</f>
        <v>-0.047063</v>
      </c>
      <c r="Q56" s="0">
        <v>-0.067118</v>
      </c>
      <c r="R56" s="0">
        <v>0.021485</v>
      </c>
      <c r="S56" s="14"/>
      <c r="T56" s="14"/>
    </row>
    <row customHeight="1" ht="15">
      <c r="A57" s="9" t="s">
        <v>37</v>
      </c>
      <c r="B57" s="0">
        <v>24.108535</v>
      </c>
      <c r="C57" s="0">
        <v>114.151736</v>
      </c>
      <c r="D57" s="0">
        <v>39.271284</v>
      </c>
      <c r="E57" s="0">
        <v>-37.680522</v>
      </c>
      <c r="F57" s="10">
        <f>E57+'Quarterly YTD'!O57-'Quarterly YTD'!K57</f>
        <v>-33.66656</v>
      </c>
      <c r="G57" s="11">
        <f>'Quarterly YTD'!D57-'Quarterly YTD'!C57</f>
        <v>-2.11532299999999</v>
      </c>
      <c r="H57" s="11">
        <f>C57-'Quarterly YTD'!D57</f>
        <v>30.669429</v>
      </c>
      <c r="I57" s="0">
        <v>12.388792</v>
      </c>
      <c r="J57" s="11">
        <f>'Quarterly YTD'!G57-I57</f>
        <v>10.767847</v>
      </c>
      <c r="K57" s="11">
        <f>'Quarterly YTD'!H57-'Quarterly YTD'!G57</f>
        <v>10.3553</v>
      </c>
      <c r="L57" s="11">
        <f>D57-'Quarterly YTD'!H57</f>
        <v>5.759345</v>
      </c>
      <c r="M57" s="0">
        <v>5.577573</v>
      </c>
      <c r="N57" s="0">
        <v>7.600561</v>
      </c>
      <c r="O57" s="11">
        <f>'Quarterly YTD'!L57-'Quarterly YTD'!K57</f>
        <v>-15.383757</v>
      </c>
      <c r="P57" s="11">
        <f>E57-'Quarterly YTD'!L57</f>
        <v>-35.474899</v>
      </c>
      <c r="Q57" s="0">
        <v>13.410153</v>
      </c>
      <c r="R57" s="0">
        <v>3.781943</v>
      </c>
      <c r="S57" s="14"/>
      <c r="T57" s="14"/>
    </row>
    <row customHeight="1" ht="15">
      <c r="A58" s="9" t="s">
        <v>70</v>
      </c>
      <c r="B58" s="0">
        <v>0</v>
      </c>
      <c r="C58" s="0">
        <v>-21.543365</v>
      </c>
      <c r="D58" s="0">
        <v>-3.558212</v>
      </c>
      <c r="E58" s="0">
        <v>1.599516</v>
      </c>
      <c r="F58" s="10">
        <f>E58+'Quarterly YTD'!O58-'Quarterly YTD'!K58</f>
        <v>-1.419819</v>
      </c>
      <c r="G58" s="11">
        <f>'Quarterly YTD'!D58-'Quarterly YTD'!C58</f>
        <v>3.066506</v>
      </c>
      <c r="H58" s="11">
        <f>C58-'Quarterly YTD'!D58</f>
        <v>7.755996</v>
      </c>
      <c r="I58" s="0">
        <v>-3.717688</v>
      </c>
      <c r="J58" s="11">
        <f>'Quarterly YTD'!G58-I58</f>
        <v>-0.254449</v>
      </c>
      <c r="K58" s="11">
        <f>'Quarterly YTD'!H58-'Quarterly YTD'!G58</f>
        <v>1.266755</v>
      </c>
      <c r="L58" s="11">
        <f>D58-'Quarterly YTD'!H58</f>
        <v>-0.85283</v>
      </c>
      <c r="M58" s="0">
        <v>0.211588</v>
      </c>
      <c r="N58" s="0">
        <v>0.017313</v>
      </c>
      <c r="O58" s="11">
        <f>'Quarterly YTD'!L58-'Quarterly YTD'!K58</f>
        <v>-0.6408</v>
      </c>
      <c r="P58" s="11">
        <f>E58-'Quarterly YTD'!L58</f>
        <v>2.011415</v>
      </c>
      <c r="Q58" s="0">
        <v>-2.791561</v>
      </c>
      <c r="R58" s="0">
        <v>0.001127</v>
      </c>
      <c r="S58" s="14"/>
      <c r="T58" s="14"/>
    </row>
    <row customHeight="1" ht="15">
      <c r="A59" s="9" t="s">
        <v>71</v>
      </c>
      <c r="B59" s="0">
        <v>-7.6196</v>
      </c>
      <c r="C59" s="0">
        <v>-3.808835</v>
      </c>
      <c r="D59" s="0">
        <v>-0.445687</v>
      </c>
      <c r="E59" s="0">
        <v>-1.67919</v>
      </c>
      <c r="F59" s="10">
        <f>E59+'Quarterly YTD'!O59-'Quarterly YTD'!K59</f>
        <v>-1.67919</v>
      </c>
      <c r="G59" s="11">
        <f>'Quarterly YTD'!D59-'Quarterly YTD'!C59</f>
        <v>-2.869228</v>
      </c>
      <c r="H59" s="11">
        <f>C59-'Quarterly YTD'!D59</f>
        <v>-1.952859</v>
      </c>
      <c r="I59" s="0">
        <v>-1.099068</v>
      </c>
      <c r="J59" s="11">
        <f>'Quarterly YTD'!G59-I59</f>
        <v>-1.348559</v>
      </c>
      <c r="K59" s="11">
        <f>'Quarterly YTD'!H59-'Quarterly YTD'!G59</f>
        <v>1.577894</v>
      </c>
      <c r="L59" s="11">
        <f>D59-'Quarterly YTD'!H59</f>
        <v>0.424046</v>
      </c>
      <c r="M59" s="0">
        <v>-1.148641</v>
      </c>
      <c r="N59" s="0">
        <v>0</v>
      </c>
      <c r="O59" s="11">
        <f>'Quarterly YTD'!L59-'Quarterly YTD'!K59+1.250769</f>
        <v>-2.20409</v>
      </c>
      <c r="P59" s="11">
        <f>E59-'Quarterly YTD'!L59</f>
        <v>1.775669</v>
      </c>
      <c r="Q59" s="0">
        <v>-1.259565</v>
      </c>
      <c r="R59" s="0">
        <v>0</v>
      </c>
      <c r="S59" s="14"/>
      <c r="T59" s="14"/>
    </row>
    <row customHeight="1" ht="15">
      <c r="A60" s="9" t="s">
        <v>72</v>
      </c>
      <c r="B60" s="0">
        <v>0</v>
      </c>
      <c r="C60" s="0">
        <v>0</v>
      </c>
      <c r="D60" s="0">
        <v>0</v>
      </c>
      <c r="E60" s="0">
        <v>0</v>
      </c>
      <c r="F60" s="10">
        <f>E60+'Quarterly YTD'!O60-'Quarterly YTD'!K60</f>
        <v>3.704261</v>
      </c>
      <c r="G60" s="11">
        <f>'Quarterly YTD'!D60-'Quarterly YTD'!C60</f>
        <v>0</v>
      </c>
      <c r="H60" s="11">
        <f>C60-'Quarterly YTD'!D60</f>
        <v>0</v>
      </c>
      <c r="I60" s="0">
        <v>0</v>
      </c>
      <c r="J60" s="11">
        <f>'Quarterly YTD'!G60-I60</f>
        <v>0</v>
      </c>
      <c r="K60" s="11">
        <f>'Quarterly YTD'!H60-'Quarterly YTD'!G60</f>
        <v>0</v>
      </c>
      <c r="L60" s="11">
        <f>D60-'Quarterly YTD'!H60</f>
        <v>0</v>
      </c>
      <c r="M60" s="0">
        <v>0</v>
      </c>
      <c r="N60" s="0">
        <v>-0.440554</v>
      </c>
      <c r="O60" s="11">
        <f>'Quarterly YTD'!L60-'Quarterly YTD'!K60+-1.589195</f>
        <v>0</v>
      </c>
      <c r="P60" s="11">
        <f>E60-'Quarterly YTD'!L60</f>
        <v>0</v>
      </c>
      <c r="Q60" s="0">
        <v>0</v>
      </c>
      <c r="R60" s="0">
        <v>3.374631</v>
      </c>
      <c r="S60" s="14"/>
      <c r="T60" s="14"/>
    </row>
    <row customHeight="1" ht="15">
      <c r="A61" s="9" t="s">
        <v>73</v>
      </c>
      <c r="B61" s="0">
        <v>-0.651903</v>
      </c>
      <c r="C61" s="0">
        <v>-7.075708</v>
      </c>
      <c r="D61" s="0">
        <v>4.098743</v>
      </c>
      <c r="E61" s="0">
        <v>1.583755</v>
      </c>
      <c r="F61" s="10">
        <f>E61+'Quarterly YTD'!O61-'Quarterly YTD'!K61</f>
        <v>0.543746</v>
      </c>
      <c r="G61" s="11">
        <f>'Quarterly YTD'!D61-'Quarterly YTD'!C61</f>
        <v>-1.193263</v>
      </c>
      <c r="H61" s="11">
        <f>C61-'Quarterly YTD'!D61</f>
        <v>-5.428419</v>
      </c>
      <c r="I61" s="0">
        <v>0.773701</v>
      </c>
      <c r="J61" s="11">
        <f>'Quarterly YTD'!G61-I61</f>
        <v>2.748886</v>
      </c>
      <c r="K61" s="11">
        <f>'Quarterly YTD'!H61-'Quarterly YTD'!G61</f>
        <v>1.92062</v>
      </c>
      <c r="L61" s="11">
        <f>D61-'Quarterly YTD'!H61</f>
        <v>-1.344464</v>
      </c>
      <c r="M61" s="0">
        <v>1.100836</v>
      </c>
      <c r="N61" s="0">
        <v>-0.23542</v>
      </c>
      <c r="O61" s="11">
        <f>'Quarterly YTD'!L61-'Quarterly YTD'!K61</f>
        <v>0.0813820000000001</v>
      </c>
      <c r="P61" s="11">
        <f>E61-'Quarterly YTD'!L61</f>
        <v>0.636957</v>
      </c>
      <c r="Q61" s="0">
        <v>-0.232414</v>
      </c>
      <c r="R61" s="0">
        <v>0.057821</v>
      </c>
      <c r="S61" s="14"/>
      <c r="T61" s="14"/>
    </row>
    <row customHeight="1" ht="15">
      <c r="A62" s="9" t="s">
        <v>74</v>
      </c>
      <c r="B62" s="0">
        <v>47.043432</v>
      </c>
      <c r="C62" s="0">
        <v>-26.765219</v>
      </c>
      <c r="D62" s="0">
        <v>0</v>
      </c>
      <c r="E62" s="0">
        <v>0</v>
      </c>
      <c r="F62" s="10">
        <f>E62+'Quarterly YTD'!O62-'Quarterly YTD'!K62</f>
        <v>0</v>
      </c>
      <c r="G62" s="11">
        <f>'Quarterly YTD'!D62-'Quarterly YTD'!C62</f>
        <v>10.941115</v>
      </c>
      <c r="H62" s="11">
        <f>C62-'Quarterly YTD'!D62</f>
        <v>-4.48836</v>
      </c>
      <c r="I62" s="0">
        <v>-5.818776</v>
      </c>
      <c r="J62" s="11">
        <f>'Quarterly YTD'!G62-I62</f>
        <v>-0.512009</v>
      </c>
      <c r="K62" s="11">
        <f>'Quarterly YTD'!H62-'Quarterly YTD'!G62</f>
        <v>6.889827</v>
      </c>
      <c r="L62" s="11">
        <f>D62-'Quarterly YTD'!H62</f>
        <v>-0.559042</v>
      </c>
      <c r="M62" s="0">
        <v>0</v>
      </c>
      <c r="N62" s="0">
        <v>0</v>
      </c>
      <c r="O62" s="11">
        <f>'Quarterly YTD'!L62-'Quarterly YTD'!K62+8.678828</f>
        <v>3.939247</v>
      </c>
      <c r="P62" s="11">
        <f>E62-'Quarterly YTD'!L62</f>
        <v>4.739581</v>
      </c>
      <c r="Q62" s="0">
        <v>0</v>
      </c>
      <c r="R62" s="0">
        <v>0</v>
      </c>
      <c r="S62" s="14"/>
      <c r="T62" s="14"/>
    </row>
    <row customHeight="1" ht="15">
      <c r="A63" s="9" t="s">
        <v>75</v>
      </c>
      <c r="B63" s="0">
        <v>0</v>
      </c>
      <c r="C63" s="0">
        <v>0</v>
      </c>
      <c r="D63" s="0">
        <v>-12.040304</v>
      </c>
      <c r="E63" s="0">
        <v>5.289519</v>
      </c>
      <c r="F63" s="10">
        <f>E63+'Quarterly YTD'!O63-'Quarterly YTD'!K63</f>
        <v>-4.354654</v>
      </c>
      <c r="G63" s="11">
        <f>'Quarterly YTD'!D63-'Quarterly YTD'!C63</f>
        <v>0</v>
      </c>
      <c r="H63" s="11">
        <f>C63-'Quarterly YTD'!D63</f>
        <v>0</v>
      </c>
      <c r="I63" s="0">
        <v>0</v>
      </c>
      <c r="J63" s="11">
        <f>'Quarterly YTD'!G63-I63</f>
        <v>0</v>
      </c>
      <c r="K63" s="11">
        <f>'Quarterly YTD'!H63-'Quarterly YTD'!G63</f>
        <v>0</v>
      </c>
      <c r="L63" s="11">
        <f>D63-'Quarterly YTD'!H63</f>
        <v>-12.040304</v>
      </c>
      <c r="M63" s="0">
        <v>-15.479729</v>
      </c>
      <c r="N63" s="0">
        <v>5.912828</v>
      </c>
      <c r="O63" s="11">
        <f>'Quarterly YTD'!L63-'Quarterly YTD'!K63+-7.155332</f>
        <v>0</v>
      </c>
      <c r="P63" s="11">
        <f>E63-'Quarterly YTD'!L63</f>
        <v>5.289519</v>
      </c>
      <c r="Q63" s="0">
        <v>-18.964637</v>
      </c>
      <c r="R63" s="0">
        <v>-6.31019</v>
      </c>
      <c r="S63" s="14"/>
      <c r="T63" s="14"/>
    </row>
    <row customHeight="1" ht="15">
      <c r="A64" s="9" t="s">
        <v>76</v>
      </c>
      <c r="B64" s="0">
        <v>0</v>
      </c>
      <c r="C64" s="0">
        <v>0</v>
      </c>
      <c r="D64" s="0">
        <v>0</v>
      </c>
      <c r="E64" s="0">
        <v>-35.839263</v>
      </c>
      <c r="F64" s="10">
        <f>E64+'Quarterly YTD'!O64-'Quarterly YTD'!K64</f>
        <v>-35.839263</v>
      </c>
      <c r="G64" s="11">
        <f>'Quarterly YTD'!D64-'Quarterly YTD'!C64</f>
        <v>0</v>
      </c>
      <c r="H64" s="11">
        <f>C64-'Quarterly YTD'!D64</f>
        <v>0</v>
      </c>
      <c r="I64" s="0">
        <v>0</v>
      </c>
      <c r="J64" s="11">
        <f>'Quarterly YTD'!G64-I64</f>
        <v>0</v>
      </c>
      <c r="K64" s="11">
        <f>'Quarterly YTD'!H64-'Quarterly YTD'!G64</f>
        <v>0</v>
      </c>
      <c r="L64" s="11">
        <f>D64-'Quarterly YTD'!H64</f>
        <v>0</v>
      </c>
      <c r="M64" s="0">
        <v>0</v>
      </c>
      <c r="N64" s="0">
        <v>0</v>
      </c>
      <c r="O64" s="11">
        <f>'Quarterly YTD'!L64-'Quarterly YTD'!K64</f>
        <v>0</v>
      </c>
      <c r="P64" s="11">
        <f>E64-'Quarterly YTD'!L64</f>
        <v>-35.839263</v>
      </c>
      <c r="Q64" s="0">
        <v>0</v>
      </c>
      <c r="R64" s="0">
        <v>0</v>
      </c>
      <c r="S64" s="14"/>
      <c r="T64" s="14"/>
    </row>
    <row customHeight="1" ht="15">
      <c r="A65" s="9" t="s">
        <v>77</v>
      </c>
      <c r="B65" s="0">
        <v>0</v>
      </c>
      <c r="C65" s="0">
        <v>0</v>
      </c>
      <c r="D65" s="0">
        <v>-31.924235</v>
      </c>
      <c r="E65" s="0">
        <v>0</v>
      </c>
      <c r="F65" s="10">
        <f>E65+'Quarterly YTD'!O65-'Quarterly YTD'!K65</f>
        <v>0</v>
      </c>
      <c r="G65" s="11">
        <f>'Quarterly YTD'!D65-'Quarterly YTD'!C65</f>
        <v>0</v>
      </c>
      <c r="H65" s="11">
        <f>C65-'Quarterly YTD'!D65</f>
        <v>0</v>
      </c>
      <c r="I65" s="0">
        <v>0</v>
      </c>
      <c r="J65" s="11">
        <f>'Quarterly YTD'!G65-I65</f>
        <v>0</v>
      </c>
      <c r="K65" s="11">
        <f>'Quarterly YTD'!H65-'Quarterly YTD'!G65</f>
        <v>0</v>
      </c>
      <c r="L65" s="11">
        <f>D65-'Quarterly YTD'!H65</f>
        <v>-31.924235</v>
      </c>
      <c r="M65" s="0">
        <v>0</v>
      </c>
      <c r="N65" s="0">
        <v>0</v>
      </c>
      <c r="O65" s="11">
        <f>'Quarterly YTD'!L65-'Quarterly YTD'!K65</f>
        <v>0</v>
      </c>
      <c r="P65" s="11">
        <f>E65-'Quarterly YTD'!L65</f>
        <v>0</v>
      </c>
      <c r="Q65" s="0">
        <v>0</v>
      </c>
      <c r="R65" s="0">
        <v>0</v>
      </c>
      <c r="S65" s="14"/>
      <c r="T65" s="14"/>
    </row>
    <row customHeight="1" ht="15">
      <c r="A66" s="9" t="s">
        <v>78</v>
      </c>
      <c r="B66" s="0">
        <v>7.85232</v>
      </c>
      <c r="C66" s="0">
        <v>49.126942</v>
      </c>
      <c r="D66" s="0">
        <v>0</v>
      </c>
      <c r="E66" s="0">
        <v>0</v>
      </c>
      <c r="F66" s="10">
        <f>E66+'Quarterly YTD'!O66-'Quarterly YTD'!K66</f>
        <v>-3.884561</v>
      </c>
      <c r="G66" s="11">
        <f>'Quarterly YTD'!D66-'Quarterly YTD'!C66</f>
        <v>21.417975</v>
      </c>
      <c r="H66" s="11">
        <f>C66-'Quarterly YTD'!D66</f>
        <v>-2.278757</v>
      </c>
      <c r="I66" s="0">
        <v>-2.820887</v>
      </c>
      <c r="J66" s="11">
        <f>'Quarterly YTD'!G66-I66</f>
        <v>-2.08018</v>
      </c>
      <c r="K66" s="11">
        <f>'Quarterly YTD'!H66-'Quarterly YTD'!G66</f>
        <v>22.38257</v>
      </c>
      <c r="L66" s="11">
        <f>D66-'Quarterly YTD'!H66</f>
        <v>-17.481503</v>
      </c>
      <c r="M66" s="0">
        <v>-3.063081</v>
      </c>
      <c r="N66" s="0">
        <v>-8.185032</v>
      </c>
      <c r="O66" s="11">
        <f>'Quarterly YTD'!L66-'Quarterly YTD'!K66+-0.302812</f>
        <v>-15.105121</v>
      </c>
      <c r="P66" s="11">
        <f>E66-'Quarterly YTD'!L66</f>
        <v>20.772359</v>
      </c>
      <c r="Q66" s="0">
        <v>-6.98016</v>
      </c>
      <c r="R66" s="0">
        <v>1.968951</v>
      </c>
      <c r="S66" s="14"/>
      <c r="T66" s="14"/>
    </row>
    <row customHeight="1" ht="15">
      <c r="A67" s="9" t="s">
        <v>79</v>
      </c>
      <c r="B67" s="0">
        <v>0</v>
      </c>
      <c r="C67" s="0">
        <v>0</v>
      </c>
      <c r="D67" s="0">
        <v>0</v>
      </c>
      <c r="E67" s="0">
        <v>0</v>
      </c>
      <c r="F67" s="10">
        <f>E67+'Quarterly YTD'!O67-'Quarterly YTD'!K67</f>
        <v>0</v>
      </c>
      <c r="G67" s="11">
        <f>'Quarterly YTD'!D67-'Quarterly YTD'!C67</f>
        <v>0</v>
      </c>
      <c r="H67" s="11">
        <f>C67-'Quarterly YTD'!D67</f>
        <v>0</v>
      </c>
      <c r="I67" s="0">
        <v>0</v>
      </c>
      <c r="J67" s="11">
        <f>'Quarterly YTD'!G67-I67</f>
        <v>0</v>
      </c>
      <c r="K67" s="11">
        <f>'Quarterly YTD'!H67-'Quarterly YTD'!G67</f>
        <v>0.443359</v>
      </c>
      <c r="L67" s="11">
        <f>D67-'Quarterly YTD'!H67</f>
        <v>-0.443359</v>
      </c>
      <c r="M67" s="0">
        <v>0</v>
      </c>
      <c r="N67" s="0">
        <v>0</v>
      </c>
      <c r="O67" s="11">
        <f>'Quarterly YTD'!L67-'Quarterly YTD'!K67</f>
        <v>-1.597284</v>
      </c>
      <c r="P67" s="11">
        <f>E67-'Quarterly YTD'!L67</f>
        <v>1.597284</v>
      </c>
      <c r="Q67" s="0">
        <v>0</v>
      </c>
      <c r="R67" s="0">
        <v>0</v>
      </c>
      <c r="S67" s="14"/>
      <c r="T67" s="14"/>
    </row>
    <row customHeight="1" ht="15">
      <c r="A68" s="9" t="s">
        <v>80</v>
      </c>
      <c r="B68" s="0">
        <v>3.843218</v>
      </c>
      <c r="C68" s="0">
        <v>1.255676</v>
      </c>
      <c r="D68" s="0">
        <v>0</v>
      </c>
      <c r="E68" s="0">
        <v>0</v>
      </c>
      <c r="F68" s="10">
        <f>E68+'Quarterly YTD'!O68-'Quarterly YTD'!K68</f>
        <v>0</v>
      </c>
      <c r="G68" s="11">
        <f>'Quarterly YTD'!D68-'Quarterly YTD'!C68</f>
        <v>-1.030982</v>
      </c>
      <c r="H68" s="11">
        <f>C68-'Quarterly YTD'!D68</f>
        <v>-0.645817</v>
      </c>
      <c r="I68" s="0">
        <v>2.022442</v>
      </c>
      <c r="J68" s="11">
        <f>'Quarterly YTD'!G68-I68</f>
        <v>-0.773256</v>
      </c>
      <c r="K68" s="11">
        <f>'Quarterly YTD'!H68-'Quarterly YTD'!G68</f>
        <v>-2.201364</v>
      </c>
      <c r="L68" s="11">
        <f>D68-'Quarterly YTD'!H68</f>
        <v>0.952178</v>
      </c>
      <c r="M68" s="0">
        <v>0</v>
      </c>
      <c r="N68" s="0">
        <v>0</v>
      </c>
      <c r="O68" s="11">
        <f>'Quarterly YTD'!L68-'Quarterly YTD'!K68+0.196409</f>
        <v>-0.018117</v>
      </c>
      <c r="P68" s="11">
        <f>E68-'Quarterly YTD'!L68</f>
        <v>0.214526</v>
      </c>
      <c r="Q68" s="0">
        <v>0</v>
      </c>
      <c r="R68" s="0">
        <v>0</v>
      </c>
      <c r="S68" s="14"/>
      <c r="T68" s="14"/>
    </row>
    <row customHeight="1" ht="15">
      <c r="A69" s="9" t="s">
        <v>81</v>
      </c>
      <c r="B69" s="0">
        <v>-0.388153</v>
      </c>
      <c r="C69" s="0">
        <v>21.720609</v>
      </c>
      <c r="D69" s="0">
        <v>0.075676</v>
      </c>
      <c r="E69" s="0">
        <v>-12.012494</v>
      </c>
      <c r="F69" s="10">
        <f>E69+'Quarterly YTD'!O69-'Quarterly YTD'!K69</f>
        <v>-17.808495</v>
      </c>
      <c r="G69" s="11">
        <f>'Quarterly YTD'!D69-'Quarterly YTD'!C69</f>
        <v>17.82741</v>
      </c>
      <c r="H69" s="11">
        <f>C69-'Quarterly YTD'!D69</f>
        <v>3.893199</v>
      </c>
      <c r="I69" s="0">
        <v>0.138788</v>
      </c>
      <c r="J69" s="11">
        <f>'Quarterly YTD'!G69-I69</f>
        <v>-0.262643</v>
      </c>
      <c r="K69" s="11">
        <f>'Quarterly YTD'!H69-'Quarterly YTD'!G69</f>
        <v>0.123855</v>
      </c>
      <c r="L69" s="11">
        <f>D69-'Quarterly YTD'!H69</f>
        <v>0.075676</v>
      </c>
      <c r="M69" s="0">
        <v>-0.60457</v>
      </c>
      <c r="N69" s="0">
        <v>-0.569236</v>
      </c>
      <c r="O69" s="11">
        <f>'Quarterly YTD'!L69-'Quarterly YTD'!K69</f>
        <v>1.173806</v>
      </c>
      <c r="P69" s="11">
        <f>E69-'Quarterly YTD'!L69</f>
        <v>-12.012494</v>
      </c>
      <c r="Q69" s="0">
        <v>-3.699358</v>
      </c>
      <c r="R69" s="0">
        <v>-3.270449</v>
      </c>
      <c r="S69" s="14"/>
      <c r="T69" s="14"/>
    </row>
    <row customHeight="1" ht="15">
      <c r="A70" s="9" t="s">
        <v>82</v>
      </c>
      <c r="B70" s="0">
        <v>0</v>
      </c>
      <c r="C70" s="0">
        <v>0</v>
      </c>
      <c r="D70" s="0">
        <v>10.080507</v>
      </c>
      <c r="E70" s="0">
        <v>0.39442</v>
      </c>
      <c r="F70" s="10">
        <f>E70+'Quarterly YTD'!O70-'Quarterly YTD'!K70</f>
        <v>0.764209</v>
      </c>
      <c r="G70" s="11">
        <f>'Quarterly YTD'!D70-'Quarterly YTD'!C70</f>
        <v>0</v>
      </c>
      <c r="H70" s="11">
        <f>C70-'Quarterly YTD'!D70</f>
        <v>0</v>
      </c>
      <c r="I70" s="0">
        <v>0</v>
      </c>
      <c r="J70" s="11">
        <f>'Quarterly YTD'!G70-I70</f>
        <v>0</v>
      </c>
      <c r="K70" s="11">
        <f>'Quarterly YTD'!H70-'Quarterly YTD'!G70</f>
        <v>0</v>
      </c>
      <c r="L70" s="11">
        <f>D70-'Quarterly YTD'!H70</f>
        <v>10.080507</v>
      </c>
      <c r="M70" s="0">
        <v>-0.872592</v>
      </c>
      <c r="N70" s="0">
        <v>-1.61126</v>
      </c>
      <c r="O70" s="11">
        <f>'Quarterly YTD'!L70-'Quarterly YTD'!K70</f>
        <v>2.483852</v>
      </c>
      <c r="P70" s="11">
        <f>E70-'Quarterly YTD'!L70</f>
        <v>0.39442</v>
      </c>
      <c r="Q70" s="0">
        <v>-0.349321</v>
      </c>
      <c r="R70" s="0">
        <v>-1.764742</v>
      </c>
      <c r="S70" s="14"/>
      <c r="T70" s="14"/>
    </row>
    <row customHeight="1" ht="15">
      <c r="A71" s="9" t="s">
        <v>83</v>
      </c>
      <c r="B71" s="0">
        <v>0</v>
      </c>
      <c r="C71" s="0">
        <v>0</v>
      </c>
      <c r="D71" s="0">
        <v>10.786602</v>
      </c>
      <c r="E71" s="0">
        <v>-0.088701</v>
      </c>
      <c r="F71" s="10">
        <f>E71+'Quarterly YTD'!O71-'Quarterly YTD'!K71</f>
        <v>-3.873222</v>
      </c>
      <c r="G71" s="11">
        <f>'Quarterly YTD'!D71-'Quarterly YTD'!C71</f>
        <v>0</v>
      </c>
      <c r="H71" s="11">
        <f>C71-'Quarterly YTD'!D71</f>
        <v>0</v>
      </c>
      <c r="I71" s="0">
        <v>0</v>
      </c>
      <c r="J71" s="11">
        <f>'Quarterly YTD'!G71-I71</f>
        <v>0</v>
      </c>
      <c r="K71" s="11">
        <f>'Quarterly YTD'!H71-'Quarterly YTD'!G71</f>
        <v>0</v>
      </c>
      <c r="L71" s="11">
        <f>D71-'Quarterly YTD'!H71</f>
        <v>10.786602</v>
      </c>
      <c r="M71" s="0">
        <v>-16.646159</v>
      </c>
      <c r="N71" s="0">
        <v>17.673997</v>
      </c>
      <c r="O71" s="11">
        <f>'Quarterly YTD'!L71-'Quarterly YTD'!K71+1.027838</f>
        <v>0</v>
      </c>
      <c r="P71" s="11">
        <f>E71-'Quarterly YTD'!L71</f>
        <v>-0.088701</v>
      </c>
      <c r="Q71" s="0">
        <v>-19.009125</v>
      </c>
      <c r="R71" s="0">
        <v>16.252442</v>
      </c>
      <c r="S71" s="14"/>
      <c r="T71" s="14"/>
    </row>
    <row customHeight="1" ht="15">
      <c r="A72" s="9" t="s">
        <v>84</v>
      </c>
      <c r="B72" s="0">
        <v>0</v>
      </c>
      <c r="C72" s="0">
        <v>0</v>
      </c>
      <c r="D72" s="0">
        <v>0.011885</v>
      </c>
      <c r="E72" s="0">
        <v>3.23386</v>
      </c>
      <c r="F72" s="10">
        <f>E72+'Quarterly YTD'!O72-'Quarterly YTD'!K72</f>
        <v>2.291673</v>
      </c>
      <c r="G72" s="11">
        <f>'Quarterly YTD'!D72-'Quarterly YTD'!C72</f>
        <v>0</v>
      </c>
      <c r="H72" s="11">
        <f>C72-'Quarterly YTD'!D72</f>
        <v>0</v>
      </c>
      <c r="I72" s="0">
        <v>0</v>
      </c>
      <c r="J72" s="11">
        <f>'Quarterly YTD'!G72-I72</f>
        <v>0</v>
      </c>
      <c r="K72" s="11">
        <f>'Quarterly YTD'!H72-'Quarterly YTD'!G72</f>
        <v>0</v>
      </c>
      <c r="L72" s="11">
        <f>D72-'Quarterly YTD'!H72</f>
        <v>0.011885</v>
      </c>
      <c r="M72" s="0">
        <v>0.09547</v>
      </c>
      <c r="N72" s="0">
        <v>0.046547</v>
      </c>
      <c r="O72" s="11">
        <f>'Quarterly YTD'!L72-'Quarterly YTD'!K72</f>
        <v>-0.142017</v>
      </c>
      <c r="P72" s="11">
        <f>E72-'Quarterly YTD'!L72</f>
        <v>3.23386</v>
      </c>
      <c r="Q72" s="0">
        <v>1.704665</v>
      </c>
      <c r="R72" s="0">
        <v>-2.504835</v>
      </c>
      <c r="S72" s="14"/>
      <c r="T72" s="14"/>
    </row>
    <row customHeight="1" ht="15">
      <c r="A73" s="9" t="s">
        <v>85</v>
      </c>
      <c r="B73" s="0">
        <v>0.187722</v>
      </c>
      <c r="C73" s="0">
        <v>0.156096</v>
      </c>
      <c r="D73" s="0">
        <v>0.329052</v>
      </c>
      <c r="E73" s="0">
        <v>0.269998</v>
      </c>
      <c r="F73" s="10">
        <f>E73+'Quarterly YTD'!O73-'Quarterly YTD'!K73</f>
        <v>0.501385</v>
      </c>
      <c r="G73" s="11">
        <f>'Quarterly YTD'!D73-'Quarterly YTD'!C73</f>
        <v>0.038724</v>
      </c>
      <c r="H73" s="11">
        <f>C73-'Quarterly YTD'!D73</f>
        <v>0.040954</v>
      </c>
      <c r="I73" s="0">
        <v>0.040809</v>
      </c>
      <c r="J73" s="11">
        <f>'Quarterly YTD'!G73-I73</f>
        <v>0.038332</v>
      </c>
      <c r="K73" s="11">
        <f>'Quarterly YTD'!H73-'Quarterly YTD'!G73</f>
        <v>0.037117</v>
      </c>
      <c r="L73" s="11">
        <f>D73-'Quarterly YTD'!H73</f>
        <v>0.212794</v>
      </c>
      <c r="M73" s="0">
        <v>0.109547</v>
      </c>
      <c r="N73" s="0">
        <v>0.047734</v>
      </c>
      <c r="O73" s="11">
        <f>'Quarterly YTD'!L73-'Quarterly YTD'!K73</f>
        <v>0.072899</v>
      </c>
      <c r="P73" s="11">
        <f>E73-'Quarterly YTD'!L73</f>
        <v>0.039818</v>
      </c>
      <c r="Q73" s="0">
        <v>0.236924</v>
      </c>
      <c r="R73" s="0">
        <v>0.151744</v>
      </c>
      <c r="S73" s="14"/>
      <c r="T73" s="14"/>
    </row>
    <row customHeight="1" ht="15">
      <c r="A74" s="9" t="s">
        <v>86</v>
      </c>
      <c r="B74" s="0">
        <v>-4.512994</v>
      </c>
      <c r="C74" s="0">
        <v>-7.191377</v>
      </c>
      <c r="D74" s="0">
        <v>-16.33502</v>
      </c>
      <c r="E74" s="0">
        <v>-45.285543</v>
      </c>
      <c r="F74" s="10">
        <f>E74+'Quarterly YTD'!O74-'Quarterly YTD'!K74</f>
        <v>-49.73991</v>
      </c>
      <c r="G74" s="11">
        <f>'Quarterly YTD'!D74-'Quarterly YTD'!C74</f>
        <v>0</v>
      </c>
      <c r="H74" s="11">
        <f>C74-'Quarterly YTD'!D74</f>
        <v>-7.191377</v>
      </c>
      <c r="I74" s="0">
        <v>-2.559133</v>
      </c>
      <c r="J74" s="11">
        <f>'Quarterly YTD'!G74-I74</f>
        <v>-16.88587</v>
      </c>
      <c r="K74" s="11">
        <f>'Quarterly YTD'!H74-'Quarterly YTD'!G74</f>
        <v>-10.201007</v>
      </c>
      <c r="L74" s="11">
        <f>D74-'Quarterly YTD'!H74</f>
        <v>13.31099</v>
      </c>
      <c r="M74" s="0">
        <v>-2.407847</v>
      </c>
      <c r="N74" s="0">
        <v>-18.889983</v>
      </c>
      <c r="O74" s="11">
        <f>'Quarterly YTD'!L74-'Quarterly YTD'!K74</f>
        <v>-3.511305</v>
      </c>
      <c r="P74" s="11">
        <f>E74-'Quarterly YTD'!L74</f>
        <v>-20.476408</v>
      </c>
      <c r="Q74" s="0">
        <v>-4.30736</v>
      </c>
      <c r="R74" s="0">
        <v>-21.444837</v>
      </c>
      <c r="S74" s="14"/>
      <c r="T74" s="14"/>
    </row>
    <row customHeight="1" ht="15">
      <c r="A75" s="9" t="s">
        <v>87</v>
      </c>
      <c r="B75" s="0">
        <v>116.208716</v>
      </c>
      <c r="C75" s="0">
        <v>140.126037</v>
      </c>
      <c r="D75" s="0">
        <v>47.314112</v>
      </c>
      <c r="E75" s="0">
        <v>56.062646</v>
      </c>
      <c r="F75" s="10">
        <f>E75+'Quarterly YTD'!O75-'Quarterly YTD'!K75</f>
        <v>51.06854</v>
      </c>
      <c r="G75" s="11">
        <f>'Quarterly YTD'!D75-'Quarterly YTD'!C75</f>
        <v>66.02899</v>
      </c>
      <c r="H75" s="11">
        <f>C75-'Quarterly YTD'!D75</f>
        <v>21.605139</v>
      </c>
      <c r="I75" s="0">
        <v>20.412647</v>
      </c>
      <c r="J75" s="11">
        <f>'Quarterly YTD'!G75-I75</f>
        <v>19.144615</v>
      </c>
      <c r="K75" s="11">
        <f>'Quarterly YTD'!H75-'Quarterly YTD'!G75</f>
        <v>48.237199</v>
      </c>
      <c r="L75" s="11">
        <f>D75-'Quarterly YTD'!H75</f>
        <v>-40.480349</v>
      </c>
      <c r="M75" s="0">
        <v>-7.436738</v>
      </c>
      <c r="N75" s="0">
        <v>23.526781</v>
      </c>
      <c r="O75" s="11">
        <f>'Quarterly YTD'!L75-'Quarterly YTD'!K75+-18.892036</f>
        <v>34.962156</v>
      </c>
      <c r="P75" s="11">
        <f>E75-'Quarterly YTD'!L75</f>
        <v>-19.272922</v>
      </c>
      <c r="Q75" s="0">
        <v>-9.441936</v>
      </c>
      <c r="R75" s="0">
        <v>26.367722</v>
      </c>
      <c r="S75" s="14"/>
      <c r="T75" s="14"/>
    </row>
    <row customHeight="1" ht="15">
      <c r="A76" s="9" t="s">
        <v>88</v>
      </c>
      <c r="B76" s="0">
        <v>-3.350279</v>
      </c>
      <c r="C76" s="0">
        <v>-5.782459</v>
      </c>
      <c r="D76" s="0">
        <v>-7.184522</v>
      </c>
      <c r="E76" s="0">
        <v>-6.091108</v>
      </c>
      <c r="F76" s="10">
        <f>E76+'Quarterly YTD'!O76-'Quarterly YTD'!K76</f>
        <v>-6.512825</v>
      </c>
      <c r="G76" s="11">
        <f>'Quarterly YTD'!D76-'Quarterly YTD'!C76</f>
        <v>-1.547474</v>
      </c>
      <c r="H76" s="11">
        <f>C76-'Quarterly YTD'!D76</f>
        <v>-1.827052</v>
      </c>
      <c r="I76" s="0">
        <v>-1.75688</v>
      </c>
      <c r="J76" s="11">
        <f>'Quarterly YTD'!G76-I76</f>
        <v>-0.977884</v>
      </c>
      <c r="K76" s="11">
        <f>'Quarterly YTD'!H76-'Quarterly YTD'!G76</f>
        <v>-1.421533</v>
      </c>
      <c r="L76" s="11">
        <f>D76-'Quarterly YTD'!H76</f>
        <v>-3.028225</v>
      </c>
      <c r="M76" s="0">
        <v>-0.9154</v>
      </c>
      <c r="N76" s="0">
        <v>-0.92147</v>
      </c>
      <c r="O76" s="11">
        <f>'Quarterly YTD'!L76-'Quarterly YTD'!K76</f>
        <v>-1.638141</v>
      </c>
      <c r="P76" s="11">
        <f>E76-'Quarterly YTD'!L76</f>
        <v>-2.616097</v>
      </c>
      <c r="Q76" s="0">
        <v>-1.015886</v>
      </c>
      <c r="R76" s="0">
        <v>-1.242701</v>
      </c>
      <c r="S76" s="14"/>
      <c r="T76" s="14"/>
    </row>
    <row customHeight="1" ht="15">
      <c r="A77" s="9" t="s">
        <v>89</v>
      </c>
      <c r="B77" s="0">
        <v>-0.332177</v>
      </c>
      <c r="C77" s="0">
        <v>-2.195829</v>
      </c>
      <c r="D77" s="0">
        <v>-0.403325</v>
      </c>
      <c r="E77" s="0">
        <v>-1.099098</v>
      </c>
      <c r="F77" s="10">
        <f>E77+'Quarterly YTD'!O77-'Quarterly YTD'!K77</f>
        <v>-0.413471</v>
      </c>
      <c r="G77" s="11">
        <f>'Quarterly YTD'!D77-'Quarterly YTD'!C77</f>
        <v>-0.010913</v>
      </c>
      <c r="H77" s="11">
        <f>C77-'Quarterly YTD'!D77</f>
        <v>-2.055755</v>
      </c>
      <c r="I77" s="0">
        <v>-0.182869</v>
      </c>
      <c r="J77" s="11">
        <f>'Quarterly YTD'!G77-I77</f>
        <v>-0.080178</v>
      </c>
      <c r="K77" s="11">
        <f>'Quarterly YTD'!H77-'Quarterly YTD'!G77</f>
        <v>-0.040452</v>
      </c>
      <c r="L77" s="11">
        <f>D77-'Quarterly YTD'!H77</f>
        <v>-0.099826</v>
      </c>
      <c r="M77" s="0">
        <v>-0.074396</v>
      </c>
      <c r="N77" s="0">
        <v>-0.854521</v>
      </c>
      <c r="O77" s="11">
        <f>'Quarterly YTD'!L77-'Quarterly YTD'!K77</f>
        <v>-0.0557030000000001</v>
      </c>
      <c r="P77" s="11">
        <f>E77-'Quarterly YTD'!L77</f>
        <v>-0.114478</v>
      </c>
      <c r="Q77" s="0">
        <v>-0.217241</v>
      </c>
      <c r="R77" s="0">
        <v>-0.026049</v>
      </c>
      <c r="S77" s="14"/>
      <c r="T77" s="14"/>
    </row>
    <row customHeight="1" ht="15">
      <c r="A78" s="4" t="s">
        <v>90</v>
      </c>
      <c r="B78" s="7">
        <f t="shared" si="16" ref="B78:I78">SUM(B35:B38)+B40+B44+SUM(B47:B48)+SUM(B51:B59)+SUM(B61:B62)+B66+SUM(B68:B69)+SUM(B73:B74)+SUM(B76:B77)</f>
        <v>112.52626</v>
      </c>
      <c r="C78" s="7">
        <f>SUM(C35:C38)+SUM(C40:C41)+C44+SUM(C47:C48)+SUM(C51:C59)+SUM(C61:C62)+C66+SUM(C68:C70)+SUM(C73:C74)+SUM(C76:C77)</f>
        <v>132.147749</v>
      </c>
      <c r="D78" s="7">
        <f>SUM(D35:D38)+SUM(D40:D41)+D44+D46+SUM(D48:D49)+SUM(D52:D59)+D61+D63+D65+SUM(D69:D74)+SUM(D76:D77)</f>
        <v>39.726265</v>
      </c>
      <c r="E78" s="7">
        <f>SUM(E35:E38)+SUM(E40:E41)+E44+E46+SUM(E48:E49)+SUM(E52:E59)+E61+SUM(E63:E64)+SUM(E69:E74)+SUM(E76:E77)</f>
        <v>48.87244</v>
      </c>
      <c r="F78" s="6">
        <f>E78+'Quarterly YTD'!O78-'Quarterly YTD'!K78</f>
        <v>44.142244</v>
      </c>
      <c r="G78" s="7">
        <f t="shared" si="15" ref="G78:P78">SUM(G35:G74)+SUM(G76:G77)</f>
        <v>64.509327</v>
      </c>
      <c r="H78" s="7">
        <f t="shared" si="15"/>
        <v>17.60719</v>
      </c>
      <c r="I78" s="7">
        <f t="shared" si="16"/>
        <v>15.954574</v>
      </c>
      <c r="J78" s="7">
        <f t="shared" si="15"/>
        <v>1.23901499999999</v>
      </c>
      <c r="K78" s="7">
        <f t="shared" si="15"/>
        <v>36.611324</v>
      </c>
      <c r="L78" s="7">
        <f t="shared" si="15"/>
        <v>-14.078648</v>
      </c>
      <c r="M78" s="7">
        <f t="shared" si="17" ref="M78:Q78">SUM(M35:M38)+M40+M44+SUM(M47:M48)+M50+SUM(M52:M59)+M61+M63+M66+SUM(M69:M74)+SUM(M76:M77)</f>
        <v>-10.724834</v>
      </c>
      <c r="N78" s="7">
        <f t="shared" si="18" ref="N78:R78">SUM(N35:N38)+SUM(N42:N44)+N48+SUM(N51:N58)+SUM(N60:N61)+N63+N66+SUM(N69:N74)+SUM(N76:N77)</f>
        <v>21.75079</v>
      </c>
      <c r="O78" s="7">
        <f t="shared" si="15"/>
        <v>29.663321</v>
      </c>
      <c r="P78" s="7">
        <f t="shared" si="15"/>
        <v>2.57545800000002</v>
      </c>
      <c r="Q78" s="7">
        <f t="shared" si="17"/>
        <v>-14.745499</v>
      </c>
      <c r="R78" s="7">
        <f t="shared" si="18"/>
        <v>25.098972</v>
      </c>
      <c r="S78" s="8">
        <f t="shared" si="2"/>
        <v>2.70214463410157</v>
      </c>
      <c r="T78" s="8">
        <f t="shared" si="3"/>
        <v>0.153933811139733</v>
      </c>
    </row>
    <row customHeight="1" ht="15">
      <c r="A79" s="9" t="s">
        <v>91</v>
      </c>
      <c r="B79" s="0">
        <v>-84.254415</v>
      </c>
      <c r="C79" s="0">
        <v>-74.376186</v>
      </c>
      <c r="D79" s="0">
        <v>-29.126253</v>
      </c>
      <c r="E79" s="0">
        <v>-47.541704</v>
      </c>
      <c r="F79" s="10">
        <f>E79+'Quarterly YTD'!O79-'Quarterly YTD'!K79</f>
        <v>-59.743655</v>
      </c>
      <c r="G79" s="11">
        <f>'Quarterly YTD'!D79-'Quarterly YTD'!C79</f>
        <v>-29.470083</v>
      </c>
      <c r="H79" s="11">
        <f>C79-'Quarterly YTD'!D79</f>
        <v>-26.193054</v>
      </c>
      <c r="I79" s="0">
        <v>-7.297599</v>
      </c>
      <c r="J79" s="11">
        <f>'Quarterly YTD'!G79-I79</f>
        <v>-7.972824</v>
      </c>
      <c r="K79" s="11">
        <f>'Quarterly YTD'!H79-'Quarterly YTD'!G79</f>
        <v>-9.170407</v>
      </c>
      <c r="L79" s="11">
        <f>D79-'Quarterly YTD'!H79</f>
        <v>-4.685423</v>
      </c>
      <c r="M79" s="0">
        <v>-3.520287</v>
      </c>
      <c r="N79" s="0">
        <v>-11.240657</v>
      </c>
      <c r="O79" s="11">
        <f>'Quarterly YTD'!L79-'Quarterly YTD'!K79+-3.505909</f>
        <v>-12.649652</v>
      </c>
      <c r="P79" s="11">
        <f>E79-'Quarterly YTD'!L79</f>
        <v>-17.435065</v>
      </c>
      <c r="Q79" s="0">
        <v>-11.909148</v>
      </c>
      <c r="R79" s="0">
        <v>-22.684751</v>
      </c>
      <c r="S79" s="14"/>
      <c r="T79" s="14"/>
    </row>
    <row customHeight="1" ht="15">
      <c r="A80" s="9" t="s">
        <v>92</v>
      </c>
      <c r="B80" s="0">
        <v>-15.165416</v>
      </c>
      <c r="C80" s="0">
        <v>-24.361971</v>
      </c>
      <c r="D80" s="0">
        <v>-20.599286</v>
      </c>
      <c r="E80" s="0">
        <v>-8.286235</v>
      </c>
      <c r="F80" s="10">
        <f>E80+'Quarterly YTD'!O80-'Quarterly YTD'!K80</f>
        <v>-8.286235</v>
      </c>
      <c r="G80" s="11">
        <f>'Quarterly YTD'!D80-'Quarterly YTD'!C80</f>
        <v>-2.944637</v>
      </c>
      <c r="H80" s="11">
        <f>C80-'Quarterly YTD'!D80</f>
        <v>-15.438866</v>
      </c>
      <c r="I80" s="0">
        <v>-4.986627</v>
      </c>
      <c r="J80" s="11">
        <f>'Quarterly YTD'!G80-I80</f>
        <v>1.293468</v>
      </c>
      <c r="K80" s="11">
        <f>'Quarterly YTD'!H80-'Quarterly YTD'!G80</f>
        <v>-3.89397</v>
      </c>
      <c r="L80" s="11">
        <f>D80-'Quarterly YTD'!H80</f>
        <v>-13.012157</v>
      </c>
      <c r="M80" s="0">
        <v>-0.923889</v>
      </c>
      <c r="N80" s="0">
        <v>0</v>
      </c>
      <c r="O80" s="11">
        <f>'Quarterly YTD'!L80-'Quarterly YTD'!K80+2.393394</f>
        <v>-2.081539</v>
      </c>
      <c r="P80" s="11">
        <f>E80-'Quarterly YTD'!L80</f>
        <v>-3.811302</v>
      </c>
      <c r="Q80" s="0">
        <v>-3.41435</v>
      </c>
      <c r="R80" s="0">
        <v>0</v>
      </c>
      <c r="S80" s="14"/>
      <c r="T80" s="14"/>
    </row>
    <row customHeight="1" ht="15">
      <c r="A81" s="9" t="s">
        <v>93</v>
      </c>
      <c r="B81" s="0">
        <v>-0.406392</v>
      </c>
      <c r="C81" s="0">
        <v>-0.009795</v>
      </c>
      <c r="D81" s="0">
        <v>0</v>
      </c>
      <c r="E81" s="0">
        <v>0</v>
      </c>
      <c r="F81" s="10">
        <f>E81+'Quarterly YTD'!O81-'Quarterly YTD'!K81</f>
        <v>0</v>
      </c>
      <c r="G81" s="11">
        <f>'Quarterly YTD'!D81-'Quarterly YTD'!C81</f>
        <v>0</v>
      </c>
      <c r="H81" s="11">
        <f>C81-'Quarterly YTD'!D81</f>
        <v>-0.009795</v>
      </c>
      <c r="I81" s="0">
        <v>0</v>
      </c>
      <c r="J81" s="11">
        <f>'Quarterly YTD'!G81-I81</f>
        <v>0</v>
      </c>
      <c r="K81" s="11">
        <f>'Quarterly YTD'!H81-'Quarterly YTD'!G81</f>
        <v>0</v>
      </c>
      <c r="L81" s="11">
        <f>D81-'Quarterly YTD'!H81</f>
        <v>0</v>
      </c>
      <c r="M81" s="0">
        <v>0</v>
      </c>
      <c r="N81" s="0">
        <v>0</v>
      </c>
      <c r="O81" s="11">
        <f>'Quarterly YTD'!L81-'Quarterly YTD'!K81</f>
        <v>0</v>
      </c>
      <c r="P81" s="11">
        <f>E81-'Quarterly YTD'!L81</f>
        <v>0</v>
      </c>
      <c r="Q81" s="0">
        <v>0</v>
      </c>
      <c r="R81" s="0">
        <v>0</v>
      </c>
      <c r="S81" s="14"/>
      <c r="T81" s="14"/>
    </row>
    <row customHeight="1" ht="15">
      <c r="A82" s="9" t="s">
        <v>94</v>
      </c>
      <c r="B82" s="0">
        <v>0</v>
      </c>
      <c r="C82" s="0">
        <v>0</v>
      </c>
      <c r="D82" s="0">
        <v>0</v>
      </c>
      <c r="E82" s="0">
        <v>-5.02211</v>
      </c>
      <c r="F82" s="10">
        <f>E82+'Quarterly YTD'!O82-'Quarterly YTD'!K82</f>
        <v>-5.02211</v>
      </c>
      <c r="G82" s="11">
        <f>'Quarterly YTD'!D82-'Quarterly YTD'!C82</f>
        <v>0</v>
      </c>
      <c r="H82" s="11">
        <f>C82-'Quarterly YTD'!D82</f>
        <v>0</v>
      </c>
      <c r="I82" s="0">
        <v>0</v>
      </c>
      <c r="J82" s="11">
        <f>'Quarterly YTD'!G82-I82</f>
        <v>0</v>
      </c>
      <c r="K82" s="11">
        <f>'Quarterly YTD'!H82-'Quarterly YTD'!G82</f>
        <v>0</v>
      </c>
      <c r="L82" s="11">
        <f>D82-'Quarterly YTD'!H82</f>
        <v>0</v>
      </c>
      <c r="M82" s="0">
        <v>0</v>
      </c>
      <c r="N82" s="0">
        <v>0</v>
      </c>
      <c r="O82" s="11">
        <f>'Quarterly YTD'!L82-'Quarterly YTD'!K82</f>
        <v>0</v>
      </c>
      <c r="P82" s="11">
        <f>E82-'Quarterly YTD'!L82</f>
        <v>-5.02211</v>
      </c>
      <c r="Q82" s="0">
        <v>0</v>
      </c>
      <c r="R82" s="0">
        <v>0</v>
      </c>
      <c r="S82" s="14"/>
      <c r="T82" s="14"/>
    </row>
    <row customHeight="1" ht="15">
      <c r="A83" s="9" t="s">
        <v>95</v>
      </c>
      <c r="B83" s="0">
        <v>0</v>
      </c>
      <c r="C83" s="0">
        <v>0</v>
      </c>
      <c r="D83" s="0">
        <v>0</v>
      </c>
      <c r="E83" s="0">
        <v>0</v>
      </c>
      <c r="F83" s="10">
        <f>E83+'Quarterly YTD'!O83-'Quarterly YTD'!K83</f>
        <v>-12.520713</v>
      </c>
      <c r="G83" s="11">
        <f>'Quarterly YTD'!D83-'Quarterly YTD'!C83</f>
        <v>0</v>
      </c>
      <c r="H83" s="11">
        <f>C83-'Quarterly YTD'!D83</f>
        <v>0</v>
      </c>
      <c r="I83" s="0">
        <v>0</v>
      </c>
      <c r="J83" s="11">
        <f>'Quarterly YTD'!G83-I83</f>
        <v>0</v>
      </c>
      <c r="K83" s="11">
        <f>'Quarterly YTD'!H83-'Quarterly YTD'!G83</f>
        <v>0</v>
      </c>
      <c r="L83" s="11">
        <f>D83-'Quarterly YTD'!H83</f>
        <v>0</v>
      </c>
      <c r="M83" s="0">
        <v>0</v>
      </c>
      <c r="N83" s="0">
        <v>2.3034</v>
      </c>
      <c r="O83" s="11">
        <f>'Quarterly YTD'!L83-'Quarterly YTD'!K83</f>
        <v>0.108169</v>
      </c>
      <c r="P83" s="11">
        <f>E83-'Quarterly YTD'!L83</f>
        <v>0</v>
      </c>
      <c r="Q83" s="0">
        <v>0</v>
      </c>
      <c r="R83" s="0">
        <v>-4.15356</v>
      </c>
      <c r="S83" s="14"/>
      <c r="T83" s="14"/>
    </row>
    <row customHeight="1" ht="15">
      <c r="A84" s="9" t="s">
        <v>96</v>
      </c>
      <c r="B84" s="0">
        <v>10.346399</v>
      </c>
      <c r="C84" s="0">
        <v>0.037732</v>
      </c>
      <c r="D84" s="0">
        <v>0.06133</v>
      </c>
      <c r="E84" s="0">
        <v>0.253132</v>
      </c>
      <c r="F84" s="10">
        <f>E84+'Quarterly YTD'!O84-'Quarterly YTD'!K84</f>
        <v>0.099428</v>
      </c>
      <c r="G84" s="11">
        <f>'Quarterly YTD'!D84-'Quarterly YTD'!C84</f>
        <v>-0.014394</v>
      </c>
      <c r="H84" s="11">
        <f>C84-'Quarterly YTD'!D84</f>
        <v>0.012994</v>
      </c>
      <c r="I84" s="0">
        <v>0.074162</v>
      </c>
      <c r="J84" s="11">
        <f>'Quarterly YTD'!G84-I84</f>
        <v>-0.02599</v>
      </c>
      <c r="K84" s="11">
        <f>'Quarterly YTD'!H84-'Quarterly YTD'!G84</f>
        <v>0.026253</v>
      </c>
      <c r="L84" s="11">
        <f>D84-'Quarterly YTD'!H84</f>
        <v>-0.013095</v>
      </c>
      <c r="M84" s="0">
        <v>0.016625</v>
      </c>
      <c r="N84" s="0">
        <v>0.137079</v>
      </c>
      <c r="O84" s="11">
        <f>'Quarterly YTD'!L84-'Quarterly YTD'!K84</f>
        <v>0.042928</v>
      </c>
      <c r="P84" s="11">
        <f>E84-'Quarterly YTD'!L84</f>
        <v>0.0565</v>
      </c>
      <c r="Q84" s="0">
        <v>0</v>
      </c>
      <c r="R84" s="0">
        <v>0</v>
      </c>
      <c r="S84" s="14"/>
      <c r="T84" s="14"/>
    </row>
    <row customHeight="1" ht="15">
      <c r="A85" s="9" t="s">
        <v>97</v>
      </c>
      <c r="B85" s="0">
        <v>0</v>
      </c>
      <c r="C85" s="0">
        <v>0</v>
      </c>
      <c r="D85" s="0">
        <v>0</v>
      </c>
      <c r="E85" s="0">
        <v>0</v>
      </c>
      <c r="F85" s="10">
        <f>E85+'Quarterly YTD'!O85-'Quarterly YTD'!K85</f>
        <v>0</v>
      </c>
      <c r="G85" s="11">
        <f>'Quarterly YTD'!D85-'Quarterly YTD'!C85</f>
        <v>0.128807</v>
      </c>
      <c r="H85" s="11">
        <f>C85-'Quarterly YTD'!D85</f>
        <v>0.100571</v>
      </c>
      <c r="I85" s="0">
        <v>0</v>
      </c>
      <c r="J85" s="11">
        <f>'Quarterly YTD'!G85-I85</f>
        <v>0</v>
      </c>
      <c r="K85" s="11">
        <f>'Quarterly YTD'!H85-'Quarterly YTD'!G85</f>
        <v>0</v>
      </c>
      <c r="L85" s="11">
        <f>D85-'Quarterly YTD'!H85</f>
        <v>0</v>
      </c>
      <c r="M85" s="0">
        <v>0</v>
      </c>
      <c r="N85" s="0">
        <v>0</v>
      </c>
      <c r="O85" s="11">
        <f>'Quarterly YTD'!L85-'Quarterly YTD'!K85</f>
        <v>0</v>
      </c>
      <c r="P85" s="11">
        <f>E85-'Quarterly YTD'!L85</f>
        <v>0</v>
      </c>
      <c r="Q85" s="0">
        <v>0</v>
      </c>
      <c r="R85" s="0">
        <v>0</v>
      </c>
      <c r="S85" s="14"/>
      <c r="T85" s="14"/>
    </row>
    <row customHeight="1" ht="15">
      <c r="A86" s="9" t="s">
        <v>98</v>
      </c>
      <c r="B86" s="0">
        <v>0.132403</v>
      </c>
      <c r="C86" s="0">
        <v>-0.025433</v>
      </c>
      <c r="D86" s="0">
        <v>0.747273</v>
      </c>
      <c r="E86" s="0">
        <v>-0.110069</v>
      </c>
      <c r="F86" s="10">
        <f>E86+'Quarterly YTD'!O86-'Quarterly YTD'!K86</f>
        <v>-0.106187</v>
      </c>
      <c r="G86" s="11">
        <f>'Quarterly YTD'!D86-'Quarterly YTD'!C86</f>
        <v>0.066109</v>
      </c>
      <c r="H86" s="11">
        <f>C86-'Quarterly YTD'!D86</f>
        <v>-0.033428</v>
      </c>
      <c r="I86" s="0">
        <v>0.019769</v>
      </c>
      <c r="J86" s="11">
        <f>'Quarterly YTD'!G86-I86</f>
        <v>-0.03499</v>
      </c>
      <c r="K86" s="11">
        <f>'Quarterly YTD'!H86-'Quarterly YTD'!G86</f>
        <v>-0.003446</v>
      </c>
      <c r="L86" s="11">
        <f>D86-'Quarterly YTD'!H86</f>
        <v>0.76594</v>
      </c>
      <c r="M86" s="0">
        <v>0</v>
      </c>
      <c r="N86" s="0">
        <v>0</v>
      </c>
      <c r="O86" s="11">
        <f>'Quarterly YTD'!L86-'Quarterly YTD'!K86</f>
        <v>0</v>
      </c>
      <c r="P86" s="11">
        <f>E86-'Quarterly YTD'!L86</f>
        <v>-0.110069</v>
      </c>
      <c r="Q86" s="0">
        <v>0.110067</v>
      </c>
      <c r="R86" s="0">
        <v>-0.106185</v>
      </c>
      <c r="S86" s="14"/>
      <c r="T86" s="14"/>
    </row>
    <row customHeight="1" ht="15">
      <c r="A87" s="4" t="s">
        <v>99</v>
      </c>
      <c r="B87" s="7">
        <f t="shared" si="19" ref="B87:C87">SUM(B79:B81)+B84+B86</f>
        <v>-89.347421</v>
      </c>
      <c r="C87" s="7">
        <f t="shared" si="19"/>
        <v>-98.735653</v>
      </c>
      <c r="D87" s="7">
        <f t="shared" si="20" ref="D87:E87">SUM(D79:D80)+D82+D84+D86</f>
        <v>-48.916936</v>
      </c>
      <c r="E87" s="7">
        <f t="shared" si="20"/>
        <v>-60.706986</v>
      </c>
      <c r="F87" s="6">
        <f>E87+'Quarterly YTD'!O87-'Quarterly YTD'!K87</f>
        <v>-85.579472</v>
      </c>
      <c r="G87" s="7">
        <f t="shared" si="21" ref="G87:P87">SUM(G79:G86)</f>
        <v>-32.234198</v>
      </c>
      <c r="H87" s="7">
        <f t="shared" si="21"/>
        <v>-41.561578</v>
      </c>
      <c r="I87" s="7">
        <f>SUM(I79:I80)+SUM(I84:I86)</f>
        <v>-12.190295</v>
      </c>
      <c r="J87" s="7">
        <f t="shared" si="21"/>
        <v>-6.740336</v>
      </c>
      <c r="K87" s="7">
        <f t="shared" si="21"/>
        <v>-13.04157</v>
      </c>
      <c r="L87" s="7">
        <f t="shared" si="21"/>
        <v>-16.944735</v>
      </c>
      <c r="M87" s="7">
        <f t="shared" si="22" ref="M87:Q87">SUM(M79:M80)+M84+M86</f>
        <v>-4.427551</v>
      </c>
      <c r="N87" s="7">
        <f t="shared" si="23" ref="N87:R87">N79+SUM(N83:N84)+N86</f>
        <v>-8.800178</v>
      </c>
      <c r="O87" s="7">
        <f t="shared" si="21"/>
        <v>-14.580094</v>
      </c>
      <c r="P87" s="7">
        <f t="shared" si="21"/>
        <v>-26.322046</v>
      </c>
      <c r="Q87" s="7">
        <f t="shared" si="22"/>
        <v>-15.213431</v>
      </c>
      <c r="R87" s="7">
        <f t="shared" si="23"/>
        <v>-26.944496</v>
      </c>
      <c r="S87" s="8">
        <f t="shared" si="0"/>
        <v>0.771099234617096</v>
      </c>
      <c r="T87" s="8">
        <f t="shared" si="1"/>
        <v>2.06181261333578</v>
      </c>
    </row>
    <row customHeight="1" ht="15">
      <c r="A88" s="9" t="s">
        <v>100</v>
      </c>
      <c r="B88" s="0">
        <v>10.230431</v>
      </c>
      <c r="C88" s="0">
        <v>43.919974</v>
      </c>
      <c r="D88" s="0">
        <v>0.674215</v>
      </c>
      <c r="E88" s="0">
        <v>17.005817</v>
      </c>
      <c r="F88" s="10">
        <f>E88+'Quarterly YTD'!O88-'Quarterly YTD'!K88</f>
        <v>22.461817</v>
      </c>
      <c r="G88" s="11">
        <f>'Quarterly YTD'!D88-'Quarterly YTD'!C88</f>
        <v>-9.834668</v>
      </c>
      <c r="H88" s="11">
        <f>C88-'Quarterly YTD'!D88</f>
        <v>43.754642</v>
      </c>
      <c r="I88" s="0">
        <v>0</v>
      </c>
      <c r="J88" s="11">
        <f>'Quarterly YTD'!G88-I88</f>
        <v>0.663423</v>
      </c>
      <c r="K88" s="11">
        <f>'Quarterly YTD'!H88-'Quarterly YTD'!G88</f>
        <v>0.00096099999999999</v>
      </c>
      <c r="L88" s="11">
        <f>D88-'Quarterly YTD'!H88</f>
        <v>0.00983100000000003</v>
      </c>
      <c r="M88" s="0">
        <v>0</v>
      </c>
      <c r="N88" s="0">
        <v>0</v>
      </c>
      <c r="O88" s="11">
        <f>'Quarterly YTD'!L88-'Quarterly YTD'!K88</f>
        <v>3.734815</v>
      </c>
      <c r="P88" s="11">
        <f>E88-'Quarterly YTD'!L88</f>
        <v>13.271002</v>
      </c>
      <c r="Q88" s="0">
        <v>3.375991</v>
      </c>
      <c r="R88" s="0">
        <v>2.080009</v>
      </c>
      <c r="S88" s="14"/>
      <c r="T88" s="14"/>
    </row>
    <row customHeight="1" ht="15">
      <c r="A89" s="9" t="s">
        <v>101</v>
      </c>
      <c r="B89" s="0">
        <v>-37.974252</v>
      </c>
      <c r="C89" s="0">
        <v>-47.519074</v>
      </c>
      <c r="D89" s="0">
        <v>-253.918159</v>
      </c>
      <c r="E89" s="0">
        <v>-6.611861</v>
      </c>
      <c r="F89" s="10">
        <f>E89+'Quarterly YTD'!O89-'Quarterly YTD'!K89</f>
        <v>-9.555588</v>
      </c>
      <c r="G89" s="11">
        <f>'Quarterly YTD'!D89-'Quarterly YTD'!C89</f>
        <v>1.574842</v>
      </c>
      <c r="H89" s="11">
        <f>C89-'Quarterly YTD'!D89</f>
        <v>-40.557865</v>
      </c>
      <c r="I89" s="0">
        <v>-9.946342</v>
      </c>
      <c r="J89" s="11">
        <f>'Quarterly YTD'!G89-I89</f>
        <v>-0.59036</v>
      </c>
      <c r="K89" s="11">
        <f>'Quarterly YTD'!H89-'Quarterly YTD'!G89</f>
        <v>-18.020226</v>
      </c>
      <c r="L89" s="11">
        <f>D89-'Quarterly YTD'!H89</f>
        <v>-225.361231</v>
      </c>
      <c r="M89" s="0">
        <v>-1.213323</v>
      </c>
      <c r="N89" s="0">
        <v>-0.318403</v>
      </c>
      <c r="O89" s="11">
        <f>'Quarterly YTD'!L89-'Quarterly YTD'!K89</f>
        <v>-1.234702</v>
      </c>
      <c r="P89" s="11">
        <f>E89-'Quarterly YTD'!L89</f>
        <v>-3.845433</v>
      </c>
      <c r="Q89" s="0">
        <v>-2.060207</v>
      </c>
      <c r="R89" s="0">
        <v>-2.415246</v>
      </c>
      <c r="S89" s="14"/>
      <c r="T89" s="14"/>
    </row>
    <row customHeight="1" ht="15">
      <c r="A90" s="9" t="s">
        <v>102</v>
      </c>
      <c r="B90" s="0">
        <v>-25.358133</v>
      </c>
      <c r="C90" s="0">
        <v>-22.91447</v>
      </c>
      <c r="D90" s="0">
        <v>-23.943408</v>
      </c>
      <c r="E90" s="0">
        <v>-31.839486</v>
      </c>
      <c r="F90" s="10">
        <f>E90+'Quarterly YTD'!O90-'Quarterly YTD'!K90</f>
        <v>-38.581958</v>
      </c>
      <c r="G90" s="11">
        <f>'Quarterly YTD'!D90-'Quarterly YTD'!C90</f>
        <v>-0.213037</v>
      </c>
      <c r="H90" s="11">
        <f>C90-'Quarterly YTD'!D90</f>
        <v>-22.701433</v>
      </c>
      <c r="I90" s="0">
        <v>-7.524722</v>
      </c>
      <c r="J90" s="11">
        <f>'Quarterly YTD'!G90-I90</f>
        <v>-2.916943</v>
      </c>
      <c r="K90" s="11">
        <f>'Quarterly YTD'!H90-'Quarterly YTD'!G90</f>
        <v>-6.037692</v>
      </c>
      <c r="L90" s="11">
        <f>D90-'Quarterly YTD'!H90</f>
        <v>-7.464051</v>
      </c>
      <c r="M90" s="0">
        <v>-7.053757</v>
      </c>
      <c r="N90" s="0">
        <v>-6.81598</v>
      </c>
      <c r="O90" s="11">
        <f>'Quarterly YTD'!L90-'Quarterly YTD'!K90</f>
        <v>0.0000499999999998835</v>
      </c>
      <c r="P90" s="11">
        <f>E90-'Quarterly YTD'!L90</f>
        <v>-17.969799</v>
      </c>
      <c r="Q90" s="0">
        <v>-13.470987</v>
      </c>
      <c r="R90" s="0">
        <v>-7.141222</v>
      </c>
      <c r="S90" s="14"/>
      <c r="T90" s="14"/>
    </row>
    <row customHeight="1" ht="15">
      <c r="A91" s="9" t="s">
        <v>103</v>
      </c>
      <c r="B91" s="0">
        <v>0</v>
      </c>
      <c r="C91" s="0">
        <v>0</v>
      </c>
      <c r="D91" s="0">
        <v>0</v>
      </c>
      <c r="E91" s="0">
        <v>0</v>
      </c>
      <c r="F91" s="10">
        <f>E91+'Quarterly YTD'!O91-'Quarterly YTD'!K91</f>
        <v>0</v>
      </c>
      <c r="G91" s="11">
        <f>'Quarterly YTD'!D91-'Quarterly YTD'!C91</f>
        <v>-13.013968</v>
      </c>
      <c r="H91" s="11">
        <f>C91-'Quarterly YTD'!D91</f>
        <v>42.589607</v>
      </c>
      <c r="I91" s="0">
        <v>0</v>
      </c>
      <c r="J91" s="11">
        <f>'Quarterly YTD'!G91-I91</f>
        <v>0</v>
      </c>
      <c r="K91" s="11">
        <f>'Quarterly YTD'!H91-'Quarterly YTD'!G91</f>
        <v>0</v>
      </c>
      <c r="L91" s="11">
        <f>D91-'Quarterly YTD'!H91</f>
        <v>0</v>
      </c>
      <c r="M91" s="0">
        <v>0</v>
      </c>
      <c r="N91" s="0">
        <v>0</v>
      </c>
      <c r="O91" s="11">
        <f>'Quarterly YTD'!L91-'Quarterly YTD'!K91</f>
        <v>0</v>
      </c>
      <c r="P91" s="11">
        <f>E91-'Quarterly YTD'!L91</f>
        <v>0</v>
      </c>
      <c r="Q91" s="0">
        <v>0</v>
      </c>
      <c r="R91" s="0">
        <v>0</v>
      </c>
      <c r="S91" s="14"/>
      <c r="T91" s="14"/>
    </row>
    <row customHeight="1" ht="15">
      <c r="A92" s="9" t="s">
        <v>104</v>
      </c>
      <c r="B92" s="0">
        <v>-6.559526</v>
      </c>
      <c r="C92" s="0">
        <v>-0.143868</v>
      </c>
      <c r="D92" s="0">
        <v>0</v>
      </c>
      <c r="E92" s="0">
        <v>0</v>
      </c>
      <c r="F92" s="10">
        <f>E92+'Quarterly YTD'!O92-'Quarterly YTD'!K92</f>
        <v>0</v>
      </c>
      <c r="G92" s="11">
        <f>'Quarterly YTD'!D92-'Quarterly YTD'!C92</f>
        <v>-0.036024</v>
      </c>
      <c r="H92" s="11">
        <f>C92-'Quarterly YTD'!D92</f>
        <v>-0.036139</v>
      </c>
      <c r="I92" s="0">
        <v>2.490096</v>
      </c>
      <c r="J92" s="11">
        <f>'Quarterly YTD'!G92-I92</f>
        <v>7.476554</v>
      </c>
      <c r="K92" s="11">
        <f>'Quarterly YTD'!H92-'Quarterly YTD'!G92</f>
        <v>-10.073296</v>
      </c>
      <c r="L92" s="11">
        <f>D92-'Quarterly YTD'!H92</f>
        <v>0.106646</v>
      </c>
      <c r="M92" s="0">
        <v>0</v>
      </c>
      <c r="N92" s="0">
        <v>0</v>
      </c>
      <c r="O92" s="11">
        <f>'Quarterly YTD'!L92-'Quarterly YTD'!K92+-1.027838</f>
        <v>-17.03403</v>
      </c>
      <c r="P92" s="11">
        <f>E92-'Quarterly YTD'!L92</f>
        <v>16.006192</v>
      </c>
      <c r="Q92" s="0">
        <v>0</v>
      </c>
      <c r="R92" s="0">
        <v>0</v>
      </c>
      <c r="S92" s="14"/>
      <c r="T92" s="14"/>
    </row>
    <row customHeight="1" ht="15">
      <c r="A93" s="9" t="s">
        <v>105</v>
      </c>
      <c r="B93" s="0">
        <v>0</v>
      </c>
      <c r="C93" s="0">
        <v>0</v>
      </c>
      <c r="D93" s="0">
        <v>300</v>
      </c>
      <c r="E93" s="0">
        <v>0</v>
      </c>
      <c r="F93" s="10">
        <f>E93+'Quarterly YTD'!O93-'Quarterly YTD'!K93</f>
        <v>56.796935</v>
      </c>
      <c r="G93" s="11">
        <f>'Quarterly YTD'!D93-'Quarterly YTD'!C93</f>
        <v>0</v>
      </c>
      <c r="H93" s="11">
        <f>C93-'Quarterly YTD'!D93</f>
        <v>0</v>
      </c>
      <c r="I93" s="0">
        <v>0</v>
      </c>
      <c r="J93" s="11">
        <f>'Quarterly YTD'!G93-I93</f>
        <v>0</v>
      </c>
      <c r="K93" s="11">
        <f>'Quarterly YTD'!H93-'Quarterly YTD'!G93</f>
        <v>0</v>
      </c>
      <c r="L93" s="11">
        <f>D93-'Quarterly YTD'!H93</f>
        <v>300</v>
      </c>
      <c r="M93" s="0">
        <v>0</v>
      </c>
      <c r="N93" s="0">
        <v>0</v>
      </c>
      <c r="O93" s="11">
        <f>'Quarterly YTD'!L93-'Quarterly YTD'!K93</f>
        <v>0</v>
      </c>
      <c r="P93" s="11">
        <f>E93-'Quarterly YTD'!L93</f>
        <v>0</v>
      </c>
      <c r="Q93" s="0">
        <v>56.796935</v>
      </c>
      <c r="R93" s="0">
        <v>0</v>
      </c>
      <c r="S93" s="14"/>
      <c r="T93" s="14"/>
    </row>
    <row customHeight="1" ht="15">
      <c r="A94" s="4" t="s">
        <v>106</v>
      </c>
      <c r="B94" s="7">
        <f>SUM(B88:B90)+B92</f>
        <v>-59.66148</v>
      </c>
      <c r="C94" s="7">
        <f>SUM(C88:C90)+SUM(C92:C93)</f>
        <v>-26.657438</v>
      </c>
      <c r="D94" s="7">
        <f t="shared" si="24" ref="D94:R94">SUM(D88:D90)+D93</f>
        <v>22.812648</v>
      </c>
      <c r="E94" s="7">
        <f t="shared" si="24"/>
        <v>-21.44553</v>
      </c>
      <c r="F94" s="6">
        <f>E94+'Quarterly YTD'!O94-'Quarterly YTD'!K94</f>
        <v>31.121206</v>
      </c>
      <c r="G94" s="7">
        <f t="shared" si="25" ref="G94:P116">SUM(G88:G93)</f>
        <v>-21.522855</v>
      </c>
      <c r="H94" s="7">
        <f t="shared" si="25"/>
        <v>23.048812</v>
      </c>
      <c r="I94" s="7">
        <f>SUM(I88:I92)</f>
        <v>-14.980968</v>
      </c>
      <c r="J94" s="7">
        <f t="shared" si="25"/>
        <v>4.632674</v>
      </c>
      <c r="K94" s="7">
        <f t="shared" si="25"/>
        <v>-34.130253</v>
      </c>
      <c r="L94" s="7">
        <f t="shared" si="25"/>
        <v>67.291195</v>
      </c>
      <c r="M94" s="7">
        <f t="shared" si="24"/>
        <v>-8.26708</v>
      </c>
      <c r="N94" s="7">
        <f t="shared" si="24"/>
        <v>-7.134383</v>
      </c>
      <c r="O94" s="7">
        <f t="shared" si="25"/>
        <v>-14.533867</v>
      </c>
      <c r="P94" s="7">
        <f t="shared" si="25"/>
        <v>7.461962</v>
      </c>
      <c r="Q94" s="7">
        <f t="shared" si="24"/>
        <v>44.641732</v>
      </c>
      <c r="R94" s="7">
        <f t="shared" si="24"/>
        <v>-7.476459</v>
      </c>
      <c r="S94" s="8">
        <f t="shared" si="2"/>
        <v>-1.16747690255387</v>
      </c>
      <c r="T94" s="8">
        <f t="shared" si="3"/>
        <v>-0.0479475239835037</v>
      </c>
    </row>
    <row customHeight="1" ht="15">
      <c r="A95" s="9" t="s">
        <v>107</v>
      </c>
      <c r="B95" s="11">
        <f t="shared" si="26" ref="B95:R95">B78+B87+B94</f>
        <v>-36.482641</v>
      </c>
      <c r="C95" s="11">
        <f t="shared" si="26"/>
        <v>6.75465800000001</v>
      </c>
      <c r="D95" s="11">
        <f t="shared" si="26"/>
        <v>13.621977</v>
      </c>
      <c r="E95" s="11">
        <f t="shared" si="26"/>
        <v>-33.280076</v>
      </c>
      <c r="F95" s="10">
        <f t="shared" si="26"/>
        <v>-10.316022</v>
      </c>
      <c r="G95" s="11">
        <f t="shared" si="26"/>
        <v>10.752274</v>
      </c>
      <c r="H95" s="11">
        <f t="shared" si="26"/>
        <v>-0.905575999999996</v>
      </c>
      <c r="I95" s="11">
        <f t="shared" si="26"/>
        <v>-11.216689</v>
      </c>
      <c r="J95" s="11">
        <f t="shared" si="26"/>
        <v>-0.86864700000001</v>
      </c>
      <c r="K95" s="11">
        <f t="shared" si="26"/>
        <v>-10.560499</v>
      </c>
      <c r="L95" s="11">
        <f t="shared" si="26"/>
        <v>36.267812</v>
      </c>
      <c r="M95" s="11">
        <f t="shared" si="26"/>
        <v>-23.419465</v>
      </c>
      <c r="N95" s="11">
        <f t="shared" si="26"/>
        <v>5.816229</v>
      </c>
      <c r="O95" s="11">
        <f t="shared" si="26"/>
        <v>0.549359999999998</v>
      </c>
      <c r="P95" s="11">
        <f t="shared" si="26"/>
        <v>-16.284626</v>
      </c>
      <c r="Q95" s="11">
        <f t="shared" si="26"/>
        <v>14.682802</v>
      </c>
      <c r="R95" s="11">
        <f t="shared" si="26"/>
        <v>-9.321983</v>
      </c>
      <c r="S95" s="12">
        <f t="shared" si="2"/>
        <v>-1.6348912830126</v>
      </c>
      <c r="T95" s="12">
        <f t="shared" si="3"/>
        <v>-2.60275377740457</v>
      </c>
    </row>
    <row customHeight="1" ht="15">
      <c r="A96" s="9" t="s">
        <v>108</v>
      </c>
      <c r="B96" s="0">
        <v>-0.432477</v>
      </c>
      <c r="C96" s="0">
        <v>-0.533686</v>
      </c>
      <c r="D96" s="0">
        <v>7.427334</v>
      </c>
      <c r="E96" s="0">
        <v>9.581113</v>
      </c>
      <c r="F96" s="10">
        <f>E96+'Quarterly YTD'!O96-'Quarterly YTD'!K96</f>
        <v>9.360146</v>
      </c>
      <c r="G96" s="11">
        <f>'Quarterly YTD'!D96-'Quarterly YTD'!C96</f>
        <v>-2.251309</v>
      </c>
      <c r="H96" s="11">
        <f>C96-'Quarterly YTD'!D96</f>
        <v>8.034176</v>
      </c>
      <c r="I96" s="0">
        <v>0.19168</v>
      </c>
      <c r="J96" s="11">
        <f>'Quarterly YTD'!G96-I96</f>
        <v>1.444214</v>
      </c>
      <c r="K96" s="11">
        <f>'Quarterly YTD'!H96-'Quarterly YTD'!G96</f>
        <v>-4.355493</v>
      </c>
      <c r="L96" s="11">
        <f>D96-'Quarterly YTD'!H96</f>
        <v>10.146933</v>
      </c>
      <c r="M96" s="0">
        <v>-1.470098</v>
      </c>
      <c r="N96" s="0">
        <v>-0.75526</v>
      </c>
      <c r="O96" s="11">
        <f>'Quarterly YTD'!L96-'Quarterly YTD'!K96+0.000009</f>
        <v>-2.966845</v>
      </c>
      <c r="P96" s="11">
        <f>E96-'Quarterly YTD'!L96</f>
        <v>14.773326</v>
      </c>
      <c r="Q96" s="0">
        <v>5.460782</v>
      </c>
      <c r="R96" s="0">
        <v>-7.907108</v>
      </c>
      <c r="S96" s="14"/>
      <c r="T96" s="14"/>
    </row>
    <row customHeight="1" ht="15">
      <c r="A97" s="9" t="s">
        <v>109</v>
      </c>
      <c r="B97" s="0">
        <v>23.60309</v>
      </c>
      <c r="C97" s="0">
        <v>-13.312028</v>
      </c>
      <c r="D97" s="0">
        <v>-7.091056</v>
      </c>
      <c r="E97" s="11">
        <f>'Quarterly YTD'!K97</f>
        <v>13.958255</v>
      </c>
      <c r="F97" s="10">
        <f>'Quarterly YTD'!K98</f>
        <v>-5.870339</v>
      </c>
      <c r="G97" s="11">
        <f>'Quarterly YTD'!C98</f>
        <v>-22.720621</v>
      </c>
      <c r="H97" s="11">
        <f>'Quarterly YTD'!D98</f>
        <v>-14.219656</v>
      </c>
      <c r="I97" s="11">
        <f>D97</f>
        <v>-7.091056</v>
      </c>
      <c r="J97" s="11">
        <f>I98</f>
        <v>-18.116065</v>
      </c>
      <c r="K97" s="11">
        <f>'Quarterly YTD'!G98</f>
        <v>-17.540498</v>
      </c>
      <c r="L97" s="11">
        <f>'Quarterly YTD'!H98</f>
        <v>-29.034284</v>
      </c>
      <c r="M97" s="11">
        <f>'Quarterly YTD'!K97</f>
        <v>13.958255</v>
      </c>
      <c r="N97" s="0">
        <v>-10.931308</v>
      </c>
      <c r="O97" s="11">
        <f>'Quarterly YTD'!K98</f>
        <v>-5.870339</v>
      </c>
      <c r="P97" s="11">
        <f>'Quarterly YTD'!L98</f>
        <v>-8.229408</v>
      </c>
      <c r="Q97" s="11">
        <f>'Quarterly YTD'!O97</f>
        <v>-9.740708</v>
      </c>
      <c r="R97" s="0">
        <v>10.402876</v>
      </c>
      <c r="S97" s="12">
        <f t="shared" si="2"/>
        <v>2.06797945282827</v>
      </c>
      <c r="T97" s="12">
        <f t="shared" si="3"/>
        <v>1.95165884997477</v>
      </c>
    </row>
    <row customHeight="1" ht="15">
      <c r="A98" s="4" t="s">
        <v>110</v>
      </c>
      <c r="B98" s="7">
        <f t="shared" si="27" ref="B98:R98">SUM(B95:B97)</f>
        <v>-13.312028</v>
      </c>
      <c r="C98" s="7">
        <f t="shared" si="27"/>
        <v>-7.09105599999999</v>
      </c>
      <c r="D98" s="7">
        <f t="shared" si="27"/>
        <v>13.958255</v>
      </c>
      <c r="E98" s="7">
        <f t="shared" si="27"/>
        <v>-9.740708</v>
      </c>
      <c r="F98" s="6">
        <f>((E95+E96)+('Quarterly YTD'!O95+'Quarterly YTD'!O96)-('Quarterly YTD'!K95+'Quarterly YTD'!K96))+F97</f>
        <v>-6.826215</v>
      </c>
      <c r="G98" s="7">
        <f t="shared" si="27"/>
        <v>-14.219656</v>
      </c>
      <c r="H98" s="7">
        <f t="shared" si="27"/>
        <v>-7.091056</v>
      </c>
      <c r="I98" s="7">
        <f t="shared" si="27"/>
        <v>-18.116065</v>
      </c>
      <c r="J98" s="7">
        <f t="shared" si="27"/>
        <v>-17.540498</v>
      </c>
      <c r="K98" s="7">
        <f>'Quarterly YTD'!H98</f>
        <v>-29.034284</v>
      </c>
      <c r="L98" s="7">
        <f t="shared" si="46" ref="L98:L250">D98</f>
        <v>13.958255</v>
      </c>
      <c r="M98" s="7">
        <f t="shared" si="27"/>
        <v>-10.931308</v>
      </c>
      <c r="N98" s="7">
        <f t="shared" si="27"/>
        <v>-5.870339</v>
      </c>
      <c r="O98" s="7">
        <f t="shared" si="27"/>
        <v>-8.287824</v>
      </c>
      <c r="P98" s="7">
        <f t="shared" si="27"/>
        <v>-9.740708</v>
      </c>
      <c r="Q98" s="7">
        <f t="shared" si="27"/>
        <v>10.402876</v>
      </c>
      <c r="R98" s="7">
        <f t="shared" si="27"/>
        <v>-6.826215</v>
      </c>
      <c r="S98" s="8">
        <f t="shared" si="2"/>
        <v>-1.65618536643136</v>
      </c>
      <c r="T98" s="8">
        <f t="shared" si="3"/>
        <v>-0.162831482134166</v>
      </c>
    </row>
    <row customHeight="1" ht="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customHeight="1" ht="15">
      <c r="A100" s="2" t="s">
        <v>111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customHeight="1" ht="15">
      <c r="A101" s="9" t="s">
        <v>112</v>
      </c>
      <c r="B101" s="0">
        <v>12.743364</v>
      </c>
      <c r="C101" s="0">
        <v>58.270178</v>
      </c>
      <c r="D101" s="0">
        <v>65.66836</v>
      </c>
      <c r="E101" s="0">
        <v>68.02026</v>
      </c>
      <c r="F101" s="10">
        <f t="shared" si="28" ref="F101:F147">R101</f>
        <v>72.283156</v>
      </c>
      <c r="H101" s="0">
        <v>58.270178</v>
      </c>
      <c r="J101" s="0">
        <v>63.306458</v>
      </c>
      <c r="K101" s="0">
        <v>64.783184</v>
      </c>
      <c r="L101" s="0">
        <v>65.66836</v>
      </c>
      <c r="M101" s="0">
        <v>66.264948</v>
      </c>
      <c r="N101" s="0">
        <v>66.830334</v>
      </c>
      <c r="O101" s="0">
        <v>67.986917</v>
      </c>
      <c r="P101" s="0">
        <v>68.02026</v>
      </c>
      <c r="Q101" s="0">
        <v>72.295538</v>
      </c>
      <c r="R101" s="0">
        <v>72.283156</v>
      </c>
      <c r="S101" s="12">
        <f t="shared" si="2"/>
        <v>-0.000171269214429115</v>
      </c>
      <c r="T101" s="12">
        <f t="shared" si="3"/>
        <v>0.081592020773082</v>
      </c>
    </row>
    <row customHeight="1" ht="15">
      <c r="A102" s="9" t="s">
        <v>113</v>
      </c>
      <c r="B102" s="0">
        <v>72.676461</v>
      </c>
      <c r="C102" s="0">
        <v>77.898462</v>
      </c>
      <c r="D102" s="0">
        <v>79.281757</v>
      </c>
      <c r="E102" s="0">
        <v>75.923436</v>
      </c>
      <c r="F102" s="10">
        <f t="shared" si="28"/>
        <v>78.219311</v>
      </c>
      <c r="H102" s="0">
        <v>77.898462</v>
      </c>
      <c r="J102" s="0">
        <v>71.26127</v>
      </c>
      <c r="K102" s="0">
        <v>69.320984</v>
      </c>
      <c r="L102" s="0">
        <v>79.281757</v>
      </c>
      <c r="M102" s="0">
        <v>75.418243</v>
      </c>
      <c r="N102" s="0">
        <v>68.46526</v>
      </c>
      <c r="O102" s="0">
        <v>71.981934</v>
      </c>
      <c r="P102" s="0">
        <v>75.923436</v>
      </c>
      <c r="Q102" s="0">
        <v>75.683398</v>
      </c>
      <c r="R102" s="0">
        <v>78.219311</v>
      </c>
      <c r="S102" s="12">
        <f t="shared" si="2"/>
        <v>0.0335068597210713</v>
      </c>
      <c r="T102" s="12">
        <f t="shared" si="3"/>
        <v>0.142467157796524</v>
      </c>
    </row>
    <row customHeight="1" ht="15">
      <c r="A103" s="9" t="s">
        <v>114</v>
      </c>
      <c r="B103" s="0">
        <v>199.429927</v>
      </c>
      <c r="C103" s="0">
        <v>198.454358</v>
      </c>
      <c r="D103" s="0">
        <v>188.230992</v>
      </c>
      <c r="E103" s="0">
        <v>204.128688</v>
      </c>
      <c r="F103" s="10">
        <f t="shared" si="28"/>
        <v>213.705984</v>
      </c>
      <c r="H103" s="0">
        <v>198.454358</v>
      </c>
      <c r="J103" s="0">
        <v>198.156536</v>
      </c>
      <c r="K103" s="0">
        <v>186.792586</v>
      </c>
      <c r="L103" s="0">
        <v>188.230992</v>
      </c>
      <c r="M103" s="0">
        <v>180.144226</v>
      </c>
      <c r="N103" s="0">
        <v>184.980303</v>
      </c>
      <c r="O103" s="0">
        <v>192.229941</v>
      </c>
      <c r="P103" s="0">
        <v>204.128688</v>
      </c>
      <c r="Q103" s="0">
        <v>207.120294</v>
      </c>
      <c r="R103" s="0">
        <v>213.705984</v>
      </c>
      <c r="S103" s="12">
        <f t="shared" si="2"/>
        <v>0.0317964496516212</v>
      </c>
      <c r="T103" s="12">
        <f t="shared" si="3"/>
        <v>0.155290485171278</v>
      </c>
    </row>
    <row customHeight="1" ht="15">
      <c r="A104" s="9" t="s">
        <v>115</v>
      </c>
      <c r="B104" s="0">
        <v>173.527268</v>
      </c>
      <c r="C104" s="0">
        <v>121.173461</v>
      </c>
      <c r="D104" s="0">
        <v>96.64911</v>
      </c>
      <c r="E104" s="0">
        <v>106.559893</v>
      </c>
      <c r="F104" s="10">
        <f t="shared" si="28"/>
        <v>97.262678</v>
      </c>
      <c r="H104" s="0">
        <v>121.173461</v>
      </c>
      <c r="J104" s="0">
        <v>109.796687</v>
      </c>
      <c r="K104" s="0">
        <v>104.474855</v>
      </c>
      <c r="L104" s="0">
        <v>96.64911</v>
      </c>
      <c r="M104" s="0">
        <v>94.715846</v>
      </c>
      <c r="N104" s="0">
        <v>91.785329</v>
      </c>
      <c r="O104" s="0">
        <v>95.712509</v>
      </c>
      <c r="P104" s="0">
        <v>106.559893</v>
      </c>
      <c r="Q104" s="0">
        <v>99.809927</v>
      </c>
      <c r="R104" s="0">
        <v>97.262678</v>
      </c>
      <c r="S104" s="12">
        <f t="shared" si="2"/>
        <v>-0.0255209985275313</v>
      </c>
      <c r="T104" s="12">
        <f t="shared" si="3"/>
        <v>0.0596756481637712</v>
      </c>
    </row>
    <row customHeight="1" ht="15">
      <c r="A105" s="9" t="s">
        <v>116</v>
      </c>
      <c r="B105" s="0">
        <v>9.248969</v>
      </c>
      <c r="C105" s="0">
        <v>4.153279</v>
      </c>
      <c r="D105" s="0">
        <v>10.29944</v>
      </c>
      <c r="E105" s="0">
        <v>10.043497</v>
      </c>
      <c r="F105" s="10">
        <f t="shared" si="28"/>
        <v>10.267833</v>
      </c>
      <c r="H105" s="0">
        <v>4.153279</v>
      </c>
      <c r="J105" s="0">
        <v>4.507584</v>
      </c>
      <c r="K105" s="0">
        <v>4.280837</v>
      </c>
      <c r="L105" s="0">
        <v>10.29944</v>
      </c>
      <c r="M105" s="0">
        <v>10.324458</v>
      </c>
      <c r="N105" s="0">
        <v>10.344395</v>
      </c>
      <c r="O105" s="0">
        <v>9.240384</v>
      </c>
      <c r="P105" s="0">
        <v>10.043497</v>
      </c>
      <c r="Q105" s="0">
        <v>10.295438</v>
      </c>
      <c r="R105" s="0">
        <v>10.267833</v>
      </c>
      <c r="S105" s="12">
        <f t="shared" si="2"/>
        <v>-0.00268128466219708</v>
      </c>
      <c r="T105" s="12">
        <f t="shared" si="3"/>
        <v>-0.00740130283114682</v>
      </c>
    </row>
    <row customHeight="1" ht="15">
      <c r="A106" s="9" t="s">
        <v>93</v>
      </c>
      <c r="B106" s="0">
        <v>20.862334</v>
      </c>
      <c r="C106" s="0">
        <v>22.998383</v>
      </c>
      <c r="D106" s="0">
        <v>25.578011</v>
      </c>
      <c r="E106" s="0">
        <v>39.916191</v>
      </c>
      <c r="F106" s="10">
        <f t="shared" si="28"/>
        <v>47.819387</v>
      </c>
      <c r="H106" s="0">
        <v>22.998383</v>
      </c>
      <c r="J106" s="0">
        <v>24.167823</v>
      </c>
      <c r="K106" s="0">
        <v>24.623183</v>
      </c>
      <c r="L106" s="0">
        <v>25.578011</v>
      </c>
      <c r="M106" s="0">
        <v>26.626797</v>
      </c>
      <c r="N106" s="0">
        <v>27.695011</v>
      </c>
      <c r="O106" s="0">
        <v>29.792436</v>
      </c>
      <c r="P106" s="0">
        <v>39.916191</v>
      </c>
      <c r="Q106" s="0">
        <v>43.885995</v>
      </c>
      <c r="R106" s="0">
        <v>47.819387</v>
      </c>
      <c r="S106" s="12">
        <f t="shared" si="2"/>
        <v>0.0896274996157658</v>
      </c>
      <c r="T106" s="12">
        <f t="shared" si="3"/>
        <v>0.726642643326626</v>
      </c>
    </row>
    <row customHeight="1" ht="15">
      <c r="A107" s="9" t="s">
        <v>95</v>
      </c>
      <c r="B107" s="0">
        <v>0</v>
      </c>
      <c r="C107" s="0">
        <v>4.674381</v>
      </c>
      <c r="D107" s="0">
        <v>1.466235</v>
      </c>
      <c r="E107" s="0">
        <v>0.394769</v>
      </c>
      <c r="F107" s="10">
        <f t="shared" si="28"/>
        <v>13.023651</v>
      </c>
      <c r="H107" s="0">
        <v>4.674381</v>
      </c>
      <c r="J107" s="0">
        <v>0</v>
      </c>
      <c r="K107" s="0">
        <v>0</v>
      </c>
      <c r="L107" s="0">
        <v>1.466235</v>
      </c>
      <c r="M107" s="0">
        <v>3.745293</v>
      </c>
      <c r="N107" s="0">
        <v>1.574404</v>
      </c>
      <c r="O107" s="0">
        <v>0.525107</v>
      </c>
      <c r="P107" s="0">
        <v>0.394769</v>
      </c>
      <c r="Q107" s="0">
        <v>8.870091</v>
      </c>
      <c r="R107" s="0">
        <v>13.023651</v>
      </c>
      <c r="S107" s="12">
        <f t="shared" si="2"/>
        <v>0.468265770892317</v>
      </c>
      <c r="T107" s="12">
        <f t="shared" si="3"/>
        <v>7.27211503527684</v>
      </c>
    </row>
    <row customHeight="1" ht="15">
      <c r="A108" s="4" t="s">
        <v>117</v>
      </c>
      <c r="B108" s="7">
        <f t="shared" si="30" ref="B108:K108">SUM(B101:B106)</f>
        <v>488.488323</v>
      </c>
      <c r="C108" s="7">
        <f t="shared" si="29" ref="C108:R133">SUM(C101:C107)</f>
        <v>487.622502</v>
      </c>
      <c r="D108" s="7">
        <f t="shared" si="29"/>
        <v>467.173905</v>
      </c>
      <c r="E108" s="7">
        <f t="shared" si="29"/>
        <v>504.986734</v>
      </c>
      <c r="F108" s="6">
        <f t="shared" si="28"/>
        <v>532.582</v>
      </c>
      <c r="H108" s="7">
        <f t="shared" si="29"/>
        <v>487.622502</v>
      </c>
      <c r="J108" s="7">
        <f t="shared" si="30"/>
        <v>471.196358</v>
      </c>
      <c r="K108" s="7">
        <f t="shared" si="30"/>
        <v>454.275629</v>
      </c>
      <c r="L108" s="7">
        <f t="shared" si="29"/>
        <v>467.173905</v>
      </c>
      <c r="M108" s="7">
        <f t="shared" si="29"/>
        <v>457.239811</v>
      </c>
      <c r="N108" s="7">
        <f t="shared" si="29"/>
        <v>451.675036</v>
      </c>
      <c r="O108" s="7">
        <f t="shared" si="29"/>
        <v>467.469228</v>
      </c>
      <c r="P108" s="7">
        <f t="shared" si="29"/>
        <v>504.986734</v>
      </c>
      <c r="Q108" s="7">
        <f t="shared" si="29"/>
        <v>517.960681</v>
      </c>
      <c r="R108" s="7">
        <f t="shared" si="29"/>
        <v>532.582</v>
      </c>
      <c r="S108" s="8">
        <f t="shared" si="2"/>
        <v>0.0282286272613808</v>
      </c>
      <c r="T108" s="8">
        <f t="shared" si="3"/>
        <v>0.179126490400058</v>
      </c>
    </row>
    <row customHeight="1" ht="15">
      <c r="A109" s="9" t="s">
        <v>93</v>
      </c>
      <c r="B109" s="0">
        <v>21.730404</v>
      </c>
      <c r="C109" s="0">
        <v>0</v>
      </c>
      <c r="D109" s="0">
        <v>0</v>
      </c>
      <c r="E109" s="0">
        <v>0</v>
      </c>
      <c r="F109" s="10">
        <f t="shared" si="28"/>
        <v>0</v>
      </c>
      <c r="H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12">
        <f t="shared" si="2"/>
        <v>0</v>
      </c>
      <c r="T109" s="12">
        <f t="shared" si="3"/>
        <v>0</v>
      </c>
    </row>
    <row customHeight="1" ht="15">
      <c r="A110" s="9" t="s">
        <v>97</v>
      </c>
      <c r="B110" s="0">
        <v>0</v>
      </c>
      <c r="C110" s="0">
        <v>0</v>
      </c>
      <c r="D110" s="0">
        <v>0</v>
      </c>
      <c r="E110" s="0">
        <v>0</v>
      </c>
      <c r="F110" s="10">
        <f t="shared" si="28"/>
        <v>0</v>
      </c>
      <c r="H110" s="0">
        <v>0</v>
      </c>
      <c r="J110" s="0">
        <v>0.356293</v>
      </c>
      <c r="K110" s="0">
        <v>0.356297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12">
        <f t="shared" si="2"/>
        <v>0</v>
      </c>
      <c r="T110" s="12">
        <f t="shared" si="3"/>
        <v>0</v>
      </c>
    </row>
    <row customHeight="1" ht="15">
      <c r="A111" s="9" t="s">
        <v>118</v>
      </c>
      <c r="B111" s="0">
        <v>5.008999</v>
      </c>
      <c r="C111" s="0">
        <v>8.711839</v>
      </c>
      <c r="D111" s="0">
        <v>3.994316</v>
      </c>
      <c r="E111" s="0">
        <v>2.721913</v>
      </c>
      <c r="F111" s="10">
        <f t="shared" si="28"/>
        <v>3.273109</v>
      </c>
      <c r="H111" s="0">
        <v>8.711839</v>
      </c>
      <c r="J111" s="0">
        <v>5.092315</v>
      </c>
      <c r="K111" s="0">
        <v>3.945797</v>
      </c>
      <c r="L111" s="0">
        <v>3.994316</v>
      </c>
      <c r="M111" s="0">
        <v>3.007941</v>
      </c>
      <c r="N111" s="0">
        <v>3.296766</v>
      </c>
      <c r="O111" s="0">
        <v>3.378874</v>
      </c>
      <c r="P111" s="0">
        <v>2.721913</v>
      </c>
      <c r="Q111" s="0">
        <v>3.109391</v>
      </c>
      <c r="R111" s="0">
        <v>3.273109</v>
      </c>
      <c r="S111" s="12">
        <f t="shared" si="2"/>
        <v>0.0526527541888426</v>
      </c>
      <c r="T111" s="12">
        <f t="shared" si="3"/>
        <v>-0.00717582018256679</v>
      </c>
    </row>
    <row customHeight="1" ht="15">
      <c r="A112" s="9" t="s">
        <v>74</v>
      </c>
      <c r="B112" s="0">
        <v>26.504855</v>
      </c>
      <c r="C112" s="0">
        <v>31.520558</v>
      </c>
      <c r="D112" s="0">
        <v>44.909836</v>
      </c>
      <c r="E112" s="0">
        <v>36.072733</v>
      </c>
      <c r="F112" s="10">
        <f t="shared" si="28"/>
        <v>42.110862</v>
      </c>
      <c r="H112" s="0">
        <v>31.520558</v>
      </c>
      <c r="J112" s="0">
        <v>41.001499</v>
      </c>
      <c r="K112" s="0">
        <v>34.710443</v>
      </c>
      <c r="L112" s="0">
        <v>44.909836</v>
      </c>
      <c r="M112" s="0">
        <v>57.255092</v>
      </c>
      <c r="N112" s="0">
        <v>52.064241</v>
      </c>
      <c r="O112" s="0">
        <v>48.600933</v>
      </c>
      <c r="P112" s="0">
        <v>36.072733</v>
      </c>
      <c r="Q112" s="0">
        <v>35.985972</v>
      </c>
      <c r="R112" s="0">
        <v>42.110862</v>
      </c>
      <c r="S112" s="12">
        <f t="shared" si="2"/>
        <v>0.170202155439903</v>
      </c>
      <c r="T112" s="12">
        <f t="shared" si="3"/>
        <v>-0.191174956339035</v>
      </c>
    </row>
    <row customHeight="1" ht="15">
      <c r="A113" s="9" t="s">
        <v>119</v>
      </c>
      <c r="B113" s="0">
        <v>1.849877</v>
      </c>
      <c r="C113" s="0">
        <v>1.732034</v>
      </c>
      <c r="D113" s="0">
        <v>1.372195</v>
      </c>
      <c r="E113" s="0">
        <v>1.551668</v>
      </c>
      <c r="F113" s="10">
        <f t="shared" si="28"/>
        <v>1.515745</v>
      </c>
      <c r="H113" s="0">
        <v>1.732034</v>
      </c>
      <c r="J113" s="0">
        <v>2.565419</v>
      </c>
      <c r="K113" s="0">
        <v>2.361934</v>
      </c>
      <c r="L113" s="0">
        <v>1.372195</v>
      </c>
      <c r="M113" s="0">
        <v>1.275084</v>
      </c>
      <c r="N113" s="0">
        <v>1.220784</v>
      </c>
      <c r="O113" s="0">
        <v>2.2552</v>
      </c>
      <c r="P113" s="0">
        <v>1.551668</v>
      </c>
      <c r="Q113" s="0">
        <v>1.749126</v>
      </c>
      <c r="R113" s="0">
        <v>1.515745</v>
      </c>
      <c r="S113" s="12">
        <f t="shared" si="2"/>
        <v>-0.133427208788847</v>
      </c>
      <c r="T113" s="12">
        <f t="shared" si="3"/>
        <v>0.241616043460596</v>
      </c>
    </row>
    <row customHeight="1" ht="15">
      <c r="A114" s="9" t="s">
        <v>120</v>
      </c>
      <c r="B114" s="0">
        <v>9.130196</v>
      </c>
      <c r="C114" s="0">
        <v>11.172111</v>
      </c>
      <c r="D114" s="0">
        <v>12.244475</v>
      </c>
      <c r="E114" s="0">
        <v>13.280304</v>
      </c>
      <c r="F114" s="10">
        <f t="shared" si="28"/>
        <v>11.655281</v>
      </c>
      <c r="H114" s="0">
        <v>11.172111</v>
      </c>
      <c r="J114" s="0">
        <v>12.31978</v>
      </c>
      <c r="K114" s="0">
        <v>11.007746</v>
      </c>
      <c r="L114" s="0">
        <v>12.244475</v>
      </c>
      <c r="M114" s="0">
        <v>11.851068</v>
      </c>
      <c r="N114" s="0">
        <v>13.665945</v>
      </c>
      <c r="O114" s="0">
        <v>14.832315</v>
      </c>
      <c r="P114" s="0">
        <v>13.280304</v>
      </c>
      <c r="Q114" s="0">
        <v>14.24382</v>
      </c>
      <c r="R114" s="0">
        <v>11.655281</v>
      </c>
      <c r="S114" s="12">
        <f t="shared" si="2"/>
        <v>-0.181730673372733</v>
      </c>
      <c r="T114" s="12">
        <f t="shared" si="3"/>
        <v>-0.147129525254199</v>
      </c>
    </row>
    <row customHeight="1" ht="15">
      <c r="A115" s="9" t="s">
        <v>121</v>
      </c>
      <c r="B115" s="0">
        <v>24.929057</v>
      </c>
      <c r="C115" s="0">
        <v>33.308627</v>
      </c>
      <c r="D115" s="0">
        <v>44.057919</v>
      </c>
      <c r="E115" s="0">
        <v>24.969687</v>
      </c>
      <c r="F115" s="10">
        <f t="shared" si="28"/>
        <v>35.369198</v>
      </c>
      <c r="H115" s="0">
        <v>33.308627</v>
      </c>
      <c r="J115" s="0">
        <v>23.241426</v>
      </c>
      <c r="K115" s="0">
        <v>16.538026</v>
      </c>
      <c r="L115" s="0">
        <v>44.057919</v>
      </c>
      <c r="M115" s="0">
        <v>38.454304</v>
      </c>
      <c r="N115" s="0">
        <v>26.67968</v>
      </c>
      <c r="O115" s="0">
        <v>38.970909</v>
      </c>
      <c r="P115" s="0">
        <v>24.969687</v>
      </c>
      <c r="Q115" s="0">
        <v>66.672997</v>
      </c>
      <c r="R115" s="0">
        <v>35.369198</v>
      </c>
      <c r="S115" s="12">
        <f t="shared" si="2"/>
        <v>-0.469512402449825</v>
      </c>
      <c r="T115" s="12">
        <f t="shared" si="3"/>
        <v>0.325697984383621</v>
      </c>
    </row>
    <row customHeight="1" ht="15">
      <c r="A116" s="4" t="s">
        <v>122</v>
      </c>
      <c r="B116" s="7">
        <f>B109+SUM(B111:B115)</f>
        <v>89.153388</v>
      </c>
      <c r="C116" s="7">
        <f t="shared" si="31" ref="C116:R116">SUM(C111:C115)</f>
        <v>86.445169</v>
      </c>
      <c r="D116" s="7">
        <f t="shared" si="31"/>
        <v>106.578741</v>
      </c>
      <c r="E116" s="7">
        <f t="shared" si="31"/>
        <v>78.596305</v>
      </c>
      <c r="F116" s="6">
        <f t="shared" si="28"/>
        <v>93.924195</v>
      </c>
      <c r="H116" s="7">
        <f t="shared" si="31"/>
        <v>86.445169</v>
      </c>
      <c r="J116" s="7">
        <f t="shared" si="25"/>
        <v>84.576732</v>
      </c>
      <c r="K116" s="7">
        <f t="shared" si="25"/>
        <v>68.920243</v>
      </c>
      <c r="L116" s="7">
        <f t="shared" si="31"/>
        <v>106.578741</v>
      </c>
      <c r="M116" s="7">
        <f t="shared" si="31"/>
        <v>111.843489</v>
      </c>
      <c r="N116" s="7">
        <f t="shared" si="31"/>
        <v>96.927416</v>
      </c>
      <c r="O116" s="7">
        <f t="shared" si="31"/>
        <v>108.038231</v>
      </c>
      <c r="P116" s="7">
        <f t="shared" si="31"/>
        <v>78.596305</v>
      </c>
      <c r="Q116" s="7">
        <f t="shared" si="31"/>
        <v>121.761306</v>
      </c>
      <c r="R116" s="7">
        <f t="shared" si="31"/>
        <v>93.924195</v>
      </c>
      <c r="S116" s="8">
        <f t="shared" si="2"/>
        <v>-0.228620338549917</v>
      </c>
      <c r="T116" s="8">
        <f t="shared" si="3"/>
        <v>-0.0309842263823478</v>
      </c>
    </row>
    <row customHeight="1" ht="15">
      <c r="A117" s="4" t="s">
        <v>123</v>
      </c>
      <c r="B117" s="7">
        <f t="shared" si="32" ref="B117:R117">B108+B116</f>
        <v>577.641711</v>
      </c>
      <c r="C117" s="7">
        <f t="shared" si="32"/>
        <v>574.067671</v>
      </c>
      <c r="D117" s="7">
        <f t="shared" si="32"/>
        <v>573.752646</v>
      </c>
      <c r="E117" s="7">
        <f t="shared" si="32"/>
        <v>583.583039</v>
      </c>
      <c r="F117" s="6">
        <f t="shared" si="28"/>
        <v>626.506195</v>
      </c>
      <c r="H117" s="7">
        <f t="shared" si="32"/>
        <v>574.067671</v>
      </c>
      <c r="J117" s="7">
        <f t="shared" si="32"/>
        <v>555.77309</v>
      </c>
      <c r="K117" s="7">
        <f t="shared" si="32"/>
        <v>523.195872</v>
      </c>
      <c r="L117" s="7">
        <f t="shared" si="32"/>
        <v>573.752646</v>
      </c>
      <c r="M117" s="7">
        <f t="shared" si="32"/>
        <v>569.0833</v>
      </c>
      <c r="N117" s="7">
        <f t="shared" si="32"/>
        <v>548.602452</v>
      </c>
      <c r="O117" s="7">
        <f t="shared" si="32"/>
        <v>575.507459</v>
      </c>
      <c r="P117" s="7">
        <f t="shared" si="32"/>
        <v>583.583039</v>
      </c>
      <c r="Q117" s="7">
        <f t="shared" si="32"/>
        <v>639.721987</v>
      </c>
      <c r="R117" s="7">
        <f t="shared" si="32"/>
        <v>626.506195</v>
      </c>
      <c r="S117" s="8">
        <f t="shared" si="2"/>
        <v>-0.0206586490202969</v>
      </c>
      <c r="T117" s="8">
        <f t="shared" si="3"/>
        <v>0.142004000740412</v>
      </c>
    </row>
    <row customHeight="1" ht="15">
      <c r="A118" s="9" t="s">
        <v>124</v>
      </c>
      <c r="B118" s="0">
        <v>10</v>
      </c>
      <c r="C118" s="0">
        <v>10</v>
      </c>
      <c r="D118" s="0">
        <v>10</v>
      </c>
      <c r="E118" s="0">
        <v>10</v>
      </c>
      <c r="F118" s="10">
        <f t="shared" si="28"/>
        <v>10</v>
      </c>
      <c r="H118" s="0">
        <v>10</v>
      </c>
      <c r="J118" s="0">
        <v>10</v>
      </c>
      <c r="K118" s="0">
        <v>10</v>
      </c>
      <c r="L118" s="0">
        <v>10</v>
      </c>
      <c r="M118" s="0">
        <v>10</v>
      </c>
      <c r="N118" s="0">
        <v>10</v>
      </c>
      <c r="O118" s="0">
        <v>10</v>
      </c>
      <c r="P118" s="0">
        <v>10</v>
      </c>
      <c r="Q118" s="0">
        <v>10</v>
      </c>
      <c r="R118" s="0">
        <v>10</v>
      </c>
      <c r="S118" s="12">
        <f t="shared" si="2"/>
        <v>0</v>
      </c>
      <c r="T118" s="12">
        <f t="shared" si="3"/>
        <v>0</v>
      </c>
    </row>
    <row customHeight="1" ht="15">
      <c r="A119" s="9" t="s">
        <v>125</v>
      </c>
      <c r="B119" s="0">
        <v>1.08499</v>
      </c>
      <c r="C119" s="0">
        <v>1.101905</v>
      </c>
      <c r="D119" s="0">
        <v>1.180202</v>
      </c>
      <c r="E119" s="0">
        <v>1.915172</v>
      </c>
      <c r="F119" s="10">
        <f t="shared" si="28"/>
        <v>1.915172</v>
      </c>
      <c r="H119" s="0">
        <v>1.101905</v>
      </c>
      <c r="J119" s="0">
        <v>1.101905</v>
      </c>
      <c r="K119" s="0">
        <v>1.101905</v>
      </c>
      <c r="L119" s="0">
        <v>1.180202</v>
      </c>
      <c r="M119" s="0">
        <v>1.180202</v>
      </c>
      <c r="N119" s="0">
        <v>1.180202</v>
      </c>
      <c r="O119" s="0">
        <v>1.180202</v>
      </c>
      <c r="P119" s="0">
        <v>1.915172</v>
      </c>
      <c r="Q119" s="0">
        <v>1.915172</v>
      </c>
      <c r="R119" s="0">
        <v>1.915172</v>
      </c>
      <c r="S119" s="12">
        <f t="shared" si="2"/>
        <v>0</v>
      </c>
      <c r="T119" s="12">
        <f t="shared" si="3"/>
        <v>0.622749325962844</v>
      </c>
    </row>
    <row customHeight="1" ht="15">
      <c r="A120" s="9" t="s">
        <v>126</v>
      </c>
      <c r="B120" s="0">
        <v>0.006667</v>
      </c>
      <c r="C120" s="0">
        <v>0.006667</v>
      </c>
      <c r="D120" s="0">
        <v>0.006667</v>
      </c>
      <c r="E120" s="0">
        <v>0.006667</v>
      </c>
      <c r="F120" s="10">
        <f t="shared" si="28"/>
        <v>0.006667</v>
      </c>
      <c r="H120" s="0">
        <v>0.006667</v>
      </c>
      <c r="J120" s="0">
        <v>0.006667</v>
      </c>
      <c r="K120" s="0">
        <v>0.006667</v>
      </c>
      <c r="L120" s="0">
        <v>0.006667</v>
      </c>
      <c r="M120" s="0">
        <v>0.006667</v>
      </c>
      <c r="N120" s="0">
        <v>0.006667</v>
      </c>
      <c r="O120" s="0">
        <v>0.006667</v>
      </c>
      <c r="P120" s="0">
        <v>0.006667</v>
      </c>
      <c r="Q120" s="0">
        <v>0.006667</v>
      </c>
      <c r="R120" s="0">
        <v>0.006667</v>
      </c>
      <c r="S120" s="12">
        <f t="shared" si="2"/>
        <v>0</v>
      </c>
      <c r="T120" s="12">
        <f t="shared" si="3"/>
        <v>0</v>
      </c>
    </row>
    <row customHeight="1" ht="15">
      <c r="A121" s="9" t="s">
        <v>127</v>
      </c>
      <c r="B121" s="0">
        <v>-104.065575</v>
      </c>
      <c r="C121" s="0">
        <v>-51.578114</v>
      </c>
      <c r="D121" s="0">
        <v>-40.499685</v>
      </c>
      <c r="E121" s="0">
        <v>-61.504335</v>
      </c>
      <c r="F121" s="10">
        <f t="shared" si="28"/>
        <v>-53.069463</v>
      </c>
      <c r="H121" s="0">
        <v>-51.578114</v>
      </c>
      <c r="J121" s="0">
        <v>-40.063298</v>
      </c>
      <c r="K121" s="0">
        <v>-41.509465</v>
      </c>
      <c r="L121" s="0">
        <v>-40.499685</v>
      </c>
      <c r="M121" s="0">
        <v>-39.744429</v>
      </c>
      <c r="N121" s="0">
        <v>-39.758261</v>
      </c>
      <c r="O121" s="0">
        <v>-47.95383</v>
      </c>
      <c r="P121" s="0">
        <v>-61.504335</v>
      </c>
      <c r="Q121" s="0">
        <v>-52.346398</v>
      </c>
      <c r="R121" s="0">
        <v>-53.069463</v>
      </c>
      <c r="S121" s="12">
        <f t="shared" si="2"/>
        <v>-0.0138130803192991</v>
      </c>
      <c r="T121" s="12">
        <f t="shared" si="3"/>
        <v>-0.334803426135766</v>
      </c>
    </row>
    <row customHeight="1" ht="15">
      <c r="A122" s="9" t="s">
        <v>128</v>
      </c>
      <c r="B122" s="0">
        <v>47.544593</v>
      </c>
      <c r="C122" s="0">
        <v>-67.92356</v>
      </c>
      <c r="D122" s="0">
        <v>-171.682302</v>
      </c>
      <c r="E122" s="0">
        <v>-141.264493</v>
      </c>
      <c r="F122" s="10">
        <f t="shared" si="28"/>
        <v>-160.576444</v>
      </c>
      <c r="H122" s="0">
        <v>-67.92356</v>
      </c>
      <c r="J122" s="0">
        <v>-106.501159</v>
      </c>
      <c r="K122" s="0">
        <v>-134.170614</v>
      </c>
      <c r="L122" s="0">
        <v>-171.682302</v>
      </c>
      <c r="M122" s="0">
        <v>-182.5475</v>
      </c>
      <c r="N122" s="0">
        <v>-195.04648</v>
      </c>
      <c r="O122" s="0">
        <v>-171.548614</v>
      </c>
      <c r="P122" s="0">
        <v>-141.264493</v>
      </c>
      <c r="Q122" s="0">
        <v>-154.979134</v>
      </c>
      <c r="R122" s="0">
        <v>-160.576444</v>
      </c>
      <c r="S122" s="12">
        <f t="shared" si="2"/>
        <v>-0.0361165394045886</v>
      </c>
      <c r="T122" s="12">
        <f t="shared" si="3"/>
        <v>0.176727290848827</v>
      </c>
    </row>
    <row customHeight="1" ht="15">
      <c r="A123" s="9" t="s">
        <v>129</v>
      </c>
      <c r="B123" s="11">
        <f t="shared" si="33" ref="B123:R193">SUM(B118:B122)</f>
        <v>-45.429325</v>
      </c>
      <c r="C123" s="11">
        <f t="shared" si="33"/>
        <v>-108.393102</v>
      </c>
      <c r="D123" s="11">
        <f t="shared" si="33"/>
        <v>-200.995118</v>
      </c>
      <c r="E123" s="11">
        <f t="shared" si="33"/>
        <v>-190.846989</v>
      </c>
      <c r="F123" s="10">
        <f t="shared" si="28"/>
        <v>-201.724068</v>
      </c>
      <c r="H123" s="11">
        <f t="shared" si="33"/>
        <v>-108.393102</v>
      </c>
      <c r="J123" s="11">
        <f t="shared" si="33"/>
        <v>-135.455885</v>
      </c>
      <c r="K123" s="11">
        <f t="shared" si="33"/>
        <v>-164.571507</v>
      </c>
      <c r="L123" s="11">
        <f t="shared" si="33"/>
        <v>-200.995118</v>
      </c>
      <c r="M123" s="11">
        <f t="shared" si="33"/>
        <v>-211.10506</v>
      </c>
      <c r="N123" s="11">
        <f t="shared" si="33"/>
        <v>-223.617872</v>
      </c>
      <c r="O123" s="11">
        <f t="shared" si="33"/>
        <v>-208.315575</v>
      </c>
      <c r="P123" s="11">
        <f t="shared" si="33"/>
        <v>-190.846989</v>
      </c>
      <c r="Q123" s="11">
        <f t="shared" si="33"/>
        <v>-195.403693</v>
      </c>
      <c r="R123" s="11">
        <f t="shared" si="33"/>
        <v>-201.724068</v>
      </c>
      <c r="S123" s="12">
        <f t="shared" si="2"/>
        <v>-0.0323452177538937</v>
      </c>
      <c r="T123" s="12">
        <f t="shared" si="3"/>
        <v>0.0979072191510705</v>
      </c>
    </row>
    <row customHeight="1" ht="15">
      <c r="A124" s="9" t="s">
        <v>45</v>
      </c>
      <c r="B124" s="0">
        <v>-3.510631</v>
      </c>
      <c r="C124" s="0">
        <v>-3.46674</v>
      </c>
      <c r="D124" s="0">
        <v>-3.533177</v>
      </c>
      <c r="E124" s="0">
        <v>-3.578152</v>
      </c>
      <c r="F124" s="10">
        <f t="shared" si="28"/>
        <v>-3.561812</v>
      </c>
      <c r="H124" s="0">
        <v>-3.46674</v>
      </c>
      <c r="J124" s="0">
        <v>-3.516355</v>
      </c>
      <c r="K124" s="0">
        <v>-3.527525</v>
      </c>
      <c r="L124" s="0">
        <v>-3.533177</v>
      </c>
      <c r="M124" s="0">
        <v>-3.546509</v>
      </c>
      <c r="N124" s="0">
        <v>-3.593431</v>
      </c>
      <c r="O124" s="0">
        <v>-3.671098</v>
      </c>
      <c r="P124" s="0">
        <v>-3.578152</v>
      </c>
      <c r="Q124" s="0">
        <v>-3.488666</v>
      </c>
      <c r="R124" s="0">
        <v>-3.561812</v>
      </c>
      <c r="S124" s="12">
        <f t="shared" si="2"/>
        <v>-0.0209667534811302</v>
      </c>
      <c r="T124" s="12">
        <f t="shared" si="3"/>
        <v>0.00879911148982671</v>
      </c>
    </row>
    <row customHeight="1" ht="15">
      <c r="A125" s="4" t="s">
        <v>130</v>
      </c>
      <c r="B125" s="7">
        <f t="shared" si="12"/>
        <v>-48.939956</v>
      </c>
      <c r="C125" s="7">
        <f t="shared" si="12"/>
        <v>-111.859842</v>
      </c>
      <c r="D125" s="7">
        <f t="shared" si="12"/>
        <v>-204.528295</v>
      </c>
      <c r="E125" s="7">
        <f t="shared" si="12"/>
        <v>-194.425141</v>
      </c>
      <c r="F125" s="6">
        <f t="shared" si="28"/>
        <v>-205.28588</v>
      </c>
      <c r="H125" s="7">
        <f t="shared" si="12"/>
        <v>-111.859842</v>
      </c>
      <c r="J125" s="7">
        <f t="shared" si="12"/>
        <v>-138.97224</v>
      </c>
      <c r="K125" s="7">
        <f t="shared" si="12"/>
        <v>-168.099032</v>
      </c>
      <c r="L125" s="7">
        <f t="shared" si="12"/>
        <v>-204.528295</v>
      </c>
      <c r="M125" s="7">
        <f t="shared" si="12"/>
        <v>-214.651569</v>
      </c>
      <c r="N125" s="7">
        <f t="shared" si="12"/>
        <v>-227.211303</v>
      </c>
      <c r="O125" s="7">
        <f t="shared" si="12"/>
        <v>-211.986673</v>
      </c>
      <c r="P125" s="7">
        <f t="shared" si="12"/>
        <v>-194.425141</v>
      </c>
      <c r="Q125" s="7">
        <f t="shared" si="12"/>
        <v>-198.892359</v>
      </c>
      <c r="R125" s="7">
        <f t="shared" si="12"/>
        <v>-205.28588</v>
      </c>
      <c r="S125" s="8">
        <f t="shared" si="2"/>
        <v>-0.0321456341115649</v>
      </c>
      <c r="T125" s="8">
        <f t="shared" si="3"/>
        <v>0.096497941389826</v>
      </c>
    </row>
    <row customHeight="1" ht="15">
      <c r="A126" s="9" t="s">
        <v>131</v>
      </c>
      <c r="B126" s="0">
        <v>2.09078</v>
      </c>
      <c r="C126" s="0">
        <v>7.207006</v>
      </c>
      <c r="D126" s="0">
        <v>13.00988</v>
      </c>
      <c r="E126" s="0">
        <v>11.038669</v>
      </c>
      <c r="F126" s="10">
        <f t="shared" si="28"/>
        <v>11.712991</v>
      </c>
      <c r="H126" s="0">
        <v>7.207006</v>
      </c>
      <c r="J126" s="0">
        <v>7.755778</v>
      </c>
      <c r="K126" s="0">
        <v>7.273408</v>
      </c>
      <c r="L126" s="0">
        <v>13.00988</v>
      </c>
      <c r="M126" s="0">
        <v>13.189459</v>
      </c>
      <c r="N126" s="0">
        <v>12.9446</v>
      </c>
      <c r="O126" s="0">
        <v>11.421267</v>
      </c>
      <c r="P126" s="0">
        <v>11.038669</v>
      </c>
      <c r="Q126" s="0">
        <v>11.752926</v>
      </c>
      <c r="R126" s="0">
        <v>11.712991</v>
      </c>
      <c r="S126" s="12">
        <f t="shared" si="2"/>
        <v>-0.00339787726052221</v>
      </c>
      <c r="T126" s="12">
        <f t="shared" si="3"/>
        <v>-0.0951446162878729</v>
      </c>
    </row>
    <row customHeight="1" ht="15">
      <c r="A127" s="9" t="s">
        <v>132</v>
      </c>
      <c r="B127" s="0">
        <v>12.445668</v>
      </c>
      <c r="C127" s="0">
        <v>8.455179</v>
      </c>
      <c r="D127" s="0">
        <v>10.869566</v>
      </c>
      <c r="E127" s="0">
        <v>11.073739</v>
      </c>
      <c r="F127" s="10">
        <f t="shared" si="28"/>
        <v>11.629339</v>
      </c>
      <c r="H127" s="0">
        <v>8.455179</v>
      </c>
      <c r="J127" s="0">
        <v>8.759279</v>
      </c>
      <c r="K127" s="0">
        <v>8.568663</v>
      </c>
      <c r="L127" s="0">
        <v>10.869566</v>
      </c>
      <c r="M127" s="0">
        <v>11.054325</v>
      </c>
      <c r="N127" s="0">
        <v>10.576061</v>
      </c>
      <c r="O127" s="0">
        <v>11.455138</v>
      </c>
      <c r="P127" s="0">
        <v>11.073739</v>
      </c>
      <c r="Q127" s="0">
        <v>11.226006</v>
      </c>
      <c r="R127" s="0">
        <v>11.629339</v>
      </c>
      <c r="S127" s="12">
        <f t="shared" si="2"/>
        <v>0.0359284504212807</v>
      </c>
      <c r="T127" s="12">
        <f t="shared" si="3"/>
        <v>0.0995907644632534</v>
      </c>
    </row>
    <row customHeight="1" ht="15">
      <c r="A128" s="9" t="s">
        <v>133</v>
      </c>
      <c r="B128" s="0">
        <v>14.47218</v>
      </c>
      <c r="C128" s="0">
        <v>11.435248</v>
      </c>
      <c r="D128" s="0">
        <v>8.936963</v>
      </c>
      <c r="E128" s="0">
        <v>11.531037</v>
      </c>
      <c r="F128" s="10">
        <f t="shared" si="28"/>
        <v>13.156133</v>
      </c>
      <c r="H128" s="0">
        <v>11.435248</v>
      </c>
      <c r="J128" s="0">
        <v>12.65524</v>
      </c>
      <c r="K128" s="0">
        <v>8.094857</v>
      </c>
      <c r="L128" s="0">
        <v>8.936963</v>
      </c>
      <c r="M128" s="0">
        <v>9.547316</v>
      </c>
      <c r="N128" s="0">
        <v>10.10654</v>
      </c>
      <c r="O128" s="0">
        <v>10.784527</v>
      </c>
      <c r="P128" s="0">
        <v>11.531037</v>
      </c>
      <c r="Q128" s="0">
        <v>12.316782</v>
      </c>
      <c r="R128" s="0">
        <v>13.156133</v>
      </c>
      <c r="S128" s="12">
        <f t="shared" si="2"/>
        <v>0.0681469396795364</v>
      </c>
      <c r="T128" s="12">
        <f t="shared" si="3"/>
        <v>0.301744513948394</v>
      </c>
    </row>
    <row customHeight="1" ht="15">
      <c r="A129" s="9" t="s">
        <v>134</v>
      </c>
      <c r="B129" s="0">
        <v>0</v>
      </c>
      <c r="C129" s="0">
        <v>180.972286</v>
      </c>
      <c r="D129" s="0">
        <v>0.86771</v>
      </c>
      <c r="E129" s="0">
        <v>6.455915</v>
      </c>
      <c r="F129" s="10">
        <f t="shared" si="28"/>
        <v>7.46783</v>
      </c>
      <c r="H129" s="0">
        <v>180.972286</v>
      </c>
      <c r="J129" s="0">
        <v>153.350562</v>
      </c>
      <c r="K129" s="0">
        <v>138.669433</v>
      </c>
      <c r="L129" s="0">
        <v>0.86771</v>
      </c>
      <c r="M129" s="0">
        <v>0.257279</v>
      </c>
      <c r="N129" s="0">
        <v>0.20275</v>
      </c>
      <c r="O129" s="0">
        <v>1.027616</v>
      </c>
      <c r="P129" s="0">
        <v>6.455915</v>
      </c>
      <c r="Q129" s="0">
        <v>7.209799</v>
      </c>
      <c r="R129" s="0">
        <v>7.46783</v>
      </c>
      <c r="S129" s="12">
        <f t="shared" si="2"/>
        <v>0.0357889311477337</v>
      </c>
      <c r="T129" s="12">
        <f t="shared" si="3"/>
        <v>35.8327003699137</v>
      </c>
    </row>
    <row customHeight="1" ht="15">
      <c r="A130" s="9" t="s">
        <v>135</v>
      </c>
      <c r="B130" s="0">
        <v>181.997108</v>
      </c>
      <c r="C130" s="0">
        <v>173.51927</v>
      </c>
      <c r="D130" s="0">
        <v>154.204661</v>
      </c>
      <c r="E130" s="0">
        <v>145.034019</v>
      </c>
      <c r="F130" s="10">
        <f t="shared" si="28"/>
        <v>138.525401</v>
      </c>
      <c r="H130" s="0">
        <v>173.51927</v>
      </c>
      <c r="J130" s="0">
        <v>164.417439</v>
      </c>
      <c r="K130" s="0">
        <v>158.87668</v>
      </c>
      <c r="L130" s="0">
        <v>154.204661</v>
      </c>
      <c r="M130" s="0">
        <v>152.366729</v>
      </c>
      <c r="N130" s="0">
        <v>152.595408</v>
      </c>
      <c r="O130" s="0">
        <v>149.102699</v>
      </c>
      <c r="P130" s="0">
        <v>145.034019</v>
      </c>
      <c r="Q130" s="0">
        <v>141.600421</v>
      </c>
      <c r="R130" s="0">
        <v>138.525401</v>
      </c>
      <c r="S130" s="12">
        <f t="shared" si="2"/>
        <v>-0.0217161783720969</v>
      </c>
      <c r="T130" s="12">
        <f t="shared" si="3"/>
        <v>-0.0922046553327477</v>
      </c>
    </row>
    <row customHeight="1" ht="15">
      <c r="A131" s="9" t="s">
        <v>136</v>
      </c>
      <c r="B131" s="0">
        <v>0</v>
      </c>
      <c r="C131" s="0">
        <v>0</v>
      </c>
      <c r="D131" s="0">
        <v>300</v>
      </c>
      <c r="E131" s="0">
        <v>300</v>
      </c>
      <c r="F131" s="10">
        <f t="shared" si="28"/>
        <v>347.491419</v>
      </c>
      <c r="H131" s="0">
        <v>0</v>
      </c>
      <c r="J131" s="0">
        <v>0</v>
      </c>
      <c r="K131" s="0">
        <v>0</v>
      </c>
      <c r="L131" s="0">
        <v>300</v>
      </c>
      <c r="M131" s="0">
        <v>300</v>
      </c>
      <c r="N131" s="0">
        <v>300</v>
      </c>
      <c r="O131" s="0">
        <v>300</v>
      </c>
      <c r="P131" s="0">
        <v>300</v>
      </c>
      <c r="Q131" s="0">
        <v>346.785488</v>
      </c>
      <c r="R131" s="0">
        <v>347.491419</v>
      </c>
      <c r="S131" s="12">
        <f t="shared" si="2"/>
        <v>0.00203564169905524</v>
      </c>
      <c r="T131" s="12">
        <f t="shared" si="3"/>
        <v>0.15830473</v>
      </c>
    </row>
    <row customHeight="1" ht="15">
      <c r="A132" s="9" t="s">
        <v>137</v>
      </c>
      <c r="B132" s="0">
        <v>0</v>
      </c>
      <c r="C132" s="0">
        <v>0</v>
      </c>
      <c r="D132" s="0">
        <v>10.080508</v>
      </c>
      <c r="E132" s="0">
        <v>10.474928</v>
      </c>
      <c r="F132" s="10">
        <f t="shared" si="28"/>
        <v>8.360865</v>
      </c>
      <c r="H132" s="0">
        <v>0</v>
      </c>
      <c r="J132" s="0">
        <v>0</v>
      </c>
      <c r="K132" s="0">
        <v>0</v>
      </c>
      <c r="L132" s="0">
        <v>10.080508</v>
      </c>
      <c r="M132" s="0">
        <v>9.216275</v>
      </c>
      <c r="N132" s="0">
        <v>8.352044</v>
      </c>
      <c r="O132" s="0">
        <v>11.050898</v>
      </c>
      <c r="P132" s="0">
        <v>10.474928</v>
      </c>
      <c r="Q132" s="0">
        <v>10.125607</v>
      </c>
      <c r="R132" s="0">
        <v>8.360865</v>
      </c>
      <c r="S132" s="12">
        <f t="shared" si="2"/>
        <v>-0.174285057676048</v>
      </c>
      <c r="T132" s="12">
        <f t="shared" si="3"/>
        <v>0.00105614865055803</v>
      </c>
    </row>
    <row customHeight="1" ht="15">
      <c r="A133" s="4" t="s">
        <v>138</v>
      </c>
      <c r="B133" s="7">
        <f t="shared" si="34" ref="B133:K133">SUM(B126:B130)</f>
        <v>211.005736</v>
      </c>
      <c r="C133" s="7">
        <f t="shared" si="29"/>
        <v>381.588989</v>
      </c>
      <c r="D133" s="7">
        <f t="shared" si="29"/>
        <v>497.969288</v>
      </c>
      <c r="E133" s="7">
        <f t="shared" si="29"/>
        <v>495.608307</v>
      </c>
      <c r="F133" s="6">
        <f t="shared" si="28"/>
        <v>538.343978</v>
      </c>
      <c r="H133" s="7">
        <f t="shared" si="29"/>
        <v>381.588989</v>
      </c>
      <c r="J133" s="7">
        <f t="shared" si="34"/>
        <v>346.938298</v>
      </c>
      <c r="K133" s="7">
        <f t="shared" si="34"/>
        <v>321.483041</v>
      </c>
      <c r="L133" s="7">
        <f t="shared" si="29"/>
        <v>497.969288</v>
      </c>
      <c r="M133" s="7">
        <f t="shared" si="29"/>
        <v>495.631383</v>
      </c>
      <c r="N133" s="7">
        <f t="shared" si="29"/>
        <v>494.777403</v>
      </c>
      <c r="O133" s="7">
        <f t="shared" si="29"/>
        <v>494.842145</v>
      </c>
      <c r="P133" s="7">
        <f t="shared" si="29"/>
        <v>495.608307</v>
      </c>
      <c r="Q133" s="7">
        <f t="shared" si="29"/>
        <v>541.017029</v>
      </c>
      <c r="R133" s="7">
        <f t="shared" si="29"/>
        <v>538.343978</v>
      </c>
      <c r="S133" s="8">
        <f t="shared" si="2"/>
        <v>-0.00494078902643924</v>
      </c>
      <c r="T133" s="8">
        <f t="shared" si="3"/>
        <v>0.0880528794076718</v>
      </c>
    </row>
    <row customHeight="1" ht="15">
      <c r="A134" s="9" t="s">
        <v>139</v>
      </c>
      <c r="B134" s="0">
        <v>0</v>
      </c>
      <c r="C134" s="0">
        <v>0</v>
      </c>
      <c r="D134" s="0">
        <v>0</v>
      </c>
      <c r="E134" s="0">
        <v>0</v>
      </c>
      <c r="F134" s="10">
        <f t="shared" si="28"/>
        <v>7.035</v>
      </c>
      <c r="H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14.84</v>
      </c>
      <c r="R134" s="0">
        <v>7.035</v>
      </c>
      <c r="S134" s="12">
        <f t="shared" si="2"/>
        <v>-0.525943396226415</v>
      </c>
      <c r="T134" s="12" t="str">
        <f t="shared" si="3"/>
        <v>NM</v>
      </c>
    </row>
    <row customHeight="1" ht="15">
      <c r="A135" s="9" t="s">
        <v>140</v>
      </c>
      <c r="B135" s="0">
        <v>0.031716</v>
      </c>
      <c r="C135" s="0">
        <v>0.023853</v>
      </c>
      <c r="D135" s="0">
        <v>0.28025</v>
      </c>
      <c r="E135" s="0">
        <v>0.098498</v>
      </c>
      <c r="F135" s="10">
        <f t="shared" si="28"/>
        <v>0.0228</v>
      </c>
      <c r="H135" s="0">
        <v>0.023853</v>
      </c>
      <c r="J135" s="0">
        <v>0.256291</v>
      </c>
      <c r="K135" s="0">
        <v>0.348154</v>
      </c>
      <c r="L135" s="0">
        <v>0.28025</v>
      </c>
      <c r="M135" s="0">
        <v>0.022655</v>
      </c>
      <c r="N135" s="0">
        <v>0.015379</v>
      </c>
      <c r="O135" s="0">
        <v>1.019847</v>
      </c>
      <c r="P135" s="0">
        <v>0.098498</v>
      </c>
      <c r="Q135" s="0">
        <v>0</v>
      </c>
      <c r="R135" s="0">
        <v>0.0228</v>
      </c>
      <c r="S135" s="12" t="str">
        <f t="shared" si="2"/>
        <v>NM</v>
      </c>
      <c r="T135" s="12">
        <f t="shared" si="3"/>
        <v>0.482541127511542</v>
      </c>
    </row>
    <row customHeight="1" ht="15">
      <c r="A136" s="9" t="s">
        <v>134</v>
      </c>
      <c r="B136" s="0">
        <v>200.518254</v>
      </c>
      <c r="C136" s="0">
        <v>39.499741</v>
      </c>
      <c r="D136" s="0">
        <v>3.587496</v>
      </c>
      <c r="E136" s="0">
        <v>8.214021</v>
      </c>
      <c r="F136" s="10">
        <f t="shared" si="28"/>
        <v>8.244014</v>
      </c>
      <c r="H136" s="0">
        <v>39.499741</v>
      </c>
      <c r="J136" s="0">
        <v>58.429283</v>
      </c>
      <c r="K136" s="0">
        <v>55.59659</v>
      </c>
      <c r="L136" s="0">
        <v>3.587496</v>
      </c>
      <c r="M136" s="0">
        <v>3.289722</v>
      </c>
      <c r="N136" s="0">
        <v>2.721252</v>
      </c>
      <c r="O136" s="0">
        <v>4.565033</v>
      </c>
      <c r="P136" s="0">
        <v>8.214021</v>
      </c>
      <c r="Q136" s="0">
        <v>8.781742</v>
      </c>
      <c r="R136" s="0">
        <v>8.244014</v>
      </c>
      <c r="S136" s="12">
        <f t="shared" si="2"/>
        <v>-0.0612324980624572</v>
      </c>
      <c r="T136" s="12">
        <f t="shared" si="3"/>
        <v>2.02949304217324</v>
      </c>
    </row>
    <row customHeight="1" ht="15">
      <c r="A137" s="9" t="s">
        <v>141</v>
      </c>
      <c r="B137" s="0">
        <v>26.130051</v>
      </c>
      <c r="C137" s="0">
        <v>31.016973</v>
      </c>
      <c r="D137" s="0">
        <v>44.339334</v>
      </c>
      <c r="E137" s="0">
        <v>55.870229</v>
      </c>
      <c r="F137" s="10">
        <f t="shared" si="28"/>
        <v>57.350883</v>
      </c>
      <c r="H137" s="0">
        <v>31.016973</v>
      </c>
      <c r="J137" s="0">
        <v>38.364085</v>
      </c>
      <c r="K137" s="0">
        <v>40.723239</v>
      </c>
      <c r="L137" s="0">
        <v>44.339334</v>
      </c>
      <c r="M137" s="0">
        <v>44.447684</v>
      </c>
      <c r="N137" s="0">
        <v>40.700651</v>
      </c>
      <c r="O137" s="0">
        <v>41.810996</v>
      </c>
      <c r="P137" s="0">
        <v>55.870229</v>
      </c>
      <c r="Q137" s="0">
        <v>54.015149</v>
      </c>
      <c r="R137" s="0">
        <v>57.350883</v>
      </c>
      <c r="S137" s="12">
        <f t="shared" si="2"/>
        <v>0.0617555271392476</v>
      </c>
      <c r="T137" s="12">
        <f t="shared" si="3"/>
        <v>0.409090065905825</v>
      </c>
    </row>
    <row customHeight="1" ht="15">
      <c r="A138" s="9" t="s">
        <v>142</v>
      </c>
      <c r="B138" s="0">
        <v>38.443334</v>
      </c>
      <c r="C138" s="0">
        <v>35.314107</v>
      </c>
      <c r="D138" s="0">
        <v>28.075483</v>
      </c>
      <c r="E138" s="0">
        <v>33.534141</v>
      </c>
      <c r="F138" s="10">
        <f t="shared" si="28"/>
        <v>34.277247</v>
      </c>
      <c r="H138" s="0">
        <v>35.314107</v>
      </c>
      <c r="J138" s="0">
        <v>32.585393</v>
      </c>
      <c r="K138" s="0">
        <v>33.207101</v>
      </c>
      <c r="L138" s="0">
        <v>28.075483</v>
      </c>
      <c r="M138" s="0">
        <v>24.212051</v>
      </c>
      <c r="N138" s="0">
        <v>30.538192</v>
      </c>
      <c r="O138" s="0">
        <v>30.40722</v>
      </c>
      <c r="P138" s="0">
        <v>33.534141</v>
      </c>
      <c r="Q138" s="0">
        <v>34.136152</v>
      </c>
      <c r="R138" s="0">
        <v>34.277247</v>
      </c>
      <c r="S138" s="12">
        <f t="shared" si="2"/>
        <v>0.00413330125785705</v>
      </c>
      <c r="T138" s="12">
        <f t="shared" si="3"/>
        <v>0.122438649937102</v>
      </c>
    </row>
    <row customHeight="1" ht="15">
      <c r="A139" s="9" t="s">
        <v>80</v>
      </c>
      <c r="B139" s="0">
        <v>19.991299</v>
      </c>
      <c r="C139" s="0">
        <v>17.221944</v>
      </c>
      <c r="D139" s="0">
        <v>17.179145</v>
      </c>
      <c r="E139" s="0">
        <v>19.961891</v>
      </c>
      <c r="F139" s="10">
        <f t="shared" si="28"/>
        <v>18.836492</v>
      </c>
      <c r="H139" s="0">
        <v>17.221944</v>
      </c>
      <c r="J139" s="0">
        <v>17.736078</v>
      </c>
      <c r="K139" s="0">
        <v>16.378285</v>
      </c>
      <c r="L139" s="0">
        <v>17.179145</v>
      </c>
      <c r="M139" s="0">
        <v>17.288158</v>
      </c>
      <c r="N139" s="0">
        <v>17.010273</v>
      </c>
      <c r="O139" s="0">
        <v>17.018956</v>
      </c>
      <c r="P139" s="0">
        <v>19.961891</v>
      </c>
      <c r="Q139" s="0">
        <v>21.233917</v>
      </c>
      <c r="R139" s="0">
        <v>18.836492</v>
      </c>
      <c r="S139" s="12">
        <f t="shared" si="2"/>
        <v>-0.112905452159392</v>
      </c>
      <c r="T139" s="12">
        <f t="shared" si="3"/>
        <v>0.107359770181231</v>
      </c>
    </row>
    <row customHeight="1" ht="15">
      <c r="A140" s="9" t="s">
        <v>143</v>
      </c>
      <c r="B140" s="0">
        <v>0</v>
      </c>
      <c r="C140" s="0">
        <v>0</v>
      </c>
      <c r="D140" s="0">
        <v>4.396616</v>
      </c>
      <c r="E140" s="0">
        <v>0</v>
      </c>
      <c r="F140" s="10">
        <f t="shared" si="28"/>
        <v>0</v>
      </c>
      <c r="H140" s="0">
        <v>0</v>
      </c>
      <c r="J140" s="0">
        <v>0</v>
      </c>
      <c r="K140" s="0">
        <v>0</v>
      </c>
      <c r="L140" s="0">
        <v>4.396616</v>
      </c>
      <c r="M140" s="0">
        <v>4.690446</v>
      </c>
      <c r="N140" s="0">
        <v>3.165562</v>
      </c>
      <c r="O140" s="0">
        <v>0</v>
      </c>
      <c r="P140" s="0">
        <v>0</v>
      </c>
      <c r="Q140" s="0">
        <v>0</v>
      </c>
      <c r="R140" s="0">
        <v>0</v>
      </c>
      <c r="S140" s="12">
        <f t="shared" si="2"/>
        <v>0</v>
      </c>
      <c r="T140" s="12">
        <f t="shared" si="3"/>
        <v>-1</v>
      </c>
    </row>
    <row customHeight="1" ht="15">
      <c r="A141" s="9" t="s">
        <v>144</v>
      </c>
      <c r="B141" s="0">
        <v>41.303953</v>
      </c>
      <c r="C141" s="0">
        <v>33.592938</v>
      </c>
      <c r="D141" s="0">
        <v>45.13479</v>
      </c>
      <c r="E141" s="0">
        <v>42.017393</v>
      </c>
      <c r="F141" s="10">
        <f t="shared" si="28"/>
        <v>40.553972</v>
      </c>
      <c r="H141" s="0">
        <v>33.592938</v>
      </c>
      <c r="J141" s="0">
        <v>49.752487</v>
      </c>
      <c r="K141" s="0">
        <v>50.340132</v>
      </c>
      <c r="L141" s="0">
        <v>45.13479</v>
      </c>
      <c r="M141" s="0">
        <v>67.292748</v>
      </c>
      <c r="N141" s="0">
        <v>60.564796</v>
      </c>
      <c r="O141" s="0">
        <v>58.536907</v>
      </c>
      <c r="P141" s="0">
        <v>42.017393</v>
      </c>
      <c r="Q141" s="0">
        <v>46.994832</v>
      </c>
      <c r="R141" s="0">
        <v>40.553972</v>
      </c>
      <c r="S141" s="12">
        <f t="shared" si="2"/>
        <v>-0.137054644646884</v>
      </c>
      <c r="T141" s="12">
        <f t="shared" si="3"/>
        <v>-0.330403556547933</v>
      </c>
    </row>
    <row customHeight="1" ht="15">
      <c r="A142" s="9" t="s">
        <v>145</v>
      </c>
      <c r="B142" s="0">
        <v>0</v>
      </c>
      <c r="C142" s="0">
        <v>0</v>
      </c>
      <c r="D142" s="0">
        <v>6.156163</v>
      </c>
      <c r="E142" s="0">
        <v>8.593818</v>
      </c>
      <c r="F142" s="10">
        <f t="shared" si="28"/>
        <v>9.806962</v>
      </c>
      <c r="H142" s="0">
        <v>0</v>
      </c>
      <c r="J142" s="0">
        <v>0</v>
      </c>
      <c r="K142" s="0">
        <v>0</v>
      </c>
      <c r="L142" s="0">
        <v>6.156163</v>
      </c>
      <c r="M142" s="0">
        <v>0</v>
      </c>
      <c r="N142" s="0">
        <v>0</v>
      </c>
      <c r="O142" s="0">
        <v>3.774761</v>
      </c>
      <c r="P142" s="0">
        <v>8.593818</v>
      </c>
      <c r="Q142" s="0">
        <v>4.465711</v>
      </c>
      <c r="R142" s="0">
        <v>9.806962</v>
      </c>
      <c r="S142" s="12">
        <f t="shared" si="2"/>
        <v>1.19605836562196</v>
      </c>
      <c r="T142" s="12" t="str">
        <f t="shared" si="3"/>
        <v>NM</v>
      </c>
    </row>
    <row customHeight="1" ht="15">
      <c r="A143" s="9" t="s">
        <v>146</v>
      </c>
      <c r="B143" s="0">
        <v>62.836584</v>
      </c>
      <c r="C143" s="0">
        <v>128.619643</v>
      </c>
      <c r="D143" s="0">
        <v>110.878416</v>
      </c>
      <c r="E143" s="0">
        <v>89.320931</v>
      </c>
      <c r="F143" s="10">
        <f t="shared" si="28"/>
        <v>87.645064</v>
      </c>
      <c r="H143" s="0">
        <v>128.619643</v>
      </c>
      <c r="J143" s="0">
        <v>122.047102</v>
      </c>
      <c r="K143" s="0">
        <v>139.863453</v>
      </c>
      <c r="L143" s="0">
        <v>110.878416</v>
      </c>
      <c r="M143" s="0">
        <v>103.911353</v>
      </c>
      <c r="N143" s="0">
        <v>102.499901</v>
      </c>
      <c r="O143" s="0">
        <v>114.107524</v>
      </c>
      <c r="P143" s="0">
        <v>89.320931</v>
      </c>
      <c r="Q143" s="0">
        <v>85.433503</v>
      </c>
      <c r="R143" s="0">
        <v>87.645064</v>
      </c>
      <c r="S143" s="12">
        <f t="shared" si="2"/>
        <v>0.0258863434406991</v>
      </c>
      <c r="T143" s="12">
        <f t="shared" si="3"/>
        <v>-0.144925379001098</v>
      </c>
    </row>
    <row customHeight="1" ht="15">
      <c r="A144" s="9" t="s">
        <v>147</v>
      </c>
      <c r="B144" s="0">
        <v>26.32074</v>
      </c>
      <c r="C144" s="0">
        <v>19.049325</v>
      </c>
      <c r="D144" s="0">
        <v>20.28396</v>
      </c>
      <c r="E144" s="0">
        <v>24.788951</v>
      </c>
      <c r="F144" s="10">
        <f t="shared" si="28"/>
        <v>29.675663</v>
      </c>
      <c r="H144" s="0">
        <v>19.049325</v>
      </c>
      <c r="J144" s="0">
        <v>28.636313</v>
      </c>
      <c r="K144" s="0">
        <v>33.354909</v>
      </c>
      <c r="L144" s="0">
        <v>20.28396</v>
      </c>
      <c r="M144" s="0">
        <v>22.948669</v>
      </c>
      <c r="N144" s="0">
        <v>23.820346</v>
      </c>
      <c r="O144" s="0">
        <v>21.410743</v>
      </c>
      <c r="P144" s="0">
        <v>24.788951</v>
      </c>
      <c r="Q144" s="0">
        <v>27.696311</v>
      </c>
      <c r="R144" s="0">
        <v>29.675663</v>
      </c>
      <c r="S144" s="12">
        <f t="shared" si="2"/>
        <v>0.0714662685582927</v>
      </c>
      <c r="T144" s="12">
        <f t="shared" si="3"/>
        <v>0.245811584768752</v>
      </c>
    </row>
    <row customHeight="1" ht="15">
      <c r="A145" s="4" t="s">
        <v>148</v>
      </c>
      <c r="B145" s="7">
        <f t="shared" si="36" ref="B145:K145">SUM(B135:B139)+B141+SUM(B143:B144)</f>
        <v>415.575931</v>
      </c>
      <c r="C145" s="7">
        <f t="shared" si="35" ref="C145:N145">SUM(C135:C141)+SUM(C143:C144)</f>
        <v>304.338524</v>
      </c>
      <c r="D145" s="7">
        <f t="shared" si="37" ref="D145:O145">SUM(D135:D144)</f>
        <v>280.311653</v>
      </c>
      <c r="E145" s="7">
        <f t="shared" si="38" ref="E145:R145">SUM(E134:E139)+SUM(E141:E144)</f>
        <v>282.399873</v>
      </c>
      <c r="F145" s="6">
        <f t="shared" si="28"/>
        <v>293.448097</v>
      </c>
      <c r="H145" s="7">
        <f t="shared" si="35"/>
        <v>304.338524</v>
      </c>
      <c r="J145" s="7">
        <f t="shared" si="36"/>
        <v>347.807032</v>
      </c>
      <c r="K145" s="7">
        <f t="shared" si="36"/>
        <v>369.811863</v>
      </c>
      <c r="L145" s="7">
        <f t="shared" si="37"/>
        <v>280.311653</v>
      </c>
      <c r="M145" s="7">
        <f t="shared" si="35"/>
        <v>288.103486</v>
      </c>
      <c r="N145" s="7">
        <f t="shared" si="35"/>
        <v>281.036352</v>
      </c>
      <c r="O145" s="7">
        <f t="shared" si="37"/>
        <v>292.651987</v>
      </c>
      <c r="P145" s="7">
        <f t="shared" si="38"/>
        <v>282.399873</v>
      </c>
      <c r="Q145" s="7">
        <f t="shared" si="38"/>
        <v>297.597317</v>
      </c>
      <c r="R145" s="7">
        <f t="shared" si="38"/>
        <v>293.448097</v>
      </c>
      <c r="S145" s="8">
        <f t="shared" si="2"/>
        <v>-0.0139423972024585</v>
      </c>
      <c r="T145" s="8">
        <f t="shared" si="3"/>
        <v>0.0441641976622298</v>
      </c>
    </row>
    <row customHeight="1" ht="15">
      <c r="A146" s="4" t="s">
        <v>149</v>
      </c>
      <c r="B146" s="7">
        <f t="shared" si="39" ref="B146:R146">B133+B145</f>
        <v>626.581667</v>
      </c>
      <c r="C146" s="7">
        <f t="shared" si="39"/>
        <v>685.927513</v>
      </c>
      <c r="D146" s="7">
        <f t="shared" si="39"/>
        <v>778.280941</v>
      </c>
      <c r="E146" s="7">
        <f t="shared" si="39"/>
        <v>778.00818</v>
      </c>
      <c r="F146" s="6">
        <f t="shared" si="28"/>
        <v>831.792075</v>
      </c>
      <c r="H146" s="7">
        <f t="shared" si="39"/>
        <v>685.927513</v>
      </c>
      <c r="J146" s="7">
        <f t="shared" si="39"/>
        <v>694.74533</v>
      </c>
      <c r="K146" s="7">
        <f t="shared" si="39"/>
        <v>691.294904</v>
      </c>
      <c r="L146" s="7">
        <f t="shared" si="39"/>
        <v>778.280941</v>
      </c>
      <c r="M146" s="7">
        <f t="shared" si="39"/>
        <v>783.734869</v>
      </c>
      <c r="N146" s="7">
        <f t="shared" si="39"/>
        <v>775.813755</v>
      </c>
      <c r="O146" s="7">
        <f t="shared" si="39"/>
        <v>787.494132</v>
      </c>
      <c r="P146" s="7">
        <f t="shared" si="39"/>
        <v>778.00818</v>
      </c>
      <c r="Q146" s="7">
        <f t="shared" si="39"/>
        <v>838.614346</v>
      </c>
      <c r="R146" s="7">
        <f t="shared" si="39"/>
        <v>831.792075</v>
      </c>
      <c r="S146" s="8">
        <f t="shared" si="2"/>
        <v>-0.00813517087149851</v>
      </c>
      <c r="T146" s="8">
        <f t="shared" si="3"/>
        <v>0.0721543278128653</v>
      </c>
    </row>
    <row customHeight="1" ht="15">
      <c r="A147" s="4" t="s">
        <v>150</v>
      </c>
      <c r="B147" s="7">
        <f t="shared" si="40" ref="B147:R147">B125+B146</f>
        <v>577.641711</v>
      </c>
      <c r="C147" s="7">
        <f t="shared" si="40"/>
        <v>574.067671</v>
      </c>
      <c r="D147" s="7">
        <f t="shared" si="40"/>
        <v>573.752646</v>
      </c>
      <c r="E147" s="7">
        <f t="shared" si="40"/>
        <v>583.583039</v>
      </c>
      <c r="F147" s="6">
        <f t="shared" si="28"/>
        <v>626.506195</v>
      </c>
      <c r="H147" s="7">
        <f t="shared" si="40"/>
        <v>574.067671</v>
      </c>
      <c r="J147" s="7">
        <f t="shared" si="40"/>
        <v>555.77309</v>
      </c>
      <c r="K147" s="7">
        <f t="shared" si="40"/>
        <v>523.195872</v>
      </c>
      <c r="L147" s="7">
        <f t="shared" si="40"/>
        <v>573.752646</v>
      </c>
      <c r="M147" s="7">
        <f t="shared" si="40"/>
        <v>569.0833</v>
      </c>
      <c r="N147" s="7">
        <f t="shared" si="40"/>
        <v>548.602452</v>
      </c>
      <c r="O147" s="7">
        <f t="shared" si="40"/>
        <v>575.507459</v>
      </c>
      <c r="P147" s="7">
        <f t="shared" si="40"/>
        <v>583.583039</v>
      </c>
      <c r="Q147" s="7">
        <f t="shared" si="40"/>
        <v>639.721987</v>
      </c>
      <c r="R147" s="7">
        <f t="shared" si="40"/>
        <v>626.506195</v>
      </c>
      <c r="S147" s="8">
        <f t="shared" si="2"/>
        <v>-0.0206586490202969</v>
      </c>
      <c r="T147" s="8">
        <f t="shared" si="3"/>
        <v>0.142004000740412</v>
      </c>
    </row>
    <row customHeight="1" ht="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customHeight="1" ht="15">
      <c r="A149" s="2" t="s">
        <v>151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customHeight="1" ht="15">
      <c r="A150" s="9" t="s">
        <v>152</v>
      </c>
      <c r="B150" s="0">
        <v>90.954301</v>
      </c>
      <c r="C150" s="0">
        <v>81.818184</v>
      </c>
      <c r="F150" s="14"/>
      <c r="H150" s="0">
        <v>81.818184</v>
      </c>
      <c r="J150" s="0">
        <v>80.863639</v>
      </c>
      <c r="K150" s="0">
        <v>70.129872</v>
      </c>
      <c r="S150" s="14"/>
      <c r="T150" s="14"/>
    </row>
    <row customHeight="1" ht="15">
      <c r="A151" s="9" t="s">
        <v>153</v>
      </c>
      <c r="B151" s="0">
        <v>101.85</v>
      </c>
      <c r="C151" s="0">
        <v>98.7</v>
      </c>
      <c r="F151" s="14"/>
      <c r="H151" s="0">
        <v>98.7</v>
      </c>
      <c r="J151" s="0">
        <v>93.885366</v>
      </c>
      <c r="K151" s="0">
        <v>89.070731</v>
      </c>
      <c r="S151" s="14"/>
      <c r="T151" s="14"/>
    </row>
    <row customHeight="1" ht="15">
      <c r="A152" s="9" t="s">
        <v>154</v>
      </c>
      <c r="B152" s="0">
        <v>0</v>
      </c>
      <c r="C152" s="0">
        <v>41.447836</v>
      </c>
      <c r="F152" s="14"/>
      <c r="H152" s="0">
        <v>41.447836</v>
      </c>
      <c r="J152" s="0">
        <v>38.935846</v>
      </c>
      <c r="K152" s="0">
        <v>37.679851</v>
      </c>
      <c r="S152" s="14"/>
      <c r="T152" s="14"/>
    </row>
    <row customHeight="1" ht="15">
      <c r="A153" s="9" t="s">
        <v>155</v>
      </c>
      <c r="B153" s="0">
        <v>0</v>
      </c>
      <c r="C153" s="0">
        <v>0.031467</v>
      </c>
      <c r="F153" s="14"/>
      <c r="H153" s="0">
        <v>0.031467</v>
      </c>
      <c r="J153" s="0">
        <v>0.073772</v>
      </c>
      <c r="K153" s="0">
        <v>0.054039</v>
      </c>
      <c r="S153" s="14"/>
      <c r="T153" s="14"/>
    </row>
    <row customHeight="1" ht="15">
      <c r="A154" s="9" t="s">
        <v>156</v>
      </c>
      <c r="B154" s="0">
        <v>0</v>
      </c>
      <c r="C154" s="0">
        <v>1.261631</v>
      </c>
      <c r="F154" s="14"/>
      <c r="H154" s="0">
        <v>1.261631</v>
      </c>
      <c r="J154" s="0">
        <v>0.647232</v>
      </c>
      <c r="K154" s="0">
        <v>0.319026</v>
      </c>
      <c r="S154" s="14"/>
      <c r="T154" s="14"/>
    </row>
    <row customHeight="1" ht="15">
      <c r="A155" s="9" t="s">
        <v>157</v>
      </c>
      <c r="B155" s="0">
        <v>10</v>
      </c>
      <c r="C155" s="0">
        <v>7.499998</v>
      </c>
      <c r="F155" s="14"/>
      <c r="H155" s="0">
        <v>7.499998</v>
      </c>
      <c r="J155" s="0">
        <v>5.833403</v>
      </c>
      <c r="K155" s="0">
        <v>5.000069</v>
      </c>
      <c r="S155" s="14"/>
      <c r="T155" s="14"/>
    </row>
    <row customHeight="1" ht="15">
      <c r="A156" s="9" t="s">
        <v>158</v>
      </c>
      <c r="B156" s="0">
        <v>0</v>
      </c>
      <c r="C156" s="0">
        <v>0</v>
      </c>
      <c r="F156" s="14"/>
      <c r="H156" s="0">
        <v>0</v>
      </c>
      <c r="J156" s="0">
        <v>0.647961</v>
      </c>
      <c r="K156" s="0">
        <v>0.590563</v>
      </c>
      <c r="S156" s="14"/>
      <c r="T156" s="14"/>
    </row>
    <row customHeight="1" ht="15">
      <c r="A157" s="9" t="s">
        <v>147</v>
      </c>
      <c r="B157" s="0">
        <v>26.32074</v>
      </c>
      <c r="C157" s="0">
        <v>19.049325</v>
      </c>
      <c r="F157" s="14"/>
      <c r="H157" s="0">
        <v>19.049325</v>
      </c>
      <c r="J157" s="0">
        <v>28.636313</v>
      </c>
      <c r="K157" s="0">
        <v>33.354909</v>
      </c>
      <c r="S157" s="14"/>
      <c r="T157" s="14"/>
    </row>
    <row customHeight="1" ht="15">
      <c r="A158" s="9" t="s">
        <v>159</v>
      </c>
      <c r="B158" s="11">
        <f t="shared" si="41" ref="B158:K158">B130+B137</f>
        <v>208.127159</v>
      </c>
      <c r="C158" s="11">
        <f t="shared" si="41"/>
        <v>204.536243</v>
      </c>
      <c r="F158" s="14"/>
      <c r="H158" s="11">
        <f t="shared" si="41"/>
        <v>204.536243</v>
      </c>
      <c r="J158" s="11">
        <f t="shared" si="41"/>
        <v>202.781524</v>
      </c>
      <c r="K158" s="11">
        <f t="shared" si="41"/>
        <v>199.599919</v>
      </c>
      <c r="S158" s="14"/>
      <c r="T158" s="14"/>
    </row>
    <row customHeight="1" ht="15">
      <c r="A159" s="9" t="s">
        <v>160</v>
      </c>
      <c r="B159" s="11">
        <f t="shared" si="42" ref="B159:K159">SUM(B150:B158)</f>
        <v>437.2522</v>
      </c>
      <c r="C159" s="11">
        <f t="shared" si="42"/>
        <v>454.344684</v>
      </c>
      <c r="D159" s="11">
        <f t="shared" si="43" ref="D159:O159">SUM(D129:D131)+(D136+D140+D144)+D137</f>
        <v>527.679777</v>
      </c>
      <c r="E159" s="11">
        <f t="shared" si="44" ref="E159:R159">SUM(E129:E131)+(E134+E136+E144)+E137</f>
        <v>540.363135</v>
      </c>
      <c r="F159" s="10">
        <f>SUM(F129:F131)+(R134+R136+R144)+F137</f>
        <v>595.79021</v>
      </c>
      <c r="H159" s="11">
        <f t="shared" si="42"/>
        <v>454.344684</v>
      </c>
      <c r="J159" s="11">
        <f t="shared" si="42"/>
        <v>452.305056</v>
      </c>
      <c r="K159" s="11">
        <f t="shared" si="42"/>
        <v>435.798979</v>
      </c>
      <c r="L159" s="11">
        <f t="shared" si="43"/>
        <v>527.679777</v>
      </c>
      <c r="M159" s="11">
        <f t="shared" si="43"/>
        <v>528.000529</v>
      </c>
      <c r="N159" s="11">
        <f t="shared" si="43"/>
        <v>523.205969</v>
      </c>
      <c r="O159" s="11">
        <f t="shared" si="43"/>
        <v>517.917087</v>
      </c>
      <c r="P159" s="11">
        <f t="shared" si="44"/>
        <v>540.363135</v>
      </c>
      <c r="Q159" s="11">
        <f t="shared" si="44"/>
        <v>600.92891</v>
      </c>
      <c r="R159" s="11">
        <f t="shared" si="44"/>
        <v>595.79021</v>
      </c>
      <c r="S159" s="12">
        <f t="shared" si="2"/>
        <v>-0.00855126108011672</v>
      </c>
      <c r="T159" s="12">
        <f t="shared" si="3"/>
        <v>0.13872976475924</v>
      </c>
    </row>
    <row customHeight="1" ht="15">
      <c r="A160" s="9" t="s">
        <v>161</v>
      </c>
      <c r="B160" s="15">
        <f t="shared" si="45" ref="B160:F160">IF(B167&lt;=0,"NM",B159/B167)</f>
        <v>6.19266835942942</v>
      </c>
      <c r="C160" s="15">
        <f t="shared" si="45"/>
        <v>3.97376877847464</v>
      </c>
      <c r="D160" s="15">
        <f t="shared" si="45"/>
        <v>6.63667062915948</v>
      </c>
      <c r="E160" s="15">
        <f t="shared" si="45"/>
        <v>3.89788190776105</v>
      </c>
      <c r="F160" s="16">
        <f t="shared" si="45"/>
        <v>3.75292534408696</v>
      </c>
      <c r="H160" s="15">
        <f t="shared" si="48" ref="H160:H250">C160</f>
        <v>3.97376877847464</v>
      </c>
      <c r="J160" s="15">
        <f>'Rolling LTM'!G160</f>
        <v>4.17818628152626</v>
      </c>
      <c r="K160" s="15">
        <f>'Rolling LTM'!H160</f>
        <v>4.25538185252712</v>
      </c>
      <c r="L160" s="15">
        <f t="shared" si="46"/>
        <v>6.63667062915948</v>
      </c>
      <c r="M160" s="15">
        <f>'Rolling LTM'!J160</f>
        <v>6.41710695207645</v>
      </c>
      <c r="N160" s="15">
        <f>'Rolling LTM'!K160</f>
        <v>5.82351497164987</v>
      </c>
      <c r="O160" s="15">
        <f>'Rolling LTM'!L160</f>
        <v>4.35009358146096</v>
      </c>
      <c r="P160" s="15">
        <f t="shared" si="49" ref="P160:P250">E160</f>
        <v>3.89788190776105</v>
      </c>
      <c r="Q160" s="15">
        <f>'Rolling LTM'!N160</f>
        <v>4.06739496088967</v>
      </c>
      <c r="R160" s="15">
        <f>'Rolling LTM'!O160</f>
        <v>3.75292534408696</v>
      </c>
      <c r="S160" s="16">
        <f t="shared" si="50" ref="S160:S250">IF(OR(Q160=0,Q160="NM",R160="NM"),"NM",R160-Q160)</f>
        <v>-0.31446961680271</v>
      </c>
      <c r="T160" s="16">
        <f t="shared" si="51" ref="T160:T250">IF(OR(N160=0,N160="NM",R160="NM"),"NM",R160-N160)</f>
        <v>-2.07058962756291</v>
      </c>
    </row>
    <row customHeight="1" ht="15">
      <c r="A161" s="9" t="s">
        <v>162</v>
      </c>
      <c r="B161" s="15">
        <f t="shared" si="47" ref="B161:F161">IF(B176&lt;=0,"NM",B159/B176)</f>
        <v>6.19266835942942</v>
      </c>
      <c r="C161" s="15">
        <f t="shared" si="47"/>
        <v>3.97376877847464</v>
      </c>
      <c r="D161" s="15">
        <f t="shared" si="47"/>
        <v>6.63667062915948</v>
      </c>
      <c r="E161" s="15">
        <f t="shared" si="47"/>
        <v>3.89788190776105</v>
      </c>
      <c r="F161" s="16">
        <f t="shared" si="47"/>
        <v>3.74606450060729</v>
      </c>
      <c r="H161" s="15">
        <f t="shared" si="48"/>
        <v>3.97376877847464</v>
      </c>
      <c r="J161" s="15">
        <f>'Rolling LTM'!G161</f>
        <v>4.18136450552104</v>
      </c>
      <c r="K161" s="15">
        <f>'Rolling LTM'!H161</f>
        <v>4.25720900884977</v>
      </c>
      <c r="L161" s="15">
        <f t="shared" si="46"/>
        <v>6.63667062915948</v>
      </c>
      <c r="M161" s="15">
        <f>'Rolling LTM'!J161</f>
        <v>6.41889000847888</v>
      </c>
      <c r="N161" s="15">
        <f>'Rolling LTM'!K161</f>
        <v>5.8197763845401</v>
      </c>
      <c r="O161" s="15">
        <f>'Rolling LTM'!L161</f>
        <v>4.33760817218284</v>
      </c>
      <c r="P161" s="15">
        <f t="shared" si="49"/>
        <v>3.89788190776105</v>
      </c>
      <c r="Q161" s="15">
        <f>'Rolling LTM'!N161</f>
        <v>4.06210429511071</v>
      </c>
      <c r="R161" s="15">
        <f>'Rolling LTM'!O161</f>
        <v>3.74606450060729</v>
      </c>
      <c r="S161" s="16">
        <f t="shared" si="50"/>
        <v>-0.31603979450342</v>
      </c>
      <c r="T161" s="16">
        <f t="shared" si="51"/>
        <v>-2.07371188393281</v>
      </c>
    </row>
    <row customHeight="1" ht="15">
      <c r="A162" s="9" t="s">
        <v>163</v>
      </c>
      <c r="B162" s="11">
        <f t="shared" si="52" ref="B162:R162">B159-B115</f>
        <v>412.323143</v>
      </c>
      <c r="C162" s="11">
        <f t="shared" si="52"/>
        <v>421.036057</v>
      </c>
      <c r="D162" s="11">
        <f t="shared" si="52"/>
        <v>483.621858</v>
      </c>
      <c r="E162" s="11">
        <f t="shared" si="52"/>
        <v>515.393448</v>
      </c>
      <c r="F162" s="10">
        <f t="shared" si="52"/>
        <v>560.421012</v>
      </c>
      <c r="H162" s="11">
        <f t="shared" si="52"/>
        <v>421.036057</v>
      </c>
      <c r="J162" s="11">
        <f t="shared" si="52"/>
        <v>429.06363</v>
      </c>
      <c r="K162" s="11">
        <f t="shared" si="52"/>
        <v>419.260953</v>
      </c>
      <c r="L162" s="11">
        <f t="shared" si="52"/>
        <v>483.621858</v>
      </c>
      <c r="M162" s="11">
        <f t="shared" si="52"/>
        <v>489.546225</v>
      </c>
      <c r="N162" s="11">
        <f t="shared" si="52"/>
        <v>496.526289</v>
      </c>
      <c r="O162" s="11">
        <f t="shared" si="52"/>
        <v>478.946178</v>
      </c>
      <c r="P162" s="11">
        <f t="shared" si="52"/>
        <v>515.393448</v>
      </c>
      <c r="Q162" s="11">
        <f t="shared" si="52"/>
        <v>534.255913</v>
      </c>
      <c r="R162" s="11">
        <f t="shared" si="52"/>
        <v>560.421012</v>
      </c>
      <c r="S162" s="12">
        <f t="shared" si="2"/>
        <v>0.0489748421371241</v>
      </c>
      <c r="T162" s="12">
        <f t="shared" si="3"/>
        <v>0.12868346433113</v>
      </c>
    </row>
    <row customHeight="1" ht="15">
      <c r="A163" s="4" t="s">
        <v>164</v>
      </c>
      <c r="B163" s="17">
        <f t="shared" si="53" ref="B163:F163">IF(B167&lt;=0,"NM",B162/B167)</f>
        <v>5.83960579618945</v>
      </c>
      <c r="C163" s="17">
        <f t="shared" si="53"/>
        <v>3.68244638231239</v>
      </c>
      <c r="D163" s="17">
        <f t="shared" si="53"/>
        <v>6.08255066899814</v>
      </c>
      <c r="E163" s="17">
        <f t="shared" si="53"/>
        <v>3.71776434441218</v>
      </c>
      <c r="F163" s="18">
        <f t="shared" si="53"/>
        <v>3.53013222438425</v>
      </c>
      <c r="H163" s="17">
        <f t="shared" si="48"/>
        <v>3.68244638231239</v>
      </c>
      <c r="J163" s="17">
        <f>'Rolling LTM'!G163</f>
        <v>3.96349266714334</v>
      </c>
      <c r="K163" s="17">
        <f>'Rolling LTM'!H163</f>
        <v>4.09389543537555</v>
      </c>
      <c r="L163" s="17">
        <f t="shared" si="46"/>
        <v>6.08255066899814</v>
      </c>
      <c r="M163" s="17">
        <f>'Rolling LTM'!J163</f>
        <v>5.94974874316893</v>
      </c>
      <c r="N163" s="17">
        <f>'Rolling LTM'!K163</f>
        <v>5.52655827557894</v>
      </c>
      <c r="O163" s="17">
        <f>'Rolling LTM'!L163</f>
        <v>4.02276879268719</v>
      </c>
      <c r="P163" s="17">
        <f t="shared" si="49"/>
        <v>3.71776434441218</v>
      </c>
      <c r="Q163" s="17">
        <f>'Rolling LTM'!N163</f>
        <v>3.61611793375311</v>
      </c>
      <c r="R163" s="17">
        <f>'Rolling LTM'!O163</f>
        <v>3.53013222438425</v>
      </c>
      <c r="S163" s="18">
        <f t="shared" si="50"/>
        <v>-0.0859857093688601</v>
      </c>
      <c r="T163" s="18">
        <f t="shared" si="51"/>
        <v>-1.99642605119469</v>
      </c>
    </row>
    <row customHeight="1" ht="15">
      <c r="A164" s="9" t="s">
        <v>165</v>
      </c>
      <c r="B164" s="15">
        <f t="shared" si="54" ref="B164:F164">IF(B176&lt;=0,"NM",B162/B176)</f>
        <v>5.83960579618945</v>
      </c>
      <c r="C164" s="15">
        <f t="shared" si="54"/>
        <v>3.68244638231239</v>
      </c>
      <c r="D164" s="15">
        <f t="shared" si="54"/>
        <v>6.08255066899814</v>
      </c>
      <c r="E164" s="15">
        <f t="shared" si="54"/>
        <v>3.71776434441218</v>
      </c>
      <c r="F164" s="16">
        <f t="shared" si="54"/>
        <v>3.5236786761696</v>
      </c>
      <c r="H164" s="15">
        <f t="shared" si="48"/>
        <v>3.68244638231239</v>
      </c>
      <c r="J164" s="15">
        <f>'Rolling LTM'!G164</f>
        <v>3.96650757999047</v>
      </c>
      <c r="K164" s="15">
        <f>'Rolling LTM'!H164</f>
        <v>4.09565325340182</v>
      </c>
      <c r="L164" s="15">
        <f t="shared" si="46"/>
        <v>6.08255066899814</v>
      </c>
      <c r="M164" s="15">
        <f>'Rolling LTM'!J164</f>
        <v>5.95140193948756</v>
      </c>
      <c r="N164" s="15">
        <f>'Rolling LTM'!K164</f>
        <v>5.52301032908424</v>
      </c>
      <c r="O164" s="15">
        <f>'Rolling LTM'!L164</f>
        <v>4.01122285376257</v>
      </c>
      <c r="P164" s="15">
        <f t="shared" si="49"/>
        <v>3.71776434441218</v>
      </c>
      <c r="Q164" s="15">
        <f>'Rolling LTM'!N164</f>
        <v>3.61141426676508</v>
      </c>
      <c r="R164" s="15">
        <f>'Rolling LTM'!O164</f>
        <v>3.5236786761696</v>
      </c>
      <c r="S164" s="16">
        <f t="shared" si="50"/>
        <v>-0.08773559059548</v>
      </c>
      <c r="T164" s="16">
        <f t="shared" si="51"/>
        <v>-1.99933165291464</v>
      </c>
    </row>
    <row customHeight="1" ht="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customHeight="1" ht="15">
      <c r="A166" s="2" t="s">
        <v>166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customHeight="1" ht="15">
      <c r="A167" s="9" t="s">
        <v>167</v>
      </c>
      <c r="B167" s="11">
        <f t="shared" si="55" ref="B167:R167">B13+B222+B223</f>
        <v>70.608044</v>
      </c>
      <c r="C167" s="11">
        <f t="shared" si="55"/>
        <v>114.335964</v>
      </c>
      <c r="D167" s="11">
        <f t="shared" si="55"/>
        <v>79.509713</v>
      </c>
      <c r="E167" s="11">
        <f t="shared" si="55"/>
        <v>138.62994</v>
      </c>
      <c r="F167" s="10">
        <f t="shared" si="55"/>
        <v>158.753547</v>
      </c>
      <c r="G167" s="11">
        <f t="shared" si="55"/>
        <v>22.197824</v>
      </c>
      <c r="H167" s="11">
        <f t="shared" si="55"/>
        <v>37.943747</v>
      </c>
      <c r="I167" s="11">
        <f t="shared" si="55"/>
        <v>26.263439</v>
      </c>
      <c r="J167" s="11">
        <f t="shared" si="55"/>
        <v>21.848913</v>
      </c>
      <c r="K167" s="11">
        <f t="shared" si="55"/>
        <v>16.355152</v>
      </c>
      <c r="L167" s="11">
        <f t="shared" si="55"/>
        <v>15.042209</v>
      </c>
      <c r="M167" s="11">
        <f t="shared" si="55"/>
        <v>29.033877</v>
      </c>
      <c r="N167" s="11">
        <f t="shared" si="55"/>
        <v>29.450335</v>
      </c>
      <c r="O167" s="11">
        <f t="shared" si="55"/>
        <v>45.604459</v>
      </c>
      <c r="P167" s="11">
        <f t="shared" si="55"/>
        <v>34.613311</v>
      </c>
      <c r="Q167" s="11">
        <f t="shared" si="55"/>
        <v>38.146882</v>
      </c>
      <c r="R167" s="11">
        <f t="shared" si="55"/>
        <v>39.890115</v>
      </c>
      <c r="S167" s="12">
        <f t="shared" si="2"/>
        <v>0.0456979157562603</v>
      </c>
      <c r="T167" s="12">
        <f t="shared" si="3"/>
        <v>0.354487648442709</v>
      </c>
    </row>
    <row customHeight="1" ht="15">
      <c r="A168" s="9" t="s">
        <v>168</v>
      </c>
      <c r="B168" s="0">
        <v>-61.29357</v>
      </c>
      <c r="C168" s="0">
        <v>-104.033368</v>
      </c>
      <c r="D168" s="0">
        <v>-97.036347</v>
      </c>
      <c r="E168" s="0">
        <v>36.387585</v>
      </c>
      <c r="F168" s="10">
        <f>E168+'Quarterly YTD'!O168-'Quarterly YTD'!K168</f>
        <v>44.361632</v>
      </c>
      <c r="G168" s="0">
        <v>-6.434</v>
      </c>
      <c r="H168" s="11">
        <f>C168-'Quarterly YTD'!D168</f>
        <v>-33.322611</v>
      </c>
      <c r="I168" s="0">
        <v>-14.364613</v>
      </c>
      <c r="J168" s="0">
        <v>-22.049789</v>
      </c>
      <c r="K168" s="0">
        <v>-25.779976</v>
      </c>
      <c r="L168" s="11">
        <f>D168-'Quarterly YTD'!H168</f>
        <v>-35.023871</v>
      </c>
      <c r="M168" s="0">
        <v>-10.274124</v>
      </c>
      <c r="N168" s="0">
        <v>-11.758368</v>
      </c>
      <c r="O168" s="0">
        <v>26.547532</v>
      </c>
      <c r="P168" s="11">
        <f>E168-'Quarterly YTD'!L168</f>
        <v>31.872545</v>
      </c>
      <c r="Q168" s="0">
        <v>-11.421043</v>
      </c>
      <c r="R168" s="0">
        <v>-2.637402</v>
      </c>
      <c r="S168" s="14"/>
      <c r="T168" s="14"/>
    </row>
    <row customHeight="1" ht="15">
      <c r="A169" s="9" t="s">
        <v>36</v>
      </c>
      <c r="B169" s="0">
        <v>55.213244</v>
      </c>
      <c r="C169" s="0">
        <v>64.737849</v>
      </c>
      <c r="D169" s="0">
        <v>74.276529</v>
      </c>
      <c r="E169" s="0">
        <v>71.039195</v>
      </c>
      <c r="F169" s="10">
        <f>E169+'Quarterly YTD'!O169-'Quarterly YTD'!K169</f>
        <v>77.784129</v>
      </c>
      <c r="G169" s="0">
        <v>13.691071</v>
      </c>
      <c r="H169" s="11">
        <f>C169-'Quarterly YTD'!D169</f>
        <v>16.487628</v>
      </c>
      <c r="I169" s="0">
        <v>15.328047</v>
      </c>
      <c r="J169" s="0">
        <v>15.410468</v>
      </c>
      <c r="K169" s="0">
        <v>15.814388</v>
      </c>
      <c r="L169" s="11">
        <f>D169-'Quarterly YTD'!H169</f>
        <v>27.905528</v>
      </c>
      <c r="M169" s="0">
        <v>17.043553</v>
      </c>
      <c r="N169" s="0">
        <v>17.184806</v>
      </c>
      <c r="O169" s="0">
        <v>17.741476</v>
      </c>
      <c r="P169" s="11">
        <f>E169-'Quarterly YTD'!L169</f>
        <v>19.06936</v>
      </c>
      <c r="Q169" s="0">
        <v>20.252271</v>
      </c>
      <c r="R169" s="0">
        <v>20.721022</v>
      </c>
      <c r="S169" s="14"/>
      <c r="T169" s="14"/>
    </row>
    <row customHeight="1" ht="15">
      <c r="A170" s="9" t="s">
        <v>34</v>
      </c>
      <c r="B170" s="0">
        <v>-1.932958</v>
      </c>
      <c r="C170" s="0">
        <v>-2.126254</v>
      </c>
      <c r="D170" s="0">
        <v>-2.33888</v>
      </c>
      <c r="E170" s="0">
        <v>-2.572767</v>
      </c>
      <c r="F170" s="10">
        <f>E170+'Quarterly YTD'!O170-'Quarterly YTD'!K170</f>
        <v>-2.701405</v>
      </c>
      <c r="G170" s="0">
        <v>-0.531564</v>
      </c>
      <c r="H170" s="11">
        <f>C170-'Quarterly YTD'!D170</f>
        <v>-0.531563</v>
      </c>
      <c r="I170" s="0">
        <v>-0.58472</v>
      </c>
      <c r="J170" s="0">
        <v>-0.58472</v>
      </c>
      <c r="K170" s="0">
        <v>-0.58472</v>
      </c>
      <c r="L170" s="11">
        <f>D170-'Quarterly YTD'!H170</f>
        <v>-0.58472</v>
      </c>
      <c r="M170" s="0">
        <v>-0.643189</v>
      </c>
      <c r="N170" s="0">
        <v>-0.643195</v>
      </c>
      <c r="O170" s="0">
        <v>-0.643192</v>
      </c>
      <c r="P170" s="11">
        <f>E170-'Quarterly YTD'!L170</f>
        <v>-0.643191</v>
      </c>
      <c r="Q170" s="0">
        <v>-0.707511</v>
      </c>
      <c r="R170" s="0">
        <v>-0.707511</v>
      </c>
      <c r="S170" s="14"/>
      <c r="T170" s="14"/>
    </row>
    <row customHeight="1" ht="15">
      <c r="A171" s="9" t="s">
        <v>35</v>
      </c>
      <c r="B171" s="0">
        <v>-0.187722</v>
      </c>
      <c r="C171" s="0">
        <v>-0.156096</v>
      </c>
      <c r="D171" s="0">
        <v>-0.329062</v>
      </c>
      <c r="E171" s="0">
        <v>-0.269998</v>
      </c>
      <c r="F171" s="10">
        <f>E171+'Quarterly YTD'!O171-'Quarterly YTD'!K171</f>
        <v>-0.501385</v>
      </c>
      <c r="G171" s="0">
        <v>-0.038724</v>
      </c>
      <c r="H171" s="11">
        <f>C171-'Quarterly YTD'!D171</f>
        <v>-0.040954</v>
      </c>
      <c r="I171" s="0">
        <v>-0.040809</v>
      </c>
      <c r="J171" s="0">
        <v>-0.038332</v>
      </c>
      <c r="K171" s="0">
        <v>-0.037117</v>
      </c>
      <c r="L171" s="11">
        <f>D171-'Quarterly YTD'!H171</f>
        <v>-0.212804</v>
      </c>
      <c r="M171" s="0">
        <v>-0.109547</v>
      </c>
      <c r="N171" s="0">
        <v>-0.047734</v>
      </c>
      <c r="O171" s="0">
        <v>-0.072899</v>
      </c>
      <c r="P171" s="11">
        <f>E171-'Quarterly YTD'!L171</f>
        <v>-0.039818</v>
      </c>
      <c r="Q171" s="0">
        <v>-0.236924</v>
      </c>
      <c r="R171" s="0">
        <v>-0.151744</v>
      </c>
      <c r="S171" s="14"/>
      <c r="T171" s="14"/>
    </row>
    <row customHeight="1" ht="15">
      <c r="A172" s="9" t="s">
        <v>169</v>
      </c>
      <c r="B172" s="0">
        <v>42.745142</v>
      </c>
      <c r="C172" s="0">
        <v>47.380285</v>
      </c>
      <c r="D172" s="0">
        <v>48.614609</v>
      </c>
      <c r="E172" s="0">
        <v>50.741037</v>
      </c>
      <c r="F172" s="10">
        <f>E172+'Quarterly YTD'!O172-'Quarterly YTD'!K172</f>
        <v>56.226568</v>
      </c>
      <c r="G172" s="0">
        <v>10.386751</v>
      </c>
      <c r="H172" s="11">
        <f>C172-'Quarterly YTD'!D172</f>
        <v>11.997254</v>
      </c>
      <c r="I172" s="0">
        <v>12.244525</v>
      </c>
      <c r="J172" s="0">
        <v>13.211034</v>
      </c>
      <c r="K172" s="0">
        <v>10.236228</v>
      </c>
      <c r="L172" s="11">
        <f>D172-'Quarterly YTD'!H172</f>
        <v>12.922822</v>
      </c>
      <c r="M172" s="0">
        <v>12.306473</v>
      </c>
      <c r="N172" s="0">
        <v>11.951909</v>
      </c>
      <c r="O172" s="0">
        <v>13.17701</v>
      </c>
      <c r="P172" s="11">
        <f>E172-'Quarterly YTD'!L172</f>
        <v>13.305645</v>
      </c>
      <c r="Q172" s="0">
        <v>15.027019</v>
      </c>
      <c r="R172" s="0">
        <v>14.716894</v>
      </c>
      <c r="S172" s="14"/>
      <c r="T172" s="14"/>
    </row>
    <row customHeight="1" ht="15">
      <c r="A173" s="9" t="s">
        <v>25</v>
      </c>
      <c r="B173" s="0">
        <v>11.955373</v>
      </c>
      <c r="C173" s="0">
        <v>15.925177</v>
      </c>
      <c r="D173" s="0">
        <v>20.609792</v>
      </c>
      <c r="E173" s="0">
        <v>19.385894</v>
      </c>
      <c r="F173" s="10">
        <f>E173+'Quarterly YTD'!O173-'Quarterly YTD'!K173</f>
        <v>18.961141</v>
      </c>
      <c r="G173" s="0">
        <v>4.173107</v>
      </c>
      <c r="H173" s="11">
        <f>C173-'Quarterly YTD'!D173</f>
        <v>4.928568</v>
      </c>
      <c r="I173" s="0">
        <v>5.009905</v>
      </c>
      <c r="J173" s="0">
        <v>5.304571</v>
      </c>
      <c r="K173" s="0">
        <v>5.122623</v>
      </c>
      <c r="L173" s="11">
        <f>D173-'Quarterly YTD'!H173</f>
        <v>5.172693</v>
      </c>
      <c r="M173" s="0">
        <v>4.898694</v>
      </c>
      <c r="N173" s="0">
        <v>5.10543</v>
      </c>
      <c r="O173" s="0">
        <v>5.168262</v>
      </c>
      <c r="P173" s="11">
        <f>E173-'Quarterly YTD'!L173</f>
        <v>4.213508</v>
      </c>
      <c r="Q173" s="0">
        <v>4.784049</v>
      </c>
      <c r="R173" s="0">
        <v>4.795322</v>
      </c>
      <c r="S173" s="14"/>
      <c r="T173" s="14"/>
    </row>
    <row customHeight="1" ht="15">
      <c r="A174" s="9" t="s">
        <v>37</v>
      </c>
      <c r="B174" s="0">
        <v>24.108535</v>
      </c>
      <c r="C174" s="0">
        <v>114.151736</v>
      </c>
      <c r="D174" s="0">
        <v>39.271284</v>
      </c>
      <c r="E174" s="0">
        <v>-37.680522</v>
      </c>
      <c r="F174" s="10">
        <f>E174+'Quarterly YTD'!O174-'Quarterly YTD'!K174</f>
        <v>-33.66656</v>
      </c>
      <c r="G174" s="0">
        <v>-2.115323</v>
      </c>
      <c r="H174" s="11">
        <f>C174-'Quarterly YTD'!D174</f>
        <v>30.669429</v>
      </c>
      <c r="I174" s="0">
        <v>12.388792</v>
      </c>
      <c r="J174" s="0">
        <v>10.767847</v>
      </c>
      <c r="K174" s="0">
        <v>10.3553</v>
      </c>
      <c r="L174" s="11">
        <f>D174-'Quarterly YTD'!H174</f>
        <v>5.759345</v>
      </c>
      <c r="M174" s="0">
        <v>5.577573</v>
      </c>
      <c r="N174" s="0">
        <v>7.600561</v>
      </c>
      <c r="O174" s="0">
        <v>-15.383757</v>
      </c>
      <c r="P174" s="11">
        <f>E174-'Quarterly YTD'!L174</f>
        <v>-35.474899</v>
      </c>
      <c r="Q174" s="0">
        <v>13.410153</v>
      </c>
      <c r="R174" s="0">
        <v>3.781943</v>
      </c>
      <c r="S174" s="14"/>
      <c r="T174" s="14"/>
    </row>
    <row customHeight="1" ht="15">
      <c r="A175" s="9" t="s">
        <v>170</v>
      </c>
      <c r="B175" s="0">
        <v>0</v>
      </c>
      <c r="C175" s="0">
        <v>-21.543365</v>
      </c>
      <c r="D175" s="0">
        <v>-3.558212</v>
      </c>
      <c r="E175" s="0">
        <v>1.599516</v>
      </c>
      <c r="F175" s="10">
        <f>E175+'Quarterly YTD'!O175-'Quarterly YTD'!K175</f>
        <v>-1.419819</v>
      </c>
      <c r="G175" s="0">
        <v>3.066506</v>
      </c>
      <c r="H175" s="11">
        <f>C175-'Quarterly YTD'!D175</f>
        <v>7.755996</v>
      </c>
      <c r="I175" s="0">
        <v>-3.717688</v>
      </c>
      <c r="J175" s="0">
        <v>-0.254449</v>
      </c>
      <c r="K175" s="0">
        <v>1.266755</v>
      </c>
      <c r="L175" s="11">
        <f>D175-'Quarterly YTD'!H175</f>
        <v>-0.85283</v>
      </c>
      <c r="M175" s="0">
        <v>0.211588</v>
      </c>
      <c r="N175" s="0">
        <v>0.017313</v>
      </c>
      <c r="O175" s="0">
        <v>-0.6408</v>
      </c>
      <c r="P175" s="11">
        <f>E175-'Quarterly YTD'!L175</f>
        <v>2.011415</v>
      </c>
      <c r="Q175" s="0">
        <v>-2.791561</v>
      </c>
      <c r="R175" s="0">
        <v>0.001127</v>
      </c>
      <c r="S175" s="14"/>
      <c r="T175" s="14"/>
    </row>
    <row customHeight="1" ht="15">
      <c r="A176" s="4" t="s">
        <v>171</v>
      </c>
      <c r="B176" s="7">
        <f t="shared" si="56" ref="B176:R176">SUM(B168:B175)</f>
        <v>70.608044</v>
      </c>
      <c r="C176" s="7">
        <f t="shared" si="56"/>
        <v>114.335964</v>
      </c>
      <c r="D176" s="7">
        <f t="shared" si="56"/>
        <v>79.509713</v>
      </c>
      <c r="E176" s="7">
        <f t="shared" si="56"/>
        <v>138.62994</v>
      </c>
      <c r="F176" s="6">
        <f>E176+'Quarterly YTD'!O176-'Quarterly YTD'!K176</f>
        <v>159.044301</v>
      </c>
      <c r="G176" s="7">
        <f t="shared" si="56"/>
        <v>22.197824</v>
      </c>
      <c r="H176" s="7">
        <f t="shared" si="56"/>
        <v>37.943747</v>
      </c>
      <c r="I176" s="7">
        <f t="shared" si="56"/>
        <v>26.263439</v>
      </c>
      <c r="J176" s="7">
        <f t="shared" si="56"/>
        <v>21.76663</v>
      </c>
      <c r="K176" s="7">
        <f t="shared" si="56"/>
        <v>16.393481</v>
      </c>
      <c r="L176" s="7">
        <f t="shared" si="56"/>
        <v>15.086163</v>
      </c>
      <c r="M176" s="7">
        <f t="shared" si="56"/>
        <v>29.011021</v>
      </c>
      <c r="N176" s="7">
        <f t="shared" si="56"/>
        <v>29.410722</v>
      </c>
      <c r="O176" s="7">
        <f t="shared" si="56"/>
        <v>45.893632</v>
      </c>
      <c r="P176" s="7">
        <f t="shared" si="56"/>
        <v>34.314565</v>
      </c>
      <c r="Q176" s="7">
        <f t="shared" si="56"/>
        <v>38.316453</v>
      </c>
      <c r="R176" s="7">
        <f t="shared" si="56"/>
        <v>40.519651</v>
      </c>
      <c r="S176" s="8">
        <f t="shared" si="2"/>
        <v>0.0575000509572219</v>
      </c>
      <c r="T176" s="8">
        <f t="shared" si="3"/>
        <v>0.377716976822262</v>
      </c>
    </row>
    <row customHeight="1" ht="15">
      <c r="A177" s="9" t="s">
        <v>172</v>
      </c>
      <c r="B177" s="11">
        <f t="shared" si="57" ref="B177:R177">B176-B167</f>
        <v>0</v>
      </c>
      <c r="C177" s="11">
        <f t="shared" si="57"/>
        <v>0</v>
      </c>
      <c r="D177" s="11">
        <f t="shared" si="57"/>
        <v>0</v>
      </c>
      <c r="E177" s="11">
        <f t="shared" si="57"/>
        <v>0</v>
      </c>
      <c r="F177" s="10">
        <f t="shared" si="57"/>
        <v>0.290753999999993</v>
      </c>
      <c r="G177" s="11">
        <f t="shared" si="57"/>
        <v>0</v>
      </c>
      <c r="H177" s="11">
        <f t="shared" si="57"/>
        <v>0</v>
      </c>
      <c r="I177" s="11">
        <f t="shared" si="57"/>
        <v>0</v>
      </c>
      <c r="J177" s="11">
        <f t="shared" si="57"/>
        <v>-0.0822830000000003</v>
      </c>
      <c r="K177" s="11">
        <f t="shared" si="57"/>
        <v>0.0383290000000009</v>
      </c>
      <c r="L177" s="11">
        <f t="shared" si="57"/>
        <v>0.0439540000000012</v>
      </c>
      <c r="M177" s="11">
        <f t="shared" si="57"/>
        <v>-0.0228560000000009</v>
      </c>
      <c r="N177" s="11">
        <f t="shared" si="57"/>
        <v>-0.0396129999999992</v>
      </c>
      <c r="O177" s="11">
        <f t="shared" si="57"/>
        <v>0.289172999999998</v>
      </c>
      <c r="P177" s="11">
        <f t="shared" si="57"/>
        <v>-0.298746000000001</v>
      </c>
      <c r="Q177" s="11">
        <f t="shared" si="57"/>
        <v>0.169571000000005</v>
      </c>
      <c r="R177" s="11">
        <f t="shared" si="57"/>
        <v>0.629536000000002</v>
      </c>
      <c r="S177" s="12">
        <f t="shared" si="2"/>
        <v>2.71252159862231</v>
      </c>
      <c r="T177" s="12">
        <f t="shared" si="3"/>
        <v>16.8921566152529</v>
      </c>
    </row>
    <row customHeight="1" ht="15">
      <c r="A178" s="9" t="s">
        <v>173</v>
      </c>
      <c r="B178" s="19">
        <f t="shared" si="58" ref="B178:R178">IF(B177=0,0,IF(B167&lt;=0,"NM",B177/B167))</f>
        <v>0</v>
      </c>
      <c r="C178" s="19">
        <f t="shared" si="58"/>
        <v>0</v>
      </c>
      <c r="D178" s="19">
        <f t="shared" si="58"/>
        <v>0</v>
      </c>
      <c r="E178" s="19">
        <f t="shared" si="58"/>
        <v>0</v>
      </c>
      <c r="F178" s="12">
        <f t="shared" si="58"/>
        <v>0.00183148033851485</v>
      </c>
      <c r="G178" s="19">
        <f t="shared" si="58"/>
        <v>0</v>
      </c>
      <c r="H178" s="19">
        <f t="shared" si="58"/>
        <v>0</v>
      </c>
      <c r="I178" s="19">
        <f t="shared" si="58"/>
        <v>0</v>
      </c>
      <c r="J178" s="19">
        <f t="shared" si="58"/>
        <v>-0.00376599970900156</v>
      </c>
      <c r="K178" s="19">
        <f t="shared" si="58"/>
        <v>0.00234354287872108</v>
      </c>
      <c r="L178" s="19">
        <f t="shared" si="58"/>
        <v>0.00292204422900926</v>
      </c>
      <c r="M178" s="19">
        <f t="shared" si="58"/>
        <v>-0.000787218324304429</v>
      </c>
      <c r="N178" s="19">
        <f t="shared" si="58"/>
        <v>-0.00134507807805919</v>
      </c>
      <c r="O178" s="19">
        <f t="shared" si="58"/>
        <v>0.00634089311310541</v>
      </c>
      <c r="P178" s="19">
        <f t="shared" si="58"/>
        <v>-0.0086309570326861</v>
      </c>
      <c r="Q178" s="19">
        <f t="shared" si="58"/>
        <v>0.00444521258644429</v>
      </c>
      <c r="R178" s="19">
        <f t="shared" si="58"/>
        <v>0.0157817544521995</v>
      </c>
      <c r="S178" s="14"/>
      <c r="T178" s="14"/>
    </row>
    <row customHeight="1" ht="15">
      <c r="A179" s="9" t="s">
        <v>174</v>
      </c>
      <c r="B179" s="19">
        <f t="shared" si="59" ref="B179:R179">IF(OR(B176=0,B176="NM",B167="NM"),"NM",B167/B176)</f>
        <v>1</v>
      </c>
      <c r="C179" s="19">
        <f t="shared" si="59"/>
        <v>1</v>
      </c>
      <c r="D179" s="19">
        <f t="shared" si="59"/>
        <v>1</v>
      </c>
      <c r="E179" s="19">
        <f t="shared" si="59"/>
        <v>1</v>
      </c>
      <c r="F179" s="12">
        <f t="shared" si="59"/>
        <v>0.998171867849575</v>
      </c>
      <c r="G179" s="19">
        <f t="shared" si="59"/>
        <v>1</v>
      </c>
      <c r="H179" s="19">
        <f t="shared" si="59"/>
        <v>1</v>
      </c>
      <c r="I179" s="19">
        <f t="shared" si="59"/>
        <v>1</v>
      </c>
      <c r="J179" s="19">
        <f t="shared" si="59"/>
        <v>1.00378023607697</v>
      </c>
      <c r="K179" s="19">
        <f t="shared" si="59"/>
        <v>0.997661936473407</v>
      </c>
      <c r="L179" s="19">
        <f t="shared" si="59"/>
        <v>0.997086469236744</v>
      </c>
      <c r="M179" s="19">
        <f t="shared" si="59"/>
        <v>1.00078783852523</v>
      </c>
      <c r="N179" s="19">
        <f t="shared" si="59"/>
        <v>1.00134688974994</v>
      </c>
      <c r="O179" s="19">
        <f t="shared" si="59"/>
        <v>0.99369906047096</v>
      </c>
      <c r="P179" s="19">
        <f t="shared" si="59"/>
        <v>1.00870609899907</v>
      </c>
      <c r="Q179" s="19">
        <f t="shared" si="59"/>
        <v>0.995574459880198</v>
      </c>
      <c r="R179" s="19">
        <f t="shared" si="59"/>
        <v>0.98446343972706</v>
      </c>
      <c r="S179" s="14"/>
      <c r="T179" s="14"/>
    </row>
    <row customHeight="1" ht="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customHeight="1" ht="15">
      <c r="A181" s="2" t="s">
        <v>175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customHeight="1" ht="15">
      <c r="A182" s="9" t="s">
        <v>176</v>
      </c>
      <c r="B182" s="0">
        <v>98.015201</v>
      </c>
      <c r="C182" s="0">
        <v>89.311099</v>
      </c>
      <c r="D182" s="0">
        <v>100.898089</v>
      </c>
      <c r="E182" s="0">
        <v>111.011911</v>
      </c>
      <c r="F182" s="10">
        <f>E182+'Quarterly YTD'!O182-'Quarterly YTD'!K182</f>
        <v>112.068061</v>
      </c>
      <c r="G182" s="0">
        <v>22.256172</v>
      </c>
      <c r="H182" s="11">
        <f>C182-'Quarterly YTD'!D182</f>
        <v>23.475679</v>
      </c>
      <c r="I182" s="0">
        <v>23.249039</v>
      </c>
      <c r="J182" s="0">
        <v>24.445742</v>
      </c>
      <c r="K182" s="0">
        <v>26.366012</v>
      </c>
      <c r="L182" s="11">
        <f>D182-'Quarterly YTD'!H182</f>
        <v>26.837296</v>
      </c>
      <c r="M182" s="0">
        <v>25.434015</v>
      </c>
      <c r="N182" s="0">
        <v>27.519459</v>
      </c>
      <c r="O182" s="0">
        <v>29.588721</v>
      </c>
      <c r="P182" s="11">
        <f>E182-'Quarterly YTD'!L182</f>
        <v>28.469716</v>
      </c>
      <c r="Q182" s="0">
        <v>27.037988</v>
      </c>
      <c r="R182" s="0">
        <v>26.971636</v>
      </c>
      <c r="S182" s="12">
        <f t="shared" si="2"/>
        <v>-0.00245402875391465</v>
      </c>
      <c r="T182" s="12">
        <f t="shared" si="3"/>
        <v>-0.0199067503470908</v>
      </c>
    </row>
    <row customHeight="1" ht="15">
      <c r="A183" s="9" t="s">
        <v>177</v>
      </c>
      <c r="B183" s="0">
        <v>82.621126</v>
      </c>
      <c r="C183" s="0">
        <v>95.859657</v>
      </c>
      <c r="D183" s="0">
        <v>101.778751</v>
      </c>
      <c r="E183" s="0">
        <v>114.787009</v>
      </c>
      <c r="F183" s="10">
        <f>E183+'Quarterly YTD'!O183-'Quarterly YTD'!K183</f>
        <v>122.189745</v>
      </c>
      <c r="G183" s="0">
        <v>12.031239</v>
      </c>
      <c r="H183" s="11">
        <f>C183-'Quarterly YTD'!D183</f>
        <v>22.714968</v>
      </c>
      <c r="I183" s="0">
        <v>23.866753</v>
      </c>
      <c r="J183" s="0">
        <v>25.841123</v>
      </c>
      <c r="K183" s="0">
        <v>24.827646</v>
      </c>
      <c r="L183" s="11">
        <f>D183-'Quarterly YTD'!H183</f>
        <v>27.243229</v>
      </c>
      <c r="M183" s="0">
        <v>27.930915</v>
      </c>
      <c r="N183" s="0">
        <v>28.973204</v>
      </c>
      <c r="O183" s="0">
        <v>27.845127</v>
      </c>
      <c r="P183" s="11">
        <f>E183-'Quarterly YTD'!L183</f>
        <v>30.037763</v>
      </c>
      <c r="Q183" s="0">
        <v>32.122471</v>
      </c>
      <c r="R183" s="0">
        <v>32.184384</v>
      </c>
      <c r="S183" s="12">
        <f t="shared" si="2"/>
        <v>0.00192740465078178</v>
      </c>
      <c r="T183" s="12">
        <f t="shared" si="3"/>
        <v>0.110832754292553</v>
      </c>
    </row>
    <row customHeight="1" ht="15">
      <c r="A184" s="9" t="s">
        <v>178</v>
      </c>
      <c r="B184" s="0">
        <v>88.298047</v>
      </c>
      <c r="C184" s="0">
        <v>87.951983</v>
      </c>
      <c r="D184" s="0">
        <v>77.48074</v>
      </c>
      <c r="E184" s="0">
        <v>69.958371</v>
      </c>
      <c r="F184" s="10">
        <f>E184+'Quarterly YTD'!O184-'Quarterly YTD'!K184</f>
        <v>71.201757</v>
      </c>
      <c r="G184" s="0">
        <v>21.262895</v>
      </c>
      <c r="H184" s="11">
        <f>C184-'Quarterly YTD'!D184</f>
        <v>20.736174</v>
      </c>
      <c r="I184" s="0">
        <v>21.245942</v>
      </c>
      <c r="J184" s="0">
        <v>19.819169</v>
      </c>
      <c r="K184" s="0">
        <v>18.156052</v>
      </c>
      <c r="L184" s="11">
        <f>D184-'Quarterly YTD'!H184</f>
        <v>18.259577</v>
      </c>
      <c r="M184" s="0">
        <v>18.621825</v>
      </c>
      <c r="N184" s="0">
        <v>18.006748</v>
      </c>
      <c r="O184" s="0">
        <v>17.590826</v>
      </c>
      <c r="P184" s="11">
        <f>E184-'Quarterly YTD'!L184</f>
        <v>15.738972</v>
      </c>
      <c r="Q184" s="0">
        <v>18.42624</v>
      </c>
      <c r="R184" s="0">
        <v>19.445719</v>
      </c>
      <c r="S184" s="12">
        <f t="shared" si="2"/>
        <v>0.0553275654718488</v>
      </c>
      <c r="T184" s="12">
        <f t="shared" si="3"/>
        <v>0.07991287488446</v>
      </c>
    </row>
    <row customHeight="1" ht="15">
      <c r="A185" s="9" t="s">
        <v>179</v>
      </c>
      <c r="B185" s="0">
        <v>39.174387</v>
      </c>
      <c r="C185" s="0">
        <v>83.074342</v>
      </c>
      <c r="D185" s="0">
        <v>75.836102</v>
      </c>
      <c r="E185" s="0">
        <v>112.891481</v>
      </c>
      <c r="F185" s="10">
        <f>E185+'Quarterly YTD'!O185-'Quarterly YTD'!K185</f>
        <v>140.135814</v>
      </c>
      <c r="G185" s="0">
        <v>15.664704</v>
      </c>
      <c r="H185" s="11">
        <f>C185-'Quarterly YTD'!D185</f>
        <v>25.179244</v>
      </c>
      <c r="I185" s="0">
        <v>17.442814</v>
      </c>
      <c r="J185" s="0">
        <v>18.689832</v>
      </c>
      <c r="K185" s="0">
        <v>18.707048</v>
      </c>
      <c r="L185" s="11">
        <f>D185-'Quarterly YTD'!H185</f>
        <v>20.996408</v>
      </c>
      <c r="M185" s="0">
        <v>21.511558</v>
      </c>
      <c r="N185" s="0">
        <v>25.810364</v>
      </c>
      <c r="O185" s="0">
        <v>31.731408</v>
      </c>
      <c r="P185" s="11">
        <f>E185-'Quarterly YTD'!L185</f>
        <v>33.838151</v>
      </c>
      <c r="Q185" s="0">
        <v>36.754831</v>
      </c>
      <c r="R185" s="0">
        <v>37.811424</v>
      </c>
      <c r="S185" s="12">
        <f t="shared" si="2"/>
        <v>0.0287470509658989</v>
      </c>
      <c r="T185" s="12">
        <f t="shared" si="3"/>
        <v>0.464970583134744</v>
      </c>
    </row>
    <row customHeight="1" ht="15">
      <c r="A186" s="9" t="s">
        <v>180</v>
      </c>
      <c r="B186" s="0">
        <v>0</v>
      </c>
      <c r="C186" s="0">
        <v>0</v>
      </c>
      <c r="D186" s="0">
        <v>0</v>
      </c>
      <c r="E186" s="0">
        <v>0</v>
      </c>
      <c r="F186" s="10">
        <f>E186+'Quarterly YTD'!O186-'Quarterly YTD'!K186</f>
        <v>0.076394</v>
      </c>
      <c r="G186" s="0">
        <v>-0.041509</v>
      </c>
      <c r="H186" s="11">
        <f>C186-'Quarterly YTD'!D186</f>
        <v>0</v>
      </c>
      <c r="I186" s="0">
        <v>0</v>
      </c>
      <c r="J186" s="0">
        <v>0</v>
      </c>
      <c r="K186" s="0">
        <v>0</v>
      </c>
      <c r="L186" s="11">
        <f>D186-'Quarterly YTD'!H186</f>
        <v>0</v>
      </c>
      <c r="M186" s="0">
        <v>0</v>
      </c>
      <c r="N186" s="0">
        <v>0</v>
      </c>
      <c r="O186" s="0">
        <v>0</v>
      </c>
      <c r="P186" s="11">
        <f>E186-'Quarterly YTD'!L186</f>
        <v>0</v>
      </c>
      <c r="Q186" s="0">
        <v>0</v>
      </c>
      <c r="R186" s="0">
        <v>0.076394</v>
      </c>
      <c r="S186" s="12" t="str">
        <f t="shared" si="2"/>
        <v>NM</v>
      </c>
      <c r="T186" s="12" t="str">
        <f t="shared" si="3"/>
        <v>NM</v>
      </c>
    </row>
    <row customHeight="1" ht="15">
      <c r="A187" s="4" t="s">
        <v>181</v>
      </c>
      <c r="B187" s="7">
        <f t="shared" si="33"/>
        <v>308.108761</v>
      </c>
      <c r="C187" s="7">
        <f t="shared" si="33"/>
        <v>356.197081</v>
      </c>
      <c r="D187" s="7">
        <f t="shared" si="33"/>
        <v>355.993682</v>
      </c>
      <c r="E187" s="7">
        <f t="shared" si="33"/>
        <v>408.648772</v>
      </c>
      <c r="F187" s="6">
        <f t="shared" si="33"/>
        <v>445.671771</v>
      </c>
      <c r="G187" s="7">
        <f t="shared" si="33"/>
        <v>71.173501</v>
      </c>
      <c r="H187" s="7">
        <f t="shared" si="33"/>
        <v>92.106065</v>
      </c>
      <c r="I187" s="7">
        <f t="shared" si="33"/>
        <v>85.804548</v>
      </c>
      <c r="J187" s="7">
        <f t="shared" si="33"/>
        <v>88.795866</v>
      </c>
      <c r="K187" s="7">
        <f t="shared" si="33"/>
        <v>88.056758</v>
      </c>
      <c r="L187" s="7">
        <f t="shared" si="33"/>
        <v>93.33651</v>
      </c>
      <c r="M187" s="7">
        <f t="shared" si="33"/>
        <v>93.498313</v>
      </c>
      <c r="N187" s="7">
        <f t="shared" si="33"/>
        <v>100.309775</v>
      </c>
      <c r="O187" s="7">
        <f t="shared" si="33"/>
        <v>106.756082</v>
      </c>
      <c r="P187" s="7">
        <f t="shared" si="33"/>
        <v>108.084602</v>
      </c>
      <c r="Q187" s="7">
        <f t="shared" si="33"/>
        <v>114.34153</v>
      </c>
      <c r="R187" s="7">
        <f t="shared" si="33"/>
        <v>116.489557</v>
      </c>
      <c r="S187" s="8">
        <f t="shared" si="2"/>
        <v>0.0187860613724515</v>
      </c>
      <c r="T187" s="8">
        <f t="shared" si="3"/>
        <v>0.161298158629107</v>
      </c>
    </row>
    <row customHeight="1" ht="15">
      <c r="A188" s="9" t="s">
        <v>176</v>
      </c>
      <c r="B188" s="0">
        <v>31.279321</v>
      </c>
      <c r="C188" s="0">
        <v>22.263972</v>
      </c>
      <c r="D188" s="0">
        <v>25.767847</v>
      </c>
      <c r="E188" s="0">
        <v>43.01146</v>
      </c>
      <c r="F188" s="10">
        <f>E188+'Quarterly YTD'!O188-'Quarterly YTD'!K188</f>
        <v>44.164154</v>
      </c>
      <c r="G188" s="0">
        <v>4.758713</v>
      </c>
      <c r="H188" s="11">
        <f>C188-'Quarterly YTD'!D188</f>
        <v>6.441225</v>
      </c>
      <c r="I188" s="0">
        <v>7.216858</v>
      </c>
      <c r="J188" s="0">
        <v>6.139762</v>
      </c>
      <c r="K188" s="0">
        <v>2.940715</v>
      </c>
      <c r="L188" s="11">
        <f>D188-'Quarterly YTD'!H188</f>
        <v>9.470512</v>
      </c>
      <c r="M188" s="0">
        <v>8.67676</v>
      </c>
      <c r="N188" s="0">
        <v>8.59509</v>
      </c>
      <c r="O188" s="0">
        <v>12.671793</v>
      </c>
      <c r="P188" s="11">
        <f>E188-'Quarterly YTD'!L188</f>
        <v>13.289337</v>
      </c>
      <c r="Q188" s="0">
        <v>8.779521</v>
      </c>
      <c r="R188" s="0">
        <v>9.645023</v>
      </c>
      <c r="S188" s="12">
        <f t="shared" si="2"/>
        <v>0.0985819158015568</v>
      </c>
      <c r="T188" s="12">
        <f t="shared" si="3"/>
        <v>0.122154974526154</v>
      </c>
    </row>
    <row customHeight="1" ht="15">
      <c r="A189" s="9" t="s">
        <v>177</v>
      </c>
      <c r="B189" s="0">
        <v>25.506025</v>
      </c>
      <c r="C189" s="0">
        <v>35.844187</v>
      </c>
      <c r="D189" s="0">
        <v>36.87485</v>
      </c>
      <c r="E189" s="0">
        <v>51.119945</v>
      </c>
      <c r="F189" s="10">
        <f>E189+'Quarterly YTD'!O189-'Quarterly YTD'!K189</f>
        <v>55.210797</v>
      </c>
      <c r="G189" s="0">
        <v>5.193038</v>
      </c>
      <c r="H189" s="11">
        <f>C189-'Quarterly YTD'!D189</f>
        <v>9.524303</v>
      </c>
      <c r="I189" s="0">
        <v>8.867834</v>
      </c>
      <c r="J189" s="0">
        <v>9.424114</v>
      </c>
      <c r="K189" s="0">
        <v>9.728908</v>
      </c>
      <c r="L189" s="11">
        <f>D189-'Quarterly YTD'!H189</f>
        <v>8.853994</v>
      </c>
      <c r="M189" s="0">
        <v>12.124749</v>
      </c>
      <c r="N189" s="0">
        <v>12.731062</v>
      </c>
      <c r="O189" s="0">
        <v>13.360001</v>
      </c>
      <c r="P189" s="11">
        <f>E189-'Quarterly YTD'!L189</f>
        <v>12.904133</v>
      </c>
      <c r="Q189" s="0">
        <v>14.241834</v>
      </c>
      <c r="R189" s="0">
        <v>14.704829</v>
      </c>
      <c r="S189" s="12">
        <f t="shared" si="2"/>
        <v>0.0325095068514349</v>
      </c>
      <c r="T189" s="12">
        <f t="shared" si="3"/>
        <v>0.15503553434898</v>
      </c>
    </row>
    <row customHeight="1" ht="15">
      <c r="A190" s="9" t="s">
        <v>178</v>
      </c>
      <c r="B190" s="0">
        <v>53.465117</v>
      </c>
      <c r="C190" s="0">
        <v>56.703016</v>
      </c>
      <c r="D190" s="0">
        <v>43.043145</v>
      </c>
      <c r="E190" s="0">
        <v>35.655524</v>
      </c>
      <c r="F190" s="10">
        <f>E190+'Quarterly YTD'!O190-'Quarterly YTD'!K190</f>
        <v>35.924656</v>
      </c>
      <c r="G190" s="0">
        <v>13.944049</v>
      </c>
      <c r="H190" s="11">
        <f>C190-'Quarterly YTD'!D190</f>
        <v>15.12475</v>
      </c>
      <c r="I190" s="0">
        <v>13.342135</v>
      </c>
      <c r="J190" s="0">
        <v>11.123036</v>
      </c>
      <c r="K190" s="0">
        <v>10.106453</v>
      </c>
      <c r="L190" s="11">
        <f>D190-'Quarterly YTD'!H190</f>
        <v>8.471521</v>
      </c>
      <c r="M190" s="0">
        <v>10.10632</v>
      </c>
      <c r="N190" s="0">
        <v>8.12897</v>
      </c>
      <c r="O190" s="0">
        <v>10.80708</v>
      </c>
      <c r="P190" s="11">
        <f>E190-'Quarterly YTD'!L190</f>
        <v>6.613154</v>
      </c>
      <c r="Q190" s="0">
        <v>8.868839</v>
      </c>
      <c r="R190" s="0">
        <v>9.635583</v>
      </c>
      <c r="S190" s="12">
        <f t="shared" si="2"/>
        <v>0.0864537060600605</v>
      </c>
      <c r="T190" s="12">
        <f t="shared" si="3"/>
        <v>0.185338732951407</v>
      </c>
    </row>
    <row customHeight="1" ht="15">
      <c r="A191" s="9" t="s">
        <v>179</v>
      </c>
      <c r="B191" s="0">
        <v>-19.220695</v>
      </c>
      <c r="C191" s="0">
        <v>3.46258</v>
      </c>
      <c r="D191" s="0">
        <v>2.814099</v>
      </c>
      <c r="E191" s="0">
        <v>38.367739</v>
      </c>
      <c r="F191" s="10">
        <f>E191+'Quarterly YTD'!O191-'Quarterly YTD'!K191</f>
        <v>59.128915</v>
      </c>
      <c r="G191" s="0">
        <v>1.148456</v>
      </c>
      <c r="H191" s="11">
        <f>C191-'Quarterly YTD'!D191</f>
        <v>-3.366534</v>
      </c>
      <c r="I191" s="0">
        <v>2.758794</v>
      </c>
      <c r="J191" s="0">
        <v>0.139538</v>
      </c>
      <c r="K191" s="0">
        <v>1.328741</v>
      </c>
      <c r="L191" s="11">
        <f>D191-'Quarterly YTD'!H191</f>
        <v>-1.412974</v>
      </c>
      <c r="M191" s="0">
        <v>4.88134</v>
      </c>
      <c r="N191" s="0">
        <v>7.486308</v>
      </c>
      <c r="O191" s="0">
        <v>15.058937</v>
      </c>
      <c r="P191" s="11">
        <f>E191-'Quarterly YTD'!L191</f>
        <v>10.941154</v>
      </c>
      <c r="Q191" s="0">
        <v>16.33372</v>
      </c>
      <c r="R191" s="0">
        <v>16.795104</v>
      </c>
      <c r="S191" s="12">
        <f t="shared" si="2"/>
        <v>0.0282473312876674</v>
      </c>
      <c r="T191" s="12">
        <f t="shared" si="3"/>
        <v>1.24344282922904</v>
      </c>
    </row>
    <row customHeight="1" ht="15">
      <c r="A192" s="9" t="s">
        <v>180</v>
      </c>
      <c r="B192" s="0">
        <v>-20.421724</v>
      </c>
      <c r="C192" s="0">
        <v>-3.937791</v>
      </c>
      <c r="D192" s="0">
        <v>-28.990228</v>
      </c>
      <c r="E192" s="0">
        <v>-29.524728</v>
      </c>
      <c r="F192" s="10">
        <f>E192+'Quarterly YTD'!O192-'Quarterly YTD'!K192</f>
        <v>-35.384221</v>
      </c>
      <c r="G192" s="0">
        <v>-2.846432</v>
      </c>
      <c r="H192" s="11">
        <f>C192-'Quarterly YTD'!D192</f>
        <v>10.220003</v>
      </c>
      <c r="I192" s="0">
        <v>-5.922182</v>
      </c>
      <c r="J192" s="0">
        <v>-5.05982</v>
      </c>
      <c r="K192" s="0">
        <v>-7.711336</v>
      </c>
      <c r="L192" s="11">
        <f>D192-'Quarterly YTD'!H192</f>
        <v>-10.29689</v>
      </c>
      <c r="M192" s="0">
        <v>-6.778148</v>
      </c>
      <c r="N192" s="0">
        <v>-7.530708</v>
      </c>
      <c r="O192" s="0">
        <v>-6.004179</v>
      </c>
      <c r="P192" s="11">
        <f>E192-'Quarterly YTD'!L192</f>
        <v>-9.433213</v>
      </c>
      <c r="Q192" s="0">
        <v>-9.907461</v>
      </c>
      <c r="R192" s="0">
        <v>-10.260888</v>
      </c>
      <c r="S192" s="12">
        <f t="shared" si="2"/>
        <v>-0.0356728126408976</v>
      </c>
      <c r="T192" s="12">
        <f t="shared" si="3"/>
        <v>-0.362539617788925</v>
      </c>
    </row>
    <row customHeight="1" ht="15">
      <c r="A193" s="4" t="s">
        <v>182</v>
      </c>
      <c r="B193" s="7">
        <f t="shared" si="33"/>
        <v>70.608044</v>
      </c>
      <c r="C193" s="7">
        <f t="shared" si="33"/>
        <v>114.335964</v>
      </c>
      <c r="D193" s="7">
        <f t="shared" si="33"/>
        <v>79.509713</v>
      </c>
      <c r="E193" s="7">
        <f t="shared" si="33"/>
        <v>138.62994</v>
      </c>
      <c r="F193" s="6">
        <f t="shared" si="33"/>
        <v>159.044301</v>
      </c>
      <c r="G193" s="7">
        <f t="shared" si="33"/>
        <v>22.197824</v>
      </c>
      <c r="H193" s="7">
        <f t="shared" si="33"/>
        <v>37.943747</v>
      </c>
      <c r="I193" s="7">
        <f t="shared" si="33"/>
        <v>26.263439</v>
      </c>
      <c r="J193" s="7">
        <f t="shared" si="33"/>
        <v>21.76663</v>
      </c>
      <c r="K193" s="7">
        <f t="shared" si="33"/>
        <v>16.393481</v>
      </c>
      <c r="L193" s="7">
        <f t="shared" si="33"/>
        <v>15.086163</v>
      </c>
      <c r="M193" s="7">
        <f t="shared" si="33"/>
        <v>29.011021</v>
      </c>
      <c r="N193" s="7">
        <f t="shared" si="33"/>
        <v>29.410722</v>
      </c>
      <c r="O193" s="7">
        <f t="shared" si="33"/>
        <v>45.893632</v>
      </c>
      <c r="P193" s="7">
        <f t="shared" si="33"/>
        <v>34.314565</v>
      </c>
      <c r="Q193" s="7">
        <f t="shared" si="33"/>
        <v>38.316453</v>
      </c>
      <c r="R193" s="7">
        <f t="shared" si="33"/>
        <v>40.519651</v>
      </c>
      <c r="S193" s="8">
        <f t="shared" si="2"/>
        <v>0.0575000509572219</v>
      </c>
      <c r="T193" s="8">
        <f t="shared" si="3"/>
        <v>0.377716976822262</v>
      </c>
    </row>
    <row customHeight="1" ht="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customHeight="1" ht="15">
      <c r="A195" s="2" t="s">
        <v>183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customHeight="1" ht="15">
      <c r="A196" s="9" t="s">
        <v>184</v>
      </c>
      <c r="B196" s="0">
        <v>511.239</v>
      </c>
      <c r="C196" s="0">
        <v>833.577</v>
      </c>
      <c r="D196" s="0">
        <v>966.369</v>
      </c>
      <c r="E196" s="0">
        <v>1425.603</v>
      </c>
      <c r="F196" s="10">
        <f>E196+'Quarterly YTD'!O196-'Quarterly YTD'!K196</f>
        <v>1662.922</v>
      </c>
      <c r="G196" s="0">
        <v>178.262</v>
      </c>
      <c r="H196" s="11">
        <f>C196-'Quarterly YTD'!D196</f>
        <v>348.13</v>
      </c>
      <c r="I196" s="0">
        <v>227.361</v>
      </c>
      <c r="J196" s="0">
        <v>250.244</v>
      </c>
      <c r="K196" s="0">
        <v>245.543</v>
      </c>
      <c r="L196" s="11">
        <f>D196-'Quarterly YTD'!H196</f>
        <v>243.221</v>
      </c>
      <c r="M196" s="0">
        <v>274.704</v>
      </c>
      <c r="N196" s="0">
        <v>354.459</v>
      </c>
      <c r="O196" s="0">
        <v>387.271</v>
      </c>
      <c r="P196" s="11">
        <f>E196-'Quarterly YTD'!L196</f>
        <v>409.169</v>
      </c>
      <c r="Q196" s="0">
        <v>430.115</v>
      </c>
      <c r="R196" s="0">
        <v>436.367</v>
      </c>
      <c r="S196" s="12">
        <f t="shared" si="2"/>
        <v>0.0145356474431257</v>
      </c>
      <c r="T196" s="12">
        <f t="shared" si="3"/>
        <v>0.231078911806443</v>
      </c>
    </row>
    <row customHeight="1" ht="15">
      <c r="A197" s="9" t="s">
        <v>185</v>
      </c>
      <c r="B197" s="0">
        <v>334.977</v>
      </c>
      <c r="C197" s="0">
        <v>347.305</v>
      </c>
      <c r="D197" s="0">
        <v>373.537</v>
      </c>
      <c r="E197" s="0">
        <v>944.463</v>
      </c>
      <c r="F197" s="10">
        <f>E197+'Quarterly YTD'!O197-'Quarterly YTD'!K197</f>
        <v>1252.879</v>
      </c>
      <c r="G197" s="0">
        <v>59.681</v>
      </c>
      <c r="H197" s="11">
        <f>C197-'Quarterly YTD'!D197</f>
        <v>84.307</v>
      </c>
      <c r="I197" s="0">
        <v>88.068</v>
      </c>
      <c r="J197" s="0">
        <v>95.755</v>
      </c>
      <c r="K197" s="0">
        <v>91</v>
      </c>
      <c r="L197" s="11">
        <f>D197-'Quarterly YTD'!H197</f>
        <v>98.714</v>
      </c>
      <c r="M197" s="0">
        <v>97.388</v>
      </c>
      <c r="N197" s="0">
        <v>100.752</v>
      </c>
      <c r="O197" s="0">
        <v>95.137</v>
      </c>
      <c r="P197" s="11">
        <f>E197-'Quarterly YTD'!L197</f>
        <v>651.186</v>
      </c>
      <c r="Q197" s="0">
        <v>255.186</v>
      </c>
      <c r="R197" s="0">
        <v>251.37</v>
      </c>
      <c r="S197" s="12">
        <f t="shared" si="2"/>
        <v>-0.0149537984058686</v>
      </c>
      <c r="T197" s="12">
        <f t="shared" si="3"/>
        <v>1.49493806574559</v>
      </c>
    </row>
    <row customHeight="1" ht="15">
      <c r="A198" s="9" t="s">
        <v>186</v>
      </c>
      <c r="B198" s="0">
        <v>169.902</v>
      </c>
      <c r="C198" s="0">
        <v>252.857</v>
      </c>
      <c r="D198" s="0">
        <v>325.84</v>
      </c>
      <c r="E198" s="0">
        <v>384.664</v>
      </c>
      <c r="F198" s="10">
        <f>E198+'Quarterly YTD'!O198-'Quarterly YTD'!K198</f>
        <v>441.908</v>
      </c>
      <c r="G198" s="0">
        <v>38.277</v>
      </c>
      <c r="H198" s="11">
        <f>C198-'Quarterly YTD'!D198</f>
        <v>58.483</v>
      </c>
      <c r="I198" s="0">
        <v>61.783</v>
      </c>
      <c r="J198" s="0">
        <v>87.875</v>
      </c>
      <c r="K198" s="0">
        <v>66.281</v>
      </c>
      <c r="L198" s="11">
        <f>D198-'Quarterly YTD'!H198</f>
        <v>109.901</v>
      </c>
      <c r="M198" s="0">
        <v>97.593</v>
      </c>
      <c r="N198" s="0">
        <v>58.453</v>
      </c>
      <c r="O198" s="0">
        <v>121.712</v>
      </c>
      <c r="P198" s="11">
        <f>E198-'Quarterly YTD'!L198</f>
        <v>106.906</v>
      </c>
      <c r="Q198" s="0">
        <v>108.571</v>
      </c>
      <c r="R198" s="0">
        <v>104.719</v>
      </c>
      <c r="S198" s="12">
        <f t="shared" si="2"/>
        <v>-0.0354790874174503</v>
      </c>
      <c r="T198" s="12">
        <f t="shared" si="3"/>
        <v>0.791507707046687</v>
      </c>
    </row>
    <row customHeight="1" ht="15">
      <c r="A199" s="9" t="s">
        <v>187</v>
      </c>
      <c r="B199" s="0">
        <v>111.505</v>
      </c>
      <c r="C199" s="0">
        <v>80.179</v>
      </c>
      <c r="D199" s="0">
        <v>38.309</v>
      </c>
      <c r="E199" s="0">
        <v>51.239</v>
      </c>
      <c r="F199" s="10">
        <f>E199+'Quarterly YTD'!O199-'Quarterly YTD'!K199</f>
        <v>52.586</v>
      </c>
      <c r="G199" s="0">
        <v>21.559</v>
      </c>
      <c r="H199" s="11">
        <f>C199-'Quarterly YTD'!D199</f>
        <v>11.866</v>
      </c>
      <c r="I199" s="0">
        <v>8.995</v>
      </c>
      <c r="J199" s="0">
        <v>10.287</v>
      </c>
      <c r="K199" s="0">
        <v>10.178</v>
      </c>
      <c r="L199" s="11">
        <f>D199-'Quarterly YTD'!H199</f>
        <v>8.849</v>
      </c>
      <c r="M199" s="0">
        <v>5.838</v>
      </c>
      <c r="N199" s="0">
        <v>5.519</v>
      </c>
      <c r="O199" s="0">
        <v>30.638</v>
      </c>
      <c r="P199" s="11">
        <f>E199-'Quarterly YTD'!L199</f>
        <v>9.244</v>
      </c>
      <c r="Q199" s="0">
        <v>5.828</v>
      </c>
      <c r="R199" s="0">
        <v>6.876</v>
      </c>
      <c r="S199" s="12">
        <f t="shared" si="2"/>
        <v>0.179821551132464</v>
      </c>
      <c r="T199" s="12">
        <f t="shared" si="3"/>
        <v>0.245877876426889</v>
      </c>
    </row>
    <row customHeight="1" ht="15">
      <c r="A200" s="9" t="s">
        <v>188</v>
      </c>
      <c r="B200" s="0">
        <v>34.51</v>
      </c>
      <c r="C200" s="0">
        <v>33.103</v>
      </c>
      <c r="D200" s="0">
        <v>31.197</v>
      </c>
      <c r="E200" s="0">
        <v>34.298</v>
      </c>
      <c r="F200" s="10">
        <f>E200+'Quarterly YTD'!O200-'Quarterly YTD'!K200</f>
        <v>35.634</v>
      </c>
      <c r="G200" s="0">
        <v>8.698</v>
      </c>
      <c r="H200" s="11">
        <f>C200-'Quarterly YTD'!D200</f>
        <v>7.995</v>
      </c>
      <c r="I200" s="0">
        <v>7.761</v>
      </c>
      <c r="J200" s="0">
        <v>7.761</v>
      </c>
      <c r="K200" s="0">
        <v>7.673</v>
      </c>
      <c r="L200" s="11">
        <f>D200-'Quarterly YTD'!H200</f>
        <v>8.002</v>
      </c>
      <c r="M200" s="0">
        <v>8.633</v>
      </c>
      <c r="N200" s="0">
        <v>8.372</v>
      </c>
      <c r="O200" s="0">
        <v>8.582</v>
      </c>
      <c r="P200" s="11">
        <f>E200-'Quarterly YTD'!L200</f>
        <v>8.711</v>
      </c>
      <c r="Q200" s="0">
        <v>9.049</v>
      </c>
      <c r="R200" s="0">
        <v>9.292</v>
      </c>
      <c r="S200" s="12">
        <f t="shared" si="2"/>
        <v>0.0268537959995581</v>
      </c>
      <c r="T200" s="12">
        <f t="shared" si="3"/>
        <v>0.10989010989011</v>
      </c>
    </row>
    <row customHeight="1" ht="15">
      <c r="A201" s="9" t="s">
        <v>189</v>
      </c>
      <c r="B201" s="0">
        <v>1162.133</v>
      </c>
      <c r="C201" s="0">
        <v>1547.021</v>
      </c>
      <c r="D201" s="0">
        <v>1735.252</v>
      </c>
      <c r="E201" s="0">
        <v>2840.267</v>
      </c>
      <c r="F201" s="10">
        <f>E201+'Quarterly YTD'!O201-'Quarterly YTD'!K201</f>
        <v>3445.929</v>
      </c>
      <c r="G201" s="0">
        <v>306.477</v>
      </c>
      <c r="H201" s="11">
        <f>C201-'Quarterly YTD'!D201</f>
        <v>510.781</v>
      </c>
      <c r="I201" s="0">
        <v>393.968</v>
      </c>
      <c r="J201" s="0">
        <v>451.922</v>
      </c>
      <c r="K201" s="0">
        <v>420.675</v>
      </c>
      <c r="L201" s="11">
        <f>D201-'Quarterly YTD'!H201</f>
        <v>468.687</v>
      </c>
      <c r="M201" s="0">
        <v>484.156</v>
      </c>
      <c r="N201" s="0">
        <v>527.555</v>
      </c>
      <c r="O201" s="0">
        <v>643.34</v>
      </c>
      <c r="P201" s="11">
        <f>E201-'Quarterly YTD'!L201</f>
        <v>1185.216</v>
      </c>
      <c r="Q201" s="0">
        <v>808.749</v>
      </c>
      <c r="R201" s="0">
        <v>808.624</v>
      </c>
      <c r="S201" s="12">
        <f t="shared" si="2"/>
        <v>-0.000154559696518897</v>
      </c>
      <c r="T201" s="12">
        <f t="shared" si="3"/>
        <v>0.532776677313266</v>
      </c>
    </row>
    <row customHeight="1" ht="15">
      <c r="A202" s="9" t="s">
        <v>190</v>
      </c>
      <c r="B202" s="0">
        <v>114151.944</v>
      </c>
      <c r="C202" s="0">
        <v>159899.404</v>
      </c>
      <c r="D202" s="0">
        <v>179559.898</v>
      </c>
      <c r="E202" s="0">
        <v>233173.859</v>
      </c>
      <c r="F202" s="10">
        <f>E202+'Quarterly YTD'!O202-'Quarterly YTD'!K202</f>
        <v>267779.211</v>
      </c>
      <c r="G202" s="0">
        <v>34296.955</v>
      </c>
      <c r="H202" s="11">
        <f>C202-'Quarterly YTD'!D202</f>
        <v>42248.699</v>
      </c>
      <c r="I202" s="0">
        <v>40919.924</v>
      </c>
      <c r="J202" s="0">
        <v>43921.62</v>
      </c>
      <c r="K202" s="0">
        <v>45828.39</v>
      </c>
      <c r="L202" s="11">
        <f>D202-'Quarterly YTD'!H202</f>
        <v>48889.964</v>
      </c>
      <c r="M202" s="0">
        <v>51248.583</v>
      </c>
      <c r="N202" s="0">
        <v>56730.122</v>
      </c>
      <c r="O202" s="0">
        <v>62767.945</v>
      </c>
      <c r="P202" s="11">
        <f>E202-'Quarterly YTD'!L202</f>
        <v>62427.209</v>
      </c>
      <c r="Q202" s="0">
        <v>69062.406</v>
      </c>
      <c r="R202" s="0">
        <v>73521.651</v>
      </c>
      <c r="S202" s="12">
        <f t="shared" si="2"/>
        <v>0.0645683412767286</v>
      </c>
      <c r="T202" s="12">
        <f t="shared" si="3"/>
        <v>0.295989650789046</v>
      </c>
    </row>
    <row customHeight="1" ht="15">
      <c r="A203" s="9" t="s">
        <v>191</v>
      </c>
      <c r="B203" s="0">
        <v>143845.273</v>
      </c>
      <c r="C203" s="0">
        <v>150352.408</v>
      </c>
      <c r="D203" s="0">
        <v>130207.892</v>
      </c>
      <c r="E203" s="0">
        <v>129327.85</v>
      </c>
      <c r="F203" s="10">
        <f>E203+'Quarterly YTD'!O203-'Quarterly YTD'!K203</f>
        <v>133465.455</v>
      </c>
      <c r="G203" s="0">
        <v>28371.236</v>
      </c>
      <c r="H203" s="11">
        <f>C203-'Quarterly YTD'!D203</f>
        <v>38763.485</v>
      </c>
      <c r="I203" s="0">
        <v>33474.391</v>
      </c>
      <c r="J203" s="0">
        <v>33121.828</v>
      </c>
      <c r="K203" s="0">
        <v>31358.83</v>
      </c>
      <c r="L203" s="11">
        <f>D203-'Quarterly YTD'!H203</f>
        <v>32252.843</v>
      </c>
      <c r="M203" s="0">
        <v>30843.116</v>
      </c>
      <c r="N203" s="0">
        <v>32401.465</v>
      </c>
      <c r="O203" s="0">
        <v>33251.195</v>
      </c>
      <c r="P203" s="11">
        <f>E203-'Quarterly YTD'!L203</f>
        <v>32832.074</v>
      </c>
      <c r="Q203" s="0">
        <v>34743.573</v>
      </c>
      <c r="R203" s="0">
        <v>32638.613</v>
      </c>
      <c r="S203" s="12">
        <f t="shared" si="2"/>
        <v>-0.0605855937729834</v>
      </c>
      <c r="T203" s="12">
        <f t="shared" si="3"/>
        <v>0.00731905177744285</v>
      </c>
    </row>
    <row customHeight="1" ht="15">
      <c r="A204" s="9" t="s">
        <v>192</v>
      </c>
      <c r="B204" s="0">
        <v>3763.982</v>
      </c>
      <c r="C204" s="0">
        <v>2613.056</v>
      </c>
      <c r="D204" s="0">
        <v>2192.05</v>
      </c>
      <c r="E204" s="0">
        <v>2487.409</v>
      </c>
      <c r="F204" s="10">
        <f>E204+'Quarterly YTD'!O204-'Quarterly YTD'!K204</f>
        <v>2775.76</v>
      </c>
      <c r="G204" s="0">
        <v>513.221</v>
      </c>
      <c r="H204" s="11">
        <f>C204-'Quarterly YTD'!D204</f>
        <v>725.69</v>
      </c>
      <c r="I204" s="0">
        <v>556.881</v>
      </c>
      <c r="J204" s="0">
        <v>573.416</v>
      </c>
      <c r="K204" s="0">
        <v>538.901</v>
      </c>
      <c r="L204" s="11">
        <f>D204-'Quarterly YTD'!H204</f>
        <v>522.852</v>
      </c>
      <c r="M204" s="0">
        <v>517.809</v>
      </c>
      <c r="N204" s="0">
        <v>601.922</v>
      </c>
      <c r="O204" s="0">
        <v>740.499</v>
      </c>
      <c r="P204" s="11">
        <f>E204-'Quarterly YTD'!L204</f>
        <v>627.179</v>
      </c>
      <c r="Q204" s="0">
        <v>686.804</v>
      </c>
      <c r="R204" s="0">
        <v>721.278</v>
      </c>
      <c r="S204" s="12">
        <f t="shared" si="2"/>
        <v>0.0501948154058509</v>
      </c>
      <c r="T204" s="12">
        <f t="shared" si="3"/>
        <v>0.198291472981549</v>
      </c>
    </row>
    <row customHeight="1" ht="15">
      <c r="A205" s="9" t="s">
        <v>193</v>
      </c>
      <c r="B205" s="0">
        <v>10930.857</v>
      </c>
      <c r="C205" s="0">
        <v>9520.155</v>
      </c>
      <c r="D205" s="0">
        <v>10309.611</v>
      </c>
      <c r="E205" s="0">
        <v>11492.48</v>
      </c>
      <c r="F205" s="10">
        <f>E205+'Quarterly YTD'!O205-'Quarterly YTD'!K205</f>
        <v>11197.722</v>
      </c>
      <c r="G205" s="0">
        <v>1865.282</v>
      </c>
      <c r="H205" s="11">
        <f>C205-'Quarterly YTD'!D205</f>
        <v>1994.077</v>
      </c>
      <c r="I205" s="0">
        <v>2134.722</v>
      </c>
      <c r="J205" s="0">
        <v>2511.898</v>
      </c>
      <c r="K205" s="0">
        <v>2674.547</v>
      </c>
      <c r="L205" s="11">
        <f>D205-'Quarterly YTD'!H205</f>
        <v>2988.444</v>
      </c>
      <c r="M205" s="0">
        <v>3075.552</v>
      </c>
      <c r="N205" s="0">
        <v>3262.121</v>
      </c>
      <c r="O205" s="0">
        <v>2499.571</v>
      </c>
      <c r="P205" s="11">
        <f>E205-'Quarterly YTD'!L205</f>
        <v>2655.236</v>
      </c>
      <c r="Q205" s="0">
        <v>2790.588</v>
      </c>
      <c r="R205" s="0">
        <v>3252.327</v>
      </c>
      <c r="S205" s="12">
        <f t="shared" si="2"/>
        <v>0.165462977695023</v>
      </c>
      <c r="T205" s="12">
        <f t="shared" si="3"/>
        <v>-0.00300234111487585</v>
      </c>
    </row>
    <row customHeight="1" ht="15">
      <c r="A206" s="9" t="s">
        <v>194</v>
      </c>
      <c r="B206" s="0">
        <v>91.514</v>
      </c>
      <c r="C206" s="0">
        <v>79.839</v>
      </c>
      <c r="D206" s="0">
        <v>78.336</v>
      </c>
      <c r="E206" s="0">
        <v>75.105</v>
      </c>
      <c r="F206" s="10">
        <f>E206+'Quarterly YTD'!O206-'Quarterly YTD'!K206</f>
        <v>72.406</v>
      </c>
      <c r="G206" s="0">
        <v>19.755</v>
      </c>
      <c r="H206" s="11">
        <f>C206-'Quarterly YTD'!D206</f>
        <v>18.128</v>
      </c>
      <c r="I206" s="0">
        <v>16.636</v>
      </c>
      <c r="J206" s="0">
        <v>21.686</v>
      </c>
      <c r="K206" s="0">
        <v>22.347</v>
      </c>
      <c r="L206" s="11">
        <f>D206-'Quarterly YTD'!H206</f>
        <v>17.667</v>
      </c>
      <c r="M206" s="0">
        <v>17.49</v>
      </c>
      <c r="N206" s="0">
        <v>20.118</v>
      </c>
      <c r="O206" s="0">
        <v>19.536</v>
      </c>
      <c r="P206" s="11">
        <f>E206-'Quarterly YTD'!L206</f>
        <v>17.961</v>
      </c>
      <c r="Q206" s="0">
        <v>17.844</v>
      </c>
      <c r="R206" s="0">
        <v>17.065</v>
      </c>
      <c r="S206" s="12">
        <f t="shared" si="2"/>
        <v>-0.0436561309123514</v>
      </c>
      <c r="T206" s="12">
        <f t="shared" si="3"/>
        <v>-0.151754647579282</v>
      </c>
    </row>
    <row customHeight="1" ht="15">
      <c r="A207" s="9" t="s">
        <v>195</v>
      </c>
      <c r="B207" s="0">
        <v>272783.57</v>
      </c>
      <c r="C207" s="0">
        <v>322464.862</v>
      </c>
      <c r="D207" s="0">
        <v>322347.787</v>
      </c>
      <c r="E207" s="0">
        <v>376556.703</v>
      </c>
      <c r="F207" s="10">
        <f>E207+'Quarterly YTD'!O207-'Quarterly YTD'!K207</f>
        <v>415290.554</v>
      </c>
      <c r="G207" s="0">
        <v>65066.449</v>
      </c>
      <c r="H207" s="11">
        <f>C207-'Quarterly YTD'!D207</f>
        <v>83750.079</v>
      </c>
      <c r="I207" s="0">
        <v>77102.554</v>
      </c>
      <c r="J207" s="0">
        <v>80150.448</v>
      </c>
      <c r="K207" s="0">
        <v>80423.015</v>
      </c>
      <c r="L207" s="11">
        <f>D207-'Quarterly YTD'!H207</f>
        <v>84671.77</v>
      </c>
      <c r="M207" s="0">
        <v>85702.55</v>
      </c>
      <c r="N207" s="0">
        <v>93015.748</v>
      </c>
      <c r="O207" s="0">
        <v>99278.746</v>
      </c>
      <c r="P207" s="11">
        <f>E207-'Quarterly YTD'!L207</f>
        <v>98559.659</v>
      </c>
      <c r="Q207" s="0">
        <v>107301.215</v>
      </c>
      <c r="R207" s="0">
        <v>110150.934</v>
      </c>
      <c r="S207" s="12">
        <f t="shared" si="2"/>
        <v>0.0265581242486397</v>
      </c>
      <c r="T207" s="12">
        <f t="shared" si="3"/>
        <v>0.18421811756005</v>
      </c>
    </row>
    <row customHeight="1" ht="15">
      <c r="A208" s="9" t="s">
        <v>196</v>
      </c>
      <c r="B208" s="0">
        <v>23009.799</v>
      </c>
      <c r="C208" s="0">
        <v>21416.649</v>
      </c>
      <c r="D208" s="0">
        <v>17016.435</v>
      </c>
      <c r="E208" s="0">
        <v>12033.526</v>
      </c>
      <c r="F208" s="10">
        <f>E208+'Quarterly YTD'!O208-'Quarterly YTD'!K208</f>
        <v>10093.105</v>
      </c>
      <c r="G208" s="0">
        <v>3917.153</v>
      </c>
      <c r="H208" s="11">
        <f>C208-'Quarterly YTD'!D208</f>
        <v>4591.538</v>
      </c>
      <c r="I208" s="0">
        <v>4200.641</v>
      </c>
      <c r="J208" s="0">
        <v>4317.729</v>
      </c>
      <c r="K208" s="0">
        <v>4005.063</v>
      </c>
      <c r="L208" s="11">
        <f>D208-'Quarterly YTD'!H208</f>
        <v>4493.001</v>
      </c>
      <c r="M208" s="0">
        <v>3359.692</v>
      </c>
      <c r="N208" s="0">
        <v>2910.005</v>
      </c>
      <c r="O208" s="0">
        <v>2741.667</v>
      </c>
      <c r="P208" s="11">
        <f>E208-'Quarterly YTD'!L208</f>
        <v>3022.162</v>
      </c>
      <c r="Q208" s="0">
        <v>2175.327</v>
      </c>
      <c r="R208" s="0">
        <v>2153.949</v>
      </c>
      <c r="S208" s="12">
        <f t="shared" si="2"/>
        <v>-0.00982748800525168</v>
      </c>
      <c r="T208" s="12">
        <f t="shared" si="3"/>
        <v>-0.259812612005821</v>
      </c>
    </row>
    <row customHeight="1" ht="15">
      <c r="A209" s="9" t="s">
        <v>197</v>
      </c>
      <c r="B209" s="0">
        <v>3984.193</v>
      </c>
      <c r="C209" s="0">
        <v>4275.814</v>
      </c>
      <c r="D209" s="0">
        <v>4856.813</v>
      </c>
      <c r="E209" s="0">
        <v>5652.77</v>
      </c>
      <c r="F209" s="10">
        <f>E209+'Quarterly YTD'!O209-'Quarterly YTD'!K209</f>
        <v>5952.323</v>
      </c>
      <c r="G209" s="0">
        <v>900.454</v>
      </c>
      <c r="H209" s="11">
        <f>C209-'Quarterly YTD'!D209</f>
        <v>961.058</v>
      </c>
      <c r="I209" s="0">
        <v>1086.79</v>
      </c>
      <c r="J209" s="0">
        <v>1267.586</v>
      </c>
      <c r="K209" s="0">
        <v>1179.959</v>
      </c>
      <c r="L209" s="11">
        <f>D209-'Quarterly YTD'!H209</f>
        <v>1322.478</v>
      </c>
      <c r="M209" s="0">
        <v>1255.802</v>
      </c>
      <c r="N209" s="0">
        <v>1441.898</v>
      </c>
      <c r="O209" s="0">
        <v>1490.685</v>
      </c>
      <c r="P209" s="11">
        <f>E209-'Quarterly YTD'!L209</f>
        <v>1464.385</v>
      </c>
      <c r="Q209" s="0">
        <v>1573.395</v>
      </c>
      <c r="R209" s="0">
        <v>1423.858</v>
      </c>
      <c r="S209" s="12">
        <f t="shared" si="2"/>
        <v>-0.0950409782667417</v>
      </c>
      <c r="T209" s="12">
        <f t="shared" si="3"/>
        <v>-0.0125112872061686</v>
      </c>
    </row>
    <row customHeight="1" ht="15">
      <c r="A210" s="9" t="s">
        <v>198</v>
      </c>
      <c r="B210" s="0">
        <v>2351.565</v>
      </c>
      <c r="C210" s="0">
        <v>2922.069</v>
      </c>
      <c r="D210" s="0">
        <v>3559.522</v>
      </c>
      <c r="E210" s="0">
        <v>4366.628</v>
      </c>
      <c r="F210" s="10">
        <f>E210+'Quarterly YTD'!O210-'Quarterly YTD'!K210</f>
        <v>4484.41</v>
      </c>
      <c r="G210" s="0">
        <v>337.349</v>
      </c>
      <c r="H210" s="11">
        <f>C210-'Quarterly YTD'!D210</f>
        <v>1067.885</v>
      </c>
      <c r="I210" s="0">
        <v>1419.616</v>
      </c>
      <c r="J210" s="0">
        <v>662.499</v>
      </c>
      <c r="K210" s="0">
        <v>647.427</v>
      </c>
      <c r="L210" s="11">
        <f>D210-'Quarterly YTD'!H210</f>
        <v>829.981</v>
      </c>
      <c r="M210" s="0">
        <v>1352.335</v>
      </c>
      <c r="N210" s="0">
        <v>875.111</v>
      </c>
      <c r="O210" s="0">
        <v>1127.73</v>
      </c>
      <c r="P210" s="11">
        <f>E210-'Quarterly YTD'!L210</f>
        <v>1011.452</v>
      </c>
      <c r="Q210" s="0">
        <v>1325.376</v>
      </c>
      <c r="R210" s="0">
        <v>1019.852</v>
      </c>
      <c r="S210" s="12">
        <f t="shared" si="2"/>
        <v>-0.230518735815346</v>
      </c>
      <c r="T210" s="12">
        <f t="shared" si="3"/>
        <v>0.165397303884879</v>
      </c>
    </row>
    <row customHeight="1" ht="15">
      <c r="A211" s="9" t="s">
        <v>199</v>
      </c>
      <c r="B211" s="0">
        <v>2965.761</v>
      </c>
      <c r="C211" s="0">
        <v>1768.483</v>
      </c>
      <c r="D211" s="0">
        <v>3583.159</v>
      </c>
      <c r="E211" s="0">
        <v>1536.299</v>
      </c>
      <c r="F211" s="10">
        <f>E211+'Quarterly YTD'!O211-'Quarterly YTD'!K211</f>
        <v>1495.229</v>
      </c>
      <c r="G211" s="0">
        <v>236.376</v>
      </c>
      <c r="H211" s="11">
        <f>C211-'Quarterly YTD'!D211</f>
        <v>739.541</v>
      </c>
      <c r="I211" s="0">
        <v>1075.025</v>
      </c>
      <c r="J211" s="0">
        <v>1304.234</v>
      </c>
      <c r="K211" s="0">
        <v>659.979</v>
      </c>
      <c r="L211" s="11">
        <f>D211-'Quarterly YTD'!H211</f>
        <v>543.921</v>
      </c>
      <c r="M211" s="0">
        <v>469.247</v>
      </c>
      <c r="N211" s="0">
        <v>459.883</v>
      </c>
      <c r="O211" s="0">
        <v>256.026</v>
      </c>
      <c r="P211" s="11">
        <f>E211-'Quarterly YTD'!L211</f>
        <v>351.143</v>
      </c>
      <c r="Q211" s="0">
        <v>606.6</v>
      </c>
      <c r="R211" s="0">
        <v>281.46</v>
      </c>
      <c r="S211" s="12">
        <f t="shared" si="2"/>
        <v>-0.536003956478734</v>
      </c>
      <c r="T211" s="12">
        <f t="shared" si="3"/>
        <v>-0.387974767495211</v>
      </c>
    </row>
    <row customHeight="1" ht="15">
      <c r="A212" s="9" t="s">
        <v>200</v>
      </c>
      <c r="B212" s="0">
        <v>372.629</v>
      </c>
      <c r="C212" s="0">
        <v>242.617</v>
      </c>
      <c r="D212" s="0">
        <v>176.406</v>
      </c>
      <c r="E212" s="0">
        <v>104.313</v>
      </c>
      <c r="F212" s="10">
        <f>E212+'Quarterly YTD'!O212-'Quarterly YTD'!K212</f>
        <v>107.999</v>
      </c>
      <c r="G212" s="0">
        <v>37.164</v>
      </c>
      <c r="H212" s="11">
        <f>C212-'Quarterly YTD'!D212</f>
        <v>48.513</v>
      </c>
      <c r="I212" s="0">
        <v>50.883</v>
      </c>
      <c r="J212" s="0">
        <v>53.207</v>
      </c>
      <c r="K212" s="0">
        <v>49.826</v>
      </c>
      <c r="L212" s="11">
        <f>D212-'Quarterly YTD'!H212</f>
        <v>22.49</v>
      </c>
      <c r="M212" s="0">
        <v>25.698</v>
      </c>
      <c r="N212" s="0">
        <v>24.699</v>
      </c>
      <c r="O212" s="0">
        <v>24.035</v>
      </c>
      <c r="P212" s="11">
        <f>E212-'Quarterly YTD'!L212</f>
        <v>29.881</v>
      </c>
      <c r="Q212" s="0">
        <v>27.318</v>
      </c>
      <c r="R212" s="0">
        <v>26.765</v>
      </c>
      <c r="S212" s="12">
        <f t="shared" si="2"/>
        <v>-0.0202430631817849</v>
      </c>
      <c r="T212" s="12">
        <f t="shared" si="3"/>
        <v>0.0836471112190778</v>
      </c>
    </row>
    <row customHeight="1" ht="15">
      <c r="A213" s="9" t="s">
        <v>201</v>
      </c>
      <c r="B213" s="0">
        <v>1479.111</v>
      </c>
      <c r="C213" s="0">
        <v>1559.566</v>
      </c>
      <c r="D213" s="0">
        <v>2718.308</v>
      </c>
      <c r="E213" s="0">
        <v>5558.266</v>
      </c>
      <c r="F213" s="10">
        <f>E213+'Quarterly YTD'!O213-'Quarterly YTD'!K213</f>
        <v>4802.222</v>
      </c>
      <c r="G213" s="0">
        <v>372.079</v>
      </c>
      <c r="H213" s="11">
        <f>C213-'Quarterly YTD'!D213</f>
        <v>436.67</v>
      </c>
      <c r="I213" s="0">
        <v>475.071</v>
      </c>
      <c r="J213" s="0">
        <v>588.241</v>
      </c>
      <c r="K213" s="0">
        <v>670.814</v>
      </c>
      <c r="L213" s="11">
        <f>D213-'Quarterly YTD'!H213</f>
        <v>984.182</v>
      </c>
      <c r="M213" s="0">
        <v>848.833</v>
      </c>
      <c r="N213" s="0">
        <v>1054.876</v>
      </c>
      <c r="O213" s="0">
        <v>1193.853</v>
      </c>
      <c r="P213" s="11">
        <f>E213-'Quarterly YTD'!L213</f>
        <v>2460.704</v>
      </c>
      <c r="Q213" s="0">
        <v>523.55</v>
      </c>
      <c r="R213" s="0">
        <v>624.115</v>
      </c>
      <c r="S213" s="12">
        <f t="shared" si="2"/>
        <v>0.192082895616465</v>
      </c>
      <c r="T213" s="12">
        <f t="shared" si="3"/>
        <v>-0.408352261308438</v>
      </c>
    </row>
    <row customHeight="1" ht="15">
      <c r="A214" s="9" t="s">
        <v>202</v>
      </c>
      <c r="B214" s="0">
        <v>34163.058</v>
      </c>
      <c r="C214" s="0">
        <v>32185.198</v>
      </c>
      <c r="D214" s="0">
        <v>31910.643</v>
      </c>
      <c r="E214" s="0">
        <v>29251.802</v>
      </c>
      <c r="F214" s="10">
        <f>E214+'Quarterly YTD'!O214-'Quarterly YTD'!K214</f>
        <v>26935.288</v>
      </c>
      <c r="G214" s="0">
        <v>5800.575</v>
      </c>
      <c r="H214" s="11">
        <f>C214-'Quarterly YTD'!D214</f>
        <v>7845.205</v>
      </c>
      <c r="I214" s="0">
        <v>8308.026</v>
      </c>
      <c r="J214" s="0">
        <v>8193.496</v>
      </c>
      <c r="K214" s="0">
        <v>7213.068</v>
      </c>
      <c r="L214" s="11">
        <f>D214-'Quarterly YTD'!H214</f>
        <v>8196.053</v>
      </c>
      <c r="M214" s="0">
        <v>7311.607</v>
      </c>
      <c r="N214" s="0">
        <v>6766.472</v>
      </c>
      <c r="O214" s="0">
        <v>6833.996</v>
      </c>
      <c r="P214" s="11">
        <f>E214-'Quarterly YTD'!L214</f>
        <v>8339.727</v>
      </c>
      <c r="Q214" s="0">
        <v>6231.566</v>
      </c>
      <c r="R214" s="0">
        <v>5529.999</v>
      </c>
      <c r="S214" s="12">
        <f t="shared" si="2"/>
        <v>-0.112582776143268</v>
      </c>
      <c r="T214" s="12">
        <f t="shared" si="3"/>
        <v>-0.18273525701429</v>
      </c>
    </row>
    <row customHeight="1" ht="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customHeight="1" ht="15">
      <c r="A216" s="2" t="s">
        <v>203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customHeight="1" ht="15">
      <c r="A217" s="9" t="s">
        <v>204</v>
      </c>
      <c r="B217" s="19">
        <f t="shared" si="60" ref="B217:R217">IF(B3&lt;0.05,"NM",B167/B3)</f>
        <v>0.229165972985754</v>
      </c>
      <c r="C217" s="19">
        <f t="shared" si="60"/>
        <v>0.320990738270536</v>
      </c>
      <c r="D217" s="19">
        <f t="shared" si="60"/>
        <v>0.223345854210974</v>
      </c>
      <c r="E217" s="19">
        <f t="shared" si="60"/>
        <v>0.339239830139512</v>
      </c>
      <c r="F217" s="12">
        <f t="shared" si="60"/>
        <v>0.356211807276436</v>
      </c>
      <c r="G217" s="19">
        <f t="shared" si="60"/>
        <v>0.311883266779303</v>
      </c>
      <c r="H217" s="19">
        <f t="shared" si="60"/>
        <v>0.411957095333516</v>
      </c>
      <c r="I217" s="19">
        <f t="shared" si="60"/>
        <v>0.306084463028696</v>
      </c>
      <c r="J217" s="19">
        <f t="shared" si="60"/>
        <v>0.246057772554411</v>
      </c>
      <c r="K217" s="19">
        <f t="shared" si="60"/>
        <v>0.185734205658582</v>
      </c>
      <c r="L217" s="19">
        <f t="shared" si="60"/>
        <v>0.161161039768896</v>
      </c>
      <c r="M217" s="19">
        <f t="shared" si="60"/>
        <v>0.310528351458063</v>
      </c>
      <c r="N217" s="19">
        <f t="shared" si="60"/>
        <v>0.293593869590476</v>
      </c>
      <c r="O217" s="19">
        <f t="shared" si="60"/>
        <v>0.427183708371763</v>
      </c>
      <c r="P217" s="19">
        <f t="shared" si="60"/>
        <v>0.320242757613152</v>
      </c>
      <c r="Q217" s="19">
        <f t="shared" si="60"/>
        <v>0.333622280548459</v>
      </c>
      <c r="R217" s="19">
        <f t="shared" si="60"/>
        <v>0.342435116308323</v>
      </c>
      <c r="S217" s="20">
        <f t="shared" si="62" ref="S217:S244">IF(OR(Q217=0,Q217="NM",R217="NM"),"NM",10000*(R217-Q217))</f>
        <v>88.1283575986402</v>
      </c>
      <c r="T217" s="20">
        <f t="shared" si="63" ref="T217:T244">IF(OR(N217=0,N217="NM",R217="NM"),"NM",10000*(R217-N217))</f>
        <v>488.41246717847</v>
      </c>
    </row>
    <row customHeight="1" ht="15">
      <c r="A218" s="9" t="s">
        <v>205</v>
      </c>
      <c r="B218" s="19">
        <f t="shared" si="61" ref="B218:R218">IF(B3&lt;0.05,"NM",B176/B3)</f>
        <v>0.229165972985754</v>
      </c>
      <c r="C218" s="19">
        <f t="shared" si="61"/>
        <v>0.320990738270536</v>
      </c>
      <c r="D218" s="19">
        <f t="shared" si="61"/>
        <v>0.223345854210974</v>
      </c>
      <c r="E218" s="19">
        <f t="shared" si="61"/>
        <v>0.339239830139512</v>
      </c>
      <c r="F218" s="12">
        <f t="shared" si="61"/>
        <v>0.35686420219781</v>
      </c>
      <c r="G218" s="19">
        <f t="shared" si="61"/>
        <v>0.311883266779303</v>
      </c>
      <c r="H218" s="19">
        <f t="shared" si="61"/>
        <v>0.411957095333516</v>
      </c>
      <c r="I218" s="19">
        <f t="shared" si="61"/>
        <v>0.306084463028696</v>
      </c>
      <c r="J218" s="19">
        <f t="shared" si="61"/>
        <v>0.245131119054574</v>
      </c>
      <c r="K218" s="19">
        <f t="shared" si="61"/>
        <v>0.186169481733588</v>
      </c>
      <c r="L218" s="19">
        <f t="shared" si="61"/>
        <v>0.161631959455094</v>
      </c>
      <c r="M218" s="19">
        <f t="shared" si="61"/>
        <v>0.310283897849579</v>
      </c>
      <c r="N218" s="19">
        <f t="shared" si="61"/>
        <v>0.293198962912637</v>
      </c>
      <c r="O218" s="19">
        <f t="shared" si="61"/>
        <v>0.429892434606208</v>
      </c>
      <c r="P218" s="19">
        <f t="shared" si="61"/>
        <v>0.317478756132164</v>
      </c>
      <c r="Q218" s="19">
        <f t="shared" si="61"/>
        <v>0.335105302509071</v>
      </c>
      <c r="R218" s="19">
        <f t="shared" si="61"/>
        <v>0.347839343229711</v>
      </c>
      <c r="S218" s="20">
        <f t="shared" si="62"/>
        <v>127.3404072064</v>
      </c>
      <c r="T218" s="20">
        <f t="shared" si="63"/>
        <v>546.40380317074</v>
      </c>
    </row>
    <row customHeight="1" ht="15">
      <c r="A219" s="9" t="s">
        <v>206</v>
      </c>
      <c r="B219" s="19">
        <f t="shared" si="64" ref="B219:R219">IF(B3&lt;0.05,"NM",B13/B3)</f>
        <v>0.0516295899810522</v>
      </c>
      <c r="C219" s="19">
        <f t="shared" si="64"/>
        <v>0.143264795592191</v>
      </c>
      <c r="D219" s="19">
        <f t="shared" si="64"/>
        <v>0.0288918385916748</v>
      </c>
      <c r="E219" s="19">
        <f t="shared" si="64"/>
        <v>0.167632974068989</v>
      </c>
      <c r="F219" s="12">
        <f t="shared" si="64"/>
        <v>0.188157737277913</v>
      </c>
      <c r="G219" s="19">
        <f t="shared" si="64"/>
        <v>0.107314743446441</v>
      </c>
      <c r="H219" s="19">
        <f t="shared" si="64"/>
        <v>0.228192627705895</v>
      </c>
      <c r="I219" s="19">
        <f t="shared" si="64"/>
        <v>0.104994539450286</v>
      </c>
      <c r="J219" s="19">
        <f t="shared" si="64"/>
        <v>0.0366123463450427</v>
      </c>
      <c r="K219" s="19">
        <f t="shared" si="64"/>
        <v>0.0117495808782785</v>
      </c>
      <c r="L219" s="19">
        <f t="shared" si="64"/>
        <v>-0.0322419597647266</v>
      </c>
      <c r="M219" s="19">
        <f t="shared" si="64"/>
        <v>0.126268096409397</v>
      </c>
      <c r="N219" s="19">
        <f t="shared" si="64"/>
        <v>0.123152334854704</v>
      </c>
      <c r="O219" s="19">
        <f t="shared" si="64"/>
        <v>0.258049560117802</v>
      </c>
      <c r="P219" s="19">
        <f t="shared" si="64"/>
        <v>0.155391347973877</v>
      </c>
      <c r="Q219" s="19">
        <f t="shared" si="64"/>
        <v>0.16184307661442</v>
      </c>
      <c r="R219" s="19">
        <f t="shared" si="64"/>
        <v>0.180337495832352</v>
      </c>
      <c r="S219" s="20">
        <f t="shared" si="62"/>
        <v>184.94419217932</v>
      </c>
      <c r="T219" s="20">
        <f t="shared" si="63"/>
        <v>571.85160977648</v>
      </c>
    </row>
    <row customHeight="1" ht="15">
      <c r="A220" s="9" t="s">
        <v>207</v>
      </c>
      <c r="B220" s="19">
        <f t="shared" si="65" ref="B220:R220">IF(B3&lt;0.05,"NM",B20/B3)</f>
        <v>-0.198934849502705</v>
      </c>
      <c r="C220" s="19">
        <f t="shared" si="65"/>
        <v>-0.292066874068516</v>
      </c>
      <c r="D220" s="19">
        <f t="shared" si="65"/>
        <v>-0.272578845935811</v>
      </c>
      <c r="E220" s="19">
        <f t="shared" si="65"/>
        <v>0.0890436665743853</v>
      </c>
      <c r="F220" s="12">
        <f t="shared" si="65"/>
        <v>0.099538797129693</v>
      </c>
      <c r="G220" s="19">
        <f t="shared" si="65"/>
        <v>-0.0903988128952656</v>
      </c>
      <c r="H220" s="19">
        <f t="shared" si="65"/>
        <v>-0.36178519840143</v>
      </c>
      <c r="I220" s="19">
        <f t="shared" si="65"/>
        <v>-0.167410857988553</v>
      </c>
      <c r="J220" s="19">
        <f t="shared" si="65"/>
        <v>-0.248319994987154</v>
      </c>
      <c r="K220" s="19">
        <f t="shared" si="65"/>
        <v>-0.29069970983942</v>
      </c>
      <c r="L220" s="19">
        <f t="shared" si="65"/>
        <v>-0.375242989051123</v>
      </c>
      <c r="M220" s="19">
        <f t="shared" si="65"/>
        <v>-0.109885661787288</v>
      </c>
      <c r="N220" s="19">
        <f t="shared" si="65"/>
        <v>-0.117220560010228</v>
      </c>
      <c r="O220" s="19">
        <f t="shared" si="65"/>
        <v>0.248674656306701</v>
      </c>
      <c r="P220" s="19">
        <f t="shared" si="65"/>
        <v>0.294885158572356</v>
      </c>
      <c r="Q220" s="19">
        <f t="shared" si="65"/>
        <v>-0.0998853434968029</v>
      </c>
      <c r="R220" s="19">
        <f t="shared" si="65"/>
        <v>-0.022640673275116</v>
      </c>
      <c r="S220" s="20">
        <f t="shared" si="62"/>
        <v>772.446702216869</v>
      </c>
      <c r="T220" s="20">
        <f t="shared" si="63"/>
        <v>945.79886735112</v>
      </c>
    </row>
    <row customHeight="1" ht="15">
      <c r="A221" s="9" t="s">
        <v>208</v>
      </c>
      <c r="B221" s="19">
        <f t="shared" si="66" ref="B221:R221">IF(B3&lt;0.05,"NM",B24/B3)</f>
        <v>-0.200536813037913</v>
      </c>
      <c r="C221" s="19">
        <f t="shared" si="66"/>
        <v>-0.324219282414614</v>
      </c>
      <c r="D221" s="19">
        <f t="shared" si="66"/>
        <v>-0.291384443727291</v>
      </c>
      <c r="E221" s="19">
        <f t="shared" si="66"/>
        <v>0.074446730504307</v>
      </c>
      <c r="F221" s="12">
        <f t="shared" si="66"/>
        <v>0.0772477555012117</v>
      </c>
      <c r="G221" s="19">
        <f t="shared" si="66"/>
        <v>-0.0410090688105957</v>
      </c>
      <c r="H221" s="19">
        <f t="shared" si="66"/>
        <v>-0.425359339800262</v>
      </c>
      <c r="I221" s="19">
        <f t="shared" si="66"/>
        <v>-0.18133904743604</v>
      </c>
      <c r="J221" s="19">
        <f t="shared" si="66"/>
        <v>-0.261045576153286</v>
      </c>
      <c r="K221" s="19">
        <f t="shared" si="66"/>
        <v>-0.312103427655149</v>
      </c>
      <c r="L221" s="19">
        <f t="shared" si="66"/>
        <v>-0.401865486506834</v>
      </c>
      <c r="M221" s="19">
        <f t="shared" si="66"/>
        <v>-0.116420079151589</v>
      </c>
      <c r="N221" s="19">
        <f t="shared" si="66"/>
        <v>-0.124161050107031</v>
      </c>
      <c r="O221" s="19">
        <f t="shared" si="66"/>
        <v>0.220383031666524</v>
      </c>
      <c r="P221" s="19">
        <f t="shared" si="66"/>
        <v>0.279734425075646</v>
      </c>
      <c r="Q221" s="19">
        <f t="shared" si="66"/>
        <v>-0.120319449984621</v>
      </c>
      <c r="R221" s="19">
        <f t="shared" si="66"/>
        <v>-0.0478803348870148</v>
      </c>
      <c r="S221" s="20">
        <f t="shared" si="62"/>
        <v>724.391150976062</v>
      </c>
      <c r="T221" s="20">
        <f t="shared" si="63"/>
        <v>762.807152200162</v>
      </c>
    </row>
    <row customHeight="1" ht="15">
      <c r="A222" s="9" t="s">
        <v>209</v>
      </c>
      <c r="B222" s="11">
        <f t="shared" si="67" ref="B222:R222">B37+B38</f>
        <v>54.700515</v>
      </c>
      <c r="C222" s="11">
        <f t="shared" si="67"/>
        <v>63.305462</v>
      </c>
      <c r="D222" s="11">
        <f t="shared" si="67"/>
        <v>69.224401</v>
      </c>
      <c r="E222" s="11">
        <f t="shared" si="67"/>
        <v>70.126931</v>
      </c>
      <c r="F222" s="10">
        <f>(E37+E38)+('Quarterly YTD'!O37+'Quarterly YTD'!O38)-('Quarterly YTD'!K37+'Quarterly YTD'!K38)</f>
        <v>75.187709</v>
      </c>
      <c r="G222" s="11">
        <f t="shared" si="67"/>
        <v>14.559858</v>
      </c>
      <c r="H222" s="11">
        <f t="shared" si="67"/>
        <v>16.925822</v>
      </c>
      <c r="I222" s="11">
        <f t="shared" si="67"/>
        <v>17.25443</v>
      </c>
      <c r="J222" s="11">
        <f t="shared" si="67"/>
        <v>18.515605</v>
      </c>
      <c r="K222" s="11">
        <f t="shared" si="67"/>
        <v>15.358851</v>
      </c>
      <c r="L222" s="11">
        <f t="shared" si="67"/>
        <v>18.095515</v>
      </c>
      <c r="M222" s="11">
        <f t="shared" si="67"/>
        <v>17.205167</v>
      </c>
      <c r="N222" s="11">
        <f t="shared" si="67"/>
        <v>17.057339</v>
      </c>
      <c r="O222" s="11">
        <f t="shared" si="67"/>
        <v>18.345272</v>
      </c>
      <c r="P222" s="11">
        <f t="shared" si="67"/>
        <v>17.519153</v>
      </c>
      <c r="Q222" s="11">
        <f t="shared" si="67"/>
        <v>19.811068</v>
      </c>
      <c r="R222" s="11">
        <f t="shared" si="67"/>
        <v>19.512216</v>
      </c>
      <c r="S222" s="12">
        <f t="shared" si="2"/>
        <v>-0.0150851029333704</v>
      </c>
      <c r="T222" s="12">
        <f t="shared" si="3"/>
        <v>0.143919107194856</v>
      </c>
    </row>
    <row customHeight="1" ht="15">
      <c r="A223" s="9" t="s">
        <v>210</v>
      </c>
      <c r="B223" s="11">
        <f t="shared" si="68" ref="B223:R223">B39+SUM(B42:B43)+B50</f>
        <v>0</v>
      </c>
      <c r="C223" s="11">
        <f t="shared" si="68"/>
        <v>0</v>
      </c>
      <c r="D223" s="11">
        <f t="shared" si="68"/>
        <v>0</v>
      </c>
      <c r="E223" s="11">
        <f t="shared" si="68"/>
        <v>0</v>
      </c>
      <c r="F223" s="10">
        <f t="shared" si="68"/>
        <v>-0.290754</v>
      </c>
      <c r="G223" s="11">
        <f t="shared" si="68"/>
        <v>0</v>
      </c>
      <c r="H223" s="11">
        <f t="shared" si="68"/>
        <v>0</v>
      </c>
      <c r="I223" s="11">
        <f t="shared" si="68"/>
        <v>0</v>
      </c>
      <c r="J223" s="11">
        <f t="shared" si="68"/>
        <v>0.082283</v>
      </c>
      <c r="K223" s="11">
        <f t="shared" si="68"/>
        <v>-0.038329</v>
      </c>
      <c r="L223" s="11">
        <f t="shared" si="68"/>
        <v>-0.043954</v>
      </c>
      <c r="M223" s="11">
        <f t="shared" si="68"/>
        <v>0.022856</v>
      </c>
      <c r="N223" s="11">
        <f t="shared" si="68"/>
        <v>0.039613</v>
      </c>
      <c r="O223" s="11">
        <f t="shared" si="68"/>
        <v>-0.289173</v>
      </c>
      <c r="P223" s="11">
        <f t="shared" si="68"/>
        <v>0.298746</v>
      </c>
      <c r="Q223" s="11">
        <f t="shared" si="68"/>
        <v>-0.169571</v>
      </c>
      <c r="R223" s="11">
        <f t="shared" si="68"/>
        <v>-0.629536</v>
      </c>
      <c r="S223" s="12">
        <f t="shared" si="2"/>
        <v>-2.71252159862241</v>
      </c>
      <c r="T223" s="12">
        <f t="shared" si="3"/>
        <v>-16.8921566152526</v>
      </c>
    </row>
    <row customHeight="1" ht="15">
      <c r="A224" s="9" t="s">
        <v>211</v>
      </c>
      <c r="C224" s="19">
        <f t="shared" si="69" ref="C224:R224">C37/(((B103+B104)+(C103+C104))/2)</f>
        <v>0.136821571481476</v>
      </c>
      <c r="D224" s="19">
        <f t="shared" si="69"/>
        <v>0.160840271272475</v>
      </c>
      <c r="E224" s="19">
        <f t="shared" si="69"/>
        <v>0.170395248938904</v>
      </c>
      <c r="F224" s="12">
        <f>F37/((('Quarterly YTD'!K103+'Quarterly YTD'!K104)+(F103+F104))/2)</f>
        <v>0.19133328980119</v>
      </c>
      <c r="K224" s="19">
        <f>K37/((('Quarterly YTD'!G103+'Quarterly YTD'!G104)+(K103+K104))/2)</f>
        <v>0.0341651368685109</v>
      </c>
      <c r="L224" s="19">
        <f t="shared" si="69"/>
        <v>0.0448594189353334</v>
      </c>
      <c r="M224" s="19">
        <f>M37/(((D103+D104)+(M103+M104))/2)</f>
        <v>0.0439720912367459</v>
      </c>
      <c r="N224" s="19">
        <f t="shared" si="69"/>
        <v>0.0433334013021264</v>
      </c>
      <c r="O224" s="19">
        <f>O37/((('Quarterly YTD'!K103+'Quarterly YTD'!K104)+(O103+O104))/2)</f>
        <v>0.0467282492337342</v>
      </c>
      <c r="P224" s="19">
        <f t="shared" si="69"/>
        <v>0.0443971137874408</v>
      </c>
      <c r="Q224" s="19">
        <f>Q37/(((E103+E104)+(Q103+Q104))/2)</f>
        <v>0.048661144872335</v>
      </c>
      <c r="R224" s="19">
        <f t="shared" si="69"/>
        <v>0.0476352827457693</v>
      </c>
      <c r="S224" s="20">
        <f t="shared" si="62"/>
        <v>-10.258621265657</v>
      </c>
      <c r="T224" s="20">
        <f t="shared" si="63"/>
        <v>43.018814436429</v>
      </c>
    </row>
    <row customHeight="1" ht="15">
      <c r="A225" s="9" t="s">
        <v>212</v>
      </c>
      <c r="C225" s="19">
        <f t="shared" si="70" ref="C225:R225">C38/((B102+C102)/2)</f>
        <v>0.211524956250517</v>
      </c>
      <c r="D225" s="19">
        <f t="shared" si="70"/>
        <v>0.262244093195977</v>
      </c>
      <c r="E225" s="19">
        <f t="shared" si="70"/>
        <v>0.249809862998592</v>
      </c>
      <c r="F225" s="12">
        <f>F38/(('Quarterly YTD'!K102+F102)/2)</f>
        <v>0.258529453653309</v>
      </c>
      <c r="K225" s="19">
        <f>K38/(('Quarterly YTD'!G102+K102)/2)</f>
        <v>0.0728772352732373</v>
      </c>
      <c r="L225" s="19">
        <f t="shared" si="70"/>
        <v>0.0696177333633436</v>
      </c>
      <c r="M225" s="19">
        <f>M38/((D102+M102)/2)</f>
        <v>0.0633315319974144</v>
      </c>
      <c r="N225" s="19">
        <f t="shared" si="70"/>
        <v>0.070966162117974</v>
      </c>
      <c r="O225" s="19">
        <f>O38/(('Quarterly YTD'!K102+O102)/2)</f>
        <v>0.0733565670240446</v>
      </c>
      <c r="P225" s="19">
        <f t="shared" si="70"/>
        <v>0.0572042516103371</v>
      </c>
      <c r="Q225" s="19">
        <f>Q38/((E102+Q102)/2)</f>
        <v>0.0631112579001551</v>
      </c>
      <c r="R225" s="19">
        <f t="shared" si="70"/>
        <v>0.0623162780065164</v>
      </c>
      <c r="S225" s="20">
        <f t="shared" si="62"/>
        <v>-7.94979893638692</v>
      </c>
      <c r="T225" s="20">
        <f t="shared" si="63"/>
        <v>-86.498841114576</v>
      </c>
    </row>
    <row customHeight="1" ht="15">
      <c r="A226" s="9" t="s">
        <v>213</v>
      </c>
      <c r="B226" s="11">
        <f t="shared" si="71" ref="B226:R226">SUM(B79:B80)</f>
        <v>-99.419831</v>
      </c>
      <c r="C226" s="11">
        <f t="shared" si="71"/>
        <v>-98.738157</v>
      </c>
      <c r="D226" s="11">
        <f t="shared" si="71"/>
        <v>-49.725539</v>
      </c>
      <c r="E226" s="11">
        <f t="shared" si="71"/>
        <v>-55.827939</v>
      </c>
      <c r="F226" s="10">
        <f t="shared" si="71"/>
        <v>-68.02989</v>
      </c>
      <c r="G226" s="11">
        <f t="shared" si="71"/>
        <v>-32.41472</v>
      </c>
      <c r="H226" s="11">
        <f t="shared" si="71"/>
        <v>-41.63192</v>
      </c>
      <c r="I226" s="11">
        <f t="shared" si="71"/>
        <v>-12.284226</v>
      </c>
      <c r="J226" s="11">
        <f t="shared" si="71"/>
        <v>-6.679356</v>
      </c>
      <c r="K226" s="11">
        <f t="shared" si="71"/>
        <v>-13.064377</v>
      </c>
      <c r="L226" s="11">
        <f t="shared" si="71"/>
        <v>-17.69758</v>
      </c>
      <c r="M226" s="11">
        <f t="shared" si="71"/>
        <v>-4.444176</v>
      </c>
      <c r="N226" s="11">
        <f t="shared" si="71"/>
        <v>-11.240657</v>
      </c>
      <c r="O226" s="11">
        <f t="shared" si="71"/>
        <v>-14.731191</v>
      </c>
      <c r="P226" s="11">
        <f t="shared" si="71"/>
        <v>-21.246367</v>
      </c>
      <c r="Q226" s="11">
        <f t="shared" si="71"/>
        <v>-15.323498</v>
      </c>
      <c r="R226" s="11">
        <f t="shared" si="71"/>
        <v>-22.684751</v>
      </c>
      <c r="S226" s="12">
        <f t="shared" si="0"/>
        <v>0.480389856154254</v>
      </c>
      <c r="T226" s="12">
        <f t="shared" si="1"/>
        <v>1.01809831934201</v>
      </c>
    </row>
    <row customHeight="1" ht="15">
      <c r="A227" s="9" t="s">
        <v>214</v>
      </c>
      <c r="B227" s="11">
        <f t="shared" si="72" ref="B227:R227">SUM(B79:B80)+B84</f>
        <v>-89.073432</v>
      </c>
      <c r="C227" s="11">
        <f t="shared" si="72"/>
        <v>-98.700425</v>
      </c>
      <c r="D227" s="11">
        <f t="shared" si="72"/>
        <v>-49.664209</v>
      </c>
      <c r="E227" s="11">
        <f t="shared" si="72"/>
        <v>-55.574807</v>
      </c>
      <c r="F227" s="10">
        <f t="shared" si="72"/>
        <v>-67.930462</v>
      </c>
      <c r="G227" s="11">
        <f t="shared" si="72"/>
        <v>-32.429114</v>
      </c>
      <c r="H227" s="11">
        <f t="shared" si="72"/>
        <v>-41.618926</v>
      </c>
      <c r="I227" s="11">
        <f t="shared" si="72"/>
        <v>-12.210064</v>
      </c>
      <c r="J227" s="11">
        <f t="shared" si="72"/>
        <v>-6.705346</v>
      </c>
      <c r="K227" s="11">
        <f t="shared" si="72"/>
        <v>-13.038124</v>
      </c>
      <c r="L227" s="11">
        <f t="shared" si="72"/>
        <v>-17.710675</v>
      </c>
      <c r="M227" s="11">
        <f t="shared" si="72"/>
        <v>-4.427551</v>
      </c>
      <c r="N227" s="11">
        <f t="shared" si="72"/>
        <v>-11.103578</v>
      </c>
      <c r="O227" s="11">
        <f t="shared" si="72"/>
        <v>-14.688263</v>
      </c>
      <c r="P227" s="11">
        <f t="shared" si="72"/>
        <v>-21.189867</v>
      </c>
      <c r="Q227" s="11">
        <f t="shared" si="72"/>
        <v>-15.323498</v>
      </c>
      <c r="R227" s="11">
        <f t="shared" si="72"/>
        <v>-22.684751</v>
      </c>
      <c r="S227" s="12">
        <f t="shared" si="0"/>
        <v>0.480389856154254</v>
      </c>
      <c r="T227" s="12">
        <f t="shared" si="1"/>
        <v>1.04301271175832</v>
      </c>
    </row>
    <row customHeight="1" ht="15">
      <c r="A228" s="9" t="s">
        <v>215</v>
      </c>
      <c r="B228" s="19">
        <f t="shared" si="73" ref="B228:R228">IF(B3=0,"NM",-B226/B3)</f>
        <v>0.322677715094249</v>
      </c>
      <c r="C228" s="19">
        <f t="shared" si="73"/>
        <v>0.277200915635802</v>
      </c>
      <c r="D228" s="19">
        <f t="shared" si="73"/>
        <v>0.139680959281744</v>
      </c>
      <c r="E228" s="19">
        <f t="shared" si="73"/>
        <v>0.136615947055874</v>
      </c>
      <c r="F228" s="12">
        <f t="shared" si="73"/>
        <v>0.152645723661955</v>
      </c>
      <c r="G228" s="19">
        <f t="shared" si="73"/>
        <v>0.455432422805786</v>
      </c>
      <c r="H228" s="19">
        <f t="shared" si="73"/>
        <v>0.451999767876307</v>
      </c>
      <c r="I228" s="19">
        <f t="shared" si="73"/>
        <v>0.143165208445594</v>
      </c>
      <c r="J228" s="19">
        <f t="shared" si="73"/>
        <v>0.0752214748375786</v>
      </c>
      <c r="K228" s="19">
        <f t="shared" si="73"/>
        <v>0.148363138692887</v>
      </c>
      <c r="L228" s="19">
        <f t="shared" si="73"/>
        <v>0.189610475043474</v>
      </c>
      <c r="M228" s="19">
        <f t="shared" si="73"/>
        <v>0.0475321517298392</v>
      </c>
      <c r="N228" s="19">
        <f t="shared" si="73"/>
        <v>0.112059437876319</v>
      </c>
      <c r="O228" s="19">
        <f t="shared" si="73"/>
        <v>0.137989243554292</v>
      </c>
      <c r="P228" s="19">
        <f t="shared" si="73"/>
        <v>0.196571635615589</v>
      </c>
      <c r="Q228" s="19">
        <f t="shared" si="73"/>
        <v>0.134015156172915</v>
      </c>
      <c r="R228" s="19">
        <f t="shared" si="73"/>
        <v>0.194736348769873</v>
      </c>
      <c r="S228" s="20">
        <f t="shared" si="62"/>
        <v>607.21192596958</v>
      </c>
      <c r="T228" s="20">
        <f t="shared" si="63"/>
        <v>826.76910893554</v>
      </c>
    </row>
    <row customHeight="1" ht="15">
      <c r="A229" s="9" t="s">
        <v>216</v>
      </c>
      <c r="C229" s="19">
        <f t="shared" si="74" ref="C229:R229">IF(B103=0,"NM",-(C79+C84)/B103)</f>
        <v>0.372754757113259</v>
      </c>
      <c r="D229" s="19">
        <f t="shared" si="74"/>
        <v>0.146456461288696</v>
      </c>
      <c r="E229" s="19">
        <f t="shared" si="74"/>
        <v>0.251226280526641</v>
      </c>
      <c r="F229" s="12">
        <f>IF(N103=0,"NM",-(F79+F84)/N103)</f>
        <v>0.322435556827907</v>
      </c>
      <c r="I229" s="19">
        <f>IF(C103=0,"NM",-(I79+I84)/C103)</f>
        <v>0.0363984800978772</v>
      </c>
      <c r="K229" s="19">
        <f t="shared" si="74"/>
        <v>0.0461461134948382</v>
      </c>
      <c r="L229" s="19">
        <f t="shared" si="74"/>
        <v>0.0251536642894381</v>
      </c>
      <c r="M229" s="19">
        <f>IF(D103=0,"NM",-(M79+M84)/D103)</f>
        <v>0.0186136297895088</v>
      </c>
      <c r="N229" s="19">
        <f t="shared" si="74"/>
        <v>0.0616371573297054</v>
      </c>
      <c r="O229" s="19">
        <f t="shared" si="74"/>
        <v>0.0681517101850568</v>
      </c>
      <c r="P229" s="19">
        <f t="shared" si="74"/>
        <v>0.090405089392396</v>
      </c>
      <c r="Q229" s="19">
        <f>IF(E103=0,"NM",-(Q79+Q84)/E103)</f>
        <v>0.0583413733595348</v>
      </c>
      <c r="R229" s="19">
        <f t="shared" si="74"/>
        <v>0.109524521049589</v>
      </c>
      <c r="S229" s="20">
        <f t="shared" si="62"/>
        <v>511.831476900542</v>
      </c>
      <c r="T229" s="20">
        <f t="shared" si="63"/>
        <v>478.873637198836</v>
      </c>
    </row>
    <row customHeight="1" ht="15">
      <c r="A230" s="9" t="s">
        <v>217</v>
      </c>
      <c r="B230" s="19">
        <f t="shared" si="75" ref="B230:R230">IF(B222=0,"NM",-B226/B222)</f>
        <v>1.81753007261449</v>
      </c>
      <c r="C230" s="19">
        <f t="shared" si="75"/>
        <v>1.55970991886924</v>
      </c>
      <c r="D230" s="19">
        <f t="shared" si="75"/>
        <v>0.718323860974976</v>
      </c>
      <c r="E230" s="19">
        <f t="shared" si="75"/>
        <v>0.796098420448486</v>
      </c>
      <c r="F230" s="12">
        <f t="shared" si="75"/>
        <v>0.904800676929789</v>
      </c>
      <c r="G230" s="19">
        <f t="shared" si="75"/>
        <v>2.22630742689936</v>
      </c>
      <c r="H230" s="19">
        <f t="shared" si="75"/>
        <v>2.45966901932444</v>
      </c>
      <c r="I230" s="19">
        <f t="shared" si="75"/>
        <v>0.711946207437742</v>
      </c>
      <c r="J230" s="19">
        <f t="shared" si="75"/>
        <v>0.36074197953564</v>
      </c>
      <c r="K230" s="19">
        <f t="shared" si="75"/>
        <v>0.850609007145131</v>
      </c>
      <c r="L230" s="19">
        <f t="shared" si="75"/>
        <v>0.978009191780394</v>
      </c>
      <c r="M230" s="19">
        <f t="shared" si="75"/>
        <v>0.258304729038666</v>
      </c>
      <c r="N230" s="19">
        <f t="shared" si="75"/>
        <v>0.658992413763952</v>
      </c>
      <c r="O230" s="19">
        <f t="shared" si="75"/>
        <v>0.802996597706483</v>
      </c>
      <c r="P230" s="19">
        <f t="shared" si="75"/>
        <v>1.21275081049866</v>
      </c>
      <c r="Q230" s="19">
        <f t="shared" si="75"/>
        <v>0.77348167196236</v>
      </c>
      <c r="R230" s="19">
        <f t="shared" si="75"/>
        <v>1.1625922447763</v>
      </c>
      <c r="S230" s="20">
        <f t="shared" si="62"/>
        <v>3891.1057281394</v>
      </c>
      <c r="T230" s="20">
        <f t="shared" si="63"/>
        <v>5035.99831012348</v>
      </c>
    </row>
    <row customHeight="1" ht="15">
      <c r="A231" s="9" t="s">
        <v>218</v>
      </c>
      <c r="C231" s="19">
        <f t="shared" si="76" ref="C231:R231">-C80/B102</f>
        <v>0.335211300396149</v>
      </c>
      <c r="D231" s="19">
        <f t="shared" si="76"/>
        <v>0.264437647048795</v>
      </c>
      <c r="E231" s="19">
        <f t="shared" si="76"/>
        <v>0.104516288658941</v>
      </c>
      <c r="F231" s="12">
        <f>-F80/N102</f>
        <v>0.121028314213661</v>
      </c>
      <c r="I231" s="19">
        <f>-I80/C102</f>
        <v>0.0640144474225948</v>
      </c>
      <c r="K231" s="19">
        <f t="shared" si="76"/>
        <v>0.0546435672560986</v>
      </c>
      <c r="L231" s="19">
        <f t="shared" si="76"/>
        <v>0.187708775166838</v>
      </c>
      <c r="M231" s="19">
        <f>-M80/D102</f>
        <v>0.0116532356869942</v>
      </c>
      <c r="N231" s="19">
        <f t="shared" si="76"/>
        <v>0</v>
      </c>
      <c r="O231" s="19">
        <f t="shared" si="76"/>
        <v>0.030402849561953</v>
      </c>
      <c r="P231" s="19">
        <f t="shared" si="76"/>
        <v>0.0529480355445854</v>
      </c>
      <c r="Q231" s="19">
        <f>-Q80/E102</f>
        <v>0.0449709625892063</v>
      </c>
      <c r="R231" s="19">
        <f t="shared" si="76"/>
        <v>0</v>
      </c>
      <c r="S231" s="20">
        <f t="shared" si="62"/>
        <v>-449.709625892063</v>
      </c>
      <c r="T231" s="20" t="str">
        <f t="shared" si="63"/>
        <v>NM</v>
      </c>
    </row>
    <row customHeight="1" ht="15">
      <c r="A232" s="9" t="s">
        <v>219</v>
      </c>
      <c r="B232" s="11">
        <f t="shared" si="77" ref="B232:I232">B78-(B59+B61+B62+B66+B68+B69)+B91</f>
        <v>62.446946</v>
      </c>
      <c r="C232" s="11">
        <f t="shared" si="77"/>
        <v>97.694284</v>
      </c>
      <c r="D232" s="11">
        <f>D78-(D59+D61+D63+D69+D72)+D91</f>
        <v>48.025952</v>
      </c>
      <c r="E232" s="11">
        <f>E78-(E59+E61+E63+E64+E69+E72)+E91</f>
        <v>88.296253</v>
      </c>
      <c r="F232" s="10">
        <f>F78-((E59+E61+E63+E64+E69+E72)+('Quarterly YTD'!O60+'Quarterly YTD'!O61+'Quarterly YTD'!O63+'Quarterly YTD'!O66+'Quarterly YTD'!O69+'Quarterly YTD'!O72)-('Quarterly YTD'!K60+'Quarterly YTD'!K61+'Quarterly YTD'!K63+'Quarterly YTD'!K66+'Quarterly YTD'!K69+'Quarterly YTD'!K72))+F91</f>
        <v>101.168727</v>
      </c>
      <c r="G232" s="11">
        <f t="shared" si="78" ref="G232:P232">G78-(SUM(G59:G64)+SUM(G66:G69)+G72)+G91</f>
        <v>6.402332</v>
      </c>
      <c r="H232" s="11">
        <f t="shared" si="78"/>
        <v>71.09781</v>
      </c>
      <c r="I232" s="11">
        <f t="shared" si="77"/>
        <v>22.758374</v>
      </c>
      <c r="J232" s="11">
        <f t="shared" si="78"/>
        <v>3.46677599999999</v>
      </c>
      <c r="K232" s="11">
        <f t="shared" si="78"/>
        <v>5.474563</v>
      </c>
      <c r="L232" s="11">
        <f t="shared" si="78"/>
        <v>16.326239</v>
      </c>
      <c r="M232" s="11">
        <f t="shared" si="79" ref="M232:Q232">M78-(M59+M61+M63+M66+M69+M72)+M91</f>
        <v>8.374881</v>
      </c>
      <c r="N232" s="11">
        <f t="shared" si="80" ref="N232:R232">N78-(N60+N61+N63+N66+N69+N72)+N91</f>
        <v>25.221657</v>
      </c>
      <c r="O232" s="11">
        <f t="shared" si="78"/>
        <v>43.535515</v>
      </c>
      <c r="P232" s="11">
        <f t="shared" si="78"/>
        <v>12.16746</v>
      </c>
      <c r="Q232" s="11">
        <f t="shared" si="79"/>
        <v>14.68597</v>
      </c>
      <c r="R232" s="11">
        <f t="shared" si="80"/>
        <v>31.783043</v>
      </c>
      <c r="S232" s="12">
        <f t="shared" si="2"/>
        <v>1.16417730664028</v>
      </c>
      <c r="T232" s="12">
        <f t="shared" si="3"/>
        <v>0.260148887125061</v>
      </c>
    </row>
    <row customHeight="1" ht="15">
      <c r="A233" s="4" t="s">
        <v>220</v>
      </c>
      <c r="B233" s="7">
        <f t="shared" si="81" ref="B233:R233">B78+B226+B91+B90</f>
        <v>-12.251704</v>
      </c>
      <c r="C233" s="7">
        <f t="shared" si="81"/>
        <v>10.495122</v>
      </c>
      <c r="D233" s="7">
        <f t="shared" si="81"/>
        <v>-33.942682</v>
      </c>
      <c r="E233" s="7">
        <f t="shared" si="81"/>
        <v>-38.794985</v>
      </c>
      <c r="F233" s="6">
        <f t="shared" si="81"/>
        <v>-62.469604</v>
      </c>
      <c r="G233" s="7">
        <f t="shared" si="81"/>
        <v>18.867602</v>
      </c>
      <c r="H233" s="7">
        <f t="shared" si="81"/>
        <v>-4.136556</v>
      </c>
      <c r="I233" s="7">
        <f t="shared" si="81"/>
        <v>-3.854374</v>
      </c>
      <c r="J233" s="7">
        <f t="shared" si="81"/>
        <v>-8.35728400000001</v>
      </c>
      <c r="K233" s="7">
        <f t="shared" si="81"/>
        <v>17.509255</v>
      </c>
      <c r="L233" s="7">
        <f t="shared" si="81"/>
        <v>-39.240279</v>
      </c>
      <c r="M233" s="7">
        <f t="shared" si="81"/>
        <v>-22.222767</v>
      </c>
      <c r="N233" s="7">
        <f t="shared" si="81"/>
        <v>3.694153</v>
      </c>
      <c r="O233" s="7">
        <f t="shared" si="81"/>
        <v>14.93218</v>
      </c>
      <c r="P233" s="7">
        <f t="shared" si="81"/>
        <v>-36.640708</v>
      </c>
      <c r="Q233" s="7">
        <f t="shared" si="81"/>
        <v>-43.539984</v>
      </c>
      <c r="R233" s="7">
        <f t="shared" si="81"/>
        <v>-4.727001</v>
      </c>
      <c r="S233" s="8">
        <f t="shared" si="2"/>
        <v>0.891433102042481</v>
      </c>
      <c r="T233" s="8">
        <f t="shared" si="3"/>
        <v>-2.27958993577147</v>
      </c>
    </row>
    <row customHeight="1" ht="15">
      <c r="A234" s="9" t="s">
        <v>221</v>
      </c>
      <c r="B234" s="11">
        <f t="shared" si="82" ref="B234:R234">B233-B243-B90</f>
        <v>17.431701</v>
      </c>
      <c r="C234" s="11">
        <f t="shared" si="82"/>
        <v>40.444873</v>
      </c>
      <c r="D234" s="11">
        <f t="shared" si="82"/>
        <v>6.006694</v>
      </c>
      <c r="E234" s="11">
        <f t="shared" si="82"/>
        <v>38.060046</v>
      </c>
      <c r="F234" s="10">
        <f t="shared" si="82"/>
        <v>25.350879</v>
      </c>
      <c r="G234" s="11">
        <f t="shared" si="82"/>
        <v>32.055883</v>
      </c>
      <c r="H234" s="11">
        <f t="shared" si="82"/>
        <v>-16.874307</v>
      </c>
      <c r="I234" s="11">
        <f t="shared" si="82"/>
        <v>6.188672</v>
      </c>
      <c r="J234" s="11">
        <f t="shared" si="82"/>
        <v>11.407197</v>
      </c>
      <c r="K234" s="11">
        <f t="shared" si="82"/>
        <v>33.710837</v>
      </c>
      <c r="L234" s="11">
        <f t="shared" si="82"/>
        <v>-45.300012</v>
      </c>
      <c r="M234" s="11">
        <f t="shared" si="82"/>
        <v>-12.87071</v>
      </c>
      <c r="N234" s="11">
        <f t="shared" si="82"/>
        <v>29.352382</v>
      </c>
      <c r="O234" s="11">
        <f t="shared" si="82"/>
        <v>18.370536</v>
      </c>
      <c r="P234" s="11">
        <f t="shared" si="82"/>
        <v>1.765681</v>
      </c>
      <c r="Q234" s="11">
        <f t="shared" si="82"/>
        <v>-25.998561</v>
      </c>
      <c r="R234" s="11">
        <f t="shared" si="82"/>
        <v>23.707314</v>
      </c>
      <c r="S234" s="12">
        <f t="shared" si="2"/>
        <v>1.91187023774124</v>
      </c>
      <c r="T234" s="12">
        <f t="shared" si="3"/>
        <v>-0.192320609618667</v>
      </c>
    </row>
    <row customHeight="1" ht="15">
      <c r="A235" s="9" t="s">
        <v>222</v>
      </c>
      <c r="B235" s="19">
        <f t="shared" si="83" ref="B235:F235">IF(B162&lt;=0,"NM",B232/B162)</f>
        <v>0.151451469703218</v>
      </c>
      <c r="C235" s="19">
        <f t="shared" si="83"/>
        <v>0.232033058394331</v>
      </c>
      <c r="D235" s="19">
        <f t="shared" si="83"/>
        <v>0.0993047588845746</v>
      </c>
      <c r="E235" s="19">
        <f t="shared" si="83"/>
        <v>0.171318151875303</v>
      </c>
      <c r="F235" s="12">
        <f t="shared" si="83"/>
        <v>0.18052272279898</v>
      </c>
      <c r="H235" s="19">
        <f t="shared" si="48"/>
        <v>0.232033058394331</v>
      </c>
      <c r="J235" s="19">
        <f>'Rolling LTM'!G235</f>
        <v>0.241748040960731</v>
      </c>
      <c r="K235" s="19">
        <f>'Rolling LTM'!H235</f>
        <v>0.245187447732582</v>
      </c>
      <c r="L235" s="19">
        <f t="shared" si="46"/>
        <v>0.0993047588845746</v>
      </c>
      <c r="M235" s="19">
        <f>'Rolling LTM'!J235</f>
        <v>0.0687217208140048</v>
      </c>
      <c r="N235" s="19">
        <f>'Rolling LTM'!K235</f>
        <v>0.111569804514419</v>
      </c>
      <c r="O235" s="19">
        <f>'Rolling LTM'!L235</f>
        <v>0.193038458697127</v>
      </c>
      <c r="P235" s="19">
        <f t="shared" si="49"/>
        <v>0.171318151875303</v>
      </c>
      <c r="Q235" s="19">
        <f>'Rolling LTM'!N235</f>
        <v>0.177082442511029</v>
      </c>
      <c r="R235" s="19">
        <f>'Rolling LTM'!O235</f>
        <v>0.18052272279898</v>
      </c>
      <c r="S235" s="20">
        <f t="shared" si="62"/>
        <v>34.4028028795099</v>
      </c>
      <c r="T235" s="20">
        <f t="shared" si="63"/>
        <v>689.52918284561</v>
      </c>
    </row>
    <row customHeight="1" ht="15">
      <c r="A236" s="9" t="s">
        <v>223</v>
      </c>
      <c r="B236" s="19">
        <f t="shared" si="84" ref="B236:F236">IF(B162&lt;=0,"NM",B233/B162)</f>
        <v>-0.0297138402439855</v>
      </c>
      <c r="C236" s="19">
        <f t="shared" si="84"/>
        <v>0.024926895987913</v>
      </c>
      <c r="D236" s="19">
        <f t="shared" si="84"/>
        <v>-0.0701843422469958</v>
      </c>
      <c r="E236" s="19">
        <f t="shared" si="84"/>
        <v>-0.0752725614781195</v>
      </c>
      <c r="F236" s="12">
        <f t="shared" si="84"/>
        <v>-0.11146906104941</v>
      </c>
      <c r="H236" s="19">
        <f t="shared" si="48"/>
        <v>0.024926895987913</v>
      </c>
      <c r="J236" s="19">
        <f>'Rolling LTM'!G236</f>
        <v>0.00587182838125898</v>
      </c>
      <c r="K236" s="19">
        <f>'Rolling LTM'!H236</f>
        <v>0.00276925621547209</v>
      </c>
      <c r="L236" s="19">
        <f t="shared" si="46"/>
        <v>-0.0701843422469958</v>
      </c>
      <c r="M236" s="19">
        <f>'Rolling LTM'!J236</f>
        <v>-0.106856252440717</v>
      </c>
      <c r="N236" s="19">
        <f>'Rolling LTM'!K236</f>
        <v>-0.0762257081618492</v>
      </c>
      <c r="O236" s="19">
        <f>'Rolling LTM'!L236</f>
        <v>-0.0864284086634887</v>
      </c>
      <c r="P236" s="19">
        <f t="shared" si="49"/>
        <v>-0.0752725614781195</v>
      </c>
      <c r="Q236" s="19">
        <f>'Rolling LTM'!N236</f>
        <v>-0.112515744865514</v>
      </c>
      <c r="R236" s="19">
        <f>'Rolling LTM'!O236</f>
        <v>-0.11146906104941</v>
      </c>
      <c r="S236" s="20">
        <f t="shared" si="62"/>
        <v>10.46683816104</v>
      </c>
      <c r="T236" s="20">
        <f t="shared" si="63"/>
        <v>-352.433528875608</v>
      </c>
    </row>
    <row customHeight="1" ht="15">
      <c r="A237" s="9" t="s">
        <v>224</v>
      </c>
      <c r="B237" s="19">
        <f t="shared" si="85" ref="B237:F237">IF(B162&lt;=0,"NM",B234/B162)</f>
        <v>0.0422767950233635</v>
      </c>
      <c r="C237" s="19">
        <f t="shared" si="85"/>
        <v>0.0960603547548423</v>
      </c>
      <c r="D237" s="19">
        <f t="shared" si="85"/>
        <v>0.0124202285331777</v>
      </c>
      <c r="E237" s="19">
        <f t="shared" si="85"/>
        <v>0.0738465848716028</v>
      </c>
      <c r="F237" s="12">
        <f t="shared" si="85"/>
        <v>0.0452354184749946</v>
      </c>
      <c r="H237" s="19">
        <f t="shared" si="48"/>
        <v>0.0960603547548423</v>
      </c>
      <c r="J237" s="19">
        <f>'Rolling LTM'!G237</f>
        <v>0.0763929699657834</v>
      </c>
      <c r="K237" s="19">
        <f>'Rolling LTM'!H237</f>
        <v>0.0821264149537913</v>
      </c>
      <c r="L237" s="19">
        <f t="shared" si="46"/>
        <v>0.0124202285331777</v>
      </c>
      <c r="M237" s="19">
        <f>'Rolling LTM'!J237</f>
        <v>-0.026662830461005</v>
      </c>
      <c r="N237" s="19">
        <f>'Rolling LTM'!K237</f>
        <v>0.0147103328903497</v>
      </c>
      <c r="O237" s="19">
        <f>'Rolling LTM'!L237</f>
        <v>-0.0188030459656367</v>
      </c>
      <c r="P237" s="19">
        <f t="shared" si="49"/>
        <v>0.0738465848716028</v>
      </c>
      <c r="Q237" s="19">
        <f>'Rolling LTM'!N237</f>
        <v>0.0466671390869566</v>
      </c>
      <c r="R237" s="19">
        <f>'Rolling LTM'!O237</f>
        <v>0.0452354184749946</v>
      </c>
      <c r="S237" s="20">
        <f t="shared" si="62"/>
        <v>-14.31720611962</v>
      </c>
      <c r="T237" s="20">
        <f t="shared" si="63"/>
        <v>305.250855846449</v>
      </c>
    </row>
    <row customHeight="1" ht="15">
      <c r="A238" s="9" t="s">
        <v>225</v>
      </c>
      <c r="B238" s="21">
        <v>365</v>
      </c>
      <c r="C238" s="21">
        <v>365</v>
      </c>
      <c r="D238" s="21">
        <v>366</v>
      </c>
      <c r="E238" s="21">
        <v>364</v>
      </c>
      <c r="F238" s="22">
        <v>365</v>
      </c>
      <c r="G238" s="21">
        <v>92</v>
      </c>
      <c r="H238" s="21">
        <v>92</v>
      </c>
      <c r="I238" s="21">
        <v>91</v>
      </c>
      <c r="J238" s="21">
        <v>91</v>
      </c>
      <c r="K238" s="21">
        <v>92</v>
      </c>
      <c r="L238" s="21">
        <v>92</v>
      </c>
      <c r="M238" s="21">
        <v>90</v>
      </c>
      <c r="N238" s="21">
        <v>91</v>
      </c>
      <c r="O238" s="21">
        <v>92</v>
      </c>
      <c r="P238" s="21">
        <v>91</v>
      </c>
      <c r="Q238" s="21">
        <v>91</v>
      </c>
      <c r="R238" s="21">
        <v>91</v>
      </c>
      <c r="S238" s="23">
        <f t="shared" si="50"/>
        <v>0</v>
      </c>
      <c r="T238" s="23">
        <f t="shared" si="51"/>
        <v>0</v>
      </c>
    </row>
    <row customHeight="1" ht="15">
      <c r="A239" s="9" t="s">
        <v>226</v>
      </c>
      <c r="C239" s="24">
        <f t="shared" si="86" ref="C239:R239">IF(C3&lt;0.05,"NM",((B109+B110+B114)+(C109+C110+C114))/2/C3*C238)</f>
        <v>21.5357457056196</v>
      </c>
      <c r="D239" s="24">
        <f t="shared" si="86"/>
        <v>12.0373912647135</v>
      </c>
      <c r="E239" s="24">
        <f t="shared" si="86"/>
        <v>11.367976845407</v>
      </c>
      <c r="F239" s="23">
        <f>IF(F3&lt;0.05,"NM",((N109+N110+N114)+(F109+F110+F114))/2/F3*F238)</f>
        <v>10.3688948811613</v>
      </c>
      <c r="K239" s="24">
        <f t="shared" si="86"/>
        <v>12.5583244388807</v>
      </c>
      <c r="L239" s="24">
        <f t="shared" si="86"/>
        <v>11.6352307151832</v>
      </c>
      <c r="M239" s="24">
        <f>IF(M3&lt;0.05,"NM",((D109+D110+D114)+(M109+M110+M114))/2/M3*M238)</f>
        <v>11.5969946431012</v>
      </c>
      <c r="N239" s="24">
        <f t="shared" si="86"/>
        <v>11.5743863596544</v>
      </c>
      <c r="O239" s="24">
        <f t="shared" si="86"/>
        <v>12.2795810359545</v>
      </c>
      <c r="P239" s="24">
        <f t="shared" si="86"/>
        <v>11.8344717085603</v>
      </c>
      <c r="Q239" s="24">
        <f>IF(Q3&lt;0.05,"NM",((E109+E110+E114)+(Q109+Q110+Q114))/2/Q3*Q238)</f>
        <v>10.9526927092894</v>
      </c>
      <c r="R239" s="24">
        <f t="shared" si="86"/>
        <v>10.1160063257859</v>
      </c>
      <c r="S239" s="23">
        <f t="shared" si="50"/>
        <v>-0.836686383503499</v>
      </c>
      <c r="T239" s="23">
        <f t="shared" si="51"/>
        <v>-1.4583800338685</v>
      </c>
    </row>
    <row customHeight="1" ht="15">
      <c r="A240" s="9" t="s">
        <v>227</v>
      </c>
      <c r="C240" s="24">
        <f t="shared" si="87" ref="C240:R240">IF((C3-C167+(C9+C10+C12))&lt;0.05,"NM",((B135+B143)+(C135+C143))/2/(C3-C167+(C9+C10+C12))*C238)</f>
        <v>137.098295923182</v>
      </c>
      <c r="D240" s="24">
        <f t="shared" si="87"/>
        <v>158.485391377423</v>
      </c>
      <c r="E240" s="24">
        <f t="shared" si="87"/>
        <v>133.099538271813</v>
      </c>
      <c r="F240" s="23">
        <f>IF((F3-F167+(F9+F10+F12))&lt;0.05,"NM",((N135+N143)+(F135+F143))/2/(F3-F167+(F9+F10+F12))*F238)</f>
        <v>118.826134212124</v>
      </c>
      <c r="K240" s="24">
        <f t="shared" si="87"/>
        <v>165.633592737524</v>
      </c>
      <c r="L240" s="24">
        <f t="shared" si="87"/>
        <v>148.249596923905</v>
      </c>
      <c r="M240" s="24">
        <f>IF((M3-M167+(M9+M10+M12))&lt;0.05,"NM",((D135+D143)+(M135+M143))/2/(M3-M167+(M9+M10+M12))*M238)</f>
        <v>149.925685628424</v>
      </c>
      <c r="N240" s="24">
        <f t="shared" si="87"/>
        <v>132.988114795062</v>
      </c>
      <c r="O240" s="24">
        <f t="shared" si="87"/>
        <v>160.849660537258</v>
      </c>
      <c r="P240" s="24">
        <f t="shared" si="87"/>
        <v>121.305273649253</v>
      </c>
      <c r="Q240" s="24">
        <f>IF((Q3-Q167+(Q9+Q10+Q12))&lt;0.05,"NM",((E135+E143)+(Q135+Q143))/2/(Q3-Q167+(Q9+Q10+Q12))*Q238)</f>
        <v>105.258901669677</v>
      </c>
      <c r="R240" s="24">
        <f t="shared" si="87"/>
        <v>100.768040846299</v>
      </c>
      <c r="S240" s="23">
        <f t="shared" si="50"/>
        <v>-4.490860823378</v>
      </c>
      <c r="T240" s="23">
        <f t="shared" si="51"/>
        <v>-32.220073948763</v>
      </c>
    </row>
    <row customHeight="1" ht="15">
      <c r="A241" s="9" t="s">
        <v>228</v>
      </c>
      <c r="B241" s="11">
        <f t="shared" si="88" ref="B241:R241">(B109+B110+B114)+B111-(B135+B143)</f>
        <v>-26.998701</v>
      </c>
      <c r="C241" s="11">
        <f t="shared" si="88"/>
        <v>-108.759546</v>
      </c>
      <c r="D241" s="11">
        <f t="shared" si="88"/>
        <v>-94.919875</v>
      </c>
      <c r="E241" s="11">
        <f t="shared" si="88"/>
        <v>-73.417212</v>
      </c>
      <c r="F241" s="10">
        <f t="shared" si="88"/>
        <v>-72.739474</v>
      </c>
      <c r="H241" s="11">
        <f t="shared" si="88"/>
        <v>-108.759546</v>
      </c>
      <c r="J241" s="11">
        <f t="shared" si="88"/>
        <v>-104.535005</v>
      </c>
      <c r="K241" s="11">
        <f t="shared" si="88"/>
        <v>-124.901767</v>
      </c>
      <c r="L241" s="11">
        <f t="shared" si="88"/>
        <v>-94.919875</v>
      </c>
      <c r="M241" s="11">
        <f t="shared" si="88"/>
        <v>-89.074999</v>
      </c>
      <c r="N241" s="11">
        <f t="shared" si="88"/>
        <v>-85.552569</v>
      </c>
      <c r="O241" s="11">
        <f t="shared" si="88"/>
        <v>-96.916182</v>
      </c>
      <c r="P241" s="11">
        <f t="shared" si="88"/>
        <v>-73.417212</v>
      </c>
      <c r="Q241" s="11">
        <f t="shared" si="88"/>
        <v>-68.080292</v>
      </c>
      <c r="R241" s="11">
        <f t="shared" si="88"/>
        <v>-72.739474</v>
      </c>
      <c r="S241" s="12">
        <f t="shared" si="2"/>
        <v>-0.0684365748607541</v>
      </c>
      <c r="T241" s="12">
        <f t="shared" si="3"/>
        <v>0.149768676145774</v>
      </c>
    </row>
    <row customHeight="1" ht="15">
      <c r="A242" s="9" t="s">
        <v>229</v>
      </c>
      <c r="B242" s="11">
        <f t="shared" si="89" ref="B242:R242">SUM(B59:B61)+SUM(B63:B64)+B66+B69</f>
        <v>-0.807336000000001</v>
      </c>
      <c r="C242" s="11">
        <f t="shared" si="89"/>
        <v>59.963008</v>
      </c>
      <c r="D242" s="11">
        <f t="shared" si="89"/>
        <v>-8.311572</v>
      </c>
      <c r="E242" s="11">
        <f t="shared" si="89"/>
        <v>-42.657673</v>
      </c>
      <c r="F242" s="10">
        <f t="shared" si="89"/>
        <v>-59.318156</v>
      </c>
      <c r="G242" s="11">
        <f t="shared" si="89"/>
        <v>35.182894</v>
      </c>
      <c r="H242" s="11">
        <f t="shared" si="89"/>
        <v>-5.766836</v>
      </c>
      <c r="I242" s="11">
        <f t="shared" si="89"/>
        <v>-3.007466</v>
      </c>
      <c r="J242" s="11">
        <f t="shared" si="89"/>
        <v>-0.942496</v>
      </c>
      <c r="K242" s="11">
        <f t="shared" si="89"/>
        <v>26.004939</v>
      </c>
      <c r="L242" s="11">
        <f t="shared" si="89"/>
        <v>-30.366549</v>
      </c>
      <c r="M242" s="11">
        <f t="shared" si="89"/>
        <v>-19.195185</v>
      </c>
      <c r="N242" s="11">
        <f t="shared" si="89"/>
        <v>-3.517414</v>
      </c>
      <c r="O242" s="11">
        <f t="shared" si="89"/>
        <v>-16.054023</v>
      </c>
      <c r="P242" s="11">
        <f t="shared" si="89"/>
        <v>-19.377253</v>
      </c>
      <c r="Q242" s="11">
        <f t="shared" si="89"/>
        <v>-31.136134</v>
      </c>
      <c r="R242" s="11">
        <f t="shared" si="89"/>
        <v>-4.179236</v>
      </c>
      <c r="S242" s="12">
        <f t="shared" si="2"/>
        <v>0.865775372112671</v>
      </c>
      <c r="T242" s="12">
        <f t="shared" si="3"/>
        <v>-0.188155844037694</v>
      </c>
    </row>
    <row customHeight="1" ht="15">
      <c r="A243" s="9" t="s">
        <v>230</v>
      </c>
      <c r="B243" s="11">
        <f t="shared" si="90" ref="B243:R243">B73+B74+B91</f>
        <v>-4.325272</v>
      </c>
      <c r="C243" s="11">
        <f t="shared" si="90"/>
        <v>-7.035281</v>
      </c>
      <c r="D243" s="11">
        <f t="shared" si="90"/>
        <v>-16.005968</v>
      </c>
      <c r="E243" s="11">
        <f t="shared" si="90"/>
        <v>-45.015545</v>
      </c>
      <c r="F243" s="10">
        <f t="shared" si="90"/>
        <v>-49.238525</v>
      </c>
      <c r="G243" s="11">
        <f t="shared" si="90"/>
        <v>-12.975244</v>
      </c>
      <c r="H243" s="11">
        <f t="shared" si="90"/>
        <v>35.439184</v>
      </c>
      <c r="I243" s="11">
        <f t="shared" si="90"/>
        <v>-2.518324</v>
      </c>
      <c r="J243" s="11">
        <f t="shared" si="90"/>
        <v>-16.847538</v>
      </c>
      <c r="K243" s="11">
        <f t="shared" si="90"/>
        <v>-10.16389</v>
      </c>
      <c r="L243" s="11">
        <f t="shared" si="90"/>
        <v>13.523784</v>
      </c>
      <c r="M243" s="11">
        <f t="shared" si="90"/>
        <v>-2.2983</v>
      </c>
      <c r="N243" s="11">
        <f t="shared" si="90"/>
        <v>-18.842249</v>
      </c>
      <c r="O243" s="11">
        <f t="shared" si="90"/>
        <v>-3.438406</v>
      </c>
      <c r="P243" s="11">
        <f t="shared" si="90"/>
        <v>-20.43659</v>
      </c>
      <c r="Q243" s="11">
        <f t="shared" si="90"/>
        <v>-4.070436</v>
      </c>
      <c r="R243" s="11">
        <f t="shared" si="90"/>
        <v>-21.293093</v>
      </c>
      <c r="S243" s="12">
        <f t="shared" si="0"/>
        <v>4.23115779243305</v>
      </c>
      <c r="T243" s="12">
        <f t="shared" si="1"/>
        <v>0.13007173400585</v>
      </c>
    </row>
    <row customHeight="1" ht="15">
      <c r="A244" s="9" t="s">
        <v>231</v>
      </c>
      <c r="C244" s="25">
        <f t="shared" si="91" ref="C244:R244">IF((B159+C159)=0,"NM",-C243/((B159+C159)/2))</f>
        <v>0.0157813045923566</v>
      </c>
      <c r="D244" s="25">
        <f t="shared" si="91"/>
        <v>0.0325979008378285</v>
      </c>
      <c r="E244" s="25">
        <f t="shared" si="91"/>
        <v>0.0842953864385554</v>
      </c>
      <c r="F244" s="26">
        <f>IF((N159+F159)=0,"NM",-F243/((N159+F159)/2))</f>
        <v>0.0880048134641575</v>
      </c>
      <c r="K244" s="25">
        <f t="shared" si="91"/>
        <v>0.0228889625526811</v>
      </c>
      <c r="L244" s="25">
        <f t="shared" si="91"/>
        <v>-0.0280728223965117</v>
      </c>
      <c r="M244" s="25">
        <f>IF((D159+M159)=0,"NM",-M243/((D159+M159)/2))</f>
        <v>0.00435415908952269</v>
      </c>
      <c r="N244" s="25">
        <f t="shared" si="91"/>
        <v>0.0358488061781368</v>
      </c>
      <c r="O244" s="25">
        <f t="shared" si="91"/>
        <v>0.00660518654386615</v>
      </c>
      <c r="P244" s="25">
        <f t="shared" si="91"/>
        <v>0.0386222657764079</v>
      </c>
      <c r="Q244" s="25">
        <f>IF((E159+Q159)=0,"NM",-Q243/((E159+Q159)/2))</f>
        <v>0.00713303140564692</v>
      </c>
      <c r="R244" s="25">
        <f t="shared" si="91"/>
        <v>0.0355857822343475</v>
      </c>
      <c r="S244" s="20">
        <f t="shared" si="62"/>
        <v>284.527508287006</v>
      </c>
      <c r="T244" s="20">
        <f t="shared" si="63"/>
        <v>-2.63023943789298</v>
      </c>
    </row>
    <row customHeight="1" ht="15">
      <c r="A245" s="9" t="s">
        <v>232</v>
      </c>
      <c r="B245" s="15">
        <f t="shared" si="92" ref="B245:F245">IF(OR(B167&lt;=0,B243=0),"NM",-B167/B243)</f>
        <v>16.3245326536689</v>
      </c>
      <c r="C245" s="15">
        <f t="shared" si="92"/>
        <v>16.251797760459</v>
      </c>
      <c r="D245" s="15">
        <f t="shared" si="92"/>
        <v>4.96750418343958</v>
      </c>
      <c r="E245" s="15">
        <f t="shared" si="92"/>
        <v>3.07960150210333</v>
      </c>
      <c r="F245" s="16">
        <f t="shared" si="92"/>
        <v>3.22417349016852</v>
      </c>
      <c r="H245" s="15">
        <f t="shared" si="48"/>
        <v>16.251797760459</v>
      </c>
      <c r="J245" s="15">
        <f>'Rolling LTM'!G245</f>
        <v>-34.9422845389948</v>
      </c>
      <c r="K245" s="15">
        <f>'Rolling LTM'!H245</f>
        <v>-17.3301344359323</v>
      </c>
      <c r="L245" s="15">
        <f t="shared" si="46"/>
        <v>4.96750418343958</v>
      </c>
      <c r="M245" s="15">
        <f>'Rolling LTM'!J245</f>
        <v>5.21224140919289</v>
      </c>
      <c r="N245" s="15">
        <f>'Rolling LTM'!K245</f>
        <v>5.05288877153288</v>
      </c>
      <c r="O245" s="15">
        <f>'Rolling LTM'!L245</f>
        <v>10.7695157315975</v>
      </c>
      <c r="P245" s="15">
        <f t="shared" si="49"/>
        <v>3.07960150210333</v>
      </c>
      <c r="Q245" s="15">
        <f>'Rolling LTM'!N245</f>
        <v>3.15773173284652</v>
      </c>
      <c r="R245" s="15">
        <f>'Rolling LTM'!O245</f>
        <v>3.22417349016852</v>
      </c>
      <c r="S245" s="16">
        <f t="shared" si="50"/>
        <v>0.066441757322</v>
      </c>
      <c r="T245" s="16">
        <f t="shared" si="51"/>
        <v>-1.82871528136436</v>
      </c>
    </row>
    <row customHeight="1" ht="15">
      <c r="A246" s="9" t="s">
        <v>233</v>
      </c>
      <c r="B246" s="15">
        <f t="shared" si="93" ref="B246:F246">IF(OR(B176&lt;=0,B243=0),"NM",-B176/B243)</f>
        <v>16.3245326536689</v>
      </c>
      <c r="C246" s="15">
        <f t="shared" si="93"/>
        <v>16.251797760459</v>
      </c>
      <c r="D246" s="15">
        <f t="shared" si="93"/>
        <v>4.96750418343958</v>
      </c>
      <c r="E246" s="15">
        <f t="shared" si="93"/>
        <v>3.07960150210333</v>
      </c>
      <c r="F246" s="16">
        <f t="shared" si="93"/>
        <v>3.23007850052373</v>
      </c>
      <c r="H246" s="15">
        <f t="shared" si="48"/>
        <v>16.251797760459</v>
      </c>
      <c r="J246" s="15">
        <f>'Rolling LTM'!G246</f>
        <v>-34.9157251689596</v>
      </c>
      <c r="K246" s="15">
        <f>'Rolling LTM'!H246</f>
        <v>-17.3226964960423</v>
      </c>
      <c r="L246" s="15">
        <f t="shared" si="46"/>
        <v>4.96750418343958</v>
      </c>
      <c r="M246" s="15">
        <f>'Rolling LTM'!J246</f>
        <v>5.21079353885963</v>
      </c>
      <c r="N246" s="15">
        <f>'Rolling LTM'!K246</f>
        <v>5.05613471494723</v>
      </c>
      <c r="O246" s="15">
        <f>'Rolling LTM'!L246</f>
        <v>10.8005147998163</v>
      </c>
      <c r="P246" s="15">
        <f t="shared" si="49"/>
        <v>3.07960150210333</v>
      </c>
      <c r="Q246" s="15">
        <f>'Rolling LTM'!N246</f>
        <v>3.1618445034709</v>
      </c>
      <c r="R246" s="15">
        <f>'Rolling LTM'!O246</f>
        <v>3.23007850052373</v>
      </c>
      <c r="S246" s="16">
        <f t="shared" si="50"/>
        <v>0.0682339970528298</v>
      </c>
      <c r="T246" s="16">
        <f t="shared" si="51"/>
        <v>-1.8260562144235</v>
      </c>
    </row>
    <row customHeight="1" ht="15">
      <c r="A247" s="9" t="s">
        <v>234</v>
      </c>
      <c r="B247" s="11">
        <f t="shared" si="94" ref="B247:R247">B76</f>
        <v>-3.350279</v>
      </c>
      <c r="C247" s="11">
        <f t="shared" si="94"/>
        <v>-5.782459</v>
      </c>
      <c r="D247" s="11">
        <f t="shared" si="94"/>
        <v>-7.184522</v>
      </c>
      <c r="E247" s="11">
        <f t="shared" si="94"/>
        <v>-6.091108</v>
      </c>
      <c r="F247" s="10">
        <f t="shared" si="94"/>
        <v>-6.512825</v>
      </c>
      <c r="G247" s="11">
        <f t="shared" si="94"/>
        <v>-1.547474</v>
      </c>
      <c r="H247" s="11">
        <f t="shared" si="94"/>
        <v>-1.827052</v>
      </c>
      <c r="I247" s="11">
        <f t="shared" si="94"/>
        <v>-1.75688</v>
      </c>
      <c r="J247" s="11">
        <f t="shared" si="94"/>
        <v>-0.977884</v>
      </c>
      <c r="K247" s="11">
        <f t="shared" si="94"/>
        <v>-1.421533</v>
      </c>
      <c r="L247" s="11">
        <f t="shared" si="94"/>
        <v>-3.028225</v>
      </c>
      <c r="M247" s="11">
        <f t="shared" si="94"/>
        <v>-0.9154</v>
      </c>
      <c r="N247" s="11">
        <f t="shared" si="94"/>
        <v>-0.92147</v>
      </c>
      <c r="O247" s="11">
        <f t="shared" si="94"/>
        <v>-1.638141</v>
      </c>
      <c r="P247" s="11">
        <f t="shared" si="94"/>
        <v>-2.616097</v>
      </c>
      <c r="Q247" s="11">
        <f t="shared" si="94"/>
        <v>-1.015886</v>
      </c>
      <c r="R247" s="11">
        <f t="shared" si="94"/>
        <v>-1.242701</v>
      </c>
      <c r="S247" s="12">
        <f t="shared" si="0"/>
        <v>0.223268161978805</v>
      </c>
      <c r="T247" s="12">
        <f t="shared" si="1"/>
        <v>0.348607116889318</v>
      </c>
    </row>
    <row customHeight="1" ht="15">
      <c r="A248" s="9" t="s">
        <v>235</v>
      </c>
      <c r="B248" s="11">
        <f t="shared" si="95" ref="B248:F248">B243+B247+B226-(0.1*B159)</f>
        <v>-150.820602</v>
      </c>
      <c r="C248" s="11">
        <f t="shared" si="95"/>
        <v>-156.9903654</v>
      </c>
      <c r="D248" s="11">
        <f t="shared" si="95"/>
        <v>-125.6840067</v>
      </c>
      <c r="E248" s="11">
        <f t="shared" si="95"/>
        <v>-160.9709055</v>
      </c>
      <c r="F248" s="10">
        <f t="shared" si="95"/>
        <v>-183.360261</v>
      </c>
      <c r="H248" s="11">
        <f t="shared" si="48"/>
        <v>-156.9903654</v>
      </c>
      <c r="J248" s="11">
        <f>'Rolling LTM'!G248</f>
        <v>-141.2519396</v>
      </c>
      <c r="K248" s="11">
        <f>'Rolling LTM'!H248</f>
        <v>-117.3136939</v>
      </c>
      <c r="L248" s="11">
        <f t="shared" si="46"/>
        <v>-125.6840067</v>
      </c>
      <c r="M248" s="11">
        <f>'Rolling LTM'!J248</f>
        <v>-116.8145279</v>
      </c>
      <c r="N248" s="11">
        <f>'Rolling LTM'!K248</f>
        <v>-128.1127329</v>
      </c>
      <c r="O248" s="11">
        <f>'Rolling LTM'!L248</f>
        <v>-121.6292677</v>
      </c>
      <c r="P248" s="11">
        <f t="shared" si="49"/>
        <v>-160.9709055</v>
      </c>
      <c r="Q248" s="11">
        <f>'Rolling LTM'!N248</f>
        <v>-179.779427</v>
      </c>
      <c r="R248" s="11">
        <f>'Rolling LTM'!O248</f>
        <v>-183.360261</v>
      </c>
      <c r="S248" s="12">
        <f t="shared" si="0"/>
        <v>0.0199179297640102</v>
      </c>
      <c r="T248" s="12">
        <f t="shared" si="1"/>
        <v>0.431241507767414</v>
      </c>
    </row>
    <row customHeight="1" ht="15">
      <c r="A249" s="9" t="s">
        <v>236</v>
      </c>
      <c r="B249" s="15">
        <f t="shared" si="96" ref="B249:F249">IF(OR(B167&lt;=0,B248=0),"NM",-B167/B248)</f>
        <v>0.468159144464892</v>
      </c>
      <c r="C249" s="15">
        <f t="shared" si="96"/>
        <v>0.728299241222099</v>
      </c>
      <c r="D249" s="15">
        <f t="shared" si="96"/>
        <v>0.632615995365145</v>
      </c>
      <c r="E249" s="15">
        <f t="shared" si="96"/>
        <v>0.861211158435088</v>
      </c>
      <c r="F249" s="16">
        <f t="shared" si="96"/>
        <v>0.865801270865338</v>
      </c>
      <c r="H249" s="15">
        <f t="shared" si="48"/>
        <v>0.728299241222099</v>
      </c>
      <c r="J249" s="15">
        <f>'Rolling LTM'!G249</f>
        <v>0.766388931058615</v>
      </c>
      <c r="K249" s="15">
        <f>'Rolling LTM'!H249</f>
        <v>0.872969280869264</v>
      </c>
      <c r="L249" s="15">
        <f t="shared" si="46"/>
        <v>0.632615995365145</v>
      </c>
      <c r="M249" s="15">
        <f>'Rolling LTM'!J249</f>
        <v>0.704365736686764</v>
      </c>
      <c r="N249" s="15">
        <f>'Rolling LTM'!K249</f>
        <v>0.701286046798554</v>
      </c>
      <c r="O249" s="15">
        <f>'Rolling LTM'!L249</f>
        <v>0.978866684404119</v>
      </c>
      <c r="P249" s="15">
        <f t="shared" si="49"/>
        <v>0.861211158435088</v>
      </c>
      <c r="Q249" s="15">
        <f>'Rolling LTM'!N249</f>
        <v>0.82180117861873</v>
      </c>
      <c r="R249" s="15">
        <f>'Rolling LTM'!O249</f>
        <v>0.865801270865338</v>
      </c>
      <c r="S249" s="16">
        <f t="shared" si="50"/>
        <v>0.0440000922466079</v>
      </c>
      <c r="T249" s="16">
        <f t="shared" si="51"/>
        <v>0.164515224066784</v>
      </c>
    </row>
    <row customHeight="1" ht="15">
      <c r="A250" s="9" t="s">
        <v>237</v>
      </c>
      <c r="B250" s="15">
        <f t="shared" si="97" ref="B250:F250">IF(OR(B176&lt;=0,B248=0),"NM",-B176/B248)</f>
        <v>0.468159144464892</v>
      </c>
      <c r="C250" s="15">
        <f t="shared" si="97"/>
        <v>0.728299241222099</v>
      </c>
      <c r="D250" s="15">
        <f t="shared" si="97"/>
        <v>0.632615995365145</v>
      </c>
      <c r="E250" s="15">
        <f t="shared" si="97"/>
        <v>0.861211158435088</v>
      </c>
      <c r="F250" s="16">
        <f t="shared" si="97"/>
        <v>0.867386968869989</v>
      </c>
      <c r="H250" s="15">
        <f t="shared" si="48"/>
        <v>0.728299241222099</v>
      </c>
      <c r="J250" s="15">
        <f>'Rolling LTM'!G250</f>
        <v>0.765806404544409</v>
      </c>
      <c r="K250" s="15">
        <f>'Rolling LTM'!H250</f>
        <v>0.872594610201768</v>
      </c>
      <c r="L250" s="15">
        <f t="shared" si="46"/>
        <v>0.632615995365145</v>
      </c>
      <c r="M250" s="15">
        <f>'Rolling LTM'!J250</f>
        <v>0.704170076092051</v>
      </c>
      <c r="N250" s="15">
        <f>'Rolling LTM'!K250</f>
        <v>0.701736548467619</v>
      </c>
      <c r="O250" s="15">
        <f>'Rolling LTM'!L250</f>
        <v>0.981684262824843</v>
      </c>
      <c r="P250" s="15">
        <f t="shared" si="49"/>
        <v>0.861211158435088</v>
      </c>
      <c r="Q250" s="15">
        <f>'Rolling LTM'!N250</f>
        <v>0.822871529121071</v>
      </c>
      <c r="R250" s="15">
        <f>'Rolling LTM'!O250</f>
        <v>0.867386968869989</v>
      </c>
      <c r="S250" s="16">
        <f t="shared" si="50"/>
        <v>0.044515439748918</v>
      </c>
      <c r="T250" s="16">
        <f t="shared" si="51"/>
        <v>0.16565042040237</v>
      </c>
    </row>
    <row customHeight="1" ht="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customHeight="1" ht="15">
      <c r="A252" s="2" t="s">
        <v>238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customHeight="1" ht="15">
      <c r="A253" s="9" t="s">
        <v>239</v>
      </c>
      <c r="C253" s="19">
        <f t="shared" si="98" ref="C253:E253">IF(AND(C3=0,B3=0),0,IF(OR(B3=0,B3="NM",C3="NM"),"NM",IF(B3&lt;0,-(C3/B3-1),C3/B3-1)))</f>
        <v>0.156075795585702</v>
      </c>
      <c r="D253" s="19">
        <f t="shared" si="98"/>
        <v>-0.000571029384713095</v>
      </c>
      <c r="E253" s="19">
        <f t="shared" si="98"/>
        <v>0.147910181170013</v>
      </c>
      <c r="F253" s="12">
        <f>IF(AND(F3=0,'Rolling LTM'!K3=0),0,IF(OR('Rolling LTM'!K3=0,'Rolling LTM'!K3="NM",F3="NM"),"NM",IF('Rolling LTM'!K3&lt;0,-(F3/'Rolling LTM'!K3-1),F3/'Rolling LTM'!K3-1)))</f>
        <v>0.187820256705042</v>
      </c>
      <c r="K253" s="19">
        <f t="shared" si="99" ref="K253:R253">IF(AND(K3=0,G3=0),0,IF(OR(G3=0,G3="NM",K3="NM"),"NM",IF(G3&lt;0,-(K3/G3-1),K3/G3-1)))</f>
        <v>0.237212681163457</v>
      </c>
      <c r="L253" s="19">
        <f t="shared" si="99"/>
        <v>0.0133590008432127</v>
      </c>
      <c r="M253" s="19">
        <f t="shared" si="99"/>
        <v>0.0896661678119905</v>
      </c>
      <c r="N253" s="19">
        <f t="shared" si="99"/>
        <v>0.129667173920011</v>
      </c>
      <c r="O253" s="19">
        <f t="shared" si="99"/>
        <v>0.212355353804872</v>
      </c>
      <c r="P253" s="19">
        <f t="shared" si="99"/>
        <v>0.158009893448984</v>
      </c>
      <c r="Q253" s="19">
        <f t="shared" si="99"/>
        <v>0.222926129159143</v>
      </c>
      <c r="R253" s="19">
        <f t="shared" si="99"/>
        <v>0.161298158629107</v>
      </c>
      <c r="S253" s="14"/>
      <c r="T253" s="14"/>
    </row>
    <row customHeight="1" ht="15">
      <c r="A254" s="9" t="s">
        <v>240</v>
      </c>
      <c r="C254" s="19">
        <f t="shared" si="100" ref="C254:E254">IF(AND(C167=0,B167=0),0,IF(OR(B167=0,B167="NM",C167="NM"),"NM",IF(B167&lt;0,-(C167/B167-1),C167/B167-1)))</f>
        <v>0.61930507521211</v>
      </c>
      <c r="D254" s="19">
        <f t="shared" si="100"/>
        <v>-0.304595770058842</v>
      </c>
      <c r="E254" s="19">
        <f t="shared" si="100"/>
        <v>0.743559808850021</v>
      </c>
      <c r="F254" s="12">
        <f>IF(AND(F167=0,'Rolling LTM'!K167=0),0,IF(OR('Rolling LTM'!K167=0,'Rolling LTM'!K167="NM",F167="NM"),"NM",IF('Rolling LTM'!K167&lt;0,-(F167/'Rolling LTM'!K167-1),F167/'Rolling LTM'!K167-1)))</f>
        <v>0.766997535452469</v>
      </c>
      <c r="K254" s="19">
        <f t="shared" si="101" ref="K254:R254">IF(AND(K167=0,G167=0),0,IF(OR(G167=0,G167="NM",K167="NM"),"NM",IF(G167&lt;0,-(K167/G167-1),K167/G167-1)))</f>
        <v>-0.263209222669754</v>
      </c>
      <c r="L254" s="19">
        <f t="shared" si="101"/>
        <v>-0.603565536107965</v>
      </c>
      <c r="M254" s="19">
        <f t="shared" si="101"/>
        <v>0.105486490173659</v>
      </c>
      <c r="N254" s="19">
        <f t="shared" si="101"/>
        <v>0.347908474897584</v>
      </c>
      <c r="O254" s="19">
        <f t="shared" si="101"/>
        <v>1.7883849077037</v>
      </c>
      <c r="P254" s="19">
        <f t="shared" si="101"/>
        <v>1.30107898381149</v>
      </c>
      <c r="Q254" s="19">
        <f t="shared" si="101"/>
        <v>0.313874891734232</v>
      </c>
      <c r="R254" s="19">
        <f t="shared" si="101"/>
        <v>0.354487648442709</v>
      </c>
      <c r="S254" s="14"/>
      <c r="T254" s="14"/>
    </row>
    <row customHeight="1" ht="15">
      <c r="A255" s="9" t="s">
        <v>241</v>
      </c>
      <c r="C255" s="19">
        <f t="shared" si="102" ref="C255:E255">IF(AND(C176=0,B176=0),0,IF(OR(B176=0,B176="NM",C176="NM"),"NM",IF(B176&lt;0,-(C176/B176-1),C176/B176-1)))</f>
        <v>0.61930507521211</v>
      </c>
      <c r="D255" s="19">
        <f t="shared" si="102"/>
        <v>-0.304595770058842</v>
      </c>
      <c r="E255" s="19">
        <f t="shared" si="102"/>
        <v>0.743559808850021</v>
      </c>
      <c r="F255" s="12">
        <f>IF(AND(F176=0,'Rolling LTM'!K176=0),0,IF(OR('Rolling LTM'!K176=0,'Rolling LTM'!K176="NM",F176="NM"),"NM",IF('Rolling LTM'!K176&lt;0,-(F176/'Rolling LTM'!K176-1),F176/'Rolling LTM'!K176-1)))</f>
        <v>0.769097299911513</v>
      </c>
      <c r="K255" s="19">
        <f t="shared" si="103" ref="K255:R255">IF(AND(K176=0,G176=0),0,IF(OR(G176=0,G176="NM",K176="NM"),"NM",IF(G176&lt;0,-(K176/G176-1),K176/G176-1)))</f>
        <v>-0.261482521890434</v>
      </c>
      <c r="L255" s="19">
        <f t="shared" si="103"/>
        <v>-0.602407137070569</v>
      </c>
      <c r="M255" s="19">
        <f t="shared" si="103"/>
        <v>0.104616230951323</v>
      </c>
      <c r="N255" s="19">
        <f t="shared" si="103"/>
        <v>0.351183991274717</v>
      </c>
      <c r="O255" s="19">
        <f t="shared" si="103"/>
        <v>1.7995049983588</v>
      </c>
      <c r="P255" s="19">
        <f t="shared" si="103"/>
        <v>1.27457206978342</v>
      </c>
      <c r="Q255" s="19">
        <f t="shared" si="103"/>
        <v>0.32075506753106</v>
      </c>
      <c r="R255" s="19">
        <f t="shared" si="103"/>
        <v>0.377716976822262</v>
      </c>
      <c r="S255" s="14"/>
      <c r="T255" s="14"/>
    </row>
    <row customHeight="1" ht="15">
      <c r="A256" s="9" t="s">
        <v>242</v>
      </c>
      <c r="C256" s="19">
        <f t="shared" si="104" ref="C256:E256">IF(AND(C13=0,B13=0),0,IF(OR(B13=0,B13="NM",C13="NM"),"NM",IF(B13&lt;0,-(C13/B13-1),C13/B13-1)))</f>
        <v>2.20794650130765</v>
      </c>
      <c r="D256" s="19">
        <f t="shared" si="104"/>
        <v>-0.798447759733972</v>
      </c>
      <c r="E256" s="19">
        <f t="shared" si="104"/>
        <v>5.66027525465441</v>
      </c>
      <c r="F256" s="12">
        <f>IF(AND(F13=0,'Rolling LTM'!K13=0),0,IF(OR('Rolling LTM'!K13=0,'Rolling LTM'!K13="NM",F13="NM"),"NM",IF('Rolling LTM'!K13&lt;0,-(F13/'Rolling LTM'!K13-1),F13/'Rolling LTM'!K13-1)))</f>
        <v>2.7799605715969</v>
      </c>
      <c r="K256" s="19">
        <f t="shared" si="105" ref="K256:R256">IF(AND(K13=0,G13=0),0,IF(OR(G13=0,G13="NM",K13="NM"),"NM",IF(G13&lt;0,-(K13/G13-1),K13/G13-1)))</f>
        <v>-0.864541161874771</v>
      </c>
      <c r="L256" s="19">
        <f t="shared" si="105"/>
        <v>-1.14318026161003</v>
      </c>
      <c r="M256" s="19">
        <f t="shared" si="105"/>
        <v>0.310449795310451</v>
      </c>
      <c r="N256" s="19">
        <f t="shared" si="105"/>
        <v>2.799842511208</v>
      </c>
      <c r="O256" s="19">
        <f t="shared" si="105"/>
        <v>25.6262915245063</v>
      </c>
      <c r="P256" s="19">
        <f t="shared" si="105"/>
        <v>6.58107260300556</v>
      </c>
      <c r="Q256" s="19">
        <f t="shared" si="105"/>
        <v>0.567475338929314</v>
      </c>
      <c r="R256" s="19">
        <f t="shared" si="105"/>
        <v>0.700541058267197</v>
      </c>
      <c r="S256" s="14"/>
      <c r="T256" s="14"/>
    </row>
    <row customHeight="1" ht="15">
      <c r="A257" s="9" t="s">
        <v>243</v>
      </c>
      <c r="C257" s="19">
        <f t="shared" si="106" ref="C257:E257">IF(AND(C20=0,B20=0),0,IF(OR(B20=0,B20="NM",C20="NM"),"NM",IF(B20&lt;0,-(C20/B20-1),C20/B20-1)))</f>
        <v>-0.697296600605904</v>
      </c>
      <c r="D257" s="19">
        <f t="shared" si="106"/>
        <v>0.0672574687767485</v>
      </c>
      <c r="E257" s="19">
        <f t="shared" si="106"/>
        <v>1.37498922955127</v>
      </c>
      <c r="F257" s="12">
        <f>IF(AND(F20=0,'Rolling LTM'!K20=0),0,IF(OR('Rolling LTM'!K20=0,'Rolling LTM'!K20="NM",F20="NM"),"NM",IF('Rolling LTM'!K20&lt;0,-(F20/'Rolling LTM'!K20-1),F20/'Rolling LTM'!K20-1)))</f>
        <v>1.53671204608169</v>
      </c>
      <c r="K257" s="19">
        <f t="shared" si="107" ref="K257:R257">IF(AND(K20=0,G20=0),0,IF(OR(G20=0,G20="NM",K20="NM"),"NM",IF(G20&lt;0,-(K20/G20-1),K20/G20-1)))</f>
        <v>-2.97856294684489</v>
      </c>
      <c r="L257" s="19">
        <f t="shared" si="107"/>
        <v>-0.0510542226117874</v>
      </c>
      <c r="M257" s="19">
        <f t="shared" si="107"/>
        <v>0.284761517765915</v>
      </c>
      <c r="N257" s="19">
        <f t="shared" si="107"/>
        <v>0.466735577378994</v>
      </c>
      <c r="O257" s="19">
        <f t="shared" si="107"/>
        <v>2.03709099364272</v>
      </c>
      <c r="P257" s="19">
        <f t="shared" si="107"/>
        <v>1.91002348084254</v>
      </c>
      <c r="Q257" s="19">
        <f t="shared" si="107"/>
        <v>-0.111631804327065</v>
      </c>
      <c r="R257" s="19">
        <f t="shared" si="107"/>
        <v>0.775699995101361</v>
      </c>
      <c r="S257" s="14"/>
      <c r="T257" s="14"/>
    </row>
    <row customHeight="1" ht="15">
      <c r="A258" s="9" t="s">
        <v>244</v>
      </c>
      <c r="C258" s="19">
        <f t="shared" si="108" ref="C258:E258">IF(AND(C24=0,B24=0),0,IF(OR(B24=0,B24="NM",C24="NM"),"NM",IF(B24&lt;0,-(C24/B24-1),C24/B24-1)))</f>
        <v>-0.869093555360517</v>
      </c>
      <c r="D258" s="19">
        <f t="shared" si="108"/>
        <v>0.101786752228812</v>
      </c>
      <c r="E258" s="19">
        <f t="shared" si="108"/>
        <v>1.29328319249841</v>
      </c>
      <c r="F258" s="12">
        <f>IF(AND(F24=0,'Rolling LTM'!K24=0),0,IF(OR('Rolling LTM'!K24=0,'Rolling LTM'!K24="NM",F24="NM"),"NM",IF('Rolling LTM'!K24&lt;0,-(F24/'Rolling LTM'!K24-1),F24/'Rolling LTM'!K24-1)))</f>
        <v>1.38975072744976</v>
      </c>
      <c r="K258" s="19">
        <f t="shared" si="109" ref="K258:R258">IF(AND(K24=0,G24=0),0,IF(OR(G24=0,G24="NM",K24="NM"),"NM",IF(G24&lt;0,-(K24/G24-1),K24/G24-1)))</f>
        <v>-8.41592505581996</v>
      </c>
      <c r="L258" s="19">
        <f t="shared" si="109"/>
        <v>0.0426118112954471</v>
      </c>
      <c r="M258" s="19">
        <f t="shared" si="109"/>
        <v>0.3004318523829</v>
      </c>
      <c r="N258" s="19">
        <f t="shared" si="109"/>
        <v>0.462696649940586</v>
      </c>
      <c r="O258" s="19">
        <f t="shared" si="109"/>
        <v>1.85607053513002</v>
      </c>
      <c r="P258" s="19">
        <f t="shared" si="109"/>
        <v>1.80607875682888</v>
      </c>
      <c r="Q258" s="19">
        <f t="shared" si="109"/>
        <v>-0.263886782284854</v>
      </c>
      <c r="R258" s="19">
        <f t="shared" si="109"/>
        <v>0.552167570337853</v>
      </c>
      <c r="S258" s="14"/>
      <c r="T258" s="14"/>
    </row>
    <row customHeight="1" ht="15">
      <c r="A259" s="9" t="s">
        <v>245</v>
      </c>
      <c r="C259" s="19">
        <f t="shared" si="110" ref="C259:E259">IF(AND(C78=0,B78=0),0,IF(OR(B78=0,B78="NM",C78="NM"),"NM",IF(B78&lt;0,-(C78/B78-1),C78/B78-1)))</f>
        <v>0.174372533131378</v>
      </c>
      <c r="D259" s="19">
        <f t="shared" si="110"/>
        <v>-0.699379934197744</v>
      </c>
      <c r="E259" s="19">
        <f t="shared" si="110"/>
        <v>0.230229924711019</v>
      </c>
      <c r="F259" s="12">
        <f>IF(AND(F78=0,'Rolling LTM'!K78=0),0,IF(OR('Rolling LTM'!K78=0,'Rolling LTM'!K78="NM",F78="NM"),"NM",IF('Rolling LTM'!K78&lt;0,-(F78/'Rolling LTM'!K78-1),F78/'Rolling LTM'!K78-1)))</f>
        <v>0.0701600176395296</v>
      </c>
      <c r="K259" s="19">
        <f t="shared" si="111" ref="K259:R259">IF(AND(K78=0,G78=0),0,IF(OR(G78=0,G78="NM",K78="NM"),"NM",IF(G78&lt;0,-(K78/G78-1),K78/G78-1)))</f>
        <v>-0.432464641895892</v>
      </c>
      <c r="L259" s="19">
        <f t="shared" si="111"/>
        <v>-1.79959652846366</v>
      </c>
      <c r="M259" s="19">
        <f t="shared" si="111"/>
        <v>-1.6722106149622</v>
      </c>
      <c r="N259" s="19">
        <f t="shared" si="111"/>
        <v>16.5549045007528</v>
      </c>
      <c r="O259" s="19">
        <f t="shared" si="111"/>
        <v>-0.18977743061136</v>
      </c>
      <c r="P259" s="19">
        <f t="shared" si="111"/>
        <v>1.18293361692117</v>
      </c>
      <c r="Q259" s="19">
        <f t="shared" si="111"/>
        <v>-0.374892982026575</v>
      </c>
      <c r="R259" s="19">
        <f t="shared" si="111"/>
        <v>0.153933811139733</v>
      </c>
      <c r="S259" s="14"/>
      <c r="T259" s="14"/>
    </row>
    <row customHeight="1" ht="15">
      <c r="A260" s="9" t="s">
        <v>246</v>
      </c>
      <c r="C260" s="19">
        <f t="shared" si="112" ref="C260:E260">IF(AND(C226=0,B226=0),0,IF(OR(B226=0,B226="NM",C226="NM"),"NM",IF(B226&lt;0,(C226/B226-1),-(C226/B226-1))))</f>
        <v>-0.00685651940003806</v>
      </c>
      <c r="D260" s="19">
        <f t="shared" si="112"/>
        <v>-0.496389840454486</v>
      </c>
      <c r="E260" s="19">
        <f t="shared" si="112"/>
        <v>0.122721646114283</v>
      </c>
      <c r="F260" s="12">
        <f>IF(AND(F226=0,'Rolling LTM'!K226=0),0,IF(OR('Rolling LTM'!K226=0,'Rolling LTM'!K226="NM",F226="NM"),"NM",IF('Rolling LTM'!K226&lt;0,(F226/'Rolling LTM'!K226-1),-(F226/'Rolling LTM'!K226-1))))</f>
        <v>0.315226357434017</v>
      </c>
      <c r="K260" s="19">
        <f t="shared" si="113" ref="K260:R260">IF(AND(K226=0,G226=0),0,IF(OR(G226=0,G226="NM",K226="NM"),"NM",IF(G226&lt;0,(K226/G226-1),-(K226/G226-1))))</f>
        <v>-0.59696159645988</v>
      </c>
      <c r="L260" s="19">
        <f t="shared" si="113"/>
        <v>-0.574903583596433</v>
      </c>
      <c r="M260" s="19">
        <f t="shared" si="113"/>
        <v>-0.638220918436375</v>
      </c>
      <c r="N260" s="19">
        <f t="shared" si="113"/>
        <v>0.682895327034523</v>
      </c>
      <c r="O260" s="19">
        <f t="shared" si="113"/>
        <v>0.127584652524954</v>
      </c>
      <c r="P260" s="19">
        <f t="shared" si="113"/>
        <v>0.200523856934112</v>
      </c>
      <c r="Q260" s="19">
        <f t="shared" si="113"/>
        <v>2.44799530891666</v>
      </c>
      <c r="R260" s="19">
        <f t="shared" si="113"/>
        <v>1.01809831934201</v>
      </c>
      <c r="S260" s="14"/>
      <c r="T260" s="14"/>
    </row>
    <row customHeight="1" ht="15">
      <c r="A261" s="9" t="s">
        <v>247</v>
      </c>
      <c r="C261" s="19">
        <f t="shared" si="114" ref="C261:E263">IF(AND(C232=0,B232=0),0,IF(OR(B232=0,B232="NM",C232="NM"),"NM",IF(B232&lt;0,-(C232/B232-1),C232/B232-1)))</f>
        <v>0.564436537857272</v>
      </c>
      <c r="D261" s="19">
        <f t="shared" si="114"/>
        <v>-0.508405711842875</v>
      </c>
      <c r="E261" s="19">
        <f t="shared" si="114"/>
        <v>0.838511249084662</v>
      </c>
      <c r="F261" s="12">
        <f>IF(AND(F232=0,'Rolling LTM'!K232=0),0,IF(OR('Rolling LTM'!K232=0,'Rolling LTM'!K232="NM",F232="NM"),"NM",IF('Rolling LTM'!K232&lt;0,-(F232/'Rolling LTM'!K232-1),F232/'Rolling LTM'!K232-1)))</f>
        <v>0.826237959688354</v>
      </c>
      <c r="K261" s="19">
        <f t="shared" si="115" ref="K261:R263">IF(AND(K232=0,G232=0),0,IF(OR(G232=0,G232="NM",K232="NM"),"NM",IF(G232&lt;0,-(K232/G232-1),K232/G232-1)))</f>
        <v>-0.144911104266383</v>
      </c>
      <c r="L261" s="19">
        <f t="shared" si="115"/>
        <v>-0.770369312359973</v>
      </c>
      <c r="M261" s="19">
        <f t="shared" si="115"/>
        <v>-0.632008815744042</v>
      </c>
      <c r="N261" s="19">
        <f t="shared" si="115"/>
        <v>6.27524853062329</v>
      </c>
      <c r="O261" s="19">
        <f t="shared" si="115"/>
        <v>6.9523269711208</v>
      </c>
      <c r="P261" s="19">
        <f t="shared" si="115"/>
        <v>-0.254729763541989</v>
      </c>
      <c r="Q261" s="19">
        <f t="shared" si="115"/>
        <v>0.753573573164801</v>
      </c>
      <c r="R261" s="19">
        <f t="shared" si="115"/>
        <v>0.260148887125061</v>
      </c>
      <c r="S261" s="14"/>
      <c r="T261" s="14"/>
    </row>
    <row customHeight="1" ht="15">
      <c r="A262" s="9" t="s">
        <v>248</v>
      </c>
      <c r="C262" s="19">
        <f t="shared" si="114"/>
        <v>1.8566254947067</v>
      </c>
      <c r="D262" s="19">
        <f t="shared" si="114"/>
        <v>-4.23413886946717</v>
      </c>
      <c r="E262" s="19">
        <f t="shared" si="114"/>
        <v>-0.142955792356067</v>
      </c>
      <c r="F262" s="12">
        <f>IF(AND(F233=0,'Rolling LTM'!K233=0),0,IF(OR('Rolling LTM'!K233=0,'Rolling LTM'!K233="NM",F233="NM"),"NM",IF('Rolling LTM'!K233&lt;0,-(F233/'Rolling LTM'!K233-1),F233/'Rolling LTM'!K233-1)))</f>
        <v>-0.65053613833076</v>
      </c>
      <c r="K262" s="19">
        <f t="shared" si="115"/>
        <v>-0.0719936216589687</v>
      </c>
      <c r="L262" s="19">
        <f t="shared" si="115"/>
        <v>-8.48621969580492</v>
      </c>
      <c r="M262" s="19">
        <f t="shared" si="115"/>
        <v>-4.76559695556269</v>
      </c>
      <c r="N262" s="19">
        <f t="shared" si="115"/>
        <v>1.4420279363487</v>
      </c>
      <c r="O262" s="19">
        <f t="shared" si="115"/>
        <v>-0.147183589478821</v>
      </c>
      <c r="P262" s="19">
        <f t="shared" si="115"/>
        <v>0.0662475157223017</v>
      </c>
      <c r="Q262" s="19">
        <f t="shared" si="115"/>
        <v>-0.959251248955632</v>
      </c>
      <c r="R262" s="19">
        <f t="shared" si="115"/>
        <v>-2.27958993577147</v>
      </c>
      <c r="S262" s="14"/>
      <c r="T262" s="14"/>
    </row>
    <row customHeight="1" ht="15">
      <c r="A263" s="9" t="s">
        <v>249</v>
      </c>
      <c r="C263" s="19">
        <f t="shared" si="114"/>
        <v>1.32019084081353</v>
      </c>
      <c r="D263" s="19">
        <f t="shared" si="114"/>
        <v>-0.851484414353335</v>
      </c>
      <c r="E263" s="19">
        <f t="shared" si="114"/>
        <v>5.33627183272529</v>
      </c>
      <c r="F263" s="12">
        <f>IF(AND(F234=0,'Rolling LTM'!K234=0),0,IF(OR('Rolling LTM'!K234=0,'Rolling LTM'!K234="NM",F234="NM"),"NM",IF('Rolling LTM'!K234&lt;0,-(F234/'Rolling LTM'!K234-1),F234/'Rolling LTM'!K234-1)))</f>
        <v>2.47078949303176</v>
      </c>
      <c r="K263" s="19">
        <f t="shared" si="115"/>
        <v>0.0516271537427311</v>
      </c>
      <c r="L263" s="19">
        <f t="shared" si="115"/>
        <v>-1.68455540129737</v>
      </c>
      <c r="M263" s="19">
        <f t="shared" si="115"/>
        <v>-3.07972081894145</v>
      </c>
      <c r="N263" s="19">
        <f t="shared" si="115"/>
        <v>1.57314588325248</v>
      </c>
      <c r="O263" s="19">
        <f t="shared" si="115"/>
        <v>-0.455055476670603</v>
      </c>
      <c r="P263" s="19">
        <f t="shared" si="115"/>
        <v>1.0389774951936</v>
      </c>
      <c r="Q263" s="19">
        <f t="shared" si="115"/>
        <v>-1.01997877350977</v>
      </c>
      <c r="R263" s="19">
        <f t="shared" si="115"/>
        <v>-0.192320609618667</v>
      </c>
      <c r="S263" s="14"/>
      <c r="T263" s="14"/>
    </row>
    <row customHeight="1" ht="15">
      <c r="A264" s="9" t="s">
        <v>250</v>
      </c>
      <c r="C264" s="19">
        <f t="shared" si="116" ref="C264:E264">IF(AND((C95+C96)=0,(B95+B96)=0),0,IF(OR((B95+B96)=0,(B95+B96)="NM",(C95+C96)="NM"),"NM",IF((B95+B96)&lt;0,-((C95+C96)/(B95+B96)-1),(C95+C96)/(B95+B96)-1)))</f>
        <v>1.16852098373355</v>
      </c>
      <c r="D264" s="19">
        <f t="shared" si="116"/>
        <v>2.38360484503064</v>
      </c>
      <c r="E264" s="19">
        <f t="shared" si="116"/>
        <v>-2.12587832447342</v>
      </c>
      <c r="F264" s="12">
        <f>IF(AND(((E95+E96)+('Quarterly YTD'!O95+'Quarterly YTD'!O96)-('Quarterly YTD'!K95+'Quarterly YTD'!K96))=0,((D95+D96)+('Quarterly YTD'!K95+'Quarterly YTD'!K96)-('Quarterly YTD'!G95+'Quarterly YTD'!G96))=0),0,IF(OR(((D95+D96)+('Quarterly YTD'!K95+'Quarterly YTD'!K96)-('Quarterly YTD'!G95+'Quarterly YTD'!G96))=0,((D95+D96)+('Quarterly YTD'!K95+'Quarterly YTD'!K96)-('Quarterly YTD'!G95+'Quarterly YTD'!G96))="NM",((E95+E96)+('Quarterly YTD'!O95+'Quarterly YTD'!O96)-('Quarterly YTD'!K95+'Quarterly YTD'!K96))="NM"),"NM",IF(((D95+D96)+('Quarterly YTD'!K95+'Quarterly YTD'!K96)-('Quarterly YTD'!G95+'Quarterly YTD'!G96))&lt;0,-(((E95+E96)+('Quarterly YTD'!O95+'Quarterly YTD'!O96)-('Quarterly YTD'!K95+'Quarterly YTD'!K96))/((D95+D96)+('Quarterly YTD'!K95+'Quarterly YTD'!K96)-('Quarterly YTD'!G95+'Quarterly YTD'!G96))-1),((E95+E96)+('Quarterly YTD'!O95+'Quarterly YTD'!O96)-('Quarterly YTD'!K95+'Quarterly YTD'!K96))/((D95+D96)+('Quarterly YTD'!K95+'Quarterly YTD'!K96)-('Quarterly YTD'!G95+'Quarterly YTD'!G96))-1)))</f>
        <v>-1.08190771008347</v>
      </c>
      <c r="K264" s="19">
        <f t="shared" si="117" ref="K264:R264">IF(AND((K95+K96)=0,(G95+G96)=0),0,IF(OR((G95+G96)=0,(G95+G96)="NM",(K95+K96)="NM"),"NM",IF((G95+G96)&lt;0,-((K95+K96)/(G95+G96)-1),(K95+K96)/(G95+G96)-1)))</f>
        <v>-2.75462338687431</v>
      </c>
      <c r="L264" s="19">
        <f t="shared" si="117"/>
        <v>5.51106037651151</v>
      </c>
      <c r="M264" s="19">
        <f t="shared" si="117"/>
        <v>-1.25755489179193</v>
      </c>
      <c r="N264" s="19">
        <f t="shared" si="117"/>
        <v>7.79301454044462</v>
      </c>
      <c r="O264" s="19">
        <f t="shared" si="117"/>
        <v>0.83792663605612</v>
      </c>
      <c r="P264" s="19">
        <f t="shared" si="117"/>
        <v>-1.03256077352143</v>
      </c>
      <c r="Q264" s="19">
        <f t="shared" si="117"/>
        <v>1.80931850832415</v>
      </c>
      <c r="R264" s="19">
        <f t="shared" si="117"/>
        <v>-4.40430676417895</v>
      </c>
      <c r="S264" s="14"/>
      <c r="T264" s="14"/>
    </row>
    <row customHeight="1" ht="15">
      <c r="A265" s="9" t="s">
        <v>251</v>
      </c>
      <c r="C265" s="19">
        <f t="shared" si="118" ref="C265:E268">IF(AND(C159=0,B159=0),0,IF(OR(B159=0,B159="NM",C159="NM"),"NM",IF(B159&lt;0,-(C159/B159-1),C159/B159-1)))</f>
        <v>0.0390906758159248</v>
      </c>
      <c r="D265" s="19">
        <f t="shared" si="118"/>
        <v>0.161408497958788</v>
      </c>
      <c r="E265" s="19">
        <f t="shared" si="118"/>
        <v>0.0240360888418132</v>
      </c>
      <c r="F265" s="12">
        <f>IF(AND(F159=0,'Rolling LTM'!K159=0),0,IF(OR('Rolling LTM'!K159=0,'Rolling LTM'!K159="NM",F159="NM"),"NM",IF('Rolling LTM'!K159&lt;0,-(F159/'Rolling LTM'!K159-1),F159/'Rolling LTM'!K159-1)))</f>
        <v>0.13872976475924</v>
      </c>
      <c r="H265" s="27">
        <v>0.0390906758</v>
      </c>
      <c r="L265" s="19">
        <f t="shared" si="119" ref="L265:R268">IF(AND(L159=0,H159=0),0,IF(OR(H159=0,H159="NM",L159="NM"),"NM",IF(H159&lt;0,-(L159/H159-1),L159/H159-1)))</f>
        <v>0.161408497958788</v>
      </c>
      <c r="N265" s="19">
        <f t="shared" si="119"/>
        <v>0.156754632873262</v>
      </c>
      <c r="O265" s="19">
        <f t="shared" si="119"/>
        <v>0.188431161973879</v>
      </c>
      <c r="P265" s="19">
        <f t="shared" si="119"/>
        <v>0.0240360888418132</v>
      </c>
      <c r="Q265" s="19">
        <f t="shared" si="119"/>
        <v>0.138121795328731</v>
      </c>
      <c r="R265" s="19">
        <f t="shared" si="119"/>
        <v>0.13872976475924</v>
      </c>
      <c r="S265" s="14"/>
      <c r="T265" s="14"/>
    </row>
    <row customHeight="1" ht="15">
      <c r="A266" s="9" t="s">
        <v>252</v>
      </c>
      <c r="C266" s="15">
        <f t="shared" si="120" ref="C266:E270">IF(OR(B160=0,B160="NM",C160="NM"),"NM",C160-B160)</f>
        <v>-2.21889958095478</v>
      </c>
      <c r="D266" s="15">
        <f t="shared" si="120"/>
        <v>2.66290185068484</v>
      </c>
      <c r="E266" s="15">
        <f t="shared" si="120"/>
        <v>-2.73878872139843</v>
      </c>
      <c r="F266" s="16">
        <f>IF(OR('Rolling LTM'!K160=0,'Rolling LTM'!K160="NM",F160="NM"),"NM",F160-'Rolling LTM'!K160)</f>
        <v>-2.07058962756291</v>
      </c>
      <c r="H266" s="15">
        <f t="shared" si="122" ref="H266:H270">IF(OR(B160=0,B160="NM",H160="NM"),"NM",H160-B160)</f>
        <v>-2.21889958095478</v>
      </c>
      <c r="L266" s="15">
        <f t="shared" si="121" ref="L266:R270">IF(OR(H160=0,H160="NM",L160="NM"),"NM",L160-H160)</f>
        <v>2.66290185068484</v>
      </c>
      <c r="N266" s="15">
        <f t="shared" si="121"/>
        <v>1.64532869012361</v>
      </c>
      <c r="O266" s="15">
        <f t="shared" si="121"/>
        <v>0.0947117289338397</v>
      </c>
      <c r="P266" s="15">
        <f t="shared" si="121"/>
        <v>-2.73878872139843</v>
      </c>
      <c r="Q266" s="15">
        <f t="shared" si="121"/>
        <v>-2.34971199118678</v>
      </c>
      <c r="R266" s="15">
        <f t="shared" si="121"/>
        <v>-2.07058962756291</v>
      </c>
      <c r="S266" s="14"/>
      <c r="T266" s="14"/>
    </row>
    <row customHeight="1" ht="15">
      <c r="A267" s="9" t="s">
        <v>253</v>
      </c>
      <c r="C267" s="15">
        <f t="shared" si="120"/>
        <v>-2.21889958095478</v>
      </c>
      <c r="D267" s="15">
        <f t="shared" si="120"/>
        <v>2.66290185068484</v>
      </c>
      <c r="E267" s="15">
        <f t="shared" si="120"/>
        <v>-2.73878872139843</v>
      </c>
      <c r="F267" s="16">
        <f>IF(OR('Rolling LTM'!K161=0,'Rolling LTM'!K161="NM",F161="NM"),"NM",F161-'Rolling LTM'!K161)</f>
        <v>-2.07371188393281</v>
      </c>
      <c r="H267" s="15">
        <f t="shared" si="122"/>
        <v>-2.21889958095478</v>
      </c>
      <c r="L267" s="15">
        <f t="shared" si="121"/>
        <v>2.66290185068484</v>
      </c>
      <c r="N267" s="15">
        <f t="shared" si="121"/>
        <v>1.63841187901906</v>
      </c>
      <c r="O267" s="15">
        <f t="shared" si="121"/>
        <v>0.0803991633330696</v>
      </c>
      <c r="P267" s="15">
        <f t="shared" si="121"/>
        <v>-2.73878872139843</v>
      </c>
      <c r="Q267" s="15">
        <f t="shared" si="121"/>
        <v>-2.35678571336817</v>
      </c>
      <c r="R267" s="15">
        <f t="shared" si="121"/>
        <v>-2.07371188393281</v>
      </c>
      <c r="S267" s="14"/>
      <c r="T267" s="14"/>
    </row>
    <row customHeight="1" ht="15">
      <c r="A268" s="9" t="s">
        <v>254</v>
      </c>
      <c r="C268" s="19">
        <f t="shared" si="118"/>
        <v>0.0211312756703546</v>
      </c>
      <c r="D268" s="19">
        <f t="shared" si="118"/>
        <v>0.148647128813483</v>
      </c>
      <c r="E268" s="19">
        <f t="shared" si="118"/>
        <v>0.0656951076020225</v>
      </c>
      <c r="F268" s="12">
        <f>IF(AND(F162=0,'Rolling LTM'!K162=0),0,IF(OR('Rolling LTM'!K162=0,'Rolling LTM'!K162="NM",F162="NM"),"NM",IF('Rolling LTM'!K162&lt;0,-(F162/'Rolling LTM'!K162-1),F162/'Rolling LTM'!K162-1)))</f>
        <v>0.12868346433113</v>
      </c>
      <c r="H268" s="27">
        <v>0.0211312757</v>
      </c>
      <c r="L268" s="19">
        <f t="shared" si="119"/>
        <v>0.148647128813483</v>
      </c>
      <c r="N268" s="19">
        <f t="shared" si="119"/>
        <v>0.15723229442682</v>
      </c>
      <c r="O268" s="19">
        <f t="shared" si="119"/>
        <v>0.142358177104082</v>
      </c>
      <c r="P268" s="19">
        <f t="shared" si="119"/>
        <v>0.0656951076020225</v>
      </c>
      <c r="Q268" s="19">
        <f t="shared" si="119"/>
        <v>0.0913288382521997</v>
      </c>
      <c r="R268" s="19">
        <f t="shared" si="119"/>
        <v>0.12868346433113</v>
      </c>
      <c r="S268" s="14"/>
      <c r="T268" s="14"/>
    </row>
    <row customHeight="1" ht="15">
      <c r="A269" s="9" t="s">
        <v>255</v>
      </c>
      <c r="C269" s="15">
        <f t="shared" si="120"/>
        <v>-2.15715941387706</v>
      </c>
      <c r="D269" s="15">
        <f t="shared" si="120"/>
        <v>2.40010428668575</v>
      </c>
      <c r="E269" s="15">
        <f t="shared" si="120"/>
        <v>-2.36478632458596</v>
      </c>
      <c r="F269" s="16">
        <f>IF(OR('Rolling LTM'!K163=0,'Rolling LTM'!K163="NM",F163="NM"),"NM",F163-'Rolling LTM'!K163)</f>
        <v>-1.99642605119469</v>
      </c>
      <c r="H269" s="15">
        <f t="shared" si="122"/>
        <v>-2.15715941387706</v>
      </c>
      <c r="L269" s="15">
        <f t="shared" si="121"/>
        <v>2.40010428668575</v>
      </c>
      <c r="N269" s="15">
        <f t="shared" si="121"/>
        <v>1.5630656084356</v>
      </c>
      <c r="O269" s="15">
        <f t="shared" si="121"/>
        <v>-0.0711266426883599</v>
      </c>
      <c r="P269" s="15">
        <f t="shared" si="121"/>
        <v>-2.36478632458596</v>
      </c>
      <c r="Q269" s="15">
        <f t="shared" si="121"/>
        <v>-2.33363080941582</v>
      </c>
      <c r="R269" s="15">
        <f t="shared" si="121"/>
        <v>-1.99642605119469</v>
      </c>
      <c r="S269" s="14"/>
      <c r="T269" s="14"/>
    </row>
    <row customHeight="1" ht="15">
      <c r="A270" s="9" t="s">
        <v>256</v>
      </c>
      <c r="C270" s="15">
        <f t="shared" si="120"/>
        <v>-2.15715941387706</v>
      </c>
      <c r="D270" s="15">
        <f t="shared" si="120"/>
        <v>2.40010428668575</v>
      </c>
      <c r="E270" s="15">
        <f t="shared" si="120"/>
        <v>-2.36478632458596</v>
      </c>
      <c r="F270" s="16">
        <f>IF(OR('Rolling LTM'!K164=0,'Rolling LTM'!K164="NM",F164="NM"),"NM",F164-'Rolling LTM'!K164)</f>
        <v>-1.99933165291464</v>
      </c>
      <c r="H270" s="15">
        <f t="shared" si="122"/>
        <v>-2.15715941387706</v>
      </c>
      <c r="L270" s="15">
        <f t="shared" si="121"/>
        <v>2.40010428668575</v>
      </c>
      <c r="N270" s="15">
        <f t="shared" si="121"/>
        <v>1.55650274909377</v>
      </c>
      <c r="O270" s="15">
        <f t="shared" si="121"/>
        <v>-0.0844303996392499</v>
      </c>
      <c r="P270" s="15">
        <f t="shared" si="121"/>
        <v>-2.36478632458596</v>
      </c>
      <c r="Q270" s="15">
        <f t="shared" si="121"/>
        <v>-2.33998767272248</v>
      </c>
      <c r="R270" s="15">
        <f t="shared" si="121"/>
        <v>-1.99933165291464</v>
      </c>
      <c r="S270" s="14"/>
      <c r="T270" s="14"/>
    </row>
    <row customHeight="1" ht="15">
      <c r="A271" s="9" t="s">
        <v>257</v>
      </c>
      <c r="C271" s="28">
        <f t="shared" si="123" ref="C271:E273">IF(OR(B217=0,B217="NM",C217="NM"),"NM",10000*(C217-B217))</f>
        <v>918.24765284782</v>
      </c>
      <c r="D271" s="28">
        <f t="shared" si="123"/>
        <v>-976.44884059562</v>
      </c>
      <c r="E271" s="28">
        <f t="shared" si="123"/>
        <v>1158.93975928538</v>
      </c>
      <c r="F271" s="20">
        <f>IF(OR('Rolling LTM'!K217=0,'Rolling LTM'!K217="NM",F217="NM"),"NM",10000*(F217-'Rolling LTM'!K217))</f>
        <v>1167.57256904289</v>
      </c>
      <c r="K271" s="28">
        <f t="shared" si="124" ref="K271:R273">IF(OR(G217=0,G217="NM",K217="NM"),"NM",10000*(K217-G217))</f>
        <v>-1261.49061120721</v>
      </c>
      <c r="L271" s="28">
        <f t="shared" si="124"/>
        <v>-2507.9605556462</v>
      </c>
      <c r="M271" s="28">
        <f t="shared" si="124"/>
        <v>44.4388842936699</v>
      </c>
      <c r="N271" s="28">
        <f t="shared" si="124"/>
        <v>475.36097036065</v>
      </c>
      <c r="O271" s="28">
        <f t="shared" si="124"/>
        <v>2414.49502713181</v>
      </c>
      <c r="P271" s="28">
        <f t="shared" si="124"/>
        <v>1590.81717844256</v>
      </c>
      <c r="Q271" s="28">
        <f t="shared" si="124"/>
        <v>230.93929090396</v>
      </c>
      <c r="R271" s="28">
        <f t="shared" si="124"/>
        <v>488.41246717847</v>
      </c>
      <c r="S271" s="14"/>
      <c r="T271" s="14"/>
    </row>
    <row customHeight="1" ht="15">
      <c r="A272" s="9" t="s">
        <v>258</v>
      </c>
      <c r="C272" s="28">
        <f t="shared" si="123"/>
        <v>918.24765284782</v>
      </c>
      <c r="D272" s="28">
        <f t="shared" si="123"/>
        <v>-976.44884059562</v>
      </c>
      <c r="E272" s="28">
        <f t="shared" si="123"/>
        <v>1158.93975928538</v>
      </c>
      <c r="F272" s="20">
        <f>IF(OR('Rolling LTM'!K218=0,'Rolling LTM'!K218="NM",F218="NM"),"NM",10000*(F218-'Rolling LTM'!K218))</f>
        <v>1172.55827754728</v>
      </c>
      <c r="K272" s="28">
        <f t="shared" si="124"/>
        <v>-1257.13785045715</v>
      </c>
      <c r="L272" s="28">
        <f t="shared" si="124"/>
        <v>-2503.25135878422</v>
      </c>
      <c r="M272" s="28">
        <f t="shared" si="124"/>
        <v>41.9943482088297</v>
      </c>
      <c r="N272" s="28">
        <f t="shared" si="124"/>
        <v>480.67843858063</v>
      </c>
      <c r="O272" s="28">
        <f t="shared" si="124"/>
        <v>2437.2295287262</v>
      </c>
      <c r="P272" s="28">
        <f t="shared" si="124"/>
        <v>1558.4679667707</v>
      </c>
      <c r="Q272" s="28">
        <f t="shared" si="124"/>
        <v>248.21404659492</v>
      </c>
      <c r="R272" s="28">
        <f t="shared" si="124"/>
        <v>546.40380317074</v>
      </c>
      <c r="S272" s="14"/>
      <c r="T272" s="14"/>
    </row>
    <row customHeight="1" ht="15">
      <c r="A273" s="9" t="s">
        <v>259</v>
      </c>
      <c r="C273" s="28">
        <f t="shared" si="123"/>
        <v>916.352056111388</v>
      </c>
      <c r="D273" s="28">
        <f t="shared" si="123"/>
        <v>-1143.72957000516</v>
      </c>
      <c r="E273" s="28">
        <f t="shared" si="123"/>
        <v>1387.41135477314</v>
      </c>
      <c r="F273" s="20">
        <f>IF(OR('Rolling LTM'!K219=0,'Rolling LTM'!K219="NM",F219="NM"),"NM",10000*(F219-'Rolling LTM'!K219))</f>
        <v>1290.30778792187</v>
      </c>
      <c r="K273" s="28">
        <f t="shared" si="124"/>
        <v>-955.651625681625</v>
      </c>
      <c r="L273" s="28">
        <f t="shared" si="124"/>
        <v>-2604.34587470622</v>
      </c>
      <c r="M273" s="28">
        <f t="shared" si="124"/>
        <v>212.73556959111</v>
      </c>
      <c r="N273" s="28">
        <f t="shared" si="124"/>
        <v>865.399885096613</v>
      </c>
      <c r="O273" s="28">
        <f t="shared" si="124"/>
        <v>2462.99979239524</v>
      </c>
      <c r="P273" s="28">
        <f t="shared" si="124"/>
        <v>1876.33307738604</v>
      </c>
      <c r="Q273" s="28">
        <f t="shared" si="124"/>
        <v>355.74980205023</v>
      </c>
      <c r="R273" s="28">
        <f t="shared" si="124"/>
        <v>571.85160977648</v>
      </c>
      <c r="S273" s="14"/>
      <c r="T273" s="14"/>
    </row>
    <row customHeight="1" ht="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7" customHeight="1" ht="30">
      <c r="A277" s="9"/>
    </row>
    <row customHeight="1" ht="54">
      <c r="A278" s="29" t="s">
        <v>260</v>
      </c>
    </row>
    <row r="282" customHeight="1" ht="15">
      <c r="A282" s="29" t="s">
        <v>261</v>
      </c>
    </row>
    <row customHeight="1" ht="15">
      <c r="A283" s="30" t="s">
        <v>262</v>
      </c>
    </row>
  </sheetData>
  <hyperlinks>
    <hyperlink ref="A283" r:id="rId1" tooltip="Source location" xr:uid="{10E2865F-B988-7917-D8F9-80506F20B205}"/>
  </hyperlin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F33FDF-8728-3E5E-EDE8-4F87C64CF578}" mc:Ignorable="x14ac xr xr2 xr3">
  <dimension ref="A1:O284"/>
  <sheetViews>
    <sheetView defaultGridColor="0" colorId="9" showGridLines="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15" width="10.7109375" customWidth="1"/>
  </cols>
  <sheetData>
    <row customHeight="1" ht="15">
      <c r="A1" s="0" t="s">
        <v>0</v>
      </c>
      <c r="B1" s="1" t="s">
        <v>1</v>
      </c>
      <c r="C1" s="1" t="s">
        <v>263</v>
      </c>
      <c r="D1" s="1" t="s">
        <v>6</v>
      </c>
      <c r="E1" s="1" t="s">
        <v>2</v>
      </c>
      <c r="F1" s="1" t="s">
        <v>8</v>
      </c>
      <c r="G1" s="1" t="s">
        <v>264</v>
      </c>
      <c r="H1" s="1" t="s">
        <v>10</v>
      </c>
      <c r="I1" s="1" t="s">
        <v>3</v>
      </c>
      <c r="J1" s="1" t="s">
        <v>12</v>
      </c>
      <c r="K1" s="1" t="s">
        <v>265</v>
      </c>
      <c r="L1" s="1" t="s">
        <v>14</v>
      </c>
      <c r="M1" s="1" t="s">
        <v>4</v>
      </c>
      <c r="N1" s="1" t="s">
        <v>16</v>
      </c>
      <c r="O1" s="1" t="s">
        <v>266</v>
      </c>
    </row>
    <row customHeight="1" ht="15">
      <c r="A2" s="2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customHeight="1" ht="15">
      <c r="A3" s="4" t="s">
        <v>21</v>
      </c>
      <c r="B3" s="5">
        <v>308.108761</v>
      </c>
      <c r="C3" s="5">
        <v>192.917515</v>
      </c>
      <c r="D3" s="5">
        <v>264.091016</v>
      </c>
      <c r="E3" s="5">
        <v>356.197081</v>
      </c>
      <c r="F3" s="5">
        <v>85.804548</v>
      </c>
      <c r="G3" s="5">
        <v>174.600414</v>
      </c>
      <c r="H3" s="5">
        <v>262.657172</v>
      </c>
      <c r="I3" s="5">
        <v>355.993682</v>
      </c>
      <c r="J3" s="5">
        <v>93.498313</v>
      </c>
      <c r="K3" s="5">
        <v>193.808088</v>
      </c>
      <c r="L3" s="5">
        <v>300.56417</v>
      </c>
      <c r="M3" s="5">
        <v>408.648772</v>
      </c>
      <c r="N3" s="5">
        <v>114.34153</v>
      </c>
      <c r="O3" s="5">
        <v>230.831087</v>
      </c>
    </row>
    <row customHeight="1" ht="15">
      <c r="A4" s="9" t="s">
        <v>22</v>
      </c>
      <c r="B4" s="0">
        <v>-136.085149</v>
      </c>
      <c r="C4" s="0">
        <v>-78.961943</v>
      </c>
      <c r="D4" s="0">
        <v>-108.128418</v>
      </c>
      <c r="E4" s="0">
        <v>-139.635052</v>
      </c>
      <c r="F4" s="0">
        <v>-31.334551</v>
      </c>
      <c r="G4" s="0">
        <v>-69.10429</v>
      </c>
      <c r="H4" s="0">
        <v>-110.564077</v>
      </c>
      <c r="I4" s="0">
        <v>-145.864517</v>
      </c>
      <c r="J4" s="0">
        <v>-34.165761</v>
      </c>
      <c r="K4" s="0">
        <v>-70.122326</v>
      </c>
      <c r="L4" s="0">
        <v>-105.638091</v>
      </c>
      <c r="M4" s="0">
        <v>-144.119262</v>
      </c>
      <c r="N4" s="0">
        <v>-37.420421</v>
      </c>
      <c r="O4" s="0">
        <v>-75.354043</v>
      </c>
    </row>
    <row customHeight="1" ht="15">
      <c r="A5" s="9" t="s">
        <v>23</v>
      </c>
      <c r="B5" s="0">
        <v>-108.124855</v>
      </c>
      <c r="C5" s="0">
        <v>-59.152889</v>
      </c>
      <c r="D5" s="0">
        <v>-79.602924</v>
      </c>
      <c r="E5" s="0">
        <v>-115.298115</v>
      </c>
      <c r="F5" s="0">
        <v>-28.487093</v>
      </c>
      <c r="G5" s="0">
        <v>-56.969784</v>
      </c>
      <c r="H5" s="0">
        <v>-88.377712</v>
      </c>
      <c r="I5" s="0">
        <v>-130.957906</v>
      </c>
      <c r="J5" s="0">
        <v>-30.456847</v>
      </c>
      <c r="K5" s="0">
        <v>-65.173595</v>
      </c>
      <c r="L5" s="0">
        <v>-91.610392</v>
      </c>
      <c r="M5" s="0">
        <v>-130.081</v>
      </c>
      <c r="N5" s="0">
        <v>-37.877638</v>
      </c>
      <c r="O5" s="0">
        <v>-77.460163</v>
      </c>
    </row>
    <row customHeight="1" ht="15">
      <c r="A6" s="9" t="s">
        <v>24</v>
      </c>
      <c r="B6" s="0">
        <v>-42.745142</v>
      </c>
      <c r="C6" s="0">
        <v>-24.99628</v>
      </c>
      <c r="D6" s="0">
        <v>-35.383031</v>
      </c>
      <c r="E6" s="0">
        <v>-47.380285</v>
      </c>
      <c r="F6" s="0">
        <v>-12.244525</v>
      </c>
      <c r="G6" s="0">
        <v>-25.455559</v>
      </c>
      <c r="H6" s="0">
        <v>-35.691787</v>
      </c>
      <c r="I6" s="0">
        <v>-48.614609</v>
      </c>
      <c r="J6" s="0">
        <v>-12.306473</v>
      </c>
      <c r="K6" s="0">
        <v>-24.258382</v>
      </c>
      <c r="L6" s="0">
        <v>-37.452292</v>
      </c>
      <c r="M6" s="0">
        <v>-50.741037</v>
      </c>
      <c r="N6" s="0">
        <v>-15.027019</v>
      </c>
      <c r="O6" s="0">
        <v>-29.743913</v>
      </c>
    </row>
    <row customHeight="1" ht="15">
      <c r="A7" s="9" t="s">
        <v>25</v>
      </c>
      <c r="B7" s="0">
        <v>-11.955373</v>
      </c>
      <c r="C7" s="0">
        <v>-6.823502</v>
      </c>
      <c r="D7" s="0">
        <v>-10.996609</v>
      </c>
      <c r="E7" s="0">
        <v>-15.925177</v>
      </c>
      <c r="F7" s="0">
        <v>-5.009905</v>
      </c>
      <c r="G7" s="0">
        <v>-10.314476</v>
      </c>
      <c r="H7" s="0">
        <v>-15.437099</v>
      </c>
      <c r="I7" s="0">
        <v>-20.609792</v>
      </c>
      <c r="J7" s="0">
        <v>-4.898694</v>
      </c>
      <c r="K7" s="0">
        <v>-10.004124</v>
      </c>
      <c r="L7" s="0">
        <v>-15.155486</v>
      </c>
      <c r="M7" s="0">
        <v>-19.385894</v>
      </c>
      <c r="N7" s="0">
        <v>-4.784049</v>
      </c>
      <c r="O7" s="0">
        <v>-9.579371</v>
      </c>
    </row>
    <row customHeight="1" ht="15">
      <c r="A8" s="9" t="s">
        <v>26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0.039965</v>
      </c>
      <c r="K8" s="0">
        <v>0</v>
      </c>
      <c r="L8" s="0">
        <v>0</v>
      </c>
      <c r="M8" s="0">
        <v>0</v>
      </c>
      <c r="N8" s="0">
        <v>-0.115606</v>
      </c>
      <c r="O8" s="0">
        <v>0</v>
      </c>
    </row>
    <row customHeight="1" ht="15">
      <c r="A9" s="9" t="s">
        <v>27</v>
      </c>
      <c r="B9" s="0">
        <v>-1.660354</v>
      </c>
      <c r="C9" s="0">
        <v>-0.02281</v>
      </c>
      <c r="D9" s="0">
        <v>-0.031318</v>
      </c>
      <c r="E9" s="0">
        <v>1.024685</v>
      </c>
      <c r="F9" s="0">
        <v>-0.008613</v>
      </c>
      <c r="G9" s="0">
        <v>-0.082283</v>
      </c>
      <c r="H9" s="0">
        <v>-0.537341</v>
      </c>
      <c r="I9" s="0">
        <v>-0.904712</v>
      </c>
      <c r="J9" s="0">
        <v>0</v>
      </c>
      <c r="K9" s="0">
        <v>0.034141</v>
      </c>
      <c r="L9" s="0">
        <v>-0.001079</v>
      </c>
      <c r="M9" s="0">
        <v>-0.605485</v>
      </c>
      <c r="N9" s="0">
        <v>0</v>
      </c>
      <c r="O9" s="0">
        <v>0.42104</v>
      </c>
    </row>
    <row customHeight="1" ht="15">
      <c r="A10" s="9" t="s">
        <v>29</v>
      </c>
      <c r="B10" s="0">
        <v>-0.390413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-0.12936</v>
      </c>
      <c r="I10" s="0">
        <v>-0.12936</v>
      </c>
      <c r="J10" s="0">
        <v>0</v>
      </c>
      <c r="K10" s="0">
        <v>-0.038687</v>
      </c>
      <c r="L10" s="0">
        <v>-0.052032</v>
      </c>
      <c r="M10" s="0">
        <v>-0.065328</v>
      </c>
      <c r="N10" s="0">
        <v>-0.338567</v>
      </c>
      <c r="O10" s="0">
        <v>-0.405935</v>
      </c>
    </row>
    <row customHeight="1" ht="15">
      <c r="A11" s="9" t="s">
        <v>30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-0.072471</v>
      </c>
      <c r="J11" s="0">
        <v>0</v>
      </c>
      <c r="K11" s="0">
        <v>0</v>
      </c>
      <c r="L11" s="0">
        <v>0</v>
      </c>
      <c r="M11" s="0">
        <v>-0.06976</v>
      </c>
      <c r="N11" s="0">
        <v>0</v>
      </c>
      <c r="O11" s="0">
        <v>-0.015132</v>
      </c>
    </row>
    <row customHeight="1" ht="15">
      <c r="A12" s="9" t="s">
        <v>31</v>
      </c>
      <c r="B12" s="0">
        <v>8.760054</v>
      </c>
      <c r="C12" s="0">
        <v>-0.58548</v>
      </c>
      <c r="D12" s="0">
        <v>0.063861</v>
      </c>
      <c r="E12" s="0">
        <v>12.047365</v>
      </c>
      <c r="F12" s="0">
        <v>0.289148</v>
      </c>
      <c r="G12" s="0">
        <v>-0.413988</v>
      </c>
      <c r="H12" s="0">
        <v>1.374868</v>
      </c>
      <c r="I12" s="0">
        <v>1.444997</v>
      </c>
      <c r="J12" s="0">
        <v>0.095351</v>
      </c>
      <c r="K12" s="0">
        <v>-0.085878</v>
      </c>
      <c r="L12" s="0">
        <v>1.052799</v>
      </c>
      <c r="M12" s="0">
        <v>4.922003</v>
      </c>
      <c r="N12" s="0">
        <v>-0.272845</v>
      </c>
      <c r="O12" s="0">
        <v>0.81925</v>
      </c>
    </row>
    <row customHeight="1" ht="15">
      <c r="A13" s="4" t="s">
        <v>32</v>
      </c>
      <c r="B13" s="7">
        <f t="shared" si="0" ref="B13:L13">SUM(B3:B7)+SUM(B9:B10)+B12</f>
        <v>15.907529</v>
      </c>
      <c r="C13" s="7">
        <f t="shared" si="1" ref="C13:G13">SUM(C3:C7)+C9+C12</f>
        <v>22.374611</v>
      </c>
      <c r="D13" s="7">
        <f t="shared" si="0"/>
        <v>30.012577</v>
      </c>
      <c r="E13" s="7">
        <f t="shared" si="2" ref="E13:O13">SUM(E3:E7)+SUM(E9:E12)</f>
        <v>51.030502</v>
      </c>
      <c r="F13" s="7">
        <f t="shared" si="1"/>
        <v>9.00900899999999</v>
      </c>
      <c r="G13" s="7">
        <f t="shared" si="1"/>
        <v>12.260034</v>
      </c>
      <c r="H13" s="7">
        <f t="shared" si="0"/>
        <v>13.294664</v>
      </c>
      <c r="I13" s="7">
        <f t="shared" si="2"/>
        <v>10.285312</v>
      </c>
      <c r="J13" s="7">
        <f t="shared" si="3" ref="J13:N13">SUM(J3:J8)+J10+J12</f>
        <v>11.805854</v>
      </c>
      <c r="K13" s="7">
        <f t="shared" si="2"/>
        <v>24.159237</v>
      </c>
      <c r="L13" s="7">
        <f t="shared" si="0"/>
        <v>51.707597</v>
      </c>
      <c r="M13" s="7">
        <f t="shared" si="2"/>
        <v>68.503009</v>
      </c>
      <c r="N13" s="7">
        <f t="shared" si="3"/>
        <v>18.505385</v>
      </c>
      <c r="O13" s="7">
        <f t="shared" si="2"/>
        <v>39.51282</v>
      </c>
    </row>
    <row customHeight="1" ht="15">
      <c r="A14" s="9" t="s">
        <v>33</v>
      </c>
      <c r="B14" s="0">
        <v>1.932958</v>
      </c>
      <c r="C14" s="0">
        <v>0</v>
      </c>
      <c r="D14" s="0">
        <v>0</v>
      </c>
      <c r="E14" s="0">
        <v>2.126254</v>
      </c>
      <c r="F14" s="0">
        <v>0</v>
      </c>
      <c r="G14" s="0">
        <v>0</v>
      </c>
      <c r="H14" s="0">
        <v>0</v>
      </c>
      <c r="I14" s="0">
        <v>2.33888</v>
      </c>
      <c r="J14" s="0">
        <v>0</v>
      </c>
      <c r="K14" s="0">
        <v>0</v>
      </c>
      <c r="L14" s="0">
        <v>0</v>
      </c>
      <c r="M14" s="0">
        <v>2.572767</v>
      </c>
      <c r="N14" s="0">
        <v>0</v>
      </c>
      <c r="O14" s="0">
        <v>0</v>
      </c>
    </row>
    <row customHeight="1" ht="15">
      <c r="A15" s="9" t="s">
        <v>34</v>
      </c>
      <c r="B15" s="0">
        <v>0</v>
      </c>
      <c r="C15" s="0">
        <v>1.063127</v>
      </c>
      <c r="D15" s="0">
        <v>1.594691</v>
      </c>
      <c r="E15" s="0">
        <v>0</v>
      </c>
      <c r="F15" s="0">
        <v>0.58472</v>
      </c>
      <c r="G15" s="0">
        <v>1.16944</v>
      </c>
      <c r="H15" s="0">
        <v>1.75416</v>
      </c>
      <c r="I15" s="0">
        <v>0</v>
      </c>
      <c r="J15" s="0">
        <v>0.643189</v>
      </c>
      <c r="K15" s="0">
        <v>1.286384</v>
      </c>
      <c r="L15" s="0">
        <v>1.929576</v>
      </c>
      <c r="M15" s="0">
        <v>0</v>
      </c>
      <c r="N15" s="0">
        <v>0.707511</v>
      </c>
      <c r="O15" s="0">
        <v>1.415022</v>
      </c>
    </row>
    <row customHeight="1" ht="15">
      <c r="A16" s="9" t="s">
        <v>35</v>
      </c>
      <c r="B16" s="0">
        <v>0.187722</v>
      </c>
      <c r="C16" s="0">
        <v>0.076418</v>
      </c>
      <c r="D16" s="0">
        <v>0.115142</v>
      </c>
      <c r="E16" s="0">
        <v>0.156096</v>
      </c>
      <c r="F16" s="0">
        <v>0.040809</v>
      </c>
      <c r="G16" s="0">
        <v>0.079141</v>
      </c>
      <c r="H16" s="0">
        <v>0.116258</v>
      </c>
      <c r="I16" s="0">
        <v>0.329062</v>
      </c>
      <c r="J16" s="0">
        <v>0.109547</v>
      </c>
      <c r="K16" s="0">
        <v>0.157281</v>
      </c>
      <c r="L16" s="0">
        <v>0.23018</v>
      </c>
      <c r="M16" s="0">
        <v>0.269998</v>
      </c>
      <c r="N16" s="0">
        <v>0.236924</v>
      </c>
      <c r="O16" s="0">
        <v>0.388668</v>
      </c>
    </row>
    <row customHeight="1" ht="15">
      <c r="A17" s="9" t="s">
        <v>36</v>
      </c>
      <c r="B17" s="0">
        <v>-55.213244</v>
      </c>
      <c r="C17" s="0">
        <v>-34.55915</v>
      </c>
      <c r="D17" s="0">
        <v>-48.250221</v>
      </c>
      <c r="E17" s="0">
        <v>-64.737849</v>
      </c>
      <c r="F17" s="0">
        <v>-15.328047</v>
      </c>
      <c r="G17" s="0">
        <v>-30.738515</v>
      </c>
      <c r="H17" s="0">
        <v>-46.371001</v>
      </c>
      <c r="I17" s="0">
        <v>-74.276529</v>
      </c>
      <c r="J17" s="0">
        <v>-17.043553</v>
      </c>
      <c r="K17" s="0">
        <v>-34.228359</v>
      </c>
      <c r="L17" s="0">
        <v>-51.969835</v>
      </c>
      <c r="M17" s="0">
        <v>-71.039195</v>
      </c>
      <c r="N17" s="0">
        <v>-20.252271</v>
      </c>
      <c r="O17" s="0">
        <v>-40.973293</v>
      </c>
    </row>
    <row customHeight="1" ht="15">
      <c r="A18" s="9" t="s">
        <v>37</v>
      </c>
      <c r="B18" s="0">
        <v>-24.108535</v>
      </c>
      <c r="C18" s="0">
        <v>-85.59763</v>
      </c>
      <c r="D18" s="0">
        <v>-83.482307</v>
      </c>
      <c r="E18" s="0">
        <v>-114.151736</v>
      </c>
      <c r="F18" s="0">
        <v>-12.388792</v>
      </c>
      <c r="G18" s="0">
        <v>-23.156639</v>
      </c>
      <c r="H18" s="0">
        <v>-33.511939</v>
      </c>
      <c r="I18" s="0">
        <v>-39.271284</v>
      </c>
      <c r="J18" s="0">
        <v>-5.577573</v>
      </c>
      <c r="K18" s="0">
        <v>-13.178134</v>
      </c>
      <c r="L18" s="0">
        <v>2.205623</v>
      </c>
      <c r="M18" s="0">
        <v>37.680522</v>
      </c>
      <c r="N18" s="0">
        <v>-13.410153</v>
      </c>
      <c r="O18" s="0">
        <v>-17.192096</v>
      </c>
    </row>
    <row customHeight="1" ht="15">
      <c r="A19" s="9" t="s">
        <v>38</v>
      </c>
      <c r="B19" s="0">
        <v>0</v>
      </c>
      <c r="C19" s="0">
        <v>32.365867</v>
      </c>
      <c r="D19" s="0">
        <v>29.299361</v>
      </c>
      <c r="E19" s="0">
        <v>21.543365</v>
      </c>
      <c r="F19" s="0">
        <v>3.717688</v>
      </c>
      <c r="G19" s="0">
        <v>3.972137</v>
      </c>
      <c r="H19" s="0">
        <v>2.705382</v>
      </c>
      <c r="I19" s="0">
        <v>3.558212</v>
      </c>
      <c r="J19" s="0">
        <v>-0.211588</v>
      </c>
      <c r="K19" s="0">
        <v>-0.228901</v>
      </c>
      <c r="L19" s="0">
        <v>0.411899</v>
      </c>
      <c r="M19" s="0">
        <v>-1.599516</v>
      </c>
      <c r="N19" s="0">
        <v>2.791561</v>
      </c>
      <c r="O19" s="0">
        <v>2.790434</v>
      </c>
    </row>
    <row customHeight="1" ht="15">
      <c r="A20" s="9" t="s">
        <v>39</v>
      </c>
      <c r="B20" s="11">
        <f>SUM(B13:B14)+SUM(B16:B18)</f>
        <v>-61.29357</v>
      </c>
      <c r="C20" s="11">
        <f t="shared" si="4" ref="C20:O20">C13+SUM(C15:C19)</f>
        <v>-64.276757</v>
      </c>
      <c r="D20" s="11">
        <f t="shared" si="4"/>
        <v>-70.710757</v>
      </c>
      <c r="E20" s="11">
        <f t="shared" si="5" ref="E20:M20">SUM(E13:E14)+SUM(E16:E19)</f>
        <v>-104.033368</v>
      </c>
      <c r="F20" s="11">
        <f t="shared" si="4"/>
        <v>-14.364613</v>
      </c>
      <c r="G20" s="11">
        <f t="shared" si="4"/>
        <v>-36.414402</v>
      </c>
      <c r="H20" s="11">
        <f t="shared" si="4"/>
        <v>-62.012476</v>
      </c>
      <c r="I20" s="11">
        <f t="shared" si="5"/>
        <v>-97.036347</v>
      </c>
      <c r="J20" s="11">
        <f t="shared" si="4"/>
        <v>-10.274124</v>
      </c>
      <c r="K20" s="11">
        <f t="shared" si="4"/>
        <v>-22.032492</v>
      </c>
      <c r="L20" s="11">
        <f t="shared" si="4"/>
        <v>4.51504</v>
      </c>
      <c r="M20" s="11">
        <f t="shared" si="5"/>
        <v>36.387585</v>
      </c>
      <c r="N20" s="11">
        <f t="shared" si="4"/>
        <v>-11.421043</v>
      </c>
      <c r="O20" s="11">
        <f t="shared" si="4"/>
        <v>-14.058445</v>
      </c>
    </row>
    <row customHeight="1" ht="15">
      <c r="A21" s="9" t="s">
        <v>40</v>
      </c>
      <c r="B21" s="0">
        <v>-0.891378</v>
      </c>
      <c r="C21" s="0">
        <v>-9.121694</v>
      </c>
      <c r="D21" s="0">
        <v>-5.585653</v>
      </c>
      <c r="E21" s="0">
        <v>-11.454357</v>
      </c>
      <c r="F21" s="0">
        <v>-1.168225</v>
      </c>
      <c r="G21" s="0">
        <v>-2.32785</v>
      </c>
      <c r="H21" s="0">
        <v>-4.216439</v>
      </c>
      <c r="I21" s="0">
        <v>-6.737506</v>
      </c>
      <c r="J21" s="0">
        <v>-0.619647</v>
      </c>
      <c r="K21" s="0">
        <v>-1.342208</v>
      </c>
      <c r="L21" s="0">
        <v>-4.323168</v>
      </c>
      <c r="M21" s="0">
        <v>-6.007564</v>
      </c>
      <c r="N21" s="0">
        <v>-2.331424</v>
      </c>
      <c r="O21" s="0">
        <v>-5.272631</v>
      </c>
    </row>
    <row customHeight="1" ht="15">
      <c r="A22" s="9" t="s">
        <v>41</v>
      </c>
      <c r="B22" s="11">
        <f t="shared" si="6" ref="B22:O125">SUM(B20:B21)</f>
        <v>-62.184948</v>
      </c>
      <c r="C22" s="11">
        <f t="shared" si="6"/>
        <v>-73.398451</v>
      </c>
      <c r="D22" s="11">
        <f t="shared" si="6"/>
        <v>-76.29641</v>
      </c>
      <c r="E22" s="11">
        <f t="shared" si="6"/>
        <v>-115.487725</v>
      </c>
      <c r="F22" s="11">
        <f t="shared" si="6"/>
        <v>-15.532838</v>
      </c>
      <c r="G22" s="11">
        <f t="shared" si="6"/>
        <v>-38.742252</v>
      </c>
      <c r="H22" s="11">
        <f t="shared" si="6"/>
        <v>-66.228915</v>
      </c>
      <c r="I22" s="11">
        <f t="shared" si="6"/>
        <v>-103.773853</v>
      </c>
      <c r="J22" s="11">
        <f t="shared" si="6"/>
        <v>-10.893771</v>
      </c>
      <c r="K22" s="11">
        <f t="shared" si="6"/>
        <v>-23.3747</v>
      </c>
      <c r="L22" s="11">
        <f t="shared" si="6"/>
        <v>0.191872</v>
      </c>
      <c r="M22" s="11">
        <f t="shared" si="6"/>
        <v>30.380021</v>
      </c>
      <c r="N22" s="11">
        <f t="shared" si="6"/>
        <v>-13.752467</v>
      </c>
      <c r="O22" s="11">
        <f t="shared" si="6"/>
        <v>-19.331076</v>
      </c>
    </row>
    <row customHeight="1" ht="15">
      <c r="A23" s="9" t="s">
        <v>42</v>
      </c>
      <c r="B23" s="0">
        <v>0.397799</v>
      </c>
      <c r="C23" s="0">
        <v>0.009423</v>
      </c>
      <c r="D23" s="0">
        <v>-0.011377</v>
      </c>
      <c r="E23" s="0">
        <v>0.001763</v>
      </c>
      <c r="F23" s="0">
        <v>-0.026877</v>
      </c>
      <c r="G23" s="0">
        <v>0.002769</v>
      </c>
      <c r="H23" s="0">
        <v>0.006616</v>
      </c>
      <c r="I23" s="0">
        <v>0.042832</v>
      </c>
      <c r="J23" s="0">
        <v>0.00869</v>
      </c>
      <c r="K23" s="0">
        <v>0.035052</v>
      </c>
      <c r="L23" s="0">
        <v>-0.004291</v>
      </c>
      <c r="M23" s="0">
        <v>0.042544</v>
      </c>
      <c r="N23" s="0">
        <v>-0.005043</v>
      </c>
      <c r="O23" s="0">
        <v>-0.003993</v>
      </c>
    </row>
    <row customHeight="1" ht="15">
      <c r="A24" s="4" t="s">
        <v>43</v>
      </c>
      <c r="B24" s="7">
        <f t="shared" si="6"/>
        <v>-61.787149</v>
      </c>
      <c r="C24" s="7">
        <f t="shared" si="6"/>
        <v>-73.389028</v>
      </c>
      <c r="D24" s="7">
        <f t="shared" si="6"/>
        <v>-76.307787</v>
      </c>
      <c r="E24" s="7">
        <f t="shared" si="6"/>
        <v>-115.485962</v>
      </c>
      <c r="F24" s="7">
        <f t="shared" si="6"/>
        <v>-15.559715</v>
      </c>
      <c r="G24" s="7">
        <f t="shared" si="6"/>
        <v>-38.739483</v>
      </c>
      <c r="H24" s="7">
        <f t="shared" si="6"/>
        <v>-66.222299</v>
      </c>
      <c r="I24" s="7">
        <f t="shared" si="6"/>
        <v>-103.731021</v>
      </c>
      <c r="J24" s="7">
        <f t="shared" si="6"/>
        <v>-10.885081</v>
      </c>
      <c r="K24" s="7">
        <f t="shared" si="6"/>
        <v>-23.339648</v>
      </c>
      <c r="L24" s="7">
        <f t="shared" si="6"/>
        <v>0.187581</v>
      </c>
      <c r="M24" s="7">
        <f t="shared" si="6"/>
        <v>30.422565</v>
      </c>
      <c r="N24" s="7">
        <f t="shared" si="6"/>
        <v>-13.75751</v>
      </c>
      <c r="O24" s="7">
        <f t="shared" si="6"/>
        <v>-19.335069</v>
      </c>
    </row>
    <row customHeight="1" ht="15">
      <c r="A25" s="9" t="s">
        <v>44</v>
      </c>
      <c r="B25" s="0">
        <v>-61.744696</v>
      </c>
      <c r="C25" s="0">
        <v>-73.402102</v>
      </c>
      <c r="D25" s="0">
        <v>-76.296464</v>
      </c>
      <c r="E25" s="0">
        <v>-115.468153</v>
      </c>
      <c r="F25" s="0">
        <v>-15.532933</v>
      </c>
      <c r="G25" s="0">
        <v>-38.759501</v>
      </c>
      <c r="H25" s="0">
        <v>-66.247054</v>
      </c>
      <c r="I25" s="0">
        <v>-103.758742</v>
      </c>
      <c r="J25" s="0">
        <v>-10.890588</v>
      </c>
      <c r="K25" s="0">
        <v>-23.364178</v>
      </c>
      <c r="L25" s="0">
        <v>0.133688</v>
      </c>
      <c r="M25" s="0">
        <v>30.417809</v>
      </c>
      <c r="N25" s="0">
        <v>-13.714641</v>
      </c>
      <c r="O25" s="0">
        <v>-19.311951</v>
      </c>
    </row>
    <row customHeight="1" ht="15">
      <c r="A26" s="9" t="s">
        <v>45</v>
      </c>
      <c r="B26" s="0">
        <v>-0.042453</v>
      </c>
      <c r="C26" s="0">
        <v>0.013074</v>
      </c>
      <c r="D26" s="0">
        <v>-0.011323</v>
      </c>
      <c r="E26" s="0">
        <v>-0.017809</v>
      </c>
      <c r="F26" s="0">
        <v>-0.026782</v>
      </c>
      <c r="G26" s="0">
        <v>0.020018</v>
      </c>
      <c r="H26" s="0">
        <v>0.024755</v>
      </c>
      <c r="I26" s="0">
        <v>0.027721</v>
      </c>
      <c r="J26" s="0">
        <v>0.005507</v>
      </c>
      <c r="K26" s="0">
        <v>0.02453</v>
      </c>
      <c r="L26" s="0">
        <v>0.053893</v>
      </c>
      <c r="M26" s="0">
        <v>0.004756</v>
      </c>
      <c r="N26" s="0">
        <v>-0.042869</v>
      </c>
      <c r="O26" s="0">
        <v>-0.023118</v>
      </c>
    </row>
    <row customHeight="1" ht="15">
      <c r="A27" s="9" t="s">
        <v>46</v>
      </c>
      <c r="B27" s="0">
        <v>-1.064477</v>
      </c>
      <c r="C27" s="0">
        <v>12.103516</v>
      </c>
      <c r="D27" s="0">
        <v>53.354432</v>
      </c>
      <c r="E27" s="0">
        <v>52.549161</v>
      </c>
      <c r="F27" s="0">
        <v>8.750888</v>
      </c>
      <c r="G27" s="0">
        <v>11.445183</v>
      </c>
      <c r="H27" s="0">
        <v>9.983109</v>
      </c>
      <c r="I27" s="0">
        <v>10.984271</v>
      </c>
      <c r="J27" s="0">
        <v>0.736417</v>
      </c>
      <c r="K27" s="0">
        <v>0.65664</v>
      </c>
      <c r="L27" s="0">
        <v>-7.645959</v>
      </c>
      <c r="M27" s="0">
        <v>-21.059859</v>
      </c>
      <c r="N27" s="0">
        <v>9.290292</v>
      </c>
      <c r="O27" s="0">
        <v>8.47433</v>
      </c>
    </row>
    <row customHeight="1" ht="15">
      <c r="A28" s="9" t="s">
        <v>47</v>
      </c>
      <c r="B28" s="0">
        <v>-0.048464</v>
      </c>
      <c r="C28" s="0">
        <v>0</v>
      </c>
      <c r="D28" s="0">
        <v>0</v>
      </c>
      <c r="E28" s="0">
        <v>0.016915</v>
      </c>
      <c r="F28" s="0">
        <v>0</v>
      </c>
      <c r="G28" s="0">
        <v>0</v>
      </c>
      <c r="H28" s="0">
        <v>0</v>
      </c>
      <c r="I28" s="0">
        <v>0.078297</v>
      </c>
      <c r="J28" s="0">
        <v>0</v>
      </c>
      <c r="K28" s="0">
        <v>0</v>
      </c>
      <c r="L28" s="0">
        <v>0</v>
      </c>
      <c r="M28" s="0">
        <v>0.73497</v>
      </c>
      <c r="N28" s="0">
        <v>0</v>
      </c>
      <c r="O28" s="0">
        <v>0</v>
      </c>
    </row>
    <row customHeight="1" ht="15">
      <c r="A29" s="9" t="s">
        <v>48</v>
      </c>
      <c r="B29" s="11">
        <f t="shared" si="6"/>
        <v>-1.112941</v>
      </c>
      <c r="C29" s="11">
        <f t="shared" si="7" ref="C29:O29">C27</f>
        <v>12.103516</v>
      </c>
      <c r="D29" s="11">
        <f t="shared" si="7"/>
        <v>53.354432</v>
      </c>
      <c r="E29" s="11">
        <f t="shared" si="6"/>
        <v>52.566076</v>
      </c>
      <c r="F29" s="11">
        <f t="shared" si="7"/>
        <v>8.750888</v>
      </c>
      <c r="G29" s="11">
        <f t="shared" si="7"/>
        <v>11.445183</v>
      </c>
      <c r="H29" s="11">
        <f t="shared" si="7"/>
        <v>9.983109</v>
      </c>
      <c r="I29" s="11">
        <f t="shared" si="6"/>
        <v>11.062568</v>
      </c>
      <c r="J29" s="11">
        <f t="shared" si="7"/>
        <v>0.736417</v>
      </c>
      <c r="K29" s="11">
        <f t="shared" si="7"/>
        <v>0.65664</v>
      </c>
      <c r="L29" s="11">
        <f t="shared" si="7"/>
        <v>-7.645959</v>
      </c>
      <c r="M29" s="11">
        <f t="shared" si="6"/>
        <v>-20.324889</v>
      </c>
      <c r="N29" s="11">
        <f t="shared" si="7"/>
        <v>9.290292</v>
      </c>
      <c r="O29" s="11">
        <f t="shared" si="7"/>
        <v>8.47433</v>
      </c>
    </row>
    <row customHeight="1" ht="15">
      <c r="A30" s="9" t="s">
        <v>49</v>
      </c>
      <c r="B30" s="11">
        <f t="shared" si="8" ref="B30:O30">B24+B29</f>
        <v>-62.90009</v>
      </c>
      <c r="C30" s="11">
        <f t="shared" si="8"/>
        <v>-61.285512</v>
      </c>
      <c r="D30" s="11">
        <f t="shared" si="8"/>
        <v>-22.953355</v>
      </c>
      <c r="E30" s="11">
        <f t="shared" si="8"/>
        <v>-62.919886</v>
      </c>
      <c r="F30" s="11">
        <f t="shared" si="8"/>
        <v>-6.808827</v>
      </c>
      <c r="G30" s="11">
        <f t="shared" si="8"/>
        <v>-27.2943</v>
      </c>
      <c r="H30" s="11">
        <f t="shared" si="8"/>
        <v>-56.23919</v>
      </c>
      <c r="I30" s="11">
        <f t="shared" si="8"/>
        <v>-92.668453</v>
      </c>
      <c r="J30" s="11">
        <f t="shared" si="8"/>
        <v>-10.148664</v>
      </c>
      <c r="K30" s="11">
        <f t="shared" si="8"/>
        <v>-22.683008</v>
      </c>
      <c r="L30" s="11">
        <f t="shared" si="8"/>
        <v>-7.458378</v>
      </c>
      <c r="M30" s="11">
        <f t="shared" si="8"/>
        <v>10.097676</v>
      </c>
      <c r="N30" s="11">
        <f t="shared" si="8"/>
        <v>-4.467218</v>
      </c>
      <c r="O30" s="11">
        <f t="shared" si="8"/>
        <v>-10.860739</v>
      </c>
    </row>
    <row customHeight="1" ht="15">
      <c r="A31" s="9" t="s">
        <v>44</v>
      </c>
      <c r="B31" s="0">
        <v>-63.024558</v>
      </c>
      <c r="C31" s="0">
        <v>-61.252766</v>
      </c>
      <c r="D31" s="0">
        <v>-22.980869</v>
      </c>
      <c r="E31" s="0">
        <v>-62.963777</v>
      </c>
      <c r="F31" s="0">
        <v>-6.873388</v>
      </c>
      <c r="G31" s="0">
        <v>-27.244685</v>
      </c>
      <c r="H31" s="0">
        <v>-56.178405</v>
      </c>
      <c r="I31" s="0">
        <v>-92.602016</v>
      </c>
      <c r="J31" s="0">
        <v>-10.135332</v>
      </c>
      <c r="K31" s="0">
        <v>-22.622754</v>
      </c>
      <c r="L31" s="0">
        <v>-7.320457</v>
      </c>
      <c r="M31" s="0">
        <v>10.148129</v>
      </c>
      <c r="N31" s="0">
        <v>-4.556704</v>
      </c>
      <c r="O31" s="0">
        <v>-10.877079</v>
      </c>
    </row>
    <row customHeight="1" ht="15">
      <c r="A32" s="9" t="s">
        <v>45</v>
      </c>
      <c r="B32" s="0">
        <v>0.124468</v>
      </c>
      <c r="C32" s="0">
        <v>-0.032746</v>
      </c>
      <c r="D32" s="0">
        <v>0.027514</v>
      </c>
      <c r="E32" s="0">
        <v>0.043891</v>
      </c>
      <c r="F32" s="0">
        <v>0.064561</v>
      </c>
      <c r="G32" s="0">
        <v>-0.049615</v>
      </c>
      <c r="H32" s="0">
        <v>-0.060785</v>
      </c>
      <c r="I32" s="0">
        <v>-0.066437</v>
      </c>
      <c r="J32" s="0">
        <v>-0.013332</v>
      </c>
      <c r="K32" s="0">
        <v>-0.060254</v>
      </c>
      <c r="L32" s="0">
        <v>-0.137921</v>
      </c>
      <c r="M32" s="0">
        <v>-0.050453</v>
      </c>
      <c r="N32" s="0">
        <v>0.089486</v>
      </c>
      <c r="O32" s="0">
        <v>0.01634</v>
      </c>
    </row>
    <row customHeight="1" ht="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customHeight="1" ht="15">
      <c r="A34" s="2" t="s">
        <v>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customHeight="1" ht="15">
      <c r="A35" s="9" t="s">
        <v>51</v>
      </c>
      <c r="B35" s="0">
        <v>-61.29357</v>
      </c>
      <c r="C35" s="0">
        <v>-64.276757</v>
      </c>
      <c r="D35" s="0">
        <v>-70.710757</v>
      </c>
      <c r="E35" s="0">
        <v>-104.033368</v>
      </c>
      <c r="F35" s="0">
        <v>-14.364613</v>
      </c>
      <c r="G35" s="0">
        <v>-36.414402</v>
      </c>
      <c r="H35" s="0">
        <v>-62.012476</v>
      </c>
      <c r="I35" s="0">
        <v>-97.036347</v>
      </c>
      <c r="J35" s="0">
        <v>-10.274124</v>
      </c>
      <c r="K35" s="0">
        <v>-22.032492</v>
      </c>
      <c r="L35" s="0">
        <v>4.51504</v>
      </c>
      <c r="M35" s="0">
        <v>36.387585</v>
      </c>
      <c r="N35" s="0">
        <v>-11.421043</v>
      </c>
      <c r="O35" s="0">
        <v>-14.058445</v>
      </c>
    </row>
    <row customHeight="1" ht="15">
      <c r="A36" s="9" t="s">
        <v>52</v>
      </c>
      <c r="B36" s="0">
        <v>0.397799</v>
      </c>
      <c r="C36" s="0">
        <v>0.009423</v>
      </c>
      <c r="D36" s="0">
        <v>-0.011377</v>
      </c>
      <c r="E36" s="0">
        <v>0.001763</v>
      </c>
      <c r="F36" s="0">
        <v>-0.026877</v>
      </c>
      <c r="G36" s="0">
        <v>0.002769</v>
      </c>
      <c r="H36" s="0">
        <v>0.006616</v>
      </c>
      <c r="I36" s="0">
        <v>0.042832</v>
      </c>
      <c r="J36" s="0">
        <v>0.00869</v>
      </c>
      <c r="K36" s="0">
        <v>0.035052</v>
      </c>
      <c r="L36" s="0">
        <v>-0.004291</v>
      </c>
      <c r="M36" s="0">
        <v>0.042544</v>
      </c>
      <c r="N36" s="0">
        <v>-0.005043</v>
      </c>
      <c r="O36" s="0">
        <v>-0.003993</v>
      </c>
    </row>
    <row customHeight="1" ht="15">
      <c r="A37" s="9" t="s">
        <v>53</v>
      </c>
      <c r="B37" s="0">
        <v>42.745142</v>
      </c>
      <c r="C37" s="0">
        <v>24.99628</v>
      </c>
      <c r="D37" s="0">
        <v>35.383031</v>
      </c>
      <c r="E37" s="0">
        <v>47.380285</v>
      </c>
      <c r="F37" s="0">
        <v>12.244525</v>
      </c>
      <c r="G37" s="0">
        <v>25.455559</v>
      </c>
      <c r="H37" s="0">
        <v>35.691787</v>
      </c>
      <c r="I37" s="0">
        <v>48.614609</v>
      </c>
      <c r="J37" s="0">
        <v>12.306473</v>
      </c>
      <c r="K37" s="0">
        <v>24.258382</v>
      </c>
      <c r="L37" s="0">
        <v>37.452292</v>
      </c>
      <c r="M37" s="0">
        <v>50.741037</v>
      </c>
      <c r="N37" s="0">
        <v>15.027019</v>
      </c>
      <c r="O37" s="0">
        <v>29.743913</v>
      </c>
    </row>
    <row customHeight="1" ht="15">
      <c r="A38" s="9" t="s">
        <v>25</v>
      </c>
      <c r="B38" s="0">
        <v>11.955373</v>
      </c>
      <c r="C38" s="0">
        <v>6.823502</v>
      </c>
      <c r="D38" s="0">
        <v>10.996609</v>
      </c>
      <c r="E38" s="0">
        <v>15.925177</v>
      </c>
      <c r="F38" s="0">
        <v>5.009905</v>
      </c>
      <c r="G38" s="0">
        <v>10.314476</v>
      </c>
      <c r="H38" s="0">
        <v>15.437099</v>
      </c>
      <c r="I38" s="0">
        <v>20.609792</v>
      </c>
      <c r="J38" s="0">
        <v>4.898694</v>
      </c>
      <c r="K38" s="0">
        <v>10.004124</v>
      </c>
      <c r="L38" s="0">
        <v>15.155486</v>
      </c>
      <c r="M38" s="0">
        <v>19.385894</v>
      </c>
      <c r="N38" s="0">
        <v>4.784049</v>
      </c>
      <c r="O38" s="0">
        <v>9.579371</v>
      </c>
    </row>
    <row customHeight="1" ht="15">
      <c r="A39" s="9" t="s">
        <v>54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0.082283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customHeight="1" ht="15">
      <c r="A40" s="9" t="s">
        <v>55</v>
      </c>
      <c r="B40" s="0">
        <v>1.070047</v>
      </c>
      <c r="C40" s="0">
        <v>0.02281</v>
      </c>
      <c r="D40" s="0">
        <v>0.031318</v>
      </c>
      <c r="E40" s="0">
        <v>-1.024685</v>
      </c>
      <c r="F40" s="0">
        <v>0.010468</v>
      </c>
      <c r="G40" s="0">
        <v>0</v>
      </c>
      <c r="H40" s="0">
        <v>0.537341</v>
      </c>
      <c r="I40" s="0">
        <v>0.849054</v>
      </c>
      <c r="J40" s="0">
        <v>-0.039965</v>
      </c>
      <c r="K40" s="0">
        <v>0</v>
      </c>
      <c r="L40" s="0">
        <v>0.001079</v>
      </c>
      <c r="M40" s="0">
        <v>0.615199</v>
      </c>
      <c r="N40" s="0">
        <v>0.115606</v>
      </c>
      <c r="O40" s="0">
        <v>0</v>
      </c>
    </row>
    <row customHeight="1" ht="15">
      <c r="A41" s="9" t="s">
        <v>56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-0.195467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customHeight="1" ht="15">
      <c r="A42" s="9" t="s">
        <v>57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-0.034141</v>
      </c>
      <c r="L42" s="0">
        <v>0</v>
      </c>
      <c r="M42" s="0">
        <v>0</v>
      </c>
      <c r="N42" s="0">
        <v>0</v>
      </c>
      <c r="O42" s="0">
        <v>-0.42104</v>
      </c>
    </row>
    <row customHeight="1" ht="15">
      <c r="A43" s="9" t="s">
        <v>58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0.058709</v>
      </c>
      <c r="L43" s="0">
        <v>0</v>
      </c>
      <c r="M43" s="0">
        <v>0</v>
      </c>
      <c r="N43" s="0">
        <v>0</v>
      </c>
      <c r="O43" s="0">
        <v>0.154854</v>
      </c>
    </row>
    <row customHeight="1" ht="15">
      <c r="A44" s="9" t="s">
        <v>59</v>
      </c>
      <c r="B44" s="0">
        <v>0.390413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0.12936</v>
      </c>
      <c r="I44" s="0">
        <v>0.12936</v>
      </c>
      <c r="J44" s="0">
        <v>0.02539</v>
      </c>
      <c r="K44" s="0">
        <v>0.038687</v>
      </c>
      <c r="L44" s="0">
        <v>0.052032</v>
      </c>
      <c r="M44" s="0">
        <v>0.065328</v>
      </c>
      <c r="N44" s="0">
        <v>0.338567</v>
      </c>
      <c r="O44" s="0">
        <v>0.405935</v>
      </c>
    </row>
    <row customHeight="1" ht="15">
      <c r="A45" s="9" t="s">
        <v>60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-0.033497</v>
      </c>
      <c r="I45" s="0">
        <v>0</v>
      </c>
      <c r="J45" s="0">
        <v>0</v>
      </c>
      <c r="K45" s="0">
        <v>0</v>
      </c>
      <c r="L45" s="0">
        <v>0.031576</v>
      </c>
      <c r="M45" s="0">
        <v>0</v>
      </c>
      <c r="N45" s="0">
        <v>0</v>
      </c>
      <c r="O45" s="0">
        <v>0</v>
      </c>
    </row>
    <row customHeight="1" ht="15">
      <c r="A46" s="9" t="s">
        <v>61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-0.000452</v>
      </c>
      <c r="J46" s="0">
        <v>0</v>
      </c>
      <c r="K46" s="0">
        <v>0</v>
      </c>
      <c r="L46" s="0">
        <v>0</v>
      </c>
      <c r="M46" s="0">
        <v>0.090045</v>
      </c>
      <c r="N46" s="0">
        <v>0</v>
      </c>
      <c r="O46" s="0">
        <v>0</v>
      </c>
    </row>
    <row customHeight="1" ht="15">
      <c r="A47" s="9" t="s">
        <v>62</v>
      </c>
      <c r="B47" s="0">
        <v>0.038122</v>
      </c>
      <c r="C47" s="0">
        <v>0</v>
      </c>
      <c r="D47" s="0">
        <v>-0.004655</v>
      </c>
      <c r="E47" s="0">
        <v>0.036329</v>
      </c>
      <c r="F47" s="0">
        <v>0</v>
      </c>
      <c r="G47" s="0">
        <v>0</v>
      </c>
      <c r="H47" s="0">
        <v>0</v>
      </c>
      <c r="I47" s="0">
        <v>0</v>
      </c>
      <c r="J47" s="0">
        <v>0.02492</v>
      </c>
      <c r="K47" s="0">
        <v>0</v>
      </c>
      <c r="L47" s="0">
        <v>0</v>
      </c>
      <c r="M47" s="0">
        <v>0</v>
      </c>
      <c r="N47" s="0">
        <v>0.247744</v>
      </c>
      <c r="O47" s="0">
        <v>0</v>
      </c>
    </row>
    <row customHeight="1" ht="15">
      <c r="A48" s="9" t="s">
        <v>63</v>
      </c>
      <c r="B48" s="0">
        <v>-0.133104</v>
      </c>
      <c r="C48" s="0">
        <v>0.987975</v>
      </c>
      <c r="D48" s="0">
        <v>-0.521823</v>
      </c>
      <c r="E48" s="0">
        <v>-1.237004</v>
      </c>
      <c r="F48" s="0">
        <v>1.326513</v>
      </c>
      <c r="G48" s="0">
        <v>0.723291</v>
      </c>
      <c r="H48" s="0">
        <v>0.722781</v>
      </c>
      <c r="I48" s="0">
        <v>2.400355</v>
      </c>
      <c r="J48" s="0">
        <v>0.147859</v>
      </c>
      <c r="K48" s="0">
        <v>0.661341</v>
      </c>
      <c r="L48" s="0">
        <v>1.122029</v>
      </c>
      <c r="M48" s="0">
        <v>1.255323</v>
      </c>
      <c r="N48" s="0">
        <v>0.571341</v>
      </c>
      <c r="O48" s="0">
        <v>0.669312</v>
      </c>
    </row>
    <row customHeight="1" ht="15">
      <c r="A49" s="9" t="s">
        <v>64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0.028256</v>
      </c>
      <c r="J49" s="0">
        <v>0</v>
      </c>
      <c r="K49" s="0">
        <v>0</v>
      </c>
      <c r="L49" s="0">
        <v>0</v>
      </c>
      <c r="M49" s="0">
        <v>-0.390374</v>
      </c>
      <c r="N49" s="0">
        <v>0</v>
      </c>
      <c r="O49" s="0">
        <v>0</v>
      </c>
    </row>
    <row customHeight="1" ht="15">
      <c r="A50" s="9" t="s">
        <v>65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0.043954</v>
      </c>
      <c r="I50" s="0">
        <v>0</v>
      </c>
      <c r="J50" s="0">
        <v>0.022856</v>
      </c>
      <c r="K50" s="0">
        <v>0</v>
      </c>
      <c r="L50" s="0">
        <v>-0.298746</v>
      </c>
      <c r="M50" s="0">
        <v>0</v>
      </c>
      <c r="N50" s="0">
        <v>-0.169571</v>
      </c>
      <c r="O50" s="0">
        <v>0</v>
      </c>
    </row>
    <row customHeight="1" ht="15">
      <c r="A51" s="9" t="s">
        <v>66</v>
      </c>
      <c r="B51" s="0">
        <v>-0.070659</v>
      </c>
      <c r="C51" s="0">
        <v>-0.305826</v>
      </c>
      <c r="D51" s="0">
        <v>0.268888</v>
      </c>
      <c r="E51" s="0">
        <v>0.556148</v>
      </c>
      <c r="F51" s="0">
        <v>-0.330228</v>
      </c>
      <c r="G51" s="0">
        <v>-0.156905</v>
      </c>
      <c r="H51" s="0">
        <v>0</v>
      </c>
      <c r="I51" s="0">
        <v>0</v>
      </c>
      <c r="J51" s="0">
        <v>0</v>
      </c>
      <c r="K51" s="0">
        <v>-0.177204</v>
      </c>
      <c r="L51" s="0">
        <v>0</v>
      </c>
      <c r="M51" s="0">
        <v>0</v>
      </c>
      <c r="N51" s="0">
        <v>0</v>
      </c>
      <c r="O51" s="0">
        <v>-0.390374</v>
      </c>
    </row>
    <row customHeight="1" ht="15">
      <c r="A52" s="9" t="s">
        <v>35</v>
      </c>
      <c r="B52" s="0">
        <v>-0.187722</v>
      </c>
      <c r="C52" s="0">
        <v>-0.076418</v>
      </c>
      <c r="D52" s="0">
        <v>-0.115142</v>
      </c>
      <c r="E52" s="0">
        <v>-0.156096</v>
      </c>
      <c r="F52" s="0">
        <v>-0.040809</v>
      </c>
      <c r="G52" s="0">
        <v>-0.079141</v>
      </c>
      <c r="H52" s="0">
        <v>-0.116258</v>
      </c>
      <c r="I52" s="0">
        <v>-0.329052</v>
      </c>
      <c r="J52" s="0">
        <v>-0.109547</v>
      </c>
      <c r="K52" s="0">
        <v>-0.157281</v>
      </c>
      <c r="L52" s="0">
        <v>-0.23018</v>
      </c>
      <c r="M52" s="0">
        <v>-0.269998</v>
      </c>
      <c r="N52" s="0">
        <v>-0.236924</v>
      </c>
      <c r="O52" s="0">
        <v>-0.388668</v>
      </c>
    </row>
    <row customHeight="1" ht="15">
      <c r="A53" s="9" t="s">
        <v>34</v>
      </c>
      <c r="B53" s="0">
        <v>-1.932958</v>
      </c>
      <c r="C53" s="0">
        <v>-1.063127</v>
      </c>
      <c r="D53" s="0">
        <v>-1.594691</v>
      </c>
      <c r="E53" s="0">
        <v>-2.126254</v>
      </c>
      <c r="F53" s="0">
        <v>-0.58472</v>
      </c>
      <c r="G53" s="0">
        <v>-1.16944</v>
      </c>
      <c r="H53" s="0">
        <v>-1.75416</v>
      </c>
      <c r="I53" s="0">
        <v>-2.33888</v>
      </c>
      <c r="J53" s="0">
        <v>-0.643189</v>
      </c>
      <c r="K53" s="0">
        <v>-1.286384</v>
      </c>
      <c r="L53" s="0">
        <v>-1.929576</v>
      </c>
      <c r="M53" s="0">
        <v>-2.572767</v>
      </c>
      <c r="N53" s="0">
        <v>-0.707511</v>
      </c>
      <c r="O53" s="0">
        <v>-1.415022</v>
      </c>
    </row>
    <row customHeight="1" ht="15">
      <c r="A54" s="9" t="s">
        <v>67</v>
      </c>
      <c r="B54" s="0">
        <v>55.213244</v>
      </c>
      <c r="C54" s="0">
        <v>31.867209</v>
      </c>
      <c r="D54" s="0">
        <v>45.261136</v>
      </c>
      <c r="E54" s="0">
        <v>64.737849</v>
      </c>
      <c r="F54" s="0">
        <v>15.328047</v>
      </c>
      <c r="G54" s="0">
        <v>30.738515</v>
      </c>
      <c r="H54" s="0">
        <v>46.371001</v>
      </c>
      <c r="I54" s="0">
        <v>74.276529</v>
      </c>
      <c r="J54" s="0">
        <v>17.043553</v>
      </c>
      <c r="K54" s="0">
        <v>34.228359</v>
      </c>
      <c r="L54" s="0">
        <v>51.969835</v>
      </c>
      <c r="M54" s="0">
        <v>71.039195</v>
      </c>
      <c r="N54" s="0">
        <v>20.252271</v>
      </c>
      <c r="O54" s="0">
        <v>40.973293</v>
      </c>
    </row>
    <row customHeight="1" ht="15">
      <c r="A55" s="9" t="s">
        <v>68</v>
      </c>
      <c r="B55" s="0">
        <v>-1.836886</v>
      </c>
      <c r="C55" s="0">
        <v>0.025945</v>
      </c>
      <c r="D55" s="0">
        <v>0.026609</v>
      </c>
      <c r="E55" s="0">
        <v>0.015574</v>
      </c>
      <c r="F55" s="0">
        <v>-0.017654</v>
      </c>
      <c r="G55" s="0">
        <v>-0.018621</v>
      </c>
      <c r="H55" s="0">
        <v>-0.028457</v>
      </c>
      <c r="I55" s="0">
        <v>-0.032154</v>
      </c>
      <c r="J55" s="0">
        <v>-0.01457</v>
      </c>
      <c r="K55" s="0">
        <v>-0.045298</v>
      </c>
      <c r="L55" s="0">
        <v>-0.051675</v>
      </c>
      <c r="M55" s="0">
        <v>-0.064657</v>
      </c>
      <c r="N55" s="0">
        <v>0</v>
      </c>
      <c r="O55" s="0">
        <v>0</v>
      </c>
    </row>
    <row customHeight="1" ht="15">
      <c r="A56" s="9" t="s">
        <v>69</v>
      </c>
      <c r="B56" s="0">
        <v>-0.009102</v>
      </c>
      <c r="C56" s="0">
        <v>-0.012322</v>
      </c>
      <c r="D56" s="0">
        <v>-0.025672</v>
      </c>
      <c r="E56" s="0">
        <v>0.023764</v>
      </c>
      <c r="F56" s="0">
        <v>-0.009214</v>
      </c>
      <c r="G56" s="0">
        <v>-0.074063</v>
      </c>
      <c r="H56" s="0">
        <v>-0.112387</v>
      </c>
      <c r="I56" s="0">
        <v>-0.054614</v>
      </c>
      <c r="J56" s="0">
        <v>-0.004473</v>
      </c>
      <c r="K56" s="0">
        <v>0</v>
      </c>
      <c r="L56" s="0">
        <v>0</v>
      </c>
      <c r="M56" s="0">
        <v>-0.047063</v>
      </c>
      <c r="N56" s="0">
        <v>-0.067118</v>
      </c>
      <c r="O56" s="0">
        <v>-0.045633</v>
      </c>
    </row>
    <row customHeight="1" ht="15">
      <c r="A57" s="9" t="s">
        <v>37</v>
      </c>
      <c r="B57" s="0">
        <v>24.108535</v>
      </c>
      <c r="C57" s="0">
        <v>85.59763</v>
      </c>
      <c r="D57" s="0">
        <v>83.482307</v>
      </c>
      <c r="E57" s="0">
        <v>114.151736</v>
      </c>
      <c r="F57" s="0">
        <v>12.388792</v>
      </c>
      <c r="G57" s="0">
        <v>23.156639</v>
      </c>
      <c r="H57" s="0">
        <v>33.511939</v>
      </c>
      <c r="I57" s="0">
        <v>39.271284</v>
      </c>
      <c r="J57" s="0">
        <v>5.577573</v>
      </c>
      <c r="K57" s="0">
        <v>13.178134</v>
      </c>
      <c r="L57" s="0">
        <v>-2.205623</v>
      </c>
      <c r="M57" s="0">
        <v>-37.680522</v>
      </c>
      <c r="N57" s="0">
        <v>13.410153</v>
      </c>
      <c r="O57" s="0">
        <v>17.192096</v>
      </c>
    </row>
    <row customHeight="1" ht="15">
      <c r="A58" s="9" t="s">
        <v>70</v>
      </c>
      <c r="B58" s="0">
        <v>0</v>
      </c>
      <c r="C58" s="0">
        <v>-32.365867</v>
      </c>
      <c r="D58" s="0">
        <v>-29.299361</v>
      </c>
      <c r="E58" s="0">
        <v>-21.543365</v>
      </c>
      <c r="F58" s="0">
        <v>-3.717688</v>
      </c>
      <c r="G58" s="0">
        <v>-3.972137</v>
      </c>
      <c r="H58" s="0">
        <v>-2.705382</v>
      </c>
      <c r="I58" s="0">
        <v>-3.558212</v>
      </c>
      <c r="J58" s="0">
        <v>0.211588</v>
      </c>
      <c r="K58" s="0">
        <v>0.228901</v>
      </c>
      <c r="L58" s="0">
        <v>-0.411899</v>
      </c>
      <c r="M58" s="0">
        <v>1.599516</v>
      </c>
      <c r="N58" s="0">
        <v>-2.791561</v>
      </c>
      <c r="O58" s="0">
        <v>-2.790434</v>
      </c>
    </row>
    <row customHeight="1" ht="15">
      <c r="A59" s="9" t="s">
        <v>71</v>
      </c>
      <c r="B59" s="0">
        <v>-7.6196</v>
      </c>
      <c r="C59" s="0">
        <v>1.013252</v>
      </c>
      <c r="D59" s="0">
        <v>-1.855976</v>
      </c>
      <c r="E59" s="0">
        <v>-3.808835</v>
      </c>
      <c r="F59" s="0">
        <v>-1.099068</v>
      </c>
      <c r="G59" s="0">
        <v>-2.447627</v>
      </c>
      <c r="H59" s="0">
        <v>-0.869733</v>
      </c>
      <c r="I59" s="0">
        <v>-0.445687</v>
      </c>
      <c r="J59" s="0">
        <v>-1.148641</v>
      </c>
      <c r="K59" s="0">
        <v>0</v>
      </c>
      <c r="L59" s="0">
        <v>-3.454859</v>
      </c>
      <c r="M59" s="0">
        <v>-1.67919</v>
      </c>
      <c r="N59" s="0">
        <v>-1.259565</v>
      </c>
      <c r="O59" s="0">
        <v>0</v>
      </c>
    </row>
    <row customHeight="1" ht="15">
      <c r="A60" s="9" t="s">
        <v>72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-1.589195</v>
      </c>
      <c r="L60" s="0">
        <v>0</v>
      </c>
      <c r="M60" s="0">
        <v>0</v>
      </c>
      <c r="N60" s="0">
        <v>0</v>
      </c>
      <c r="O60" s="0">
        <v>2.115066</v>
      </c>
    </row>
    <row customHeight="1" ht="15">
      <c r="A61" s="9" t="s">
        <v>73</v>
      </c>
      <c r="B61" s="0">
        <v>-0.651903</v>
      </c>
      <c r="C61" s="0">
        <v>-0.454026</v>
      </c>
      <c r="D61" s="0">
        <v>-1.647289</v>
      </c>
      <c r="E61" s="0">
        <v>-7.075708</v>
      </c>
      <c r="F61" s="0">
        <v>0.773701</v>
      </c>
      <c r="G61" s="0">
        <v>3.522587</v>
      </c>
      <c r="H61" s="0">
        <v>5.443207</v>
      </c>
      <c r="I61" s="0">
        <v>4.098743</v>
      </c>
      <c r="J61" s="0">
        <v>1.100836</v>
      </c>
      <c r="K61" s="0">
        <v>0.865416</v>
      </c>
      <c r="L61" s="0">
        <v>0.946798</v>
      </c>
      <c r="M61" s="0">
        <v>1.583755</v>
      </c>
      <c r="N61" s="0">
        <v>-0.232414</v>
      </c>
      <c r="O61" s="0">
        <v>-0.174593</v>
      </c>
    </row>
    <row customHeight="1" ht="15">
      <c r="A62" s="9" t="s">
        <v>74</v>
      </c>
      <c r="B62" s="0">
        <v>47.043432</v>
      </c>
      <c r="C62" s="0">
        <v>-33.217974</v>
      </c>
      <c r="D62" s="0">
        <v>-22.276859</v>
      </c>
      <c r="E62" s="0">
        <v>-26.765219</v>
      </c>
      <c r="F62" s="0">
        <v>-5.818776</v>
      </c>
      <c r="G62" s="0">
        <v>-6.330785</v>
      </c>
      <c r="H62" s="0">
        <v>0.559042</v>
      </c>
      <c r="I62" s="0">
        <v>0</v>
      </c>
      <c r="J62" s="0">
        <v>0</v>
      </c>
      <c r="K62" s="0">
        <v>0</v>
      </c>
      <c r="L62" s="0">
        <v>-4.739581</v>
      </c>
      <c r="M62" s="0">
        <v>0</v>
      </c>
      <c r="N62" s="0">
        <v>0</v>
      </c>
      <c r="O62" s="0">
        <v>0</v>
      </c>
    </row>
    <row customHeight="1" ht="15">
      <c r="A63" s="9" t="s">
        <v>75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-12.040304</v>
      </c>
      <c r="J63" s="0">
        <v>-15.479729</v>
      </c>
      <c r="K63" s="0">
        <v>-7.155332</v>
      </c>
      <c r="L63" s="0">
        <v>0</v>
      </c>
      <c r="M63" s="0">
        <v>5.289519</v>
      </c>
      <c r="N63" s="0">
        <v>-18.964637</v>
      </c>
      <c r="O63" s="0">
        <v>-16.799505</v>
      </c>
    </row>
    <row customHeight="1" ht="15">
      <c r="A64" s="9" t="s">
        <v>76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-35.839263</v>
      </c>
      <c r="N64" s="0">
        <v>0</v>
      </c>
      <c r="O64" s="0">
        <v>0</v>
      </c>
    </row>
    <row customHeight="1" ht="15">
      <c r="A65" s="9" t="s">
        <v>77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-31.924235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customHeight="1" ht="15">
      <c r="A66" s="9" t="s">
        <v>78</v>
      </c>
      <c r="B66" s="0">
        <v>7.85232</v>
      </c>
      <c r="C66" s="0">
        <v>29.987724</v>
      </c>
      <c r="D66" s="0">
        <v>51.405699</v>
      </c>
      <c r="E66" s="0">
        <v>49.126942</v>
      </c>
      <c r="F66" s="0">
        <v>-2.820887</v>
      </c>
      <c r="G66" s="0">
        <v>-4.901067</v>
      </c>
      <c r="H66" s="0">
        <v>17.481503</v>
      </c>
      <c r="I66" s="0">
        <v>0</v>
      </c>
      <c r="J66" s="0">
        <v>-3.063081</v>
      </c>
      <c r="K66" s="0">
        <v>-5.97005</v>
      </c>
      <c r="L66" s="0">
        <v>-20.772359</v>
      </c>
      <c r="M66" s="0">
        <v>0</v>
      </c>
      <c r="N66" s="0">
        <v>-6.98016</v>
      </c>
      <c r="O66" s="0">
        <v>-9.854611</v>
      </c>
    </row>
    <row customHeight="1" ht="15">
      <c r="A67" s="9" t="s">
        <v>79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0.443359</v>
      </c>
      <c r="I67" s="0">
        <v>0</v>
      </c>
      <c r="J67" s="0">
        <v>0</v>
      </c>
      <c r="K67" s="0">
        <v>0</v>
      </c>
      <c r="L67" s="0">
        <v>-1.597284</v>
      </c>
      <c r="M67" s="0">
        <v>0</v>
      </c>
      <c r="N67" s="0">
        <v>0</v>
      </c>
      <c r="O67" s="0">
        <v>0</v>
      </c>
    </row>
    <row customHeight="1" ht="15">
      <c r="A68" s="9" t="s">
        <v>80</v>
      </c>
      <c r="B68" s="0">
        <v>3.843218</v>
      </c>
      <c r="C68" s="0">
        <v>2.932475</v>
      </c>
      <c r="D68" s="0">
        <v>1.901493</v>
      </c>
      <c r="E68" s="0">
        <v>1.255676</v>
      </c>
      <c r="F68" s="0">
        <v>2.022442</v>
      </c>
      <c r="G68" s="0">
        <v>1.249186</v>
      </c>
      <c r="H68" s="0">
        <v>-0.952178</v>
      </c>
      <c r="I68" s="0">
        <v>0</v>
      </c>
      <c r="J68" s="0">
        <v>0</v>
      </c>
      <c r="K68" s="0">
        <v>0</v>
      </c>
      <c r="L68" s="0">
        <v>-0.214526</v>
      </c>
      <c r="M68" s="0">
        <v>0</v>
      </c>
      <c r="N68" s="0">
        <v>0</v>
      </c>
      <c r="O68" s="0">
        <v>0</v>
      </c>
    </row>
    <row customHeight="1" ht="15">
      <c r="A69" s="9" t="s">
        <v>81</v>
      </c>
      <c r="B69" s="0">
        <v>-0.388153</v>
      </c>
      <c r="C69" s="0">
        <v>0</v>
      </c>
      <c r="D69" s="0">
        <v>17.82741</v>
      </c>
      <c r="E69" s="0">
        <v>21.720609</v>
      </c>
      <c r="F69" s="0">
        <v>0.138788</v>
      </c>
      <c r="G69" s="0">
        <v>-0.123855</v>
      </c>
      <c r="H69" s="0">
        <v>0</v>
      </c>
      <c r="I69" s="0">
        <v>0.075676</v>
      </c>
      <c r="J69" s="0">
        <v>-0.60457</v>
      </c>
      <c r="K69" s="0">
        <v>-1.173806</v>
      </c>
      <c r="L69" s="0">
        <v>0</v>
      </c>
      <c r="M69" s="0">
        <v>-12.012494</v>
      </c>
      <c r="N69" s="0">
        <v>-3.699358</v>
      </c>
      <c r="O69" s="0">
        <v>-6.969807</v>
      </c>
    </row>
    <row customHeight="1" ht="15">
      <c r="A70" s="9" t="s">
        <v>82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10.080507</v>
      </c>
      <c r="J70" s="0">
        <v>-0.872592</v>
      </c>
      <c r="K70" s="0">
        <v>-2.483852</v>
      </c>
      <c r="L70" s="0">
        <v>0</v>
      </c>
      <c r="M70" s="0">
        <v>0.39442</v>
      </c>
      <c r="N70" s="0">
        <v>-0.349321</v>
      </c>
      <c r="O70" s="0">
        <v>-2.114063</v>
      </c>
    </row>
    <row customHeight="1" ht="15">
      <c r="A71" s="9" t="s">
        <v>83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10.786602</v>
      </c>
      <c r="J71" s="0">
        <v>-16.646159</v>
      </c>
      <c r="K71" s="0">
        <v>1.027838</v>
      </c>
      <c r="L71" s="0">
        <v>0</v>
      </c>
      <c r="M71" s="0">
        <v>-0.088701</v>
      </c>
      <c r="N71" s="0">
        <v>-19.009125</v>
      </c>
      <c r="O71" s="0">
        <v>-2.756683</v>
      </c>
    </row>
    <row customHeight="1" ht="15">
      <c r="A72" s="9" t="s">
        <v>84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0.011885</v>
      </c>
      <c r="J72" s="0">
        <v>0.09547</v>
      </c>
      <c r="K72" s="0">
        <v>0.142017</v>
      </c>
      <c r="L72" s="0">
        <v>0</v>
      </c>
      <c r="M72" s="0">
        <v>3.23386</v>
      </c>
      <c r="N72" s="0">
        <v>1.704665</v>
      </c>
      <c r="O72" s="0">
        <v>-0.80017</v>
      </c>
    </row>
    <row customHeight="1" ht="15">
      <c r="A73" s="9" t="s">
        <v>85</v>
      </c>
      <c r="B73" s="0">
        <v>0.187722</v>
      </c>
      <c r="C73" s="0">
        <v>0.076418</v>
      </c>
      <c r="D73" s="0">
        <v>0.115142</v>
      </c>
      <c r="E73" s="0">
        <v>0.156096</v>
      </c>
      <c r="F73" s="0">
        <v>0.040809</v>
      </c>
      <c r="G73" s="0">
        <v>0.079141</v>
      </c>
      <c r="H73" s="0">
        <v>0.116258</v>
      </c>
      <c r="I73" s="0">
        <v>0.329052</v>
      </c>
      <c r="J73" s="0">
        <v>0.109547</v>
      </c>
      <c r="K73" s="0">
        <v>0.157281</v>
      </c>
      <c r="L73" s="0">
        <v>0.23018</v>
      </c>
      <c r="M73" s="0">
        <v>0.269998</v>
      </c>
      <c r="N73" s="0">
        <v>0.236924</v>
      </c>
      <c r="O73" s="0">
        <v>0.388668</v>
      </c>
    </row>
    <row customHeight="1" ht="15">
      <c r="A74" s="9" t="s">
        <v>86</v>
      </c>
      <c r="B74" s="0">
        <v>-4.512994</v>
      </c>
      <c r="C74" s="0">
        <v>0</v>
      </c>
      <c r="D74" s="0">
        <v>0</v>
      </c>
      <c r="E74" s="0">
        <v>-7.191377</v>
      </c>
      <c r="F74" s="0">
        <v>-2.559133</v>
      </c>
      <c r="G74" s="0">
        <v>-19.445003</v>
      </c>
      <c r="H74" s="0">
        <v>-29.64601</v>
      </c>
      <c r="I74" s="0">
        <v>-16.33502</v>
      </c>
      <c r="J74" s="0">
        <v>-2.407847</v>
      </c>
      <c r="K74" s="0">
        <v>-21.29783</v>
      </c>
      <c r="L74" s="0">
        <v>-24.809135</v>
      </c>
      <c r="M74" s="0">
        <v>-45.285543</v>
      </c>
      <c r="N74" s="0">
        <v>-4.30736</v>
      </c>
      <c r="O74" s="0">
        <v>-25.752197</v>
      </c>
    </row>
    <row customHeight="1" ht="15">
      <c r="A75" s="9" t="s">
        <v>87</v>
      </c>
      <c r="B75" s="0">
        <v>116.208716</v>
      </c>
      <c r="C75" s="0">
        <v>52.491908</v>
      </c>
      <c r="D75" s="0">
        <v>118.520898</v>
      </c>
      <c r="E75" s="0">
        <v>140.126037</v>
      </c>
      <c r="F75" s="0">
        <v>20.412647</v>
      </c>
      <c r="G75" s="0">
        <v>39.557262</v>
      </c>
      <c r="H75" s="0">
        <v>87.794461</v>
      </c>
      <c r="I75" s="0">
        <v>47.314112</v>
      </c>
      <c r="J75" s="0">
        <v>-7.436738</v>
      </c>
      <c r="K75" s="0">
        <v>21.481376</v>
      </c>
      <c r="L75" s="0">
        <v>75.335568</v>
      </c>
      <c r="M75" s="0">
        <v>56.062646</v>
      </c>
      <c r="N75" s="0">
        <v>-9.441936</v>
      </c>
      <c r="O75" s="0">
        <v>16.48727</v>
      </c>
    </row>
    <row customHeight="1" ht="15">
      <c r="A76" s="9" t="s">
        <v>88</v>
      </c>
      <c r="B76" s="0">
        <v>-3.350279</v>
      </c>
      <c r="C76" s="0">
        <v>-2.407933</v>
      </c>
      <c r="D76" s="0">
        <v>-3.955407</v>
      </c>
      <c r="E76" s="0">
        <v>-5.782459</v>
      </c>
      <c r="F76" s="0">
        <v>-1.75688</v>
      </c>
      <c r="G76" s="0">
        <v>-2.734764</v>
      </c>
      <c r="H76" s="0">
        <v>-4.156297</v>
      </c>
      <c r="I76" s="0">
        <v>-7.184522</v>
      </c>
      <c r="J76" s="0">
        <v>-0.9154</v>
      </c>
      <c r="K76" s="0">
        <v>-1.83687</v>
      </c>
      <c r="L76" s="0">
        <v>-3.475011</v>
      </c>
      <c r="M76" s="0">
        <v>-6.091108</v>
      </c>
      <c r="N76" s="0">
        <v>-1.015886</v>
      </c>
      <c r="O76" s="0">
        <v>-2.258587</v>
      </c>
    </row>
    <row customHeight="1" ht="15">
      <c r="A77" s="9" t="s">
        <v>89</v>
      </c>
      <c r="B77" s="0">
        <v>-0.332177</v>
      </c>
      <c r="C77" s="0">
        <v>-0.129161</v>
      </c>
      <c r="D77" s="0">
        <v>-0.140074</v>
      </c>
      <c r="E77" s="0">
        <v>-2.195829</v>
      </c>
      <c r="F77" s="0">
        <v>-0.182869</v>
      </c>
      <c r="G77" s="0">
        <v>-0.263047</v>
      </c>
      <c r="H77" s="0">
        <v>-0.303499</v>
      </c>
      <c r="I77" s="0">
        <v>-0.403325</v>
      </c>
      <c r="J77" s="0">
        <v>-0.074396</v>
      </c>
      <c r="K77" s="0">
        <v>-0.928917</v>
      </c>
      <c r="L77" s="0">
        <v>-0.98462</v>
      </c>
      <c r="M77" s="0">
        <v>-1.099098</v>
      </c>
      <c r="N77" s="0">
        <v>-0.217241</v>
      </c>
      <c r="O77" s="0">
        <v>-0.24329</v>
      </c>
    </row>
    <row customHeight="1" ht="15">
      <c r="A78" s="4" t="s">
        <v>90</v>
      </c>
      <c r="B78" s="7">
        <f t="shared" si="9" ref="B78:F78">SUM(B35:B38)+B40+B44+SUM(B47:B48)+SUM(B51:B59)+SUM(B61:B62)+B66+SUM(B68:B69)+SUM(B73:B74)+SUM(B76:B77)</f>
        <v>112.52626</v>
      </c>
      <c r="C78" s="7">
        <f>SUM(C35:C38)+C40+C48+SUM(C51:C59)+SUM(C61:C62)+C66+SUM(C68:C69)+C73+SUM(C76:C77)</f>
        <v>50.031232</v>
      </c>
      <c r="D78" s="7">
        <f>SUM(D35:D38)+D40+D44+SUM(D47:D48)+SUM(D51:D59)+SUM(D61:D62)+D66+SUM(D68:D69)+D73+SUM(D76:D77)</f>
        <v>114.540559</v>
      </c>
      <c r="E78" s="7">
        <f>SUM(E35:E38)+SUM(E40:E41)+E44+SUM(E47:E48)+SUM(E51:E59)+SUM(E61:E62)+E66+SUM(E68:E70)+SUM(E73:E74)+SUM(E76:E77)</f>
        <v>132.147749</v>
      </c>
      <c r="F78" s="7">
        <f t="shared" si="9"/>
        <v>15.954574</v>
      </c>
      <c r="G78" s="7">
        <f>SUM(G35:G39)+G44+SUM(G47:G48)+SUM(G51:G59)+SUM(G61:G62)+G66+SUM(G68:G70)+SUM(G73:G74)+SUM(G76:G77)</f>
        <v>17.193589</v>
      </c>
      <c r="H78" s="7">
        <f t="shared" si="10" ref="H78:L78">SUM(H35:H38)+H40+SUM(H44:H45)+H48+H50+SUM(H52:H59)+SUM(H61:H62)+SUM(H66:H68)+SUM(H73:H74)+SUM(H76:H77)</f>
        <v>53.804913</v>
      </c>
      <c r="I78" s="7">
        <f>SUM(I35:I38)+SUM(I40:I41)+I44+I46+SUM(I48:I49)+SUM(I52:I59)+I61+I63+I65+SUM(I69:I74)+SUM(I76:I77)</f>
        <v>39.726265</v>
      </c>
      <c r="J78" s="7">
        <f t="shared" si="11" ref="J78:N78">SUM(J35:J38)+J40+J44+SUM(J47:J48)+J50+SUM(J52:J59)+J61+J63+J66+SUM(J69:J74)+SUM(J76:J77)</f>
        <v>-10.724834</v>
      </c>
      <c r="K78" s="7">
        <f t="shared" si="12" ref="K78:O78">SUM(K35:K38)+SUM(K42:K44)+K48+SUM(K51:K58)+SUM(K60:K61)+K63+K66+SUM(K69:K74)+SUM(K76:K77)</f>
        <v>18.715589</v>
      </c>
      <c r="L78" s="7">
        <f t="shared" si="10"/>
        <v>46.296982</v>
      </c>
      <c r="M78" s="7">
        <f>SUM(M35:M38)+SUM(M40:M41)+M44+M46+SUM(M48:M49)+SUM(M52:M59)+M61+SUM(M63:M64)+SUM(M69:M74)+SUM(M76:M77)</f>
        <v>48.87244</v>
      </c>
      <c r="N78" s="7">
        <f t="shared" si="11"/>
        <v>-14.745499</v>
      </c>
      <c r="O78" s="7">
        <f t="shared" si="12"/>
        <v>13.985393</v>
      </c>
    </row>
    <row customHeight="1" ht="15">
      <c r="A79" s="9" t="s">
        <v>91</v>
      </c>
      <c r="B79" s="0">
        <v>-84.254415</v>
      </c>
      <c r="C79" s="0">
        <v>-18.713049</v>
      </c>
      <c r="D79" s="0">
        <v>-48.183132</v>
      </c>
      <c r="E79" s="0">
        <v>-74.376186</v>
      </c>
      <c r="F79" s="0">
        <v>-7.297599</v>
      </c>
      <c r="G79" s="0">
        <v>-15.270423</v>
      </c>
      <c r="H79" s="0">
        <v>-24.44083</v>
      </c>
      <c r="I79" s="0">
        <v>-29.126253</v>
      </c>
      <c r="J79" s="0">
        <v>-3.520287</v>
      </c>
      <c r="K79" s="0">
        <v>-20.962896</v>
      </c>
      <c r="L79" s="0">
        <v>-30.106639</v>
      </c>
      <c r="M79" s="0">
        <v>-47.541704</v>
      </c>
      <c r="N79" s="0">
        <v>-11.909148</v>
      </c>
      <c r="O79" s="0">
        <v>-33.164847</v>
      </c>
    </row>
    <row customHeight="1" ht="15">
      <c r="A80" s="9" t="s">
        <v>92</v>
      </c>
      <c r="B80" s="0">
        <v>-15.165416</v>
      </c>
      <c r="C80" s="0">
        <v>-5.978468</v>
      </c>
      <c r="D80" s="0">
        <v>-8.923105</v>
      </c>
      <c r="E80" s="0">
        <v>-24.361971</v>
      </c>
      <c r="F80" s="0">
        <v>-4.986627</v>
      </c>
      <c r="G80" s="0">
        <v>-3.693159</v>
      </c>
      <c r="H80" s="0">
        <v>-7.587129</v>
      </c>
      <c r="I80" s="0">
        <v>-20.599286</v>
      </c>
      <c r="J80" s="0">
        <v>-0.923889</v>
      </c>
      <c r="K80" s="0">
        <v>0</v>
      </c>
      <c r="L80" s="0">
        <v>-4.474933</v>
      </c>
      <c r="M80" s="0">
        <v>-8.286235</v>
      </c>
      <c r="N80" s="0">
        <v>-3.41435</v>
      </c>
      <c r="O80" s="0">
        <v>0</v>
      </c>
    </row>
    <row customHeight="1" ht="15">
      <c r="A81" s="9" t="s">
        <v>93</v>
      </c>
      <c r="B81" s="0">
        <v>-0.406392</v>
      </c>
      <c r="C81" s="0">
        <v>0</v>
      </c>
      <c r="D81" s="0">
        <v>0</v>
      </c>
      <c r="E81" s="0">
        <v>-0.009795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customHeight="1" ht="15">
      <c r="A82" s="9" t="s">
        <v>94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-5.02211</v>
      </c>
      <c r="N82" s="0">
        <v>0</v>
      </c>
      <c r="O82" s="0">
        <v>0</v>
      </c>
    </row>
    <row customHeight="1" ht="15">
      <c r="A83" s="9" t="s">
        <v>95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-0.108169</v>
      </c>
      <c r="L83" s="0">
        <v>0</v>
      </c>
      <c r="M83" s="0">
        <v>0</v>
      </c>
      <c r="N83" s="0">
        <v>0</v>
      </c>
      <c r="O83" s="0">
        <v>-12.628882</v>
      </c>
    </row>
    <row customHeight="1" ht="15">
      <c r="A84" s="9" t="s">
        <v>96</v>
      </c>
      <c r="B84" s="0">
        <v>10.346399</v>
      </c>
      <c r="C84" s="0">
        <v>0.039132</v>
      </c>
      <c r="D84" s="0">
        <v>0.024738</v>
      </c>
      <c r="E84" s="0">
        <v>0.037732</v>
      </c>
      <c r="F84" s="0">
        <v>0.074162</v>
      </c>
      <c r="G84" s="0">
        <v>0.048172</v>
      </c>
      <c r="H84" s="0">
        <v>0.074425</v>
      </c>
      <c r="I84" s="0">
        <v>0.06133</v>
      </c>
      <c r="J84" s="0">
        <v>0.016625</v>
      </c>
      <c r="K84" s="0">
        <v>0.153704</v>
      </c>
      <c r="L84" s="0">
        <v>0.196632</v>
      </c>
      <c r="M84" s="0">
        <v>0.253132</v>
      </c>
      <c r="N84" s="0">
        <v>0</v>
      </c>
      <c r="O84" s="0">
        <v>0</v>
      </c>
    </row>
    <row customHeight="1" ht="15">
      <c r="A85" s="9" t="s">
        <v>97</v>
      </c>
      <c r="B85" s="0">
        <v>0</v>
      </c>
      <c r="C85" s="0">
        <v>-0.229378</v>
      </c>
      <c r="D85" s="0">
        <v>-0.100571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customHeight="1" ht="15">
      <c r="A86" s="9" t="s">
        <v>98</v>
      </c>
      <c r="B86" s="0">
        <v>0.132403</v>
      </c>
      <c r="C86" s="0">
        <v>-0.058114</v>
      </c>
      <c r="D86" s="0">
        <v>0.007995</v>
      </c>
      <c r="E86" s="0">
        <v>-0.025433</v>
      </c>
      <c r="F86" s="0">
        <v>0.019769</v>
      </c>
      <c r="G86" s="0">
        <v>-0.015221</v>
      </c>
      <c r="H86" s="0">
        <v>-0.018667</v>
      </c>
      <c r="I86" s="0">
        <v>0.747273</v>
      </c>
      <c r="J86" s="0">
        <v>0</v>
      </c>
      <c r="K86" s="0">
        <v>0</v>
      </c>
      <c r="L86" s="0">
        <v>0</v>
      </c>
      <c r="M86" s="0">
        <v>-0.110069</v>
      </c>
      <c r="N86" s="0">
        <v>0.110067</v>
      </c>
      <c r="O86" s="0">
        <v>0.003882</v>
      </c>
    </row>
    <row customHeight="1" ht="15">
      <c r="A87" s="4" t="s">
        <v>99</v>
      </c>
      <c r="B87" s="7">
        <f t="shared" si="14" ref="B87:E87">SUM(B79:B81)+B84+B86</f>
        <v>-89.347421</v>
      </c>
      <c r="C87" s="7">
        <f t="shared" si="13" ref="C87:F87">SUM(C79:C80)+SUM(C84:C86)</f>
        <v>-24.939877</v>
      </c>
      <c r="D87" s="7">
        <f t="shared" si="13"/>
        <v>-57.174075</v>
      </c>
      <c r="E87" s="7">
        <f t="shared" si="14"/>
        <v>-98.735653</v>
      </c>
      <c r="F87" s="7">
        <f t="shared" si="13"/>
        <v>-12.190295</v>
      </c>
      <c r="G87" s="7">
        <f t="shared" si="15" ref="G87:N87">SUM(G79:G80)+G84+G86</f>
        <v>-18.930631</v>
      </c>
      <c r="H87" s="7">
        <f t="shared" si="15"/>
        <v>-31.972201</v>
      </c>
      <c r="I87" s="7">
        <f t="shared" si="16" ref="I87:M87">SUM(I79:I80)+I82+I84+I86</f>
        <v>-48.916936</v>
      </c>
      <c r="J87" s="7">
        <f t="shared" si="15"/>
        <v>-4.427551</v>
      </c>
      <c r="K87" s="7">
        <f t="shared" si="17" ref="K87:O87">K79+SUM(K83:K84)+K86</f>
        <v>-20.917361</v>
      </c>
      <c r="L87" s="7">
        <f t="shared" si="15"/>
        <v>-34.38494</v>
      </c>
      <c r="M87" s="7">
        <f t="shared" si="16"/>
        <v>-60.706986</v>
      </c>
      <c r="N87" s="7">
        <f t="shared" si="15"/>
        <v>-15.213431</v>
      </c>
      <c r="O87" s="7">
        <f t="shared" si="17"/>
        <v>-45.789847</v>
      </c>
    </row>
    <row customHeight="1" ht="15">
      <c r="A88" s="9" t="s">
        <v>100</v>
      </c>
      <c r="B88" s="0">
        <v>10.230431</v>
      </c>
      <c r="C88" s="0">
        <v>10</v>
      </c>
      <c r="D88" s="0">
        <v>0.165332</v>
      </c>
      <c r="E88" s="0">
        <v>43.919974</v>
      </c>
      <c r="F88" s="0">
        <v>0</v>
      </c>
      <c r="G88" s="0">
        <v>0.663423</v>
      </c>
      <c r="H88" s="0">
        <v>0.664384</v>
      </c>
      <c r="I88" s="0">
        <v>0.674215</v>
      </c>
      <c r="J88" s="0">
        <v>0</v>
      </c>
      <c r="K88" s="0">
        <v>0</v>
      </c>
      <c r="L88" s="0">
        <v>3.734815</v>
      </c>
      <c r="M88" s="0">
        <v>17.005817</v>
      </c>
      <c r="N88" s="0">
        <v>3.375991</v>
      </c>
      <c r="O88" s="0">
        <v>5.456</v>
      </c>
    </row>
    <row customHeight="1" ht="15">
      <c r="A89" s="9" t="s">
        <v>101</v>
      </c>
      <c r="B89" s="0">
        <v>-37.974252</v>
      </c>
      <c r="C89" s="0">
        <v>-8.536051</v>
      </c>
      <c r="D89" s="0">
        <v>-6.961209</v>
      </c>
      <c r="E89" s="0">
        <v>-47.519074</v>
      </c>
      <c r="F89" s="0">
        <v>-9.946342</v>
      </c>
      <c r="G89" s="0">
        <v>-10.536702</v>
      </c>
      <c r="H89" s="0">
        <v>-28.556928</v>
      </c>
      <c r="I89" s="0">
        <v>-253.918159</v>
      </c>
      <c r="J89" s="0">
        <v>-1.213323</v>
      </c>
      <c r="K89" s="0">
        <v>-1.531726</v>
      </c>
      <c r="L89" s="0">
        <v>-2.766428</v>
      </c>
      <c r="M89" s="0">
        <v>-6.611861</v>
      </c>
      <c r="N89" s="0">
        <v>-2.060207</v>
      </c>
      <c r="O89" s="0">
        <v>-4.475453</v>
      </c>
    </row>
    <row customHeight="1" ht="15">
      <c r="A90" s="9" t="s">
        <v>102</v>
      </c>
      <c r="B90" s="0">
        <v>-25.358133</v>
      </c>
      <c r="C90" s="0">
        <v>0</v>
      </c>
      <c r="D90" s="0">
        <v>-0.213037</v>
      </c>
      <c r="E90" s="0">
        <v>-22.91447</v>
      </c>
      <c r="F90" s="0">
        <v>-7.524722</v>
      </c>
      <c r="G90" s="0">
        <v>-10.441665</v>
      </c>
      <c r="H90" s="0">
        <v>-16.479357</v>
      </c>
      <c r="I90" s="0">
        <v>-23.943408</v>
      </c>
      <c r="J90" s="0">
        <v>-7.053757</v>
      </c>
      <c r="K90" s="0">
        <v>-13.869737</v>
      </c>
      <c r="L90" s="0">
        <v>-13.869687</v>
      </c>
      <c r="M90" s="0">
        <v>-31.839486</v>
      </c>
      <c r="N90" s="0">
        <v>-13.470987</v>
      </c>
      <c r="O90" s="0">
        <v>-20.612209</v>
      </c>
    </row>
    <row customHeight="1" ht="15">
      <c r="A91" s="9" t="s">
        <v>103</v>
      </c>
      <c r="B91" s="0">
        <v>0</v>
      </c>
      <c r="C91" s="0">
        <v>-29.575639</v>
      </c>
      <c r="D91" s="0">
        <v>-42.589607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customHeight="1" ht="15">
      <c r="A92" s="9" t="s">
        <v>104</v>
      </c>
      <c r="B92" s="0">
        <v>-6.559526</v>
      </c>
      <c r="C92" s="0">
        <v>-0.071705</v>
      </c>
      <c r="D92" s="0">
        <v>-0.107729</v>
      </c>
      <c r="E92" s="0">
        <v>-0.143868</v>
      </c>
      <c r="F92" s="0">
        <v>2.490096</v>
      </c>
      <c r="G92" s="0">
        <v>9.96665</v>
      </c>
      <c r="H92" s="0">
        <v>-0.106646</v>
      </c>
      <c r="I92" s="0">
        <v>0</v>
      </c>
      <c r="J92" s="0">
        <v>0</v>
      </c>
      <c r="K92" s="0">
        <v>0</v>
      </c>
      <c r="L92" s="0">
        <v>-16.006192</v>
      </c>
      <c r="M92" s="0">
        <v>0</v>
      </c>
      <c r="N92" s="0">
        <v>0</v>
      </c>
      <c r="O92" s="0">
        <v>0</v>
      </c>
    </row>
    <row customHeight="1" ht="15">
      <c r="A93" s="9" t="s">
        <v>105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300</v>
      </c>
      <c r="J93" s="0">
        <v>0</v>
      </c>
      <c r="K93" s="0">
        <v>0</v>
      </c>
      <c r="L93" s="0">
        <v>0</v>
      </c>
      <c r="M93" s="0">
        <v>0</v>
      </c>
      <c r="N93" s="0">
        <v>56.796935</v>
      </c>
      <c r="O93" s="0">
        <v>56.796935</v>
      </c>
    </row>
    <row customHeight="1" ht="15">
      <c r="A94" s="4" t="s">
        <v>106</v>
      </c>
      <c r="B94" s="7">
        <f t="shared" si="19" ref="B94:L94">SUM(B88:B90)+B92</f>
        <v>-59.66148</v>
      </c>
      <c r="C94" s="7">
        <f t="shared" si="18" ref="C94:F94">SUM(C88:C92)</f>
        <v>-28.183395</v>
      </c>
      <c r="D94" s="7">
        <f t="shared" si="18"/>
        <v>-49.70625</v>
      </c>
      <c r="E94" s="7">
        <f>SUM(E88:E90)+SUM(E92:E93)</f>
        <v>-26.657438</v>
      </c>
      <c r="F94" s="7">
        <f t="shared" si="18"/>
        <v>-14.980968</v>
      </c>
      <c r="G94" s="7">
        <f t="shared" si="19"/>
        <v>-10.348294</v>
      </c>
      <c r="H94" s="7">
        <f t="shared" si="19"/>
        <v>-44.478547</v>
      </c>
      <c r="I94" s="7">
        <f t="shared" si="20" ref="I94:O94">SUM(I88:I90)+I93</f>
        <v>22.812648</v>
      </c>
      <c r="J94" s="7">
        <f t="shared" si="20"/>
        <v>-8.26708</v>
      </c>
      <c r="K94" s="7">
        <f t="shared" si="20"/>
        <v>-15.401463</v>
      </c>
      <c r="L94" s="7">
        <f t="shared" si="19"/>
        <v>-28.907492</v>
      </c>
      <c r="M94" s="7">
        <f t="shared" si="20"/>
        <v>-21.44553</v>
      </c>
      <c r="N94" s="7">
        <f t="shared" si="20"/>
        <v>44.641732</v>
      </c>
      <c r="O94" s="7">
        <f t="shared" si="20"/>
        <v>37.165273</v>
      </c>
    </row>
    <row customHeight="1" ht="15">
      <c r="A95" s="9" t="s">
        <v>107</v>
      </c>
      <c r="B95" s="11">
        <f t="shared" si="21" ref="B95:O95">B78+B87+B94</f>
        <v>-36.482641</v>
      </c>
      <c r="C95" s="11">
        <f t="shared" si="21"/>
        <v>-3.09204</v>
      </c>
      <c r="D95" s="11">
        <f t="shared" si="21"/>
        <v>7.660234</v>
      </c>
      <c r="E95" s="11">
        <f t="shared" si="21"/>
        <v>6.75465800000001</v>
      </c>
      <c r="F95" s="11">
        <f t="shared" si="21"/>
        <v>-11.216689</v>
      </c>
      <c r="G95" s="11">
        <f t="shared" si="21"/>
        <v>-12.085336</v>
      </c>
      <c r="H95" s="11">
        <f t="shared" si="21"/>
        <v>-22.645835</v>
      </c>
      <c r="I95" s="11">
        <f t="shared" si="21"/>
        <v>13.621977</v>
      </c>
      <c r="J95" s="11">
        <f t="shared" si="21"/>
        <v>-23.419465</v>
      </c>
      <c r="K95" s="11">
        <f t="shared" si="21"/>
        <v>-17.603235</v>
      </c>
      <c r="L95" s="11">
        <f t="shared" si="21"/>
        <v>-16.99545</v>
      </c>
      <c r="M95" s="11">
        <f t="shared" si="21"/>
        <v>-33.280076</v>
      </c>
      <c r="N95" s="11">
        <f t="shared" si="21"/>
        <v>14.682802</v>
      </c>
      <c r="O95" s="11">
        <f t="shared" si="21"/>
        <v>5.360819</v>
      </c>
    </row>
    <row customHeight="1" ht="15">
      <c r="A96" s="9" t="s">
        <v>108</v>
      </c>
      <c r="B96" s="0">
        <v>-0.432477</v>
      </c>
      <c r="C96" s="0">
        <v>-6.316553</v>
      </c>
      <c r="D96" s="0">
        <v>-8.567862</v>
      </c>
      <c r="E96" s="0">
        <v>-0.533686</v>
      </c>
      <c r="F96" s="0">
        <v>0.19168</v>
      </c>
      <c r="G96" s="0">
        <v>1.635894</v>
      </c>
      <c r="H96" s="0">
        <v>-2.719599</v>
      </c>
      <c r="I96" s="0">
        <v>7.427334</v>
      </c>
      <c r="J96" s="0">
        <v>-1.470098</v>
      </c>
      <c r="K96" s="0">
        <v>-2.225359</v>
      </c>
      <c r="L96" s="0">
        <v>-5.192213</v>
      </c>
      <c r="M96" s="0">
        <v>9.581113</v>
      </c>
      <c r="N96" s="0">
        <v>5.460782</v>
      </c>
      <c r="O96" s="0">
        <v>-2.446326</v>
      </c>
    </row>
    <row customHeight="1" ht="15">
      <c r="A97" s="9" t="s">
        <v>109</v>
      </c>
      <c r="B97" s="0">
        <v>23.60309</v>
      </c>
      <c r="C97" s="11">
        <f t="shared" si="22" ref="C97:G97">E97</f>
        <v>-13.312028</v>
      </c>
      <c r="D97" s="11">
        <f t="shared" si="23" ref="D97:N97">E97</f>
        <v>-13.312028</v>
      </c>
      <c r="E97" s="0">
        <v>-13.312028</v>
      </c>
      <c r="F97" s="11">
        <f>I97</f>
        <v>-7.091056</v>
      </c>
      <c r="G97" s="11">
        <f t="shared" si="22"/>
        <v>-7.091056</v>
      </c>
      <c r="H97" s="11">
        <f t="shared" si="23"/>
        <v>-7.091056</v>
      </c>
      <c r="I97" s="0">
        <v>-7.091056</v>
      </c>
      <c r="J97" s="11">
        <f t="shared" si="23"/>
        <v>13.958255</v>
      </c>
      <c r="K97" s="0">
        <v>13.958255</v>
      </c>
      <c r="L97" s="11">
        <f>K97</f>
        <v>13.958255</v>
      </c>
      <c r="M97" s="11">
        <f>K97</f>
        <v>13.958255</v>
      </c>
      <c r="N97" s="11">
        <f t="shared" si="23"/>
        <v>-9.740708</v>
      </c>
      <c r="O97" s="0">
        <v>-9.740708</v>
      </c>
    </row>
    <row customHeight="1" ht="15">
      <c r="A98" s="4" t="s">
        <v>110</v>
      </c>
      <c r="B98" s="7">
        <f t="shared" si="24" ref="B98:O98">SUM(B95:B97)</f>
        <v>-13.312028</v>
      </c>
      <c r="C98" s="7">
        <f t="shared" si="24"/>
        <v>-22.720621</v>
      </c>
      <c r="D98" s="7">
        <f t="shared" si="24"/>
        <v>-14.219656</v>
      </c>
      <c r="E98" s="7">
        <f t="shared" si="24"/>
        <v>-7.09105599999999</v>
      </c>
      <c r="F98" s="7">
        <f t="shared" si="24"/>
        <v>-18.116065</v>
      </c>
      <c r="G98" s="7">
        <f t="shared" si="24"/>
        <v>-17.540498</v>
      </c>
      <c r="H98" s="5">
        <v>-29.034284</v>
      </c>
      <c r="I98" s="7">
        <f t="shared" si="24"/>
        <v>13.958255</v>
      </c>
      <c r="J98" s="7">
        <f t="shared" si="24"/>
        <v>-10.931308</v>
      </c>
      <c r="K98" s="7">
        <f t="shared" si="24"/>
        <v>-5.870339</v>
      </c>
      <c r="L98" s="7">
        <f t="shared" si="24"/>
        <v>-8.229408</v>
      </c>
      <c r="M98" s="7">
        <f t="shared" si="24"/>
        <v>-9.740708</v>
      </c>
      <c r="N98" s="7">
        <f t="shared" si="24"/>
        <v>10.402876</v>
      </c>
      <c r="O98" s="7">
        <f t="shared" si="24"/>
        <v>-6.826215</v>
      </c>
    </row>
    <row customHeight="1" ht="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customHeight="1" ht="15">
      <c r="A100" s="2" t="s">
        <v>111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customHeight="1" ht="15">
      <c r="A101" s="9" t="s">
        <v>112</v>
      </c>
      <c r="B101" s="0">
        <v>12.743364</v>
      </c>
      <c r="E101" s="0">
        <v>58.270178</v>
      </c>
      <c r="G101" s="11">
        <f>'Annual and Quarterly'!J101</f>
        <v>63.306458</v>
      </c>
      <c r="H101" s="11">
        <f>'Annual and Quarterly'!K101</f>
        <v>64.783184</v>
      </c>
      <c r="I101" s="0">
        <v>65.66836</v>
      </c>
      <c r="J101" s="0">
        <v>66.264948</v>
      </c>
      <c r="K101" s="11">
        <f>'Annual and Quarterly'!N101</f>
        <v>66.830334</v>
      </c>
      <c r="L101" s="11">
        <f>'Annual and Quarterly'!O101</f>
        <v>67.986917</v>
      </c>
      <c r="M101" s="0">
        <v>68.02026</v>
      </c>
      <c r="N101" s="0">
        <v>72.295538</v>
      </c>
      <c r="O101" s="11">
        <f>'Annual and Quarterly'!R101</f>
        <v>72.283156</v>
      </c>
    </row>
    <row customHeight="1" ht="15">
      <c r="A102" s="9" t="s">
        <v>113</v>
      </c>
      <c r="B102" s="0">
        <v>72.676461</v>
      </c>
      <c r="E102" s="0">
        <v>77.898462</v>
      </c>
      <c r="G102" s="11">
        <f>'Annual and Quarterly'!J102</f>
        <v>71.26127</v>
      </c>
      <c r="H102" s="11">
        <f>'Annual and Quarterly'!K102</f>
        <v>69.320984</v>
      </c>
      <c r="I102" s="0">
        <v>79.281757</v>
      </c>
      <c r="J102" s="0">
        <v>75.418243</v>
      </c>
      <c r="K102" s="11">
        <f>'Annual and Quarterly'!N102</f>
        <v>68.46526</v>
      </c>
      <c r="L102" s="11">
        <f>'Annual and Quarterly'!O102</f>
        <v>71.981934</v>
      </c>
      <c r="M102" s="0">
        <v>75.923436</v>
      </c>
      <c r="N102" s="0">
        <v>75.683398</v>
      </c>
      <c r="O102" s="11">
        <f>'Annual and Quarterly'!R102</f>
        <v>78.219311</v>
      </c>
    </row>
    <row customHeight="1" ht="15">
      <c r="A103" s="9" t="s">
        <v>114</v>
      </c>
      <c r="B103" s="0">
        <v>199.429927</v>
      </c>
      <c r="E103" s="0">
        <v>198.454358</v>
      </c>
      <c r="G103" s="11">
        <f>'Annual and Quarterly'!J103</f>
        <v>198.156536</v>
      </c>
      <c r="H103" s="11">
        <f>'Annual and Quarterly'!K103</f>
        <v>186.792586</v>
      </c>
      <c r="I103" s="0">
        <v>188.230992</v>
      </c>
      <c r="J103" s="0">
        <v>180.144226</v>
      </c>
      <c r="K103" s="11">
        <f>'Annual and Quarterly'!N103</f>
        <v>184.980303</v>
      </c>
      <c r="L103" s="11">
        <f>'Annual and Quarterly'!O103</f>
        <v>192.229941</v>
      </c>
      <c r="M103" s="0">
        <v>204.128688</v>
      </c>
      <c r="N103" s="0">
        <v>207.120294</v>
      </c>
      <c r="O103" s="11">
        <f>'Annual and Quarterly'!R103</f>
        <v>213.705984</v>
      </c>
    </row>
    <row customHeight="1" ht="15">
      <c r="A104" s="9" t="s">
        <v>115</v>
      </c>
      <c r="B104" s="0">
        <v>173.527268</v>
      </c>
      <c r="E104" s="0">
        <v>121.173461</v>
      </c>
      <c r="G104" s="11">
        <f>'Annual and Quarterly'!J104</f>
        <v>109.796687</v>
      </c>
      <c r="H104" s="11">
        <f>'Annual and Quarterly'!K104</f>
        <v>104.474855</v>
      </c>
      <c r="I104" s="0">
        <v>96.64911</v>
      </c>
      <c r="J104" s="0">
        <v>94.715846</v>
      </c>
      <c r="K104" s="11">
        <f>'Annual and Quarterly'!N104</f>
        <v>91.785329</v>
      </c>
      <c r="L104" s="11">
        <f>'Annual and Quarterly'!O104</f>
        <v>95.712509</v>
      </c>
      <c r="M104" s="0">
        <v>106.559893</v>
      </c>
      <c r="N104" s="0">
        <v>99.809927</v>
      </c>
      <c r="O104" s="11">
        <f>'Annual and Quarterly'!R104</f>
        <v>97.262678</v>
      </c>
    </row>
    <row customHeight="1" ht="15">
      <c r="A105" s="9" t="s">
        <v>116</v>
      </c>
      <c r="B105" s="0">
        <v>9.248969</v>
      </c>
      <c r="E105" s="0">
        <v>4.153279</v>
      </c>
      <c r="G105" s="11">
        <f>'Annual and Quarterly'!J105</f>
        <v>4.507584</v>
      </c>
      <c r="H105" s="11">
        <f>'Annual and Quarterly'!K105</f>
        <v>4.280837</v>
      </c>
      <c r="I105" s="0">
        <v>10.29944</v>
      </c>
      <c r="J105" s="0">
        <v>10.324458</v>
      </c>
      <c r="K105" s="11">
        <f>'Annual and Quarterly'!N105</f>
        <v>10.344395</v>
      </c>
      <c r="L105" s="11">
        <f>'Annual and Quarterly'!O105</f>
        <v>9.240384</v>
      </c>
      <c r="M105" s="0">
        <v>10.043497</v>
      </c>
      <c r="N105" s="0">
        <v>10.295438</v>
      </c>
      <c r="O105" s="11">
        <f>'Annual and Quarterly'!R105</f>
        <v>10.267833</v>
      </c>
    </row>
    <row customHeight="1" ht="15">
      <c r="A106" s="9" t="s">
        <v>93</v>
      </c>
      <c r="B106" s="0">
        <v>20.862334</v>
      </c>
      <c r="E106" s="0">
        <v>22.998383</v>
      </c>
      <c r="G106" s="11">
        <f>'Annual and Quarterly'!J106</f>
        <v>24.167823</v>
      </c>
      <c r="H106" s="11">
        <f>'Annual and Quarterly'!K106</f>
        <v>24.623183</v>
      </c>
      <c r="I106" s="0">
        <v>25.578011</v>
      </c>
      <c r="J106" s="0">
        <v>26.626797</v>
      </c>
      <c r="K106" s="11">
        <f>'Annual and Quarterly'!N106</f>
        <v>27.695011</v>
      </c>
      <c r="L106" s="11">
        <f>'Annual and Quarterly'!O106</f>
        <v>29.792436</v>
      </c>
      <c r="M106" s="0">
        <v>39.916191</v>
      </c>
      <c r="N106" s="0">
        <v>43.885995</v>
      </c>
      <c r="O106" s="11">
        <f>'Annual and Quarterly'!R106</f>
        <v>47.819387</v>
      </c>
    </row>
    <row customHeight="1" ht="15">
      <c r="A107" s="9" t="s">
        <v>95</v>
      </c>
      <c r="B107" s="0">
        <v>0</v>
      </c>
      <c r="E107" s="0">
        <v>4.674381</v>
      </c>
      <c r="G107" s="11">
        <f>'Annual and Quarterly'!J107</f>
        <v>0</v>
      </c>
      <c r="H107" s="11">
        <f>'Annual and Quarterly'!K107</f>
        <v>0</v>
      </c>
      <c r="I107" s="0">
        <v>1.466235</v>
      </c>
      <c r="J107" s="0">
        <v>3.745293</v>
      </c>
      <c r="K107" s="11">
        <f>'Annual and Quarterly'!N107</f>
        <v>1.574404</v>
      </c>
      <c r="L107" s="11">
        <f>'Annual and Quarterly'!O107</f>
        <v>0.525107</v>
      </c>
      <c r="M107" s="0">
        <v>0.394769</v>
      </c>
      <c r="N107" s="0">
        <v>8.870091</v>
      </c>
      <c r="O107" s="11">
        <f>'Annual and Quarterly'!R107</f>
        <v>13.023651</v>
      </c>
    </row>
    <row customHeight="1" ht="15">
      <c r="A108" s="4" t="s">
        <v>117</v>
      </c>
      <c r="B108" s="7">
        <f>SUM(B101:B106)</f>
        <v>488.488323</v>
      </c>
      <c r="E108" s="7">
        <f t="shared" si="25" ref="E108:N133">SUM(E101:E107)</f>
        <v>487.622502</v>
      </c>
      <c r="G108" s="7">
        <f>'Annual and Quarterly'!J108</f>
        <v>471.196358</v>
      </c>
      <c r="H108" s="7">
        <f>'Annual and Quarterly'!K108</f>
        <v>454.275629</v>
      </c>
      <c r="I108" s="7">
        <f t="shared" si="25"/>
        <v>467.173905</v>
      </c>
      <c r="J108" s="7">
        <f t="shared" si="25"/>
        <v>457.239811</v>
      </c>
      <c r="K108" s="7">
        <f>'Annual and Quarterly'!N108</f>
        <v>451.675036</v>
      </c>
      <c r="L108" s="7">
        <f>'Annual and Quarterly'!O108</f>
        <v>467.469228</v>
      </c>
      <c r="M108" s="7">
        <f t="shared" si="25"/>
        <v>504.986734</v>
      </c>
      <c r="N108" s="7">
        <f t="shared" si="25"/>
        <v>517.960681</v>
      </c>
      <c r="O108" s="7">
        <f>'Annual and Quarterly'!R108</f>
        <v>532.582</v>
      </c>
    </row>
    <row customHeight="1" ht="15">
      <c r="A109" s="9" t="s">
        <v>93</v>
      </c>
      <c r="B109" s="0">
        <v>21.730404</v>
      </c>
      <c r="E109" s="0">
        <v>0</v>
      </c>
      <c r="G109" s="11">
        <f>'Annual and Quarterly'!J109</f>
        <v>0</v>
      </c>
      <c r="H109" s="11">
        <f>'Annual and Quarterly'!K109</f>
        <v>0</v>
      </c>
      <c r="I109" s="0">
        <v>0</v>
      </c>
      <c r="J109" s="0">
        <v>0</v>
      </c>
      <c r="K109" s="11">
        <f>'Annual and Quarterly'!N109</f>
        <v>0</v>
      </c>
      <c r="L109" s="11">
        <f>'Annual and Quarterly'!O109</f>
        <v>0</v>
      </c>
      <c r="M109" s="0">
        <v>0</v>
      </c>
      <c r="N109" s="0">
        <v>0</v>
      </c>
      <c r="O109" s="11">
        <f>'Annual and Quarterly'!R109</f>
        <v>0</v>
      </c>
    </row>
    <row customHeight="1" ht="15">
      <c r="A110" s="9" t="s">
        <v>97</v>
      </c>
      <c r="B110" s="0">
        <v>0</v>
      </c>
      <c r="E110" s="0">
        <v>0</v>
      </c>
      <c r="G110" s="11">
        <f>'Annual and Quarterly'!J110</f>
        <v>0.356293</v>
      </c>
      <c r="H110" s="11">
        <f>'Annual and Quarterly'!K110</f>
        <v>0.356297</v>
      </c>
      <c r="I110" s="0">
        <v>0</v>
      </c>
      <c r="J110" s="0">
        <v>0</v>
      </c>
      <c r="K110" s="11">
        <f>'Annual and Quarterly'!N110</f>
        <v>0</v>
      </c>
      <c r="L110" s="11">
        <f>'Annual and Quarterly'!O110</f>
        <v>0</v>
      </c>
      <c r="M110" s="0">
        <v>0</v>
      </c>
      <c r="N110" s="0">
        <v>0</v>
      </c>
      <c r="O110" s="11">
        <f>'Annual and Quarterly'!R110</f>
        <v>0</v>
      </c>
    </row>
    <row customHeight="1" ht="15">
      <c r="A111" s="9" t="s">
        <v>118</v>
      </c>
      <c r="B111" s="0">
        <v>5.008999</v>
      </c>
      <c r="E111" s="0">
        <v>8.711839</v>
      </c>
      <c r="G111" s="11">
        <f>'Annual and Quarterly'!J111</f>
        <v>5.092315</v>
      </c>
      <c r="H111" s="11">
        <f>'Annual and Quarterly'!K111</f>
        <v>3.945797</v>
      </c>
      <c r="I111" s="0">
        <v>3.994316</v>
      </c>
      <c r="J111" s="0">
        <v>3.007941</v>
      </c>
      <c r="K111" s="11">
        <f>'Annual and Quarterly'!N111</f>
        <v>3.296766</v>
      </c>
      <c r="L111" s="11">
        <f>'Annual and Quarterly'!O111</f>
        <v>3.378874</v>
      </c>
      <c r="M111" s="0">
        <v>2.721913</v>
      </c>
      <c r="N111" s="0">
        <v>3.109391</v>
      </c>
      <c r="O111" s="11">
        <f>'Annual and Quarterly'!R111</f>
        <v>3.273109</v>
      </c>
    </row>
    <row customHeight="1" ht="15">
      <c r="A112" s="9" t="s">
        <v>74</v>
      </c>
      <c r="B112" s="0">
        <v>26.504855</v>
      </c>
      <c r="E112" s="0">
        <v>31.520558</v>
      </c>
      <c r="G112" s="11">
        <f>'Annual and Quarterly'!J112</f>
        <v>41.001499</v>
      </c>
      <c r="H112" s="11">
        <f>'Annual and Quarterly'!K112</f>
        <v>34.710443</v>
      </c>
      <c r="I112" s="0">
        <v>44.909836</v>
      </c>
      <c r="J112" s="0">
        <v>57.255092</v>
      </c>
      <c r="K112" s="11">
        <f>'Annual and Quarterly'!N112</f>
        <v>52.064241</v>
      </c>
      <c r="L112" s="11">
        <f>'Annual and Quarterly'!O112</f>
        <v>48.600933</v>
      </c>
      <c r="M112" s="0">
        <v>36.072733</v>
      </c>
      <c r="N112" s="0">
        <v>35.985972</v>
      </c>
      <c r="O112" s="11">
        <f>'Annual and Quarterly'!R112</f>
        <v>42.110862</v>
      </c>
    </row>
    <row customHeight="1" ht="15">
      <c r="A113" s="9" t="s">
        <v>119</v>
      </c>
      <c r="B113" s="0">
        <v>1.849877</v>
      </c>
      <c r="E113" s="0">
        <v>1.732034</v>
      </c>
      <c r="G113" s="11">
        <f>'Annual and Quarterly'!J113</f>
        <v>2.565419</v>
      </c>
      <c r="H113" s="11">
        <f>'Annual and Quarterly'!K113</f>
        <v>2.361934</v>
      </c>
      <c r="I113" s="0">
        <v>1.372195</v>
      </c>
      <c r="J113" s="0">
        <v>1.275084</v>
      </c>
      <c r="K113" s="11">
        <f>'Annual and Quarterly'!N113</f>
        <v>1.220784</v>
      </c>
      <c r="L113" s="11">
        <f>'Annual and Quarterly'!O113</f>
        <v>2.2552</v>
      </c>
      <c r="M113" s="0">
        <v>1.551668</v>
      </c>
      <c r="N113" s="0">
        <v>1.749126</v>
      </c>
      <c r="O113" s="11">
        <f>'Annual and Quarterly'!R113</f>
        <v>1.515745</v>
      </c>
    </row>
    <row customHeight="1" ht="15">
      <c r="A114" s="9" t="s">
        <v>120</v>
      </c>
      <c r="B114" s="0">
        <v>9.130196</v>
      </c>
      <c r="E114" s="0">
        <v>11.172111</v>
      </c>
      <c r="G114" s="11">
        <f>'Annual and Quarterly'!J114</f>
        <v>12.31978</v>
      </c>
      <c r="H114" s="11">
        <f>'Annual and Quarterly'!K114</f>
        <v>11.007746</v>
      </c>
      <c r="I114" s="0">
        <v>12.244475</v>
      </c>
      <c r="J114" s="0">
        <v>11.851068</v>
      </c>
      <c r="K114" s="11">
        <f>'Annual and Quarterly'!N114</f>
        <v>13.665945</v>
      </c>
      <c r="L114" s="11">
        <f>'Annual and Quarterly'!O114</f>
        <v>14.832315</v>
      </c>
      <c r="M114" s="0">
        <v>13.280304</v>
      </c>
      <c r="N114" s="0">
        <v>14.24382</v>
      </c>
      <c r="O114" s="11">
        <f>'Annual and Quarterly'!R114</f>
        <v>11.655281</v>
      </c>
    </row>
    <row customHeight="1" ht="15">
      <c r="A115" s="9" t="s">
        <v>121</v>
      </c>
      <c r="B115" s="0">
        <v>24.929057</v>
      </c>
      <c r="E115" s="0">
        <v>33.308627</v>
      </c>
      <c r="G115" s="11">
        <f>'Annual and Quarterly'!J115</f>
        <v>23.241426</v>
      </c>
      <c r="H115" s="11">
        <f>'Annual and Quarterly'!K115</f>
        <v>16.538026</v>
      </c>
      <c r="I115" s="0">
        <v>44.057919</v>
      </c>
      <c r="J115" s="0">
        <v>38.454304</v>
      </c>
      <c r="K115" s="11">
        <f>'Annual and Quarterly'!N115</f>
        <v>26.67968</v>
      </c>
      <c r="L115" s="11">
        <f>'Annual and Quarterly'!O115</f>
        <v>38.970909</v>
      </c>
      <c r="M115" s="0">
        <v>24.969687</v>
      </c>
      <c r="N115" s="0">
        <v>66.672997</v>
      </c>
      <c r="O115" s="11">
        <f>'Annual and Quarterly'!R115</f>
        <v>35.369198</v>
      </c>
    </row>
    <row customHeight="1" ht="15">
      <c r="A116" s="4" t="s">
        <v>122</v>
      </c>
      <c r="B116" s="7">
        <f>B109+SUM(B111:B115)</f>
        <v>89.153388</v>
      </c>
      <c r="E116" s="7">
        <f t="shared" si="26" ref="E116:N116">SUM(E111:E115)</f>
        <v>86.445169</v>
      </c>
      <c r="G116" s="7">
        <f>'Annual and Quarterly'!J116</f>
        <v>84.576732</v>
      </c>
      <c r="H116" s="7">
        <f>'Annual and Quarterly'!K116</f>
        <v>68.920243</v>
      </c>
      <c r="I116" s="7">
        <f t="shared" si="26"/>
        <v>106.578741</v>
      </c>
      <c r="J116" s="7">
        <f t="shared" si="26"/>
        <v>111.843489</v>
      </c>
      <c r="K116" s="7">
        <f>'Annual and Quarterly'!N116</f>
        <v>96.927416</v>
      </c>
      <c r="L116" s="7">
        <f>'Annual and Quarterly'!O116</f>
        <v>108.038231</v>
      </c>
      <c r="M116" s="7">
        <f t="shared" si="26"/>
        <v>78.596305</v>
      </c>
      <c r="N116" s="7">
        <f t="shared" si="26"/>
        <v>121.761306</v>
      </c>
      <c r="O116" s="7">
        <f>'Annual and Quarterly'!R116</f>
        <v>93.924195</v>
      </c>
    </row>
    <row customHeight="1" ht="15">
      <c r="A117" s="4" t="s">
        <v>123</v>
      </c>
      <c r="B117" s="7">
        <f t="shared" si="27" ref="B117:N117">B108+B116</f>
        <v>577.641711</v>
      </c>
      <c r="E117" s="7">
        <f t="shared" si="27"/>
        <v>574.067671</v>
      </c>
      <c r="G117" s="7">
        <f>'Annual and Quarterly'!J117</f>
        <v>555.77309</v>
      </c>
      <c r="H117" s="7">
        <f>'Annual and Quarterly'!K117</f>
        <v>523.195872</v>
      </c>
      <c r="I117" s="7">
        <f t="shared" si="27"/>
        <v>573.752646</v>
      </c>
      <c r="J117" s="7">
        <f t="shared" si="27"/>
        <v>569.0833</v>
      </c>
      <c r="K117" s="7">
        <f>'Annual and Quarterly'!N117</f>
        <v>548.602452</v>
      </c>
      <c r="L117" s="7">
        <f>'Annual and Quarterly'!O117</f>
        <v>575.507459</v>
      </c>
      <c r="M117" s="7">
        <f t="shared" si="27"/>
        <v>583.583039</v>
      </c>
      <c r="N117" s="7">
        <f t="shared" si="27"/>
        <v>639.721987</v>
      </c>
      <c r="O117" s="7">
        <f>'Annual and Quarterly'!R117</f>
        <v>626.506195</v>
      </c>
    </row>
    <row customHeight="1" ht="15">
      <c r="A118" s="9" t="s">
        <v>124</v>
      </c>
      <c r="B118" s="0">
        <v>10</v>
      </c>
      <c r="E118" s="0">
        <v>10</v>
      </c>
      <c r="G118" s="11">
        <f>'Annual and Quarterly'!J118</f>
        <v>10</v>
      </c>
      <c r="H118" s="11">
        <f>'Annual and Quarterly'!K118</f>
        <v>10</v>
      </c>
      <c r="I118" s="0">
        <v>10</v>
      </c>
      <c r="J118" s="0">
        <v>10</v>
      </c>
      <c r="K118" s="11">
        <f>'Annual and Quarterly'!N118</f>
        <v>10</v>
      </c>
      <c r="L118" s="11">
        <f>'Annual and Quarterly'!O118</f>
        <v>10</v>
      </c>
      <c r="M118" s="0">
        <v>10</v>
      </c>
      <c r="N118" s="0">
        <v>10</v>
      </c>
      <c r="O118" s="11">
        <f>'Annual and Quarterly'!R118</f>
        <v>10</v>
      </c>
    </row>
    <row customHeight="1" ht="15">
      <c r="A119" s="9" t="s">
        <v>125</v>
      </c>
      <c r="B119" s="0">
        <v>1.08499</v>
      </c>
      <c r="E119" s="0">
        <v>1.101905</v>
      </c>
      <c r="G119" s="11">
        <f>'Annual and Quarterly'!J119</f>
        <v>1.101905</v>
      </c>
      <c r="H119" s="11">
        <f>'Annual and Quarterly'!K119</f>
        <v>1.101905</v>
      </c>
      <c r="I119" s="0">
        <v>1.180202</v>
      </c>
      <c r="J119" s="0">
        <v>1.180202</v>
      </c>
      <c r="K119" s="11">
        <f>'Annual and Quarterly'!N119</f>
        <v>1.180202</v>
      </c>
      <c r="L119" s="11">
        <f>'Annual and Quarterly'!O119</f>
        <v>1.180202</v>
      </c>
      <c r="M119" s="0">
        <v>1.915172</v>
      </c>
      <c r="N119" s="0">
        <v>1.915172</v>
      </c>
      <c r="O119" s="11">
        <f>'Annual and Quarterly'!R119</f>
        <v>1.915172</v>
      </c>
    </row>
    <row customHeight="1" ht="15">
      <c r="A120" s="9" t="s">
        <v>126</v>
      </c>
      <c r="B120" s="0">
        <v>0.006667</v>
      </c>
      <c r="E120" s="0">
        <v>0.006667</v>
      </c>
      <c r="G120" s="11">
        <f>'Annual and Quarterly'!J120</f>
        <v>0.006667</v>
      </c>
      <c r="H120" s="11">
        <f>'Annual and Quarterly'!K120</f>
        <v>0.006667</v>
      </c>
      <c r="I120" s="0">
        <v>0.006667</v>
      </c>
      <c r="J120" s="0">
        <v>0.006667</v>
      </c>
      <c r="K120" s="11">
        <f>'Annual and Quarterly'!N120</f>
        <v>0.006667</v>
      </c>
      <c r="L120" s="11">
        <f>'Annual and Quarterly'!O120</f>
        <v>0.006667</v>
      </c>
      <c r="M120" s="0">
        <v>0.006667</v>
      </c>
      <c r="N120" s="0">
        <v>0.006667</v>
      </c>
      <c r="O120" s="11">
        <f>'Annual and Quarterly'!R120</f>
        <v>0.006667</v>
      </c>
    </row>
    <row customHeight="1" ht="15">
      <c r="A121" s="9" t="s">
        <v>127</v>
      </c>
      <c r="B121" s="0">
        <v>-104.065575</v>
      </c>
      <c r="E121" s="0">
        <v>-51.578114</v>
      </c>
      <c r="G121" s="11">
        <f>'Annual and Quarterly'!J121</f>
        <v>-40.063298</v>
      </c>
      <c r="H121" s="11">
        <f>'Annual and Quarterly'!K121</f>
        <v>-41.509465</v>
      </c>
      <c r="I121" s="0">
        <v>-40.499685</v>
      </c>
      <c r="J121" s="0">
        <v>-39.744429</v>
      </c>
      <c r="K121" s="11">
        <f>'Annual and Quarterly'!N121</f>
        <v>-39.758261</v>
      </c>
      <c r="L121" s="11">
        <f>'Annual and Quarterly'!O121</f>
        <v>-47.95383</v>
      </c>
      <c r="M121" s="0">
        <v>-61.504335</v>
      </c>
      <c r="N121" s="0">
        <v>-52.346398</v>
      </c>
      <c r="O121" s="11">
        <f>'Annual and Quarterly'!R121</f>
        <v>-53.069463</v>
      </c>
    </row>
    <row customHeight="1" ht="15">
      <c r="A122" s="9" t="s">
        <v>128</v>
      </c>
      <c r="B122" s="0">
        <v>47.544593</v>
      </c>
      <c r="E122" s="0">
        <v>-67.92356</v>
      </c>
      <c r="G122" s="11">
        <f>'Annual and Quarterly'!J122</f>
        <v>-106.501159</v>
      </c>
      <c r="H122" s="11">
        <f>'Annual and Quarterly'!K122</f>
        <v>-134.170614</v>
      </c>
      <c r="I122" s="0">
        <v>-171.682302</v>
      </c>
      <c r="J122" s="0">
        <v>-182.5475</v>
      </c>
      <c r="K122" s="11">
        <f>'Annual and Quarterly'!N122</f>
        <v>-195.04648</v>
      </c>
      <c r="L122" s="11">
        <f>'Annual and Quarterly'!O122</f>
        <v>-171.548614</v>
      </c>
      <c r="M122" s="0">
        <v>-141.264493</v>
      </c>
      <c r="N122" s="0">
        <v>-154.979134</v>
      </c>
      <c r="O122" s="11">
        <f>'Annual and Quarterly'!R122</f>
        <v>-160.576444</v>
      </c>
    </row>
    <row customHeight="1" ht="15">
      <c r="A123" s="9" t="s">
        <v>129</v>
      </c>
      <c r="B123" s="11">
        <f t="shared" si="28" ref="B123:O193">SUM(B118:B122)</f>
        <v>-45.429325</v>
      </c>
      <c r="E123" s="11">
        <f t="shared" si="28"/>
        <v>-108.393102</v>
      </c>
      <c r="G123" s="11">
        <f>'Annual and Quarterly'!J123</f>
        <v>-135.455885</v>
      </c>
      <c r="H123" s="11">
        <f>'Annual and Quarterly'!K123</f>
        <v>-164.571507</v>
      </c>
      <c r="I123" s="11">
        <f t="shared" si="28"/>
        <v>-200.995118</v>
      </c>
      <c r="J123" s="11">
        <f t="shared" si="28"/>
        <v>-211.10506</v>
      </c>
      <c r="K123" s="11">
        <f>'Annual and Quarterly'!N123</f>
        <v>-223.617872</v>
      </c>
      <c r="L123" s="11">
        <f>'Annual and Quarterly'!O123</f>
        <v>-208.315575</v>
      </c>
      <c r="M123" s="11">
        <f t="shared" si="28"/>
        <v>-190.846989</v>
      </c>
      <c r="N123" s="11">
        <f t="shared" si="28"/>
        <v>-195.403693</v>
      </c>
      <c r="O123" s="11">
        <f>'Annual and Quarterly'!R123</f>
        <v>-201.724068</v>
      </c>
    </row>
    <row customHeight="1" ht="15">
      <c r="A124" s="9" t="s">
        <v>45</v>
      </c>
      <c r="B124" s="0">
        <v>-3.510631</v>
      </c>
      <c r="E124" s="0">
        <v>-3.46674</v>
      </c>
      <c r="G124" s="11">
        <f>'Annual and Quarterly'!J124</f>
        <v>-3.516355</v>
      </c>
      <c r="H124" s="11">
        <f>'Annual and Quarterly'!K124</f>
        <v>-3.527525</v>
      </c>
      <c r="I124" s="0">
        <v>-3.533177</v>
      </c>
      <c r="J124" s="0">
        <v>-3.546509</v>
      </c>
      <c r="K124" s="11">
        <f>'Annual and Quarterly'!N124</f>
        <v>-3.593431</v>
      </c>
      <c r="L124" s="11">
        <f>'Annual and Quarterly'!O124</f>
        <v>-3.671098</v>
      </c>
      <c r="M124" s="0">
        <v>-3.578152</v>
      </c>
      <c r="N124" s="0">
        <v>-3.488666</v>
      </c>
      <c r="O124" s="11">
        <f>'Annual and Quarterly'!R124</f>
        <v>-3.561812</v>
      </c>
    </row>
    <row customHeight="1" ht="15">
      <c r="A125" s="4" t="s">
        <v>130</v>
      </c>
      <c r="B125" s="7">
        <f t="shared" si="6"/>
        <v>-48.939956</v>
      </c>
      <c r="E125" s="7">
        <f t="shared" si="6"/>
        <v>-111.859842</v>
      </c>
      <c r="G125" s="7">
        <f>'Annual and Quarterly'!J125</f>
        <v>-138.97224</v>
      </c>
      <c r="H125" s="7">
        <f>'Annual and Quarterly'!K125</f>
        <v>-168.099032</v>
      </c>
      <c r="I125" s="7">
        <f t="shared" si="6"/>
        <v>-204.528295</v>
      </c>
      <c r="J125" s="7">
        <f t="shared" si="6"/>
        <v>-214.651569</v>
      </c>
      <c r="K125" s="7">
        <f>'Annual and Quarterly'!N125</f>
        <v>-227.211303</v>
      </c>
      <c r="L125" s="7">
        <f>'Annual and Quarterly'!O125</f>
        <v>-211.986673</v>
      </c>
      <c r="M125" s="7">
        <f t="shared" si="6"/>
        <v>-194.425141</v>
      </c>
      <c r="N125" s="7">
        <f t="shared" si="6"/>
        <v>-198.892359</v>
      </c>
      <c r="O125" s="7">
        <f>'Annual and Quarterly'!R125</f>
        <v>-205.28588</v>
      </c>
    </row>
    <row customHeight="1" ht="15">
      <c r="A126" s="9" t="s">
        <v>131</v>
      </c>
      <c r="B126" s="0">
        <v>2.09078</v>
      </c>
      <c r="E126" s="0">
        <v>7.207006</v>
      </c>
      <c r="G126" s="11">
        <f>'Annual and Quarterly'!J126</f>
        <v>7.755778</v>
      </c>
      <c r="H126" s="11">
        <f>'Annual and Quarterly'!K126</f>
        <v>7.273408</v>
      </c>
      <c r="I126" s="0">
        <v>13.00988</v>
      </c>
      <c r="J126" s="0">
        <v>13.189459</v>
      </c>
      <c r="K126" s="11">
        <f>'Annual and Quarterly'!N126</f>
        <v>12.9446</v>
      </c>
      <c r="L126" s="11">
        <f>'Annual and Quarterly'!O126</f>
        <v>11.421267</v>
      </c>
      <c r="M126" s="0">
        <v>11.038669</v>
      </c>
      <c r="N126" s="0">
        <v>11.752926</v>
      </c>
      <c r="O126" s="11">
        <f>'Annual and Quarterly'!R126</f>
        <v>11.712991</v>
      </c>
    </row>
    <row customHeight="1" ht="15">
      <c r="A127" s="9" t="s">
        <v>132</v>
      </c>
      <c r="B127" s="0">
        <v>12.445668</v>
      </c>
      <c r="E127" s="0">
        <v>8.455179</v>
      </c>
      <c r="G127" s="11">
        <f>'Annual and Quarterly'!J127</f>
        <v>8.759279</v>
      </c>
      <c r="H127" s="11">
        <f>'Annual and Quarterly'!K127</f>
        <v>8.568663</v>
      </c>
      <c r="I127" s="0">
        <v>10.869566</v>
      </c>
      <c r="J127" s="0">
        <v>11.054325</v>
      </c>
      <c r="K127" s="11">
        <f>'Annual and Quarterly'!N127</f>
        <v>10.576061</v>
      </c>
      <c r="L127" s="11">
        <f>'Annual and Quarterly'!O127</f>
        <v>11.455138</v>
      </c>
      <c r="M127" s="0">
        <v>11.073739</v>
      </c>
      <c r="N127" s="0">
        <v>11.226006</v>
      </c>
      <c r="O127" s="11">
        <f>'Annual and Quarterly'!R127</f>
        <v>11.629339</v>
      </c>
    </row>
    <row customHeight="1" ht="15">
      <c r="A128" s="9" t="s">
        <v>133</v>
      </c>
      <c r="B128" s="0">
        <v>14.47218</v>
      </c>
      <c r="E128" s="0">
        <v>11.435248</v>
      </c>
      <c r="G128" s="11">
        <f>'Annual and Quarterly'!J128</f>
        <v>12.65524</v>
      </c>
      <c r="H128" s="11">
        <f>'Annual and Quarterly'!K128</f>
        <v>8.094857</v>
      </c>
      <c r="I128" s="0">
        <v>8.936963</v>
      </c>
      <c r="J128" s="0">
        <v>9.547316</v>
      </c>
      <c r="K128" s="11">
        <f>'Annual and Quarterly'!N128</f>
        <v>10.10654</v>
      </c>
      <c r="L128" s="11">
        <f>'Annual and Quarterly'!O128</f>
        <v>10.784527</v>
      </c>
      <c r="M128" s="0">
        <v>11.531037</v>
      </c>
      <c r="N128" s="0">
        <v>12.316782</v>
      </c>
      <c r="O128" s="11">
        <f>'Annual and Quarterly'!R128</f>
        <v>13.156133</v>
      </c>
    </row>
    <row customHeight="1" ht="15">
      <c r="A129" s="9" t="s">
        <v>134</v>
      </c>
      <c r="B129" s="0">
        <v>0</v>
      </c>
      <c r="E129" s="0">
        <v>180.972286</v>
      </c>
      <c r="G129" s="11">
        <f>'Annual and Quarterly'!J129</f>
        <v>153.350562</v>
      </c>
      <c r="H129" s="11">
        <f>'Annual and Quarterly'!K129</f>
        <v>138.669433</v>
      </c>
      <c r="I129" s="0">
        <v>0.86771</v>
      </c>
      <c r="J129" s="0">
        <v>0.257279</v>
      </c>
      <c r="K129" s="11">
        <f>'Annual and Quarterly'!N129</f>
        <v>0.20275</v>
      </c>
      <c r="L129" s="11">
        <f>'Annual and Quarterly'!O129</f>
        <v>1.027616</v>
      </c>
      <c r="M129" s="0">
        <v>6.455915</v>
      </c>
      <c r="N129" s="0">
        <v>7.209799</v>
      </c>
      <c r="O129" s="11">
        <f>'Annual and Quarterly'!R129</f>
        <v>7.46783</v>
      </c>
    </row>
    <row customHeight="1" ht="15">
      <c r="A130" s="9" t="s">
        <v>135</v>
      </c>
      <c r="B130" s="0">
        <v>181.997108</v>
      </c>
      <c r="E130" s="0">
        <v>173.51927</v>
      </c>
      <c r="G130" s="11">
        <f>'Annual and Quarterly'!J130</f>
        <v>164.417439</v>
      </c>
      <c r="H130" s="11">
        <f>'Annual and Quarterly'!K130</f>
        <v>158.87668</v>
      </c>
      <c r="I130" s="0">
        <v>154.204661</v>
      </c>
      <c r="J130" s="0">
        <v>152.366729</v>
      </c>
      <c r="K130" s="11">
        <f>'Annual and Quarterly'!N130</f>
        <v>152.595408</v>
      </c>
      <c r="L130" s="11">
        <f>'Annual and Quarterly'!O130</f>
        <v>149.102699</v>
      </c>
      <c r="M130" s="0">
        <v>145.034019</v>
      </c>
      <c r="N130" s="0">
        <v>141.600421</v>
      </c>
      <c r="O130" s="11">
        <f>'Annual and Quarterly'!R130</f>
        <v>138.525401</v>
      </c>
    </row>
    <row customHeight="1" ht="15">
      <c r="A131" s="9" t="s">
        <v>136</v>
      </c>
      <c r="B131" s="0">
        <v>0</v>
      </c>
      <c r="E131" s="0">
        <v>0</v>
      </c>
      <c r="G131" s="11">
        <f>'Annual and Quarterly'!J131</f>
        <v>0</v>
      </c>
      <c r="H131" s="11">
        <f>'Annual and Quarterly'!K131</f>
        <v>0</v>
      </c>
      <c r="I131" s="0">
        <v>300</v>
      </c>
      <c r="J131" s="0">
        <v>300</v>
      </c>
      <c r="K131" s="11">
        <f>'Annual and Quarterly'!N131</f>
        <v>300</v>
      </c>
      <c r="L131" s="11">
        <f>'Annual and Quarterly'!O131</f>
        <v>300</v>
      </c>
      <c r="M131" s="0">
        <v>300</v>
      </c>
      <c r="N131" s="0">
        <v>346.785488</v>
      </c>
      <c r="O131" s="11">
        <f>'Annual and Quarterly'!R131</f>
        <v>347.491419</v>
      </c>
    </row>
    <row customHeight="1" ht="15">
      <c r="A132" s="9" t="s">
        <v>137</v>
      </c>
      <c r="B132" s="0">
        <v>0</v>
      </c>
      <c r="E132" s="0">
        <v>0</v>
      </c>
      <c r="G132" s="11">
        <f>'Annual and Quarterly'!J132</f>
        <v>0</v>
      </c>
      <c r="H132" s="11">
        <f>'Annual and Quarterly'!K132</f>
        <v>0</v>
      </c>
      <c r="I132" s="0">
        <v>10.080508</v>
      </c>
      <c r="J132" s="0">
        <v>9.216275</v>
      </c>
      <c r="K132" s="11">
        <f>'Annual and Quarterly'!N132</f>
        <v>8.352044</v>
      </c>
      <c r="L132" s="11">
        <f>'Annual and Quarterly'!O132</f>
        <v>11.050898</v>
      </c>
      <c r="M132" s="0">
        <v>10.474928</v>
      </c>
      <c r="N132" s="0">
        <v>10.125607</v>
      </c>
      <c r="O132" s="11">
        <f>'Annual and Quarterly'!R132</f>
        <v>8.360865</v>
      </c>
    </row>
    <row customHeight="1" ht="15">
      <c r="A133" s="4" t="s">
        <v>138</v>
      </c>
      <c r="B133" s="7">
        <f>SUM(B126:B130)</f>
        <v>211.005736</v>
      </c>
      <c r="E133" s="7">
        <f t="shared" si="25"/>
        <v>381.588989</v>
      </c>
      <c r="G133" s="7">
        <f>'Annual and Quarterly'!J133</f>
        <v>346.938298</v>
      </c>
      <c r="H133" s="7">
        <f>'Annual and Quarterly'!K133</f>
        <v>321.483041</v>
      </c>
      <c r="I133" s="7">
        <f t="shared" si="25"/>
        <v>497.969288</v>
      </c>
      <c r="J133" s="7">
        <f t="shared" si="25"/>
        <v>495.631383</v>
      </c>
      <c r="K133" s="7">
        <f>'Annual and Quarterly'!N133</f>
        <v>494.777403</v>
      </c>
      <c r="L133" s="7">
        <f>'Annual and Quarterly'!O133</f>
        <v>494.842145</v>
      </c>
      <c r="M133" s="7">
        <f t="shared" si="25"/>
        <v>495.608307</v>
      </c>
      <c r="N133" s="7">
        <f t="shared" si="25"/>
        <v>541.017029</v>
      </c>
      <c r="O133" s="7">
        <f>'Annual and Quarterly'!R133</f>
        <v>538.343978</v>
      </c>
    </row>
    <row customHeight="1" ht="15">
      <c r="A134" s="9" t="s">
        <v>139</v>
      </c>
      <c r="B134" s="0">
        <v>0</v>
      </c>
      <c r="E134" s="0">
        <v>0</v>
      </c>
      <c r="G134" s="11">
        <f>'Annual and Quarterly'!J134</f>
        <v>0</v>
      </c>
      <c r="H134" s="11">
        <f>'Annual and Quarterly'!K134</f>
        <v>0</v>
      </c>
      <c r="I134" s="0">
        <v>0</v>
      </c>
      <c r="J134" s="0">
        <v>0</v>
      </c>
      <c r="K134" s="11">
        <f>'Annual and Quarterly'!N134</f>
        <v>0</v>
      </c>
      <c r="L134" s="11">
        <f>'Annual and Quarterly'!O134</f>
        <v>0</v>
      </c>
      <c r="M134" s="0">
        <v>0</v>
      </c>
      <c r="N134" s="0">
        <v>14.84</v>
      </c>
      <c r="O134" s="11">
        <f>'Annual and Quarterly'!R134</f>
        <v>7.035</v>
      </c>
    </row>
    <row customHeight="1" ht="15">
      <c r="A135" s="9" t="s">
        <v>140</v>
      </c>
      <c r="B135" s="0">
        <v>0.031716</v>
      </c>
      <c r="E135" s="0">
        <v>0.023853</v>
      </c>
      <c r="G135" s="11">
        <f>'Annual and Quarterly'!J135</f>
        <v>0.256291</v>
      </c>
      <c r="H135" s="11">
        <f>'Annual and Quarterly'!K135</f>
        <v>0.348154</v>
      </c>
      <c r="I135" s="0">
        <v>0.28025</v>
      </c>
      <c r="J135" s="0">
        <v>0.022655</v>
      </c>
      <c r="K135" s="11">
        <f>'Annual and Quarterly'!N135</f>
        <v>0.015379</v>
      </c>
      <c r="L135" s="11">
        <f>'Annual and Quarterly'!O135</f>
        <v>1.019847</v>
      </c>
      <c r="M135" s="0">
        <v>0.098498</v>
      </c>
      <c r="N135" s="0">
        <v>0</v>
      </c>
      <c r="O135" s="11">
        <f>'Annual and Quarterly'!R135</f>
        <v>0.0228</v>
      </c>
    </row>
    <row customHeight="1" ht="15">
      <c r="A136" s="9" t="s">
        <v>134</v>
      </c>
      <c r="B136" s="0">
        <v>200.518254</v>
      </c>
      <c r="E136" s="0">
        <v>39.499741</v>
      </c>
      <c r="G136" s="11">
        <f>'Annual and Quarterly'!J136</f>
        <v>58.429283</v>
      </c>
      <c r="H136" s="11">
        <f>'Annual and Quarterly'!K136</f>
        <v>55.59659</v>
      </c>
      <c r="I136" s="0">
        <v>3.587496</v>
      </c>
      <c r="J136" s="0">
        <v>3.289722</v>
      </c>
      <c r="K136" s="11">
        <f>'Annual and Quarterly'!N136</f>
        <v>2.721252</v>
      </c>
      <c r="L136" s="11">
        <f>'Annual and Quarterly'!O136</f>
        <v>4.565033</v>
      </c>
      <c r="M136" s="0">
        <v>8.214021</v>
      </c>
      <c r="N136" s="0">
        <v>8.781742</v>
      </c>
      <c r="O136" s="11">
        <f>'Annual and Quarterly'!R136</f>
        <v>8.244014</v>
      </c>
    </row>
    <row customHeight="1" ht="15">
      <c r="A137" s="9" t="s">
        <v>141</v>
      </c>
      <c r="B137" s="0">
        <v>26.130051</v>
      </c>
      <c r="E137" s="0">
        <v>31.016973</v>
      </c>
      <c r="G137" s="11">
        <f>'Annual and Quarterly'!J137</f>
        <v>38.364085</v>
      </c>
      <c r="H137" s="11">
        <f>'Annual and Quarterly'!K137</f>
        <v>40.723239</v>
      </c>
      <c r="I137" s="0">
        <v>44.339334</v>
      </c>
      <c r="J137" s="0">
        <v>44.447684</v>
      </c>
      <c r="K137" s="11">
        <f>'Annual and Quarterly'!N137</f>
        <v>40.700651</v>
      </c>
      <c r="L137" s="11">
        <f>'Annual and Quarterly'!O137</f>
        <v>41.810996</v>
      </c>
      <c r="M137" s="0">
        <v>55.870229</v>
      </c>
      <c r="N137" s="0">
        <v>54.015149</v>
      </c>
      <c r="O137" s="11">
        <f>'Annual and Quarterly'!R137</f>
        <v>57.350883</v>
      </c>
    </row>
    <row customHeight="1" ht="15">
      <c r="A138" s="9" t="s">
        <v>142</v>
      </c>
      <c r="B138" s="0">
        <v>38.443334</v>
      </c>
      <c r="E138" s="0">
        <v>35.314107</v>
      </c>
      <c r="G138" s="11">
        <f>'Annual and Quarterly'!J138</f>
        <v>32.585393</v>
      </c>
      <c r="H138" s="11">
        <f>'Annual and Quarterly'!K138</f>
        <v>33.207101</v>
      </c>
      <c r="I138" s="0">
        <v>28.075483</v>
      </c>
      <c r="J138" s="0">
        <v>24.212051</v>
      </c>
      <c r="K138" s="11">
        <f>'Annual and Quarterly'!N138</f>
        <v>30.538192</v>
      </c>
      <c r="L138" s="11">
        <f>'Annual and Quarterly'!O138</f>
        <v>30.40722</v>
      </c>
      <c r="M138" s="0">
        <v>33.534141</v>
      </c>
      <c r="N138" s="0">
        <v>34.136152</v>
      </c>
      <c r="O138" s="11">
        <f>'Annual and Quarterly'!R138</f>
        <v>34.277247</v>
      </c>
    </row>
    <row customHeight="1" ht="15">
      <c r="A139" s="9" t="s">
        <v>80</v>
      </c>
      <c r="B139" s="0">
        <v>19.991299</v>
      </c>
      <c r="E139" s="0">
        <v>17.221944</v>
      </c>
      <c r="G139" s="11">
        <f>'Annual and Quarterly'!J139</f>
        <v>17.736078</v>
      </c>
      <c r="H139" s="11">
        <f>'Annual and Quarterly'!K139</f>
        <v>16.378285</v>
      </c>
      <c r="I139" s="0">
        <v>17.179145</v>
      </c>
      <c r="J139" s="0">
        <v>17.288158</v>
      </c>
      <c r="K139" s="11">
        <f>'Annual and Quarterly'!N139</f>
        <v>17.010273</v>
      </c>
      <c r="L139" s="11">
        <f>'Annual and Quarterly'!O139</f>
        <v>17.018956</v>
      </c>
      <c r="M139" s="0">
        <v>19.961891</v>
      </c>
      <c r="N139" s="0">
        <v>21.233917</v>
      </c>
      <c r="O139" s="11">
        <f>'Annual and Quarterly'!R139</f>
        <v>18.836492</v>
      </c>
    </row>
    <row customHeight="1" ht="15">
      <c r="A140" s="9" t="s">
        <v>143</v>
      </c>
      <c r="B140" s="0">
        <v>0</v>
      </c>
      <c r="E140" s="0">
        <v>0</v>
      </c>
      <c r="G140" s="11">
        <f>'Annual and Quarterly'!J140</f>
        <v>0</v>
      </c>
      <c r="H140" s="11">
        <f>'Annual and Quarterly'!K140</f>
        <v>0</v>
      </c>
      <c r="I140" s="0">
        <v>4.396616</v>
      </c>
      <c r="J140" s="0">
        <v>4.690446</v>
      </c>
      <c r="K140" s="11">
        <f>'Annual and Quarterly'!N140</f>
        <v>3.165562</v>
      </c>
      <c r="L140" s="11">
        <f>'Annual and Quarterly'!O140</f>
        <v>0</v>
      </c>
      <c r="M140" s="0">
        <v>0</v>
      </c>
      <c r="N140" s="0">
        <v>0</v>
      </c>
      <c r="O140" s="11">
        <f>'Annual and Quarterly'!R140</f>
        <v>0</v>
      </c>
    </row>
    <row customHeight="1" ht="15">
      <c r="A141" s="9" t="s">
        <v>144</v>
      </c>
      <c r="B141" s="0">
        <v>41.303953</v>
      </c>
      <c r="E141" s="0">
        <v>33.592938</v>
      </c>
      <c r="G141" s="11">
        <f>'Annual and Quarterly'!J141</f>
        <v>49.752487</v>
      </c>
      <c r="H141" s="11">
        <f>'Annual and Quarterly'!K141</f>
        <v>50.340132</v>
      </c>
      <c r="I141" s="0">
        <v>45.13479</v>
      </c>
      <c r="J141" s="0">
        <v>67.292748</v>
      </c>
      <c r="K141" s="11">
        <f>'Annual and Quarterly'!N141</f>
        <v>60.564796</v>
      </c>
      <c r="L141" s="11">
        <f>'Annual and Quarterly'!O141</f>
        <v>58.536907</v>
      </c>
      <c r="M141" s="0">
        <v>42.017393</v>
      </c>
      <c r="N141" s="0">
        <v>46.994832</v>
      </c>
      <c r="O141" s="11">
        <f>'Annual and Quarterly'!R141</f>
        <v>40.553972</v>
      </c>
    </row>
    <row customHeight="1" ht="15">
      <c r="A142" s="9" t="s">
        <v>145</v>
      </c>
      <c r="B142" s="0">
        <v>0</v>
      </c>
      <c r="E142" s="0">
        <v>0</v>
      </c>
      <c r="G142" s="11">
        <f>'Annual and Quarterly'!J142</f>
        <v>0</v>
      </c>
      <c r="H142" s="11">
        <f>'Annual and Quarterly'!K142</f>
        <v>0</v>
      </c>
      <c r="I142" s="0">
        <v>6.156163</v>
      </c>
      <c r="J142" s="0">
        <v>0</v>
      </c>
      <c r="K142" s="11">
        <f>'Annual and Quarterly'!N142</f>
        <v>0</v>
      </c>
      <c r="L142" s="11">
        <f>'Annual and Quarterly'!O142</f>
        <v>3.774761</v>
      </c>
      <c r="M142" s="0">
        <v>8.593818</v>
      </c>
      <c r="N142" s="0">
        <v>4.465711</v>
      </c>
      <c r="O142" s="11">
        <f>'Annual and Quarterly'!R142</f>
        <v>9.806962</v>
      </c>
    </row>
    <row customHeight="1" ht="15">
      <c r="A143" s="9" t="s">
        <v>146</v>
      </c>
      <c r="B143" s="0">
        <v>62.836584</v>
      </c>
      <c r="E143" s="0">
        <v>128.619643</v>
      </c>
      <c r="G143" s="11">
        <f>'Annual and Quarterly'!J143</f>
        <v>122.047102</v>
      </c>
      <c r="H143" s="11">
        <f>'Annual and Quarterly'!K143</f>
        <v>139.863453</v>
      </c>
      <c r="I143" s="0">
        <v>110.878416</v>
      </c>
      <c r="J143" s="0">
        <v>103.911353</v>
      </c>
      <c r="K143" s="11">
        <f>'Annual and Quarterly'!N143</f>
        <v>102.499901</v>
      </c>
      <c r="L143" s="11">
        <f>'Annual and Quarterly'!O143</f>
        <v>114.107524</v>
      </c>
      <c r="M143" s="0">
        <v>89.320931</v>
      </c>
      <c r="N143" s="0">
        <v>85.433503</v>
      </c>
      <c r="O143" s="11">
        <f>'Annual and Quarterly'!R143</f>
        <v>87.645064</v>
      </c>
    </row>
    <row customHeight="1" ht="15">
      <c r="A144" s="9" t="s">
        <v>147</v>
      </c>
      <c r="B144" s="0">
        <v>26.32074</v>
      </c>
      <c r="E144" s="0">
        <v>19.049325</v>
      </c>
      <c r="G144" s="11">
        <f>'Annual and Quarterly'!J144</f>
        <v>28.636313</v>
      </c>
      <c r="H144" s="11">
        <f>'Annual and Quarterly'!K144</f>
        <v>33.354909</v>
      </c>
      <c r="I144" s="0">
        <v>20.28396</v>
      </c>
      <c r="J144" s="0">
        <v>22.948669</v>
      </c>
      <c r="K144" s="11">
        <f>'Annual and Quarterly'!N144</f>
        <v>23.820346</v>
      </c>
      <c r="L144" s="11">
        <f>'Annual and Quarterly'!O144</f>
        <v>21.410743</v>
      </c>
      <c r="M144" s="0">
        <v>24.788951</v>
      </c>
      <c r="N144" s="0">
        <v>27.696311</v>
      </c>
      <c r="O144" s="11">
        <f>'Annual and Quarterly'!R144</f>
        <v>29.675663</v>
      </c>
    </row>
    <row customHeight="1" ht="15">
      <c r="A145" s="4" t="s">
        <v>148</v>
      </c>
      <c r="B145" s="7">
        <f>SUM(B135:B139)+B141+SUM(B143:B144)</f>
        <v>415.575931</v>
      </c>
      <c r="E145" s="7">
        <f t="shared" si="29" ref="E145:J145">SUM(E135:E141)+SUM(E143:E144)</f>
        <v>304.338524</v>
      </c>
      <c r="G145" s="7">
        <f>'Annual and Quarterly'!J145</f>
        <v>347.807032</v>
      </c>
      <c r="H145" s="7">
        <f>'Annual and Quarterly'!K145</f>
        <v>369.811863</v>
      </c>
      <c r="I145" s="7">
        <f>SUM(I135:I144)</f>
        <v>280.311653</v>
      </c>
      <c r="J145" s="7">
        <f t="shared" si="29"/>
        <v>288.103486</v>
      </c>
      <c r="K145" s="7">
        <f>'Annual and Quarterly'!N145</f>
        <v>281.036352</v>
      </c>
      <c r="L145" s="7">
        <f>'Annual and Quarterly'!O145</f>
        <v>292.651987</v>
      </c>
      <c r="M145" s="7">
        <f t="shared" si="30" ref="M145:N145">SUM(M134:M139)+SUM(M141:M144)</f>
        <v>282.399873</v>
      </c>
      <c r="N145" s="7">
        <f t="shared" si="30"/>
        <v>297.597317</v>
      </c>
      <c r="O145" s="7">
        <f>'Annual and Quarterly'!R145</f>
        <v>293.448097</v>
      </c>
    </row>
    <row customHeight="1" ht="15">
      <c r="A146" s="4" t="s">
        <v>149</v>
      </c>
      <c r="B146" s="7">
        <f t="shared" si="31" ref="B146:N146">B133+B145</f>
        <v>626.581667</v>
      </c>
      <c r="E146" s="7">
        <f t="shared" si="31"/>
        <v>685.927513</v>
      </c>
      <c r="G146" s="7">
        <f>'Annual and Quarterly'!J146</f>
        <v>694.74533</v>
      </c>
      <c r="H146" s="7">
        <f>'Annual and Quarterly'!K146</f>
        <v>691.294904</v>
      </c>
      <c r="I146" s="7">
        <f t="shared" si="31"/>
        <v>778.280941</v>
      </c>
      <c r="J146" s="7">
        <f t="shared" si="31"/>
        <v>783.734869</v>
      </c>
      <c r="K146" s="7">
        <f>'Annual and Quarterly'!N146</f>
        <v>775.813755</v>
      </c>
      <c r="L146" s="7">
        <f>'Annual and Quarterly'!O146</f>
        <v>787.494132</v>
      </c>
      <c r="M146" s="7">
        <f t="shared" si="31"/>
        <v>778.00818</v>
      </c>
      <c r="N146" s="7">
        <f t="shared" si="31"/>
        <v>838.614346</v>
      </c>
      <c r="O146" s="7">
        <f>'Annual and Quarterly'!R146</f>
        <v>831.792075</v>
      </c>
    </row>
    <row customHeight="1" ht="15">
      <c r="A147" s="4" t="s">
        <v>150</v>
      </c>
      <c r="B147" s="7">
        <f t="shared" si="32" ref="B147:N147">B125+B146</f>
        <v>577.641711</v>
      </c>
      <c r="E147" s="7">
        <f t="shared" si="32"/>
        <v>574.067671</v>
      </c>
      <c r="G147" s="7">
        <f>'Annual and Quarterly'!J147</f>
        <v>555.77309</v>
      </c>
      <c r="H147" s="7">
        <f>'Annual and Quarterly'!K147</f>
        <v>523.195872</v>
      </c>
      <c r="I147" s="7">
        <f t="shared" si="32"/>
        <v>573.752646</v>
      </c>
      <c r="J147" s="7">
        <f t="shared" si="32"/>
        <v>569.0833</v>
      </c>
      <c r="K147" s="7">
        <f>'Annual and Quarterly'!N147</f>
        <v>548.602452</v>
      </c>
      <c r="L147" s="7">
        <f>'Annual and Quarterly'!O147</f>
        <v>575.507459</v>
      </c>
      <c r="M147" s="7">
        <f t="shared" si="32"/>
        <v>583.583039</v>
      </c>
      <c r="N147" s="7">
        <f t="shared" si="32"/>
        <v>639.721987</v>
      </c>
      <c r="O147" s="7">
        <f>'Annual and Quarterly'!R147</f>
        <v>626.506195</v>
      </c>
    </row>
    <row customHeight="1" ht="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customHeight="1" ht="15">
      <c r="A149" s="2" t="s">
        <v>151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customHeight="1" ht="15">
      <c r="A150" s="9" t="s">
        <v>152</v>
      </c>
      <c r="B150" s="0">
        <v>90.954301</v>
      </c>
      <c r="E150" s="0">
        <v>81.818184</v>
      </c>
      <c r="G150" s="11">
        <f>'Annual and Quarterly'!J150</f>
        <v>80.863639</v>
      </c>
      <c r="H150" s="11">
        <f>'Annual and Quarterly'!K150</f>
        <v>70.129872</v>
      </c>
    </row>
    <row customHeight="1" ht="15">
      <c r="A151" s="9" t="s">
        <v>153</v>
      </c>
      <c r="B151" s="0">
        <v>101.85</v>
      </c>
      <c r="E151" s="0">
        <v>98.7</v>
      </c>
      <c r="G151" s="11">
        <f>'Annual and Quarterly'!J151</f>
        <v>93.885366</v>
      </c>
      <c r="H151" s="11">
        <f>'Annual and Quarterly'!K151</f>
        <v>89.070731</v>
      </c>
    </row>
    <row customHeight="1" ht="15">
      <c r="A152" s="9" t="s">
        <v>154</v>
      </c>
      <c r="B152" s="0">
        <v>0</v>
      </c>
      <c r="E152" s="0">
        <v>41.447836</v>
      </c>
      <c r="G152" s="11">
        <f>'Annual and Quarterly'!J152</f>
        <v>38.935846</v>
      </c>
      <c r="H152" s="11">
        <f>'Annual and Quarterly'!K152</f>
        <v>37.679851</v>
      </c>
    </row>
    <row customHeight="1" ht="15">
      <c r="A153" s="9" t="s">
        <v>155</v>
      </c>
      <c r="B153" s="0">
        <v>0</v>
      </c>
      <c r="E153" s="0">
        <v>0.031467</v>
      </c>
      <c r="G153" s="11">
        <f>'Annual and Quarterly'!J153</f>
        <v>0.073772</v>
      </c>
      <c r="H153" s="11">
        <f>'Annual and Quarterly'!K153</f>
        <v>0.054039</v>
      </c>
    </row>
    <row customHeight="1" ht="15">
      <c r="A154" s="9" t="s">
        <v>156</v>
      </c>
      <c r="B154" s="0">
        <v>0</v>
      </c>
      <c r="E154" s="0">
        <v>1.261631</v>
      </c>
      <c r="G154" s="11">
        <f>'Annual and Quarterly'!J154</f>
        <v>0.647232</v>
      </c>
      <c r="H154" s="11">
        <f>'Annual and Quarterly'!K154</f>
        <v>0.319026</v>
      </c>
    </row>
    <row customHeight="1" ht="15">
      <c r="A155" s="9" t="s">
        <v>157</v>
      </c>
      <c r="B155" s="0">
        <v>10</v>
      </c>
      <c r="E155" s="0">
        <v>7.499998</v>
      </c>
      <c r="G155" s="11">
        <f>'Annual and Quarterly'!J155</f>
        <v>5.833403</v>
      </c>
      <c r="H155" s="11">
        <f>'Annual and Quarterly'!K155</f>
        <v>5.000069</v>
      </c>
    </row>
    <row customHeight="1" ht="15">
      <c r="A156" s="9" t="s">
        <v>158</v>
      </c>
      <c r="B156" s="0">
        <v>0</v>
      </c>
      <c r="E156" s="0">
        <v>0</v>
      </c>
      <c r="G156" s="11">
        <f>'Annual and Quarterly'!J156</f>
        <v>0.647961</v>
      </c>
      <c r="H156" s="11">
        <f>'Annual and Quarterly'!K156</f>
        <v>0.590563</v>
      </c>
    </row>
    <row customHeight="1" ht="15">
      <c r="A157" s="9" t="s">
        <v>147</v>
      </c>
      <c r="B157" s="0">
        <v>26.32074</v>
      </c>
      <c r="E157" s="0">
        <v>19.049325</v>
      </c>
      <c r="G157" s="11">
        <f>'Annual and Quarterly'!J157</f>
        <v>28.636313</v>
      </c>
      <c r="H157" s="11">
        <f>'Annual and Quarterly'!K157</f>
        <v>33.354909</v>
      </c>
    </row>
    <row customHeight="1" ht="15">
      <c r="A158" s="9" t="s">
        <v>159</v>
      </c>
      <c r="B158" s="11">
        <f t="shared" si="33" ref="B158:H158">B130+B137</f>
        <v>208.127159</v>
      </c>
      <c r="E158" s="11">
        <f t="shared" si="33"/>
        <v>204.536243</v>
      </c>
      <c r="G158" s="11">
        <f t="shared" si="33"/>
        <v>202.781524</v>
      </c>
      <c r="H158" s="11">
        <f t="shared" si="33"/>
        <v>199.599919</v>
      </c>
    </row>
    <row customHeight="1" ht="15">
      <c r="A159" s="9" t="s">
        <v>160</v>
      </c>
      <c r="B159" s="11">
        <f t="shared" si="34" ref="B159:H159">SUM(B150:B158)</f>
        <v>437.2522</v>
      </c>
      <c r="E159" s="11">
        <f t="shared" si="34"/>
        <v>454.344684</v>
      </c>
      <c r="G159" s="11">
        <f t="shared" si="34"/>
        <v>452.305056</v>
      </c>
      <c r="H159" s="11">
        <f t="shared" si="34"/>
        <v>435.798979</v>
      </c>
      <c r="I159" s="11">
        <f t="shared" si="35" ref="I159:J159">SUM(I129:I131)+(I136+I140+I144)+I137</f>
        <v>527.679777</v>
      </c>
      <c r="J159" s="11">
        <f t="shared" si="35"/>
        <v>528.000529</v>
      </c>
      <c r="K159" s="11">
        <f>SUM(K129:K131)+('Annual and Quarterly'!N136+'Annual and Quarterly'!N140+'Annual and Quarterly'!N144)+K137</f>
        <v>523.205969</v>
      </c>
      <c r="L159" s="11">
        <f>SUM(L129:L131)+('Annual and Quarterly'!O136+'Annual and Quarterly'!O140+'Annual and Quarterly'!O144)+L137</f>
        <v>517.917087</v>
      </c>
      <c r="M159" s="11">
        <f t="shared" si="36" ref="M159:N159">SUM(M129:M131)+(M134+M136+M144)+M137</f>
        <v>540.363135</v>
      </c>
      <c r="N159" s="11">
        <f t="shared" si="36"/>
        <v>600.92891</v>
      </c>
      <c r="O159" s="11">
        <f>SUM(O129:O131)+('Annual and Quarterly'!R134+'Annual and Quarterly'!R136+'Annual and Quarterly'!R144)+O137</f>
        <v>595.79021</v>
      </c>
    </row>
    <row customHeight="1" ht="15">
      <c r="A160" s="9" t="s">
        <v>161</v>
      </c>
      <c r="B160" s="15">
        <f t="shared" si="37" ref="B160:M160">IF(B167&lt;=0,"NM",B159/B167)</f>
        <v>6.19266835942942</v>
      </c>
      <c r="E160" s="15">
        <f t="shared" si="37"/>
        <v>3.97376877847464</v>
      </c>
      <c r="G160" s="15">
        <f>'Rolling LTM'!G160</f>
        <v>4.17818628152626</v>
      </c>
      <c r="H160" s="15">
        <f>'Rolling LTM'!H160</f>
        <v>4.25538185252712</v>
      </c>
      <c r="I160" s="15">
        <f t="shared" si="37"/>
        <v>6.63667062915948</v>
      </c>
      <c r="J160" s="15">
        <f>'Rolling LTM'!J160</f>
        <v>6.41710695207645</v>
      </c>
      <c r="K160" s="15">
        <f>'Rolling LTM'!K160</f>
        <v>5.82351497164987</v>
      </c>
      <c r="L160" s="15">
        <f>'Rolling LTM'!L160</f>
        <v>4.35009358146096</v>
      </c>
      <c r="M160" s="15">
        <f t="shared" si="37"/>
        <v>3.89788190776105</v>
      </c>
      <c r="N160" s="15">
        <f>'Rolling LTM'!N160</f>
        <v>4.06739496088967</v>
      </c>
      <c r="O160" s="15">
        <f>'Rolling LTM'!O160</f>
        <v>3.75292534408696</v>
      </c>
    </row>
    <row customHeight="1" ht="15">
      <c r="A161" s="9" t="s">
        <v>162</v>
      </c>
      <c r="B161" s="15">
        <f t="shared" si="38" ref="B161:M161">IF(B176&lt;=0,"NM",B159/B176)</f>
        <v>6.19266835942942</v>
      </c>
      <c r="E161" s="15">
        <f t="shared" si="38"/>
        <v>3.97376877847464</v>
      </c>
      <c r="G161" s="15">
        <f>'Rolling LTM'!G161</f>
        <v>4.18136450552104</v>
      </c>
      <c r="H161" s="15">
        <f>'Rolling LTM'!H161</f>
        <v>4.25720900884977</v>
      </c>
      <c r="I161" s="15">
        <f t="shared" si="38"/>
        <v>6.63667062915948</v>
      </c>
      <c r="J161" s="15">
        <f>'Rolling LTM'!J161</f>
        <v>6.41889000847888</v>
      </c>
      <c r="K161" s="15">
        <f>'Rolling LTM'!K161</f>
        <v>5.8197763845401</v>
      </c>
      <c r="L161" s="15">
        <f>'Rolling LTM'!L161</f>
        <v>4.33760817218284</v>
      </c>
      <c r="M161" s="15">
        <f t="shared" si="38"/>
        <v>3.89788190776105</v>
      </c>
      <c r="N161" s="15">
        <f>'Rolling LTM'!N161</f>
        <v>4.06210429511071</v>
      </c>
      <c r="O161" s="15">
        <f>'Rolling LTM'!O161</f>
        <v>3.74606450060729</v>
      </c>
    </row>
    <row customHeight="1" ht="15">
      <c r="A162" s="9" t="s">
        <v>163</v>
      </c>
      <c r="B162" s="11">
        <f t="shared" si="39" ref="B162:O162">B159-B115</f>
        <v>412.323143</v>
      </c>
      <c r="E162" s="11">
        <f t="shared" si="39"/>
        <v>421.036057</v>
      </c>
      <c r="G162" s="11">
        <f t="shared" si="39"/>
        <v>429.06363</v>
      </c>
      <c r="H162" s="11">
        <f t="shared" si="39"/>
        <v>419.260953</v>
      </c>
      <c r="I162" s="11">
        <f t="shared" si="39"/>
        <v>483.621858</v>
      </c>
      <c r="J162" s="11">
        <f t="shared" si="39"/>
        <v>489.546225</v>
      </c>
      <c r="K162" s="11">
        <f t="shared" si="39"/>
        <v>496.526289</v>
      </c>
      <c r="L162" s="11">
        <f t="shared" si="39"/>
        <v>478.946178</v>
      </c>
      <c r="M162" s="11">
        <f t="shared" si="39"/>
        <v>515.393448</v>
      </c>
      <c r="N162" s="11">
        <f t="shared" si="39"/>
        <v>534.255913</v>
      </c>
      <c r="O162" s="11">
        <f t="shared" si="39"/>
        <v>560.421012</v>
      </c>
    </row>
    <row customHeight="1" ht="15">
      <c r="A163" s="4" t="s">
        <v>164</v>
      </c>
      <c r="B163" s="17">
        <f t="shared" si="40" ref="B163:M163">IF(B167&lt;=0,"NM",B162/B167)</f>
        <v>5.83960579618945</v>
      </c>
      <c r="E163" s="17">
        <f t="shared" si="40"/>
        <v>3.68244638231239</v>
      </c>
      <c r="G163" s="17">
        <f>'Rolling LTM'!G163</f>
        <v>3.96349266714334</v>
      </c>
      <c r="H163" s="17">
        <f>'Rolling LTM'!H163</f>
        <v>4.09389543537555</v>
      </c>
      <c r="I163" s="17">
        <f t="shared" si="40"/>
        <v>6.08255066899814</v>
      </c>
      <c r="J163" s="17">
        <f>'Rolling LTM'!J163</f>
        <v>5.94974874316893</v>
      </c>
      <c r="K163" s="17">
        <f>'Rolling LTM'!K163</f>
        <v>5.52655827557894</v>
      </c>
      <c r="L163" s="17">
        <f>'Rolling LTM'!L163</f>
        <v>4.02276879268719</v>
      </c>
      <c r="M163" s="17">
        <f t="shared" si="40"/>
        <v>3.71776434441218</v>
      </c>
      <c r="N163" s="17">
        <f>'Rolling LTM'!N163</f>
        <v>3.61611793375311</v>
      </c>
      <c r="O163" s="17">
        <f>'Rolling LTM'!O163</f>
        <v>3.53013222438425</v>
      </c>
    </row>
    <row customHeight="1" ht="15">
      <c r="A164" s="9" t="s">
        <v>165</v>
      </c>
      <c r="B164" s="15">
        <f t="shared" si="41" ref="B164:M164">IF(B176&lt;=0,"NM",B162/B176)</f>
        <v>5.83960579618945</v>
      </c>
      <c r="E164" s="15">
        <f t="shared" si="41"/>
        <v>3.68244638231239</v>
      </c>
      <c r="G164" s="15">
        <f>'Rolling LTM'!G164</f>
        <v>3.96650757999047</v>
      </c>
      <c r="H164" s="15">
        <f>'Rolling LTM'!H164</f>
        <v>4.09565325340182</v>
      </c>
      <c r="I164" s="15">
        <f t="shared" si="41"/>
        <v>6.08255066899814</v>
      </c>
      <c r="J164" s="15">
        <f>'Rolling LTM'!J164</f>
        <v>5.95140193948756</v>
      </c>
      <c r="K164" s="15">
        <f>'Rolling LTM'!K164</f>
        <v>5.52301032908424</v>
      </c>
      <c r="L164" s="15">
        <f>'Rolling LTM'!L164</f>
        <v>4.01122285376257</v>
      </c>
      <c r="M164" s="15">
        <f t="shared" si="41"/>
        <v>3.71776434441218</v>
      </c>
      <c r="N164" s="15">
        <f>'Rolling LTM'!N164</f>
        <v>3.61141426676508</v>
      </c>
      <c r="O164" s="15">
        <f>'Rolling LTM'!O164</f>
        <v>3.5236786761696</v>
      </c>
    </row>
    <row customHeight="1" ht="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customHeight="1" ht="15">
      <c r="A166" s="2" t="s">
        <v>166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customHeight="1" ht="15">
      <c r="A167" s="9" t="s">
        <v>167</v>
      </c>
      <c r="B167" s="11">
        <f t="shared" si="42" ref="B167:O167">B13+B222+B223</f>
        <v>70.608044</v>
      </c>
      <c r="C167" s="11">
        <f t="shared" si="42"/>
        <v>54.194393</v>
      </c>
      <c r="D167" s="11">
        <f t="shared" si="42"/>
        <v>76.392217</v>
      </c>
      <c r="E167" s="11">
        <f t="shared" si="42"/>
        <v>114.335964</v>
      </c>
      <c r="F167" s="11">
        <f t="shared" si="42"/>
        <v>26.263439</v>
      </c>
      <c r="G167" s="11">
        <f t="shared" si="42"/>
        <v>48.112352</v>
      </c>
      <c r="H167" s="11">
        <f t="shared" si="42"/>
        <v>64.467504</v>
      </c>
      <c r="I167" s="11">
        <f t="shared" si="42"/>
        <v>79.509713</v>
      </c>
      <c r="J167" s="11">
        <f t="shared" si="42"/>
        <v>29.033877</v>
      </c>
      <c r="K167" s="11">
        <f t="shared" si="42"/>
        <v>58.446311</v>
      </c>
      <c r="L167" s="11">
        <f t="shared" si="42"/>
        <v>104.016629</v>
      </c>
      <c r="M167" s="11">
        <f t="shared" si="42"/>
        <v>138.62994</v>
      </c>
      <c r="N167" s="11">
        <f t="shared" si="42"/>
        <v>38.146882</v>
      </c>
      <c r="O167" s="11">
        <f t="shared" si="42"/>
        <v>78.569918</v>
      </c>
    </row>
    <row customHeight="1" ht="15">
      <c r="A168" s="9" t="s">
        <v>168</v>
      </c>
      <c r="B168" s="0">
        <v>-61.29357</v>
      </c>
      <c r="C168" s="0">
        <v>-64.276757</v>
      </c>
      <c r="D168" s="0">
        <v>-70.710757</v>
      </c>
      <c r="E168" s="0">
        <v>-104.033368</v>
      </c>
      <c r="F168" s="0">
        <v>-14.364613</v>
      </c>
      <c r="G168" s="0">
        <v>-36.414402</v>
      </c>
      <c r="H168" s="0">
        <v>-62.012476</v>
      </c>
      <c r="I168" s="0">
        <v>-97.036347</v>
      </c>
      <c r="J168" s="0">
        <v>-10.274124</v>
      </c>
      <c r="K168" s="0">
        <v>-22.032492</v>
      </c>
      <c r="L168" s="0">
        <v>4.51504</v>
      </c>
      <c r="M168" s="0">
        <v>36.387585</v>
      </c>
      <c r="N168" s="0">
        <v>-11.421043</v>
      </c>
      <c r="O168" s="0">
        <v>-14.058445</v>
      </c>
    </row>
    <row customHeight="1" ht="15">
      <c r="A169" s="9" t="s">
        <v>36</v>
      </c>
      <c r="B169" s="0">
        <v>55.213244</v>
      </c>
      <c r="C169" s="0">
        <v>34.55915</v>
      </c>
      <c r="D169" s="0">
        <v>48.250221</v>
      </c>
      <c r="E169" s="0">
        <v>64.737849</v>
      </c>
      <c r="F169" s="0">
        <v>15.328047</v>
      </c>
      <c r="G169" s="0">
        <v>30.738515</v>
      </c>
      <c r="H169" s="0">
        <v>46.371001</v>
      </c>
      <c r="I169" s="0">
        <v>74.276529</v>
      </c>
      <c r="J169" s="0">
        <v>17.043553</v>
      </c>
      <c r="K169" s="0">
        <v>34.228359</v>
      </c>
      <c r="L169" s="0">
        <v>51.969835</v>
      </c>
      <c r="M169" s="0">
        <v>71.039195</v>
      </c>
      <c r="N169" s="0">
        <v>20.252271</v>
      </c>
      <c r="O169" s="0">
        <v>40.973293</v>
      </c>
    </row>
    <row customHeight="1" ht="15">
      <c r="A170" s="9" t="s">
        <v>34</v>
      </c>
      <c r="B170" s="0">
        <v>-1.932958</v>
      </c>
      <c r="C170" s="0">
        <v>-1.063127</v>
      </c>
      <c r="D170" s="0">
        <v>-1.594691</v>
      </c>
      <c r="E170" s="0">
        <v>-2.126254</v>
      </c>
      <c r="F170" s="0">
        <v>-0.58472</v>
      </c>
      <c r="G170" s="0">
        <v>-1.16944</v>
      </c>
      <c r="H170" s="0">
        <v>-1.75416</v>
      </c>
      <c r="I170" s="0">
        <v>-2.33888</v>
      </c>
      <c r="J170" s="0">
        <v>-0.643189</v>
      </c>
      <c r="K170" s="0">
        <v>-1.286384</v>
      </c>
      <c r="L170" s="0">
        <v>-1.929576</v>
      </c>
      <c r="M170" s="0">
        <v>-2.572767</v>
      </c>
      <c r="N170" s="0">
        <v>-0.707511</v>
      </c>
      <c r="O170" s="0">
        <v>-1.415022</v>
      </c>
    </row>
    <row customHeight="1" ht="15">
      <c r="A171" s="9" t="s">
        <v>35</v>
      </c>
      <c r="B171" s="0">
        <v>-0.187722</v>
      </c>
      <c r="C171" s="0">
        <v>-0.076418</v>
      </c>
      <c r="D171" s="0">
        <v>-0.115142</v>
      </c>
      <c r="E171" s="0">
        <v>-0.156096</v>
      </c>
      <c r="F171" s="0">
        <v>-0.040809</v>
      </c>
      <c r="G171" s="0">
        <v>-0.079141</v>
      </c>
      <c r="H171" s="0">
        <v>-0.116258</v>
      </c>
      <c r="I171" s="0">
        <v>-0.329062</v>
      </c>
      <c r="J171" s="0">
        <v>-0.109547</v>
      </c>
      <c r="K171" s="0">
        <v>-0.157281</v>
      </c>
      <c r="L171" s="0">
        <v>-0.23018</v>
      </c>
      <c r="M171" s="0">
        <v>-0.269998</v>
      </c>
      <c r="N171" s="0">
        <v>-0.236924</v>
      </c>
      <c r="O171" s="0">
        <v>-0.388668</v>
      </c>
    </row>
    <row customHeight="1" ht="15">
      <c r="A172" s="9" t="s">
        <v>169</v>
      </c>
      <c r="B172" s="0">
        <v>42.745142</v>
      </c>
      <c r="C172" s="0">
        <v>24.99628</v>
      </c>
      <c r="D172" s="0">
        <v>35.383031</v>
      </c>
      <c r="E172" s="0">
        <v>47.380285</v>
      </c>
      <c r="F172" s="0">
        <v>12.244525</v>
      </c>
      <c r="G172" s="0">
        <v>25.455559</v>
      </c>
      <c r="H172" s="0">
        <v>35.691787</v>
      </c>
      <c r="I172" s="0">
        <v>48.614609</v>
      </c>
      <c r="J172" s="0">
        <v>12.306473</v>
      </c>
      <c r="K172" s="0">
        <v>24.258382</v>
      </c>
      <c r="L172" s="0">
        <v>37.435392</v>
      </c>
      <c r="M172" s="0">
        <v>50.741037</v>
      </c>
      <c r="N172" s="0">
        <v>15.027019</v>
      </c>
      <c r="O172" s="0">
        <v>29.743913</v>
      </c>
    </row>
    <row customHeight="1" ht="15">
      <c r="A173" s="9" t="s">
        <v>25</v>
      </c>
      <c r="B173" s="0">
        <v>11.955373</v>
      </c>
      <c r="C173" s="0">
        <v>6.823502</v>
      </c>
      <c r="D173" s="0">
        <v>10.996609</v>
      </c>
      <c r="E173" s="0">
        <v>15.925177</v>
      </c>
      <c r="F173" s="0">
        <v>5.009905</v>
      </c>
      <c r="G173" s="0">
        <v>10.314476</v>
      </c>
      <c r="H173" s="0">
        <v>15.437099</v>
      </c>
      <c r="I173" s="0">
        <v>20.609792</v>
      </c>
      <c r="J173" s="0">
        <v>4.898694</v>
      </c>
      <c r="K173" s="0">
        <v>10.004124</v>
      </c>
      <c r="L173" s="0">
        <v>15.172386</v>
      </c>
      <c r="M173" s="0">
        <v>19.385894</v>
      </c>
      <c r="N173" s="0">
        <v>4.784049</v>
      </c>
      <c r="O173" s="0">
        <v>9.579371</v>
      </c>
    </row>
    <row customHeight="1" ht="15">
      <c r="A174" s="9" t="s">
        <v>37</v>
      </c>
      <c r="B174" s="0">
        <v>24.108535</v>
      </c>
      <c r="C174" s="0">
        <v>85.59763</v>
      </c>
      <c r="D174" s="0">
        <v>83.482307</v>
      </c>
      <c r="E174" s="0">
        <v>114.151736</v>
      </c>
      <c r="F174" s="0">
        <v>12.388792</v>
      </c>
      <c r="G174" s="0">
        <v>23.156639</v>
      </c>
      <c r="H174" s="0">
        <v>33.511939</v>
      </c>
      <c r="I174" s="0">
        <v>39.271284</v>
      </c>
      <c r="J174" s="0">
        <v>5.577573</v>
      </c>
      <c r="K174" s="0">
        <v>13.178134</v>
      </c>
      <c r="L174" s="0">
        <v>-2.205623</v>
      </c>
      <c r="M174" s="0">
        <v>-37.680522</v>
      </c>
      <c r="N174" s="0">
        <v>13.410153</v>
      </c>
      <c r="O174" s="0">
        <v>17.192096</v>
      </c>
    </row>
    <row customHeight="1" ht="15">
      <c r="A175" s="9" t="s">
        <v>170</v>
      </c>
      <c r="B175" s="0">
        <v>0</v>
      </c>
      <c r="C175" s="0">
        <v>-32.365867</v>
      </c>
      <c r="D175" s="0">
        <v>-29.299361</v>
      </c>
      <c r="E175" s="0">
        <v>-21.543365</v>
      </c>
      <c r="F175" s="0">
        <v>-3.717688</v>
      </c>
      <c r="G175" s="0">
        <v>-3.972137</v>
      </c>
      <c r="H175" s="0">
        <v>-2.705382</v>
      </c>
      <c r="I175" s="0">
        <v>-3.558212</v>
      </c>
      <c r="J175" s="0">
        <v>0.211588</v>
      </c>
      <c r="K175" s="0">
        <v>0.228901</v>
      </c>
      <c r="L175" s="0">
        <v>-0.411899</v>
      </c>
      <c r="M175" s="0">
        <v>1.599516</v>
      </c>
      <c r="N175" s="0">
        <v>-2.791561</v>
      </c>
      <c r="O175" s="0">
        <v>-2.790434</v>
      </c>
    </row>
    <row customHeight="1" ht="15">
      <c r="A176" s="4" t="s">
        <v>171</v>
      </c>
      <c r="B176" s="7">
        <f t="shared" si="43" ref="B176:O176">SUM(B168:B175)</f>
        <v>70.608044</v>
      </c>
      <c r="C176" s="7">
        <f t="shared" si="43"/>
        <v>54.194393</v>
      </c>
      <c r="D176" s="7">
        <f t="shared" si="43"/>
        <v>76.392217</v>
      </c>
      <c r="E176" s="7">
        <f t="shared" si="43"/>
        <v>114.335964</v>
      </c>
      <c r="F176" s="7">
        <f t="shared" si="43"/>
        <v>26.263439</v>
      </c>
      <c r="G176" s="7">
        <f t="shared" si="43"/>
        <v>48.030069</v>
      </c>
      <c r="H176" s="7">
        <f t="shared" si="43"/>
        <v>64.42355</v>
      </c>
      <c r="I176" s="7">
        <f t="shared" si="43"/>
        <v>79.509713</v>
      </c>
      <c r="J176" s="7">
        <f t="shared" si="43"/>
        <v>29.011021</v>
      </c>
      <c r="K176" s="7">
        <f t="shared" si="43"/>
        <v>58.421743</v>
      </c>
      <c r="L176" s="7">
        <f t="shared" si="43"/>
        <v>104.315375</v>
      </c>
      <c r="M176" s="7">
        <f t="shared" si="43"/>
        <v>138.62994</v>
      </c>
      <c r="N176" s="7">
        <f t="shared" si="43"/>
        <v>38.316453</v>
      </c>
      <c r="O176" s="7">
        <f t="shared" si="43"/>
        <v>78.836104</v>
      </c>
    </row>
    <row customHeight="1" ht="15">
      <c r="A177" s="9" t="s">
        <v>172</v>
      </c>
      <c r="B177" s="11">
        <f t="shared" si="44" ref="B177:O177">B176-B167</f>
        <v>0</v>
      </c>
      <c r="C177" s="11">
        <f t="shared" si="44"/>
        <v>0</v>
      </c>
      <c r="D177" s="11">
        <f t="shared" si="44"/>
        <v>0</v>
      </c>
      <c r="E177" s="11">
        <f t="shared" si="44"/>
        <v>0</v>
      </c>
      <c r="F177" s="11">
        <f t="shared" si="44"/>
        <v>0</v>
      </c>
      <c r="G177" s="11">
        <f t="shared" si="44"/>
        <v>-0.0822830000000039</v>
      </c>
      <c r="H177" s="11">
        <f t="shared" si="44"/>
        <v>-0.0439539999999994</v>
      </c>
      <c r="I177" s="11">
        <f t="shared" si="44"/>
        <v>0</v>
      </c>
      <c r="J177" s="11">
        <f t="shared" si="44"/>
        <v>-0.0228560000000009</v>
      </c>
      <c r="K177" s="11">
        <f t="shared" si="44"/>
        <v>-0.0245680000000021</v>
      </c>
      <c r="L177" s="11">
        <f t="shared" si="44"/>
        <v>0.298746000000008</v>
      </c>
      <c r="M177" s="11">
        <f t="shared" si="44"/>
        <v>0</v>
      </c>
      <c r="N177" s="11">
        <f t="shared" si="44"/>
        <v>0.169571000000005</v>
      </c>
      <c r="O177" s="11">
        <f t="shared" si="44"/>
        <v>0.266186000000005</v>
      </c>
    </row>
    <row customHeight="1" ht="15">
      <c r="A178" s="9" t="s">
        <v>173</v>
      </c>
      <c r="B178" s="19">
        <f t="shared" si="45" ref="B178:O178">IF(B177=0,0,IF(B167&lt;=0,"NM",B177/B167))</f>
        <v>0</v>
      </c>
      <c r="C178" s="19">
        <f t="shared" si="45"/>
        <v>0</v>
      </c>
      <c r="D178" s="19">
        <f t="shared" si="45"/>
        <v>0</v>
      </c>
      <c r="E178" s="19">
        <f t="shared" si="45"/>
        <v>0</v>
      </c>
      <c r="F178" s="19">
        <f t="shared" si="45"/>
        <v>0</v>
      </c>
      <c r="G178" s="19">
        <f t="shared" si="45"/>
        <v>-0.00171022609744799</v>
      </c>
      <c r="H178" s="19">
        <f t="shared" si="45"/>
        <v>-0.000681800865130429</v>
      </c>
      <c r="I178" s="19">
        <f t="shared" si="45"/>
        <v>0</v>
      </c>
      <c r="J178" s="19">
        <f t="shared" si="45"/>
        <v>-0.000787218324304429</v>
      </c>
      <c r="K178" s="19">
        <f t="shared" si="45"/>
        <v>-0.000420351594132299</v>
      </c>
      <c r="L178" s="19">
        <f t="shared" si="45"/>
        <v>0.00287209846033376</v>
      </c>
      <c r="M178" s="19">
        <f t="shared" si="45"/>
        <v>0</v>
      </c>
      <c r="N178" s="19">
        <f t="shared" si="45"/>
        <v>0.00444521258644429</v>
      </c>
      <c r="O178" s="19">
        <f t="shared" si="45"/>
        <v>0.00338788695184848</v>
      </c>
    </row>
    <row customHeight="1" ht="15">
      <c r="A179" s="9" t="s">
        <v>174</v>
      </c>
      <c r="B179" s="19">
        <f t="shared" si="46" ref="B179:O179">IF(OR(B176=0,B176="NM",B167="NM"),"NM",B167/B176)</f>
        <v>1</v>
      </c>
      <c r="C179" s="19">
        <f t="shared" si="46"/>
        <v>1</v>
      </c>
      <c r="D179" s="19">
        <f t="shared" si="46"/>
        <v>1</v>
      </c>
      <c r="E179" s="19">
        <f t="shared" si="46"/>
        <v>1</v>
      </c>
      <c r="F179" s="19">
        <f t="shared" si="46"/>
        <v>1</v>
      </c>
      <c r="G179" s="19">
        <f t="shared" si="46"/>
        <v>1.00171315598152</v>
      </c>
      <c r="H179" s="19">
        <f t="shared" si="46"/>
        <v>1.0006822660347</v>
      </c>
      <c r="I179" s="19">
        <f t="shared" si="46"/>
        <v>1</v>
      </c>
      <c r="J179" s="19">
        <f t="shared" si="46"/>
        <v>1.00078783852523</v>
      </c>
      <c r="K179" s="19">
        <f t="shared" si="46"/>
        <v>1.0004205283639</v>
      </c>
      <c r="L179" s="19">
        <f t="shared" si="46"/>
        <v>0.997136126865287</v>
      </c>
      <c r="M179" s="19">
        <f t="shared" si="46"/>
        <v>1</v>
      </c>
      <c r="N179" s="19">
        <f t="shared" si="46"/>
        <v>0.995574459880198</v>
      </c>
      <c r="O179" s="19">
        <f t="shared" si="46"/>
        <v>0.99662355207203</v>
      </c>
    </row>
    <row customHeight="1" ht="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customHeight="1" ht="15">
      <c r="A181" s="2" t="s">
        <v>175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customHeight="1" ht="15">
      <c r="A182" s="9" t="s">
        <v>176</v>
      </c>
      <c r="B182" s="0">
        <v>98.015201</v>
      </c>
      <c r="C182" s="0">
        <v>43.579248</v>
      </c>
      <c r="D182" s="0">
        <v>65.83542</v>
      </c>
      <c r="E182" s="0">
        <v>89.311099</v>
      </c>
      <c r="F182" s="0">
        <v>23.249039</v>
      </c>
      <c r="G182" s="0">
        <v>47.694781</v>
      </c>
      <c r="H182" s="0">
        <v>74.060793</v>
      </c>
      <c r="I182" s="0">
        <v>100.898089</v>
      </c>
      <c r="J182" s="0">
        <v>25.434015</v>
      </c>
      <c r="K182" s="0">
        <v>52.953474</v>
      </c>
      <c r="L182" s="0">
        <v>82.542195</v>
      </c>
      <c r="M182" s="0">
        <v>111.011911</v>
      </c>
      <c r="N182" s="0">
        <v>27.037988</v>
      </c>
      <c r="O182" s="0">
        <v>54.009624</v>
      </c>
    </row>
    <row customHeight="1" ht="15">
      <c r="A183" s="9" t="s">
        <v>177</v>
      </c>
      <c r="B183" s="0">
        <v>82.621126</v>
      </c>
      <c r="C183" s="0">
        <v>61.11345</v>
      </c>
      <c r="D183" s="0">
        <v>73.144689</v>
      </c>
      <c r="E183" s="0">
        <v>95.859657</v>
      </c>
      <c r="F183" s="0">
        <v>23.866753</v>
      </c>
      <c r="G183" s="0">
        <v>49.707876</v>
      </c>
      <c r="H183" s="0">
        <v>74.535522</v>
      </c>
      <c r="I183" s="0">
        <v>101.778751</v>
      </c>
      <c r="J183" s="0">
        <v>27.930915</v>
      </c>
      <c r="K183" s="0">
        <v>56.904119</v>
      </c>
      <c r="L183" s="0">
        <v>84.749246</v>
      </c>
      <c r="M183" s="0">
        <v>114.787009</v>
      </c>
      <c r="N183" s="0">
        <v>32.122471</v>
      </c>
      <c r="O183" s="0">
        <v>64.306855</v>
      </c>
    </row>
    <row customHeight="1" ht="15">
      <c r="A184" s="9" t="s">
        <v>178</v>
      </c>
      <c r="B184" s="0">
        <v>88.298047</v>
      </c>
      <c r="C184" s="0">
        <v>45.952914</v>
      </c>
      <c r="D184" s="0">
        <v>67.215809</v>
      </c>
      <c r="E184" s="0">
        <v>87.951983</v>
      </c>
      <c r="F184" s="0">
        <v>21.245942</v>
      </c>
      <c r="G184" s="0">
        <v>41.065111</v>
      </c>
      <c r="H184" s="0">
        <v>59.221163</v>
      </c>
      <c r="I184" s="0">
        <v>77.48074</v>
      </c>
      <c r="J184" s="0">
        <v>18.621825</v>
      </c>
      <c r="K184" s="0">
        <v>36.628573</v>
      </c>
      <c r="L184" s="0">
        <v>54.219399</v>
      </c>
      <c r="M184" s="0">
        <v>69.958371</v>
      </c>
      <c r="N184" s="0">
        <v>18.42624</v>
      </c>
      <c r="O184" s="0">
        <v>37.871959</v>
      </c>
    </row>
    <row customHeight="1" ht="15">
      <c r="A185" s="9" t="s">
        <v>179</v>
      </c>
      <c r="B185" s="0">
        <v>39.174387</v>
      </c>
      <c r="C185" s="0">
        <v>42.230394</v>
      </c>
      <c r="D185" s="0">
        <v>57.895098</v>
      </c>
      <c r="E185" s="0">
        <v>83.074342</v>
      </c>
      <c r="F185" s="0">
        <v>17.442814</v>
      </c>
      <c r="G185" s="0">
        <v>36.132646</v>
      </c>
      <c r="H185" s="0">
        <v>54.839694</v>
      </c>
      <c r="I185" s="0">
        <v>75.836102</v>
      </c>
      <c r="J185" s="0">
        <v>21.511558</v>
      </c>
      <c r="K185" s="0">
        <v>47.321922</v>
      </c>
      <c r="L185" s="0">
        <v>79.05333</v>
      </c>
      <c r="M185" s="0">
        <v>112.891481</v>
      </c>
      <c r="N185" s="0">
        <v>36.754831</v>
      </c>
      <c r="O185" s="0">
        <v>74.566255</v>
      </c>
    </row>
    <row customHeight="1" ht="15">
      <c r="A186" s="9" t="s">
        <v>180</v>
      </c>
      <c r="B186" s="0">
        <v>0</v>
      </c>
      <c r="C186" s="0">
        <v>0.041509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0.076394</v>
      </c>
    </row>
    <row customHeight="1" ht="15">
      <c r="A187" s="4" t="s">
        <v>181</v>
      </c>
      <c r="B187" s="7">
        <f t="shared" si="28"/>
        <v>308.108761</v>
      </c>
      <c r="C187" s="7">
        <f t="shared" si="28"/>
        <v>192.917515</v>
      </c>
      <c r="D187" s="7">
        <f t="shared" si="28"/>
        <v>264.091016</v>
      </c>
      <c r="E187" s="7">
        <f t="shared" si="28"/>
        <v>356.197081</v>
      </c>
      <c r="F187" s="7">
        <f t="shared" si="28"/>
        <v>85.804548</v>
      </c>
      <c r="G187" s="7">
        <f t="shared" si="28"/>
        <v>174.600414</v>
      </c>
      <c r="H187" s="7">
        <f t="shared" si="28"/>
        <v>262.657172</v>
      </c>
      <c r="I187" s="7">
        <f t="shared" si="28"/>
        <v>355.993682</v>
      </c>
      <c r="J187" s="7">
        <f t="shared" si="28"/>
        <v>93.498313</v>
      </c>
      <c r="K187" s="7">
        <f t="shared" si="28"/>
        <v>193.808088</v>
      </c>
      <c r="L187" s="7">
        <f t="shared" si="28"/>
        <v>300.56417</v>
      </c>
      <c r="M187" s="7">
        <f t="shared" si="28"/>
        <v>408.648772</v>
      </c>
      <c r="N187" s="7">
        <f t="shared" si="28"/>
        <v>114.34153</v>
      </c>
      <c r="O187" s="7">
        <f t="shared" si="28"/>
        <v>230.831087</v>
      </c>
    </row>
    <row customHeight="1" ht="15">
      <c r="A188" s="9" t="s">
        <v>176</v>
      </c>
      <c r="B188" s="0">
        <v>31.279321</v>
      </c>
      <c r="C188" s="0">
        <v>11.064034</v>
      </c>
      <c r="D188" s="0">
        <v>15.822747</v>
      </c>
      <c r="E188" s="0">
        <v>22.263972</v>
      </c>
      <c r="F188" s="0">
        <v>7.216858</v>
      </c>
      <c r="G188" s="0">
        <v>13.35662</v>
      </c>
      <c r="H188" s="0">
        <v>16.297335</v>
      </c>
      <c r="I188" s="0">
        <v>25.767847</v>
      </c>
      <c r="J188" s="0">
        <v>8.67676</v>
      </c>
      <c r="K188" s="0">
        <v>17.27185</v>
      </c>
      <c r="L188" s="0">
        <v>29.722123</v>
      </c>
      <c r="M188" s="0">
        <v>43.01146</v>
      </c>
      <c r="N188" s="0">
        <v>8.779521</v>
      </c>
      <c r="O188" s="0">
        <v>18.424544</v>
      </c>
    </row>
    <row customHeight="1" ht="15">
      <c r="A189" s="9" t="s">
        <v>177</v>
      </c>
      <c r="B189" s="0">
        <v>25.506025</v>
      </c>
      <c r="C189" s="0">
        <v>21.126846</v>
      </c>
      <c r="D189" s="0">
        <v>26.319884</v>
      </c>
      <c r="E189" s="0">
        <v>35.844187</v>
      </c>
      <c r="F189" s="0">
        <v>8.867834</v>
      </c>
      <c r="G189" s="0">
        <v>18.291948</v>
      </c>
      <c r="H189" s="0">
        <v>28.020856</v>
      </c>
      <c r="I189" s="0">
        <v>36.87485</v>
      </c>
      <c r="J189" s="0">
        <v>12.124749</v>
      </c>
      <c r="K189" s="0">
        <v>24.855811</v>
      </c>
      <c r="L189" s="0">
        <v>38.215812</v>
      </c>
      <c r="M189" s="0">
        <v>51.119945</v>
      </c>
      <c r="N189" s="0">
        <v>14.241834</v>
      </c>
      <c r="O189" s="0">
        <v>28.946663</v>
      </c>
    </row>
    <row customHeight="1" ht="15">
      <c r="A190" s="9" t="s">
        <v>178</v>
      </c>
      <c r="B190" s="0">
        <v>53.465117</v>
      </c>
      <c r="C190" s="0">
        <v>27.634217</v>
      </c>
      <c r="D190" s="0">
        <v>41.578266</v>
      </c>
      <c r="E190" s="0">
        <v>56.703016</v>
      </c>
      <c r="F190" s="0">
        <v>13.342135</v>
      </c>
      <c r="G190" s="0">
        <v>24.465171</v>
      </c>
      <c r="H190" s="0">
        <v>34.571624</v>
      </c>
      <c r="I190" s="0">
        <v>43.043145</v>
      </c>
      <c r="J190" s="0">
        <v>10.10632</v>
      </c>
      <c r="K190" s="0">
        <v>18.23529</v>
      </c>
      <c r="L190" s="0">
        <v>29.04237</v>
      </c>
      <c r="M190" s="0">
        <v>35.655524</v>
      </c>
      <c r="N190" s="0">
        <v>8.868839</v>
      </c>
      <c r="O190" s="0">
        <v>18.504422</v>
      </c>
    </row>
    <row customHeight="1" ht="15">
      <c r="A191" s="9" t="s">
        <v>179</v>
      </c>
      <c r="B191" s="0">
        <v>-19.220695</v>
      </c>
      <c r="C191" s="0">
        <v>5.080658</v>
      </c>
      <c r="D191" s="0">
        <v>6.829114</v>
      </c>
      <c r="E191" s="0">
        <v>3.46258</v>
      </c>
      <c r="F191" s="0">
        <v>2.758794</v>
      </c>
      <c r="G191" s="0">
        <v>2.898332</v>
      </c>
      <c r="H191" s="0">
        <v>4.227073</v>
      </c>
      <c r="I191" s="0">
        <v>2.814099</v>
      </c>
      <c r="J191" s="0">
        <v>4.88134</v>
      </c>
      <c r="K191" s="0">
        <v>12.367648</v>
      </c>
      <c r="L191" s="0">
        <v>27.426585</v>
      </c>
      <c r="M191" s="0">
        <v>38.367739</v>
      </c>
      <c r="N191" s="0">
        <v>16.33372</v>
      </c>
      <c r="O191" s="0">
        <v>33.128824</v>
      </c>
    </row>
    <row customHeight="1" ht="15">
      <c r="A192" s="9" t="s">
        <v>180</v>
      </c>
      <c r="B192" s="0">
        <v>-20.421724</v>
      </c>
      <c r="C192" s="0">
        <v>-10.711362</v>
      </c>
      <c r="D192" s="0">
        <v>-14.157794</v>
      </c>
      <c r="E192" s="0">
        <v>-3.937791</v>
      </c>
      <c r="F192" s="0">
        <v>-5.922182</v>
      </c>
      <c r="G192" s="0">
        <v>-10.982002</v>
      </c>
      <c r="H192" s="0">
        <v>-18.693338</v>
      </c>
      <c r="I192" s="0">
        <v>-28.990228</v>
      </c>
      <c r="J192" s="0">
        <v>-6.778148</v>
      </c>
      <c r="K192" s="0">
        <v>-14.308856</v>
      </c>
      <c r="L192" s="0">
        <v>-20.091515</v>
      </c>
      <c r="M192" s="0">
        <v>-29.524728</v>
      </c>
      <c r="N192" s="0">
        <v>-9.907461</v>
      </c>
      <c r="O192" s="0">
        <v>-20.168349</v>
      </c>
    </row>
    <row customHeight="1" ht="15">
      <c r="A193" s="4" t="s">
        <v>182</v>
      </c>
      <c r="B193" s="7">
        <f t="shared" si="28"/>
        <v>70.608044</v>
      </c>
      <c r="C193" s="7">
        <f t="shared" si="28"/>
        <v>54.194393</v>
      </c>
      <c r="D193" s="7">
        <f t="shared" si="28"/>
        <v>76.392217</v>
      </c>
      <c r="E193" s="7">
        <f t="shared" si="28"/>
        <v>114.335964</v>
      </c>
      <c r="F193" s="7">
        <f t="shared" si="28"/>
        <v>26.263439</v>
      </c>
      <c r="G193" s="7">
        <f t="shared" si="28"/>
        <v>48.030069</v>
      </c>
      <c r="H193" s="7">
        <f t="shared" si="28"/>
        <v>64.42355</v>
      </c>
      <c r="I193" s="7">
        <f t="shared" si="28"/>
        <v>79.509713</v>
      </c>
      <c r="J193" s="7">
        <f t="shared" si="28"/>
        <v>29.011021</v>
      </c>
      <c r="K193" s="7">
        <f t="shared" si="28"/>
        <v>58.421743</v>
      </c>
      <c r="L193" s="7">
        <f t="shared" si="28"/>
        <v>104.315375</v>
      </c>
      <c r="M193" s="7">
        <f t="shared" si="28"/>
        <v>138.62994</v>
      </c>
      <c r="N193" s="7">
        <f t="shared" si="28"/>
        <v>38.316453</v>
      </c>
      <c r="O193" s="7">
        <f t="shared" si="28"/>
        <v>78.836104</v>
      </c>
    </row>
    <row customHeight="1" ht="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customHeight="1" ht="15">
      <c r="A195" s="2" t="s">
        <v>183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customHeight="1" ht="15">
      <c r="A196" s="9" t="s">
        <v>184</v>
      </c>
      <c r="B196" s="0">
        <v>511.239</v>
      </c>
      <c r="C196" s="0">
        <v>307.185</v>
      </c>
      <c r="D196" s="0">
        <v>485.447</v>
      </c>
      <c r="E196" s="0">
        <v>833.577</v>
      </c>
      <c r="F196" s="0">
        <v>227.361</v>
      </c>
      <c r="G196" s="0">
        <v>477.605</v>
      </c>
      <c r="H196" s="0">
        <v>723.148</v>
      </c>
      <c r="I196" s="0">
        <v>966.369</v>
      </c>
      <c r="J196" s="0">
        <v>274.704</v>
      </c>
      <c r="K196" s="0">
        <v>629.163</v>
      </c>
      <c r="L196" s="0">
        <v>1016.434</v>
      </c>
      <c r="M196" s="0">
        <v>1425.603</v>
      </c>
      <c r="N196" s="0">
        <v>430.115</v>
      </c>
      <c r="O196" s="0">
        <v>866.482</v>
      </c>
    </row>
    <row customHeight="1" ht="15">
      <c r="A197" s="9" t="s">
        <v>185</v>
      </c>
      <c r="B197" s="0">
        <v>334.977</v>
      </c>
      <c r="C197" s="0">
        <v>203.317</v>
      </c>
      <c r="D197" s="0">
        <v>262.998</v>
      </c>
      <c r="E197" s="0">
        <v>347.305</v>
      </c>
      <c r="F197" s="0">
        <v>88.068</v>
      </c>
      <c r="G197" s="0">
        <v>183.823</v>
      </c>
      <c r="H197" s="0">
        <v>274.823</v>
      </c>
      <c r="I197" s="0">
        <v>373.537</v>
      </c>
      <c r="J197" s="0">
        <v>97.388</v>
      </c>
      <c r="K197" s="0">
        <v>198.14</v>
      </c>
      <c r="L197" s="0">
        <v>293.277</v>
      </c>
      <c r="M197" s="0">
        <v>944.463</v>
      </c>
      <c r="N197" s="0">
        <v>255.186</v>
      </c>
      <c r="O197" s="0">
        <v>506.556</v>
      </c>
    </row>
    <row customHeight="1" ht="15">
      <c r="A198" s="9" t="s">
        <v>186</v>
      </c>
      <c r="B198" s="0">
        <v>169.902</v>
      </c>
      <c r="C198" s="0">
        <v>156.097</v>
      </c>
      <c r="D198" s="0">
        <v>194.374</v>
      </c>
      <c r="E198" s="0">
        <v>252.857</v>
      </c>
      <c r="F198" s="0">
        <v>61.783</v>
      </c>
      <c r="G198" s="0">
        <v>149.658</v>
      </c>
      <c r="H198" s="0">
        <v>215.939</v>
      </c>
      <c r="I198" s="0">
        <v>325.84</v>
      </c>
      <c r="J198" s="0">
        <v>97.593</v>
      </c>
      <c r="K198" s="0">
        <v>156.046</v>
      </c>
      <c r="L198" s="0">
        <v>277.758</v>
      </c>
      <c r="M198" s="0">
        <v>384.664</v>
      </c>
      <c r="N198" s="0">
        <v>108.571</v>
      </c>
      <c r="O198" s="0">
        <v>213.29</v>
      </c>
    </row>
    <row customHeight="1" ht="15">
      <c r="A199" s="9" t="s">
        <v>187</v>
      </c>
      <c r="B199" s="0">
        <v>111.505</v>
      </c>
      <c r="C199" s="0">
        <v>46.754</v>
      </c>
      <c r="D199" s="0">
        <v>68.313</v>
      </c>
      <c r="E199" s="0">
        <v>80.179</v>
      </c>
      <c r="F199" s="0">
        <v>8.995</v>
      </c>
      <c r="G199" s="0">
        <v>19.282</v>
      </c>
      <c r="H199" s="0">
        <v>29.46</v>
      </c>
      <c r="I199" s="0">
        <v>38.309</v>
      </c>
      <c r="J199" s="0">
        <v>5.838</v>
      </c>
      <c r="K199" s="0">
        <v>11.357</v>
      </c>
      <c r="L199" s="0">
        <v>41.995</v>
      </c>
      <c r="M199" s="0">
        <v>51.239</v>
      </c>
      <c r="N199" s="0">
        <v>5.828</v>
      </c>
      <c r="O199" s="0">
        <v>12.704</v>
      </c>
    </row>
    <row customHeight="1" ht="15">
      <c r="A200" s="9" t="s">
        <v>188</v>
      </c>
      <c r="B200" s="0">
        <v>34.51</v>
      </c>
      <c r="C200" s="0">
        <v>16.41</v>
      </c>
      <c r="D200" s="0">
        <v>25.108</v>
      </c>
      <c r="E200" s="0">
        <v>33.103</v>
      </c>
      <c r="F200" s="0">
        <v>7.761</v>
      </c>
      <c r="G200" s="0">
        <v>15.522</v>
      </c>
      <c r="H200" s="0">
        <v>23.195</v>
      </c>
      <c r="I200" s="0">
        <v>31.197</v>
      </c>
      <c r="J200" s="0">
        <v>8.633</v>
      </c>
      <c r="K200" s="0">
        <v>17.005</v>
      </c>
      <c r="L200" s="0">
        <v>25.587</v>
      </c>
      <c r="M200" s="0">
        <v>34.298</v>
      </c>
      <c r="N200" s="0">
        <v>9.049</v>
      </c>
      <c r="O200" s="0">
        <v>18.341</v>
      </c>
    </row>
    <row customHeight="1" ht="15">
      <c r="A201" s="9" t="s">
        <v>189</v>
      </c>
      <c r="B201" s="0">
        <v>1162.133</v>
      </c>
      <c r="C201" s="0">
        <v>729.763</v>
      </c>
      <c r="D201" s="0">
        <v>1036.24</v>
      </c>
      <c r="E201" s="0">
        <v>1547.021</v>
      </c>
      <c r="F201" s="0">
        <v>393.968</v>
      </c>
      <c r="G201" s="0">
        <v>845.89</v>
      </c>
      <c r="H201" s="0">
        <v>1266.565</v>
      </c>
      <c r="I201" s="0">
        <v>1735.252</v>
      </c>
      <c r="J201" s="0">
        <v>484.156</v>
      </c>
      <c r="K201" s="0">
        <v>1011.711</v>
      </c>
      <c r="L201" s="0">
        <v>1655.051</v>
      </c>
      <c r="M201" s="0">
        <v>2840.267</v>
      </c>
      <c r="N201" s="0">
        <v>808.749</v>
      </c>
      <c r="O201" s="0">
        <v>1617.373</v>
      </c>
    </row>
    <row customHeight="1" ht="15">
      <c r="A202" s="9" t="s">
        <v>190</v>
      </c>
      <c r="B202" s="0">
        <v>114151.944</v>
      </c>
      <c r="C202" s="0">
        <v>83353.75</v>
      </c>
      <c r="D202" s="0">
        <v>117650.705</v>
      </c>
      <c r="E202" s="0">
        <v>159899.404</v>
      </c>
      <c r="F202" s="0">
        <v>40919.924</v>
      </c>
      <c r="G202" s="0">
        <v>84841.544</v>
      </c>
      <c r="H202" s="0">
        <v>130669.934</v>
      </c>
      <c r="I202" s="0">
        <v>179559.898</v>
      </c>
      <c r="J202" s="0">
        <v>51248.583</v>
      </c>
      <c r="K202" s="0">
        <v>107978.705</v>
      </c>
      <c r="L202" s="0">
        <v>170746.65</v>
      </c>
      <c r="M202" s="0">
        <v>233173.859</v>
      </c>
      <c r="N202" s="0">
        <v>69062.406</v>
      </c>
      <c r="O202" s="0">
        <v>142584.057</v>
      </c>
    </row>
    <row customHeight="1" ht="15">
      <c r="A203" s="9" t="s">
        <v>191</v>
      </c>
      <c r="B203" s="0">
        <v>143845.273</v>
      </c>
      <c r="C203" s="0">
        <v>83217.687</v>
      </c>
      <c r="D203" s="0">
        <v>111588.923</v>
      </c>
      <c r="E203" s="0">
        <v>150352.408</v>
      </c>
      <c r="F203" s="0">
        <v>33474.391</v>
      </c>
      <c r="G203" s="0">
        <v>66596.219</v>
      </c>
      <c r="H203" s="0">
        <v>97955.049</v>
      </c>
      <c r="I203" s="0">
        <v>130207.892</v>
      </c>
      <c r="J203" s="0">
        <v>30843.116</v>
      </c>
      <c r="K203" s="0">
        <v>63244.581</v>
      </c>
      <c r="L203" s="0">
        <v>96495.776</v>
      </c>
      <c r="M203" s="0">
        <v>129327.85</v>
      </c>
      <c r="N203" s="0">
        <v>34743.573</v>
      </c>
      <c r="O203" s="0">
        <v>67382.186</v>
      </c>
    </row>
    <row customHeight="1" ht="15">
      <c r="A204" s="9" t="s">
        <v>192</v>
      </c>
      <c r="B204" s="0">
        <v>3763.982</v>
      </c>
      <c r="C204" s="0">
        <v>1374.145</v>
      </c>
      <c r="D204" s="0">
        <v>1887.366</v>
      </c>
      <c r="E204" s="0">
        <v>2613.056</v>
      </c>
      <c r="F204" s="0">
        <v>556.881</v>
      </c>
      <c r="G204" s="0">
        <v>1130.297</v>
      </c>
      <c r="H204" s="0">
        <v>1669.198</v>
      </c>
      <c r="I204" s="0">
        <v>2192.05</v>
      </c>
      <c r="J204" s="0">
        <v>517.809</v>
      </c>
      <c r="K204" s="0">
        <v>1119.731</v>
      </c>
      <c r="L204" s="0">
        <v>1860.23</v>
      </c>
      <c r="M204" s="0">
        <v>2487.409</v>
      </c>
      <c r="N204" s="0">
        <v>686.804</v>
      </c>
      <c r="O204" s="0">
        <v>1408.082</v>
      </c>
    </row>
    <row customHeight="1" ht="15">
      <c r="A205" s="9" t="s">
        <v>193</v>
      </c>
      <c r="B205" s="0">
        <v>10930.857</v>
      </c>
      <c r="C205" s="0">
        <v>5660.796</v>
      </c>
      <c r="D205" s="0">
        <v>7526.078</v>
      </c>
      <c r="E205" s="0">
        <v>9520.155</v>
      </c>
      <c r="F205" s="0">
        <v>2134.722</v>
      </c>
      <c r="G205" s="0">
        <v>4646.62</v>
      </c>
      <c r="H205" s="0">
        <v>7321.167</v>
      </c>
      <c r="I205" s="0">
        <v>10309.611</v>
      </c>
      <c r="J205" s="0">
        <v>3075.552</v>
      </c>
      <c r="K205" s="0">
        <v>6337.673</v>
      </c>
      <c r="L205" s="0">
        <v>8837.244</v>
      </c>
      <c r="M205" s="0">
        <v>11492.48</v>
      </c>
      <c r="N205" s="0">
        <v>2790.588</v>
      </c>
      <c r="O205" s="0">
        <v>6042.915</v>
      </c>
    </row>
    <row customHeight="1" ht="15">
      <c r="A206" s="9" t="s">
        <v>194</v>
      </c>
      <c r="B206" s="0">
        <v>91.514</v>
      </c>
      <c r="C206" s="0">
        <v>41.956</v>
      </c>
      <c r="D206" s="0">
        <v>61.711</v>
      </c>
      <c r="E206" s="0">
        <v>79.839</v>
      </c>
      <c r="F206" s="0">
        <v>16.636</v>
      </c>
      <c r="G206" s="0">
        <v>38.322</v>
      </c>
      <c r="H206" s="0">
        <v>60.669</v>
      </c>
      <c r="I206" s="0">
        <v>78.336</v>
      </c>
      <c r="J206" s="0">
        <v>17.49</v>
      </c>
      <c r="K206" s="0">
        <v>37.608</v>
      </c>
      <c r="L206" s="0">
        <v>57.144</v>
      </c>
      <c r="M206" s="0">
        <v>75.105</v>
      </c>
      <c r="N206" s="0">
        <v>17.844</v>
      </c>
      <c r="O206" s="0">
        <v>34.909</v>
      </c>
    </row>
    <row customHeight="1" ht="15">
      <c r="A207" s="9" t="s">
        <v>195</v>
      </c>
      <c r="B207" s="0">
        <v>272783.57</v>
      </c>
      <c r="C207" s="0">
        <v>173648.334</v>
      </c>
      <c r="D207" s="0">
        <v>238714.783</v>
      </c>
      <c r="E207" s="0">
        <v>322464.862</v>
      </c>
      <c r="F207" s="0">
        <v>77102.554</v>
      </c>
      <c r="G207" s="0">
        <v>157253.002</v>
      </c>
      <c r="H207" s="0">
        <v>237676.017</v>
      </c>
      <c r="I207" s="0">
        <v>322347.787</v>
      </c>
      <c r="J207" s="0">
        <v>85702.55</v>
      </c>
      <c r="K207" s="0">
        <v>178718.298</v>
      </c>
      <c r="L207" s="0">
        <v>277997.044</v>
      </c>
      <c r="M207" s="0">
        <v>376556.703</v>
      </c>
      <c r="N207" s="0">
        <v>107301.215</v>
      </c>
      <c r="O207" s="0">
        <v>217452.149</v>
      </c>
    </row>
    <row customHeight="1" ht="15">
      <c r="A208" s="9" t="s">
        <v>196</v>
      </c>
      <c r="B208" s="0">
        <v>23009.799</v>
      </c>
      <c r="C208" s="0">
        <v>12907.958</v>
      </c>
      <c r="D208" s="0">
        <v>16825.111</v>
      </c>
      <c r="E208" s="0">
        <v>21416.649</v>
      </c>
      <c r="F208" s="0">
        <v>4200.641</v>
      </c>
      <c r="G208" s="0">
        <v>8518.37</v>
      </c>
      <c r="H208" s="0">
        <v>12523.434</v>
      </c>
      <c r="I208" s="0">
        <v>17016.435</v>
      </c>
      <c r="J208" s="0">
        <v>3359.692</v>
      </c>
      <c r="K208" s="0">
        <v>6269.697</v>
      </c>
      <c r="L208" s="0">
        <v>9011.364</v>
      </c>
      <c r="M208" s="0">
        <v>12033.526</v>
      </c>
      <c r="N208" s="0">
        <v>2175.327</v>
      </c>
      <c r="O208" s="0">
        <v>4329.276</v>
      </c>
    </row>
    <row customHeight="1" ht="15">
      <c r="A209" s="9" t="s">
        <v>197</v>
      </c>
      <c r="B209" s="0">
        <v>3984.193</v>
      </c>
      <c r="C209" s="0">
        <v>2414.302</v>
      </c>
      <c r="D209" s="0">
        <v>3314.756</v>
      </c>
      <c r="E209" s="0">
        <v>4275.814</v>
      </c>
      <c r="F209" s="0">
        <v>1086.79</v>
      </c>
      <c r="G209" s="0">
        <v>2354.376</v>
      </c>
      <c r="H209" s="0">
        <v>3534.335</v>
      </c>
      <c r="I209" s="0">
        <v>4856.813</v>
      </c>
      <c r="J209" s="0">
        <v>1255.802</v>
      </c>
      <c r="K209" s="0">
        <v>2697.7</v>
      </c>
      <c r="L209" s="0">
        <v>4188.385</v>
      </c>
      <c r="M209" s="0">
        <v>5652.77</v>
      </c>
      <c r="N209" s="0">
        <v>1573.395</v>
      </c>
      <c r="O209" s="0">
        <v>2997.253</v>
      </c>
    </row>
    <row customHeight="1" ht="15">
      <c r="A210" s="9" t="s">
        <v>198</v>
      </c>
      <c r="B210" s="0">
        <v>2351.565</v>
      </c>
      <c r="C210" s="0">
        <v>1516.835</v>
      </c>
      <c r="D210" s="0">
        <v>1854.184</v>
      </c>
      <c r="E210" s="0">
        <v>2922.069</v>
      </c>
      <c r="F210" s="0">
        <v>1419.616</v>
      </c>
      <c r="G210" s="0">
        <v>2082.115</v>
      </c>
      <c r="H210" s="0">
        <v>2729.541</v>
      </c>
      <c r="I210" s="0">
        <v>3559.522</v>
      </c>
      <c r="J210" s="0">
        <v>1352.335</v>
      </c>
      <c r="K210" s="0">
        <v>2227.446</v>
      </c>
      <c r="L210" s="0">
        <v>3355.176</v>
      </c>
      <c r="M210" s="0">
        <v>4366.628</v>
      </c>
      <c r="N210" s="0">
        <v>1325.376</v>
      </c>
      <c r="O210" s="0">
        <v>2345.228</v>
      </c>
    </row>
    <row customHeight="1" ht="15">
      <c r="A211" s="9" t="s">
        <v>199</v>
      </c>
      <c r="B211" s="0">
        <v>2965.761</v>
      </c>
      <c r="C211" s="0">
        <v>792.566</v>
      </c>
      <c r="D211" s="0">
        <v>1028.942</v>
      </c>
      <c r="E211" s="0">
        <v>1768.483</v>
      </c>
      <c r="F211" s="0">
        <v>1075.025</v>
      </c>
      <c r="G211" s="0">
        <v>2379.259</v>
      </c>
      <c r="H211" s="0">
        <v>3039.238</v>
      </c>
      <c r="I211" s="0">
        <v>3583.159</v>
      </c>
      <c r="J211" s="0">
        <v>469.247</v>
      </c>
      <c r="K211" s="0">
        <v>929.13</v>
      </c>
      <c r="L211" s="0">
        <v>1185.156</v>
      </c>
      <c r="M211" s="0">
        <v>1536.299</v>
      </c>
      <c r="N211" s="0">
        <v>606.6</v>
      </c>
      <c r="O211" s="0">
        <v>888.06</v>
      </c>
    </row>
    <row customHeight="1" ht="15">
      <c r="A212" s="9" t="s">
        <v>200</v>
      </c>
      <c r="B212" s="0">
        <v>372.629</v>
      </c>
      <c r="C212" s="0">
        <v>156.94</v>
      </c>
      <c r="D212" s="0">
        <v>194.104</v>
      </c>
      <c r="E212" s="0">
        <v>242.617</v>
      </c>
      <c r="F212" s="0">
        <v>50.883</v>
      </c>
      <c r="G212" s="0">
        <v>104.09</v>
      </c>
      <c r="H212" s="0">
        <v>153.916</v>
      </c>
      <c r="I212" s="0">
        <v>176.406</v>
      </c>
      <c r="J212" s="0">
        <v>25.698</v>
      </c>
      <c r="K212" s="0">
        <v>50.397</v>
      </c>
      <c r="L212" s="0">
        <v>74.432</v>
      </c>
      <c r="M212" s="0">
        <v>104.313</v>
      </c>
      <c r="N212" s="0">
        <v>27.318</v>
      </c>
      <c r="O212" s="0">
        <v>54.083</v>
      </c>
    </row>
    <row customHeight="1" ht="15">
      <c r="A213" s="9" t="s">
        <v>201</v>
      </c>
      <c r="B213" s="0">
        <v>1479.111</v>
      </c>
      <c r="C213" s="0">
        <v>750.817</v>
      </c>
      <c r="D213" s="0">
        <v>1122.896</v>
      </c>
      <c r="E213" s="0">
        <v>1559.566</v>
      </c>
      <c r="F213" s="0">
        <v>475.071</v>
      </c>
      <c r="G213" s="0">
        <v>1063.312</v>
      </c>
      <c r="H213" s="0">
        <v>1734.126</v>
      </c>
      <c r="I213" s="0">
        <v>2718.308</v>
      </c>
      <c r="J213" s="0">
        <v>848.833</v>
      </c>
      <c r="K213" s="0">
        <v>1903.709</v>
      </c>
      <c r="L213" s="0">
        <v>3097.562</v>
      </c>
      <c r="M213" s="0">
        <v>5558.266</v>
      </c>
      <c r="N213" s="0">
        <v>523.55</v>
      </c>
      <c r="O213" s="0">
        <v>1147.665</v>
      </c>
    </row>
    <row customHeight="1" ht="15">
      <c r="A214" s="9" t="s">
        <v>202</v>
      </c>
      <c r="B214" s="0">
        <v>34163.058</v>
      </c>
      <c r="C214" s="0">
        <v>18539.418</v>
      </c>
      <c r="D214" s="0">
        <v>24339.993</v>
      </c>
      <c r="E214" s="0">
        <v>32185.198</v>
      </c>
      <c r="F214" s="0">
        <v>8308.026</v>
      </c>
      <c r="G214" s="0">
        <v>16501.522</v>
      </c>
      <c r="H214" s="0">
        <v>23714.59</v>
      </c>
      <c r="I214" s="0">
        <v>31910.643</v>
      </c>
      <c r="J214" s="0">
        <v>7311.607</v>
      </c>
      <c r="K214" s="0">
        <v>14078.079</v>
      </c>
      <c r="L214" s="0">
        <v>20912.075</v>
      </c>
      <c r="M214" s="0">
        <v>29251.802</v>
      </c>
      <c r="N214" s="0">
        <v>6231.566</v>
      </c>
      <c r="O214" s="0">
        <v>11761.565</v>
      </c>
    </row>
    <row customHeight="1" ht="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customHeight="1" ht="15">
      <c r="A216" s="2" t="s">
        <v>203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customHeight="1" ht="15">
      <c r="A217" s="9" t="s">
        <v>204</v>
      </c>
      <c r="B217" s="19">
        <f t="shared" si="47" ref="B217:O217">IF(B3&lt;0.05,"NM",B167/B3)</f>
        <v>0.229165972985754</v>
      </c>
      <c r="C217" s="19">
        <f t="shared" si="47"/>
        <v>0.280920024291211</v>
      </c>
      <c r="D217" s="19">
        <f t="shared" si="47"/>
        <v>0.289264732125534</v>
      </c>
      <c r="E217" s="19">
        <f t="shared" si="47"/>
        <v>0.320990738270536</v>
      </c>
      <c r="F217" s="19">
        <f t="shared" si="47"/>
        <v>0.306084463028696</v>
      </c>
      <c r="G217" s="19">
        <f t="shared" si="47"/>
        <v>0.275556918209827</v>
      </c>
      <c r="H217" s="19">
        <f t="shared" si="47"/>
        <v>0.24544353199691</v>
      </c>
      <c r="I217" s="19">
        <f t="shared" si="47"/>
        <v>0.223345854210974</v>
      </c>
      <c r="J217" s="19">
        <f t="shared" si="47"/>
        <v>0.310528351458063</v>
      </c>
      <c r="K217" s="19">
        <f t="shared" si="47"/>
        <v>0.301567966554626</v>
      </c>
      <c r="L217" s="19">
        <f t="shared" si="47"/>
        <v>0.346071286540907</v>
      </c>
      <c r="M217" s="19">
        <f t="shared" si="47"/>
        <v>0.339239830139512</v>
      </c>
      <c r="N217" s="19">
        <f t="shared" si="47"/>
        <v>0.333622280548459</v>
      </c>
      <c r="O217" s="19">
        <f t="shared" si="47"/>
        <v>0.340378408390028</v>
      </c>
    </row>
    <row customHeight="1" ht="15">
      <c r="A218" s="9" t="s">
        <v>205</v>
      </c>
      <c r="B218" s="19">
        <f t="shared" si="48" ref="B218:O218">IF(B3&lt;0.05,"NM",B176/B3)</f>
        <v>0.229165972985754</v>
      </c>
      <c r="C218" s="19">
        <f t="shared" si="48"/>
        <v>0.280920024291211</v>
      </c>
      <c r="D218" s="19">
        <f t="shared" si="48"/>
        <v>0.289264732125534</v>
      </c>
      <c r="E218" s="19">
        <f t="shared" si="48"/>
        <v>0.320990738270536</v>
      </c>
      <c r="F218" s="19">
        <f t="shared" si="48"/>
        <v>0.306084463028696</v>
      </c>
      <c r="G218" s="19">
        <f t="shared" si="48"/>
        <v>0.275085653576973</v>
      </c>
      <c r="H218" s="19">
        <f t="shared" si="48"/>
        <v>0.245276188384454</v>
      </c>
      <c r="I218" s="19">
        <f t="shared" si="48"/>
        <v>0.223345854210974</v>
      </c>
      <c r="J218" s="19">
        <f t="shared" si="48"/>
        <v>0.310283897849579</v>
      </c>
      <c r="K218" s="19">
        <f t="shared" si="48"/>
        <v>0.301441201979145</v>
      </c>
      <c r="L218" s="19">
        <f t="shared" si="48"/>
        <v>0.347065237350147</v>
      </c>
      <c r="M218" s="19">
        <f t="shared" si="48"/>
        <v>0.339239830139512</v>
      </c>
      <c r="N218" s="19">
        <f t="shared" si="48"/>
        <v>0.335105302509071</v>
      </c>
      <c r="O218" s="19">
        <f t="shared" si="48"/>
        <v>0.341531571958503</v>
      </c>
    </row>
    <row customHeight="1" ht="15">
      <c r="A219" s="9" t="s">
        <v>206</v>
      </c>
      <c r="B219" s="19">
        <f t="shared" si="49" ref="B219:O219">IF(B3&lt;0.05,"NM",B13/B3)</f>
        <v>0.0516295899810522</v>
      </c>
      <c r="C219" s="19">
        <f t="shared" si="49"/>
        <v>0.115980194955341</v>
      </c>
      <c r="D219" s="19">
        <f t="shared" si="49"/>
        <v>0.113644823873903</v>
      </c>
      <c r="E219" s="19">
        <f t="shared" si="49"/>
        <v>0.143264795592191</v>
      </c>
      <c r="F219" s="19">
        <f t="shared" si="49"/>
        <v>0.104994539450286</v>
      </c>
      <c r="G219" s="19">
        <f t="shared" si="49"/>
        <v>0.0702176685560436</v>
      </c>
      <c r="H219" s="19">
        <f t="shared" si="49"/>
        <v>0.0506160326739526</v>
      </c>
      <c r="I219" s="19">
        <f t="shared" si="49"/>
        <v>0.0288918385916748</v>
      </c>
      <c r="J219" s="19">
        <f t="shared" si="49"/>
        <v>0.126268096409397</v>
      </c>
      <c r="K219" s="19">
        <f t="shared" si="49"/>
        <v>0.124655463295216</v>
      </c>
      <c r="L219" s="19">
        <f t="shared" si="49"/>
        <v>0.172035133129807</v>
      </c>
      <c r="M219" s="19">
        <f t="shared" si="49"/>
        <v>0.167632974068989</v>
      </c>
      <c r="N219" s="19">
        <f t="shared" si="49"/>
        <v>0.16184307661442</v>
      </c>
      <c r="O219" s="19">
        <f t="shared" si="49"/>
        <v>0.171176337266912</v>
      </c>
    </row>
    <row customHeight="1" ht="15">
      <c r="A220" s="9" t="s">
        <v>207</v>
      </c>
      <c r="B220" s="19">
        <f t="shared" si="50" ref="B220:O220">IF(B3&lt;0.05,"NM",B20/B3)</f>
        <v>-0.198934849502705</v>
      </c>
      <c r="C220" s="19">
        <f t="shared" si="50"/>
        <v>-0.333182588423866</v>
      </c>
      <c r="D220" s="19">
        <f t="shared" si="50"/>
        <v>-0.267751467168425</v>
      </c>
      <c r="E220" s="19">
        <f t="shared" si="50"/>
        <v>-0.292066874068516</v>
      </c>
      <c r="F220" s="19">
        <f t="shared" si="50"/>
        <v>-0.167410857988553</v>
      </c>
      <c r="G220" s="19">
        <f t="shared" si="50"/>
        <v>-0.20855850891625</v>
      </c>
      <c r="H220" s="19">
        <f t="shared" si="50"/>
        <v>-0.236096640833398</v>
      </c>
      <c r="I220" s="19">
        <f t="shared" si="50"/>
        <v>-0.272578845935811</v>
      </c>
      <c r="J220" s="19">
        <f t="shared" si="50"/>
        <v>-0.109885661787288</v>
      </c>
      <c r="K220" s="19">
        <f t="shared" si="50"/>
        <v>-0.113682004850076</v>
      </c>
      <c r="L220" s="19">
        <f t="shared" si="50"/>
        <v>0.0150218836796149</v>
      </c>
      <c r="M220" s="19">
        <f t="shared" si="50"/>
        <v>0.0890436665743853</v>
      </c>
      <c r="N220" s="19">
        <f t="shared" si="50"/>
        <v>-0.0998853434968029</v>
      </c>
      <c r="O220" s="19">
        <f t="shared" si="50"/>
        <v>-0.0609036035081358</v>
      </c>
    </row>
    <row customHeight="1" ht="15">
      <c r="A221" s="9" t="s">
        <v>208</v>
      </c>
      <c r="B221" s="19">
        <f t="shared" si="51" ref="B221:O221">IF(B3&lt;0.05,"NM",B24/B3)</f>
        <v>-0.200536813037913</v>
      </c>
      <c r="C221" s="19">
        <f t="shared" si="51"/>
        <v>-0.380416614841841</v>
      </c>
      <c r="D221" s="19">
        <f t="shared" si="51"/>
        <v>-0.288945031738603</v>
      </c>
      <c r="E221" s="19">
        <f t="shared" si="51"/>
        <v>-0.324219282414614</v>
      </c>
      <c r="F221" s="19">
        <f t="shared" si="51"/>
        <v>-0.18133904743604</v>
      </c>
      <c r="G221" s="19">
        <f t="shared" si="51"/>
        <v>-0.221875092461121</v>
      </c>
      <c r="H221" s="19">
        <f t="shared" si="51"/>
        <v>-0.252124465118356</v>
      </c>
      <c r="I221" s="19">
        <f t="shared" si="51"/>
        <v>-0.291384443727291</v>
      </c>
      <c r="J221" s="19">
        <f t="shared" si="51"/>
        <v>-0.116420079151589</v>
      </c>
      <c r="K221" s="19">
        <f t="shared" si="51"/>
        <v>-0.120426594374121</v>
      </c>
      <c r="L221" s="19">
        <f t="shared" si="51"/>
        <v>0.000624096345216398</v>
      </c>
      <c r="M221" s="19">
        <f t="shared" si="51"/>
        <v>0.074446730504307</v>
      </c>
      <c r="N221" s="19">
        <f t="shared" si="51"/>
        <v>-0.120319449984621</v>
      </c>
      <c r="O221" s="19">
        <f t="shared" si="51"/>
        <v>-0.0837628468993867</v>
      </c>
    </row>
    <row customHeight="1" ht="15">
      <c r="A222" s="9" t="s">
        <v>209</v>
      </c>
      <c r="B222" s="11">
        <f t="shared" si="52" ref="B222:O222">B37+B38</f>
        <v>54.700515</v>
      </c>
      <c r="C222" s="11">
        <f t="shared" si="52"/>
        <v>31.819782</v>
      </c>
      <c r="D222" s="11">
        <f t="shared" si="52"/>
        <v>46.37964</v>
      </c>
      <c r="E222" s="11">
        <f t="shared" si="52"/>
        <v>63.305462</v>
      </c>
      <c r="F222" s="11">
        <f t="shared" si="52"/>
        <v>17.25443</v>
      </c>
      <c r="G222" s="11">
        <f t="shared" si="52"/>
        <v>35.770035</v>
      </c>
      <c r="H222" s="11">
        <f t="shared" si="52"/>
        <v>51.128886</v>
      </c>
      <c r="I222" s="11">
        <f t="shared" si="52"/>
        <v>69.224401</v>
      </c>
      <c r="J222" s="11">
        <f t="shared" si="52"/>
        <v>17.205167</v>
      </c>
      <c r="K222" s="11">
        <f t="shared" si="52"/>
        <v>34.262506</v>
      </c>
      <c r="L222" s="11">
        <f t="shared" si="52"/>
        <v>52.607778</v>
      </c>
      <c r="M222" s="11">
        <f t="shared" si="52"/>
        <v>70.126931</v>
      </c>
      <c r="N222" s="11">
        <f t="shared" si="52"/>
        <v>19.811068</v>
      </c>
      <c r="O222" s="11">
        <f t="shared" si="52"/>
        <v>39.323284</v>
      </c>
    </row>
    <row customHeight="1" ht="15">
      <c r="A223" s="9" t="s">
        <v>210</v>
      </c>
      <c r="B223" s="11">
        <f t="shared" si="53" ref="B223:O223">B39+SUM(B42:B43)+B50</f>
        <v>0</v>
      </c>
      <c r="C223" s="11">
        <f t="shared" si="53"/>
        <v>0</v>
      </c>
      <c r="D223" s="11">
        <f t="shared" si="53"/>
        <v>0</v>
      </c>
      <c r="E223" s="11">
        <f t="shared" si="53"/>
        <v>0</v>
      </c>
      <c r="F223" s="11">
        <f t="shared" si="53"/>
        <v>0</v>
      </c>
      <c r="G223" s="11">
        <f t="shared" si="53"/>
        <v>0.082283</v>
      </c>
      <c r="H223" s="11">
        <f t="shared" si="53"/>
        <v>0.043954</v>
      </c>
      <c r="I223" s="11">
        <f t="shared" si="53"/>
        <v>0</v>
      </c>
      <c r="J223" s="11">
        <f t="shared" si="53"/>
        <v>0.022856</v>
      </c>
      <c r="K223" s="11">
        <f t="shared" si="53"/>
        <v>0.024568</v>
      </c>
      <c r="L223" s="11">
        <f t="shared" si="53"/>
        <v>-0.298746</v>
      </c>
      <c r="M223" s="11">
        <f t="shared" si="53"/>
        <v>0</v>
      </c>
      <c r="N223" s="11">
        <f t="shared" si="53"/>
        <v>-0.169571</v>
      </c>
      <c r="O223" s="11">
        <f t="shared" si="53"/>
        <v>-0.266186</v>
      </c>
    </row>
    <row customHeight="1" ht="15">
      <c r="A224" s="9" t="s">
        <v>211</v>
      </c>
      <c r="E224" s="19">
        <f t="shared" si="54" ref="E224:L224">E37/(((B103+B104)+(E103+E104))/2)</f>
        <v>0.136821571481476</v>
      </c>
      <c r="G224" s="19">
        <f t="shared" si="55" ref="G224:O224">G37/(((E103+E104)+(G103+G104))/2)</f>
        <v>0.0811227787215408</v>
      </c>
      <c r="H224" s="19">
        <f t="shared" si="54"/>
        <v>0.116850757689624</v>
      </c>
      <c r="I224" s="19">
        <f t="shared" si="56" ref="I224:M224">I37/(((E103+E104)+(I103+I104))/2)</f>
        <v>0.160840271272475</v>
      </c>
      <c r="J224" s="19">
        <f t="shared" si="57" ref="J224:N224">J37/(((I103+I104)+(J103+J104))/2)</f>
        <v>0.0439720912367459</v>
      </c>
      <c r="K224" s="19">
        <f t="shared" si="55"/>
        <v>0.086383214654667</v>
      </c>
      <c r="L224" s="19">
        <f t="shared" si="54"/>
        <v>0.130764027600645</v>
      </c>
      <c r="M224" s="19">
        <f t="shared" si="56"/>
        <v>0.170395248938904</v>
      </c>
      <c r="N224" s="19">
        <f t="shared" si="57"/>
        <v>0.048661144872335</v>
      </c>
      <c r="O224" s="19">
        <f t="shared" si="55"/>
        <v>0.0956923234947333</v>
      </c>
    </row>
    <row customHeight="1" ht="15">
      <c r="A225" s="9" t="s">
        <v>212</v>
      </c>
      <c r="E225" s="19">
        <f t="shared" si="58" ref="E225:L225">E38/((B102+E102)/2)</f>
        <v>0.211524956250517</v>
      </c>
      <c r="G225" s="19">
        <f t="shared" si="59" ref="G225:O225">G38/((E102+G102)/2)</f>
        <v>0.138301079811541</v>
      </c>
      <c r="H225" s="19">
        <f t="shared" si="58"/>
        <v>0.209715488265049</v>
      </c>
      <c r="I225" s="19">
        <f t="shared" si="60" ref="I225:M225">I38/((E102+I102)/2)</f>
        <v>0.262244093195977</v>
      </c>
      <c r="J225" s="19">
        <f t="shared" si="61" ref="J225:N225">J38/((I102+J102)/2)</f>
        <v>0.0633315319974144</v>
      </c>
      <c r="K225" s="19">
        <f t="shared" si="59"/>
        <v>0.13542234832396</v>
      </c>
      <c r="L225" s="19">
        <f t="shared" si="58"/>
        <v>0.200384982011314</v>
      </c>
      <c r="M225" s="19">
        <f t="shared" si="60"/>
        <v>0.249809862998592</v>
      </c>
      <c r="N225" s="19">
        <f t="shared" si="61"/>
        <v>0.0631112579001551</v>
      </c>
      <c r="O225" s="19">
        <f t="shared" si="59"/>
        <v>0.12429220558785</v>
      </c>
    </row>
    <row customHeight="1" ht="15">
      <c r="A226" s="9" t="s">
        <v>213</v>
      </c>
      <c r="B226" s="11">
        <f t="shared" si="62" ref="B226:O226">SUM(B79:B80)</f>
        <v>-99.419831</v>
      </c>
      <c r="C226" s="11">
        <f t="shared" si="62"/>
        <v>-24.691517</v>
      </c>
      <c r="D226" s="11">
        <f t="shared" si="62"/>
        <v>-57.106237</v>
      </c>
      <c r="E226" s="11">
        <f t="shared" si="62"/>
        <v>-98.738157</v>
      </c>
      <c r="F226" s="11">
        <f t="shared" si="62"/>
        <v>-12.284226</v>
      </c>
      <c r="G226" s="11">
        <f t="shared" si="62"/>
        <v>-18.963582</v>
      </c>
      <c r="H226" s="11">
        <f t="shared" si="62"/>
        <v>-32.027959</v>
      </c>
      <c r="I226" s="11">
        <f t="shared" si="62"/>
        <v>-49.725539</v>
      </c>
      <c r="J226" s="11">
        <f t="shared" si="62"/>
        <v>-4.444176</v>
      </c>
      <c r="K226" s="11">
        <f t="shared" si="62"/>
        <v>-20.962896</v>
      </c>
      <c r="L226" s="11">
        <f t="shared" si="62"/>
        <v>-34.581572</v>
      </c>
      <c r="M226" s="11">
        <f t="shared" si="62"/>
        <v>-55.827939</v>
      </c>
      <c r="N226" s="11">
        <f t="shared" si="62"/>
        <v>-15.323498</v>
      </c>
      <c r="O226" s="11">
        <f t="shared" si="62"/>
        <v>-33.164847</v>
      </c>
    </row>
    <row customHeight="1" ht="15">
      <c r="A227" s="9" t="s">
        <v>214</v>
      </c>
      <c r="B227" s="11">
        <f t="shared" si="63" ref="B227:O227">SUM(B79:B80)+B84</f>
        <v>-89.073432</v>
      </c>
      <c r="C227" s="11">
        <f t="shared" si="63"/>
        <v>-24.652385</v>
      </c>
      <c r="D227" s="11">
        <f t="shared" si="63"/>
        <v>-57.081499</v>
      </c>
      <c r="E227" s="11">
        <f t="shared" si="63"/>
        <v>-98.700425</v>
      </c>
      <c r="F227" s="11">
        <f t="shared" si="63"/>
        <v>-12.210064</v>
      </c>
      <c r="G227" s="11">
        <f t="shared" si="63"/>
        <v>-18.91541</v>
      </c>
      <c r="H227" s="11">
        <f t="shared" si="63"/>
        <v>-31.953534</v>
      </c>
      <c r="I227" s="11">
        <f t="shared" si="63"/>
        <v>-49.664209</v>
      </c>
      <c r="J227" s="11">
        <f t="shared" si="63"/>
        <v>-4.427551</v>
      </c>
      <c r="K227" s="11">
        <f t="shared" si="63"/>
        <v>-20.809192</v>
      </c>
      <c r="L227" s="11">
        <f t="shared" si="63"/>
        <v>-34.38494</v>
      </c>
      <c r="M227" s="11">
        <f t="shared" si="63"/>
        <v>-55.574807</v>
      </c>
      <c r="N227" s="11">
        <f t="shared" si="63"/>
        <v>-15.323498</v>
      </c>
      <c r="O227" s="11">
        <f t="shared" si="63"/>
        <v>-33.164847</v>
      </c>
    </row>
    <row customHeight="1" ht="15">
      <c r="A228" s="9" t="s">
        <v>215</v>
      </c>
      <c r="B228" s="19">
        <f t="shared" si="64" ref="B228:O228">IF(B3=0,"NM",-B226/B3)</f>
        <v>0.322677715094249</v>
      </c>
      <c r="C228" s="19">
        <f t="shared" si="64"/>
        <v>0.127990022056836</v>
      </c>
      <c r="D228" s="19">
        <f t="shared" si="64"/>
        <v>0.21623695445967</v>
      </c>
      <c r="E228" s="19">
        <f t="shared" si="64"/>
        <v>0.277200915635802</v>
      </c>
      <c r="F228" s="19">
        <f t="shared" si="64"/>
        <v>0.143165208445594</v>
      </c>
      <c r="G228" s="19">
        <f t="shared" si="64"/>
        <v>0.10861132322401</v>
      </c>
      <c r="H228" s="19">
        <f t="shared" si="64"/>
        <v>0.121938261788641</v>
      </c>
      <c r="I228" s="19">
        <f t="shared" si="64"/>
        <v>0.139680959281744</v>
      </c>
      <c r="J228" s="19">
        <f t="shared" si="64"/>
        <v>0.0475321517298392</v>
      </c>
      <c r="K228" s="19">
        <f t="shared" si="64"/>
        <v>0.10816316396455</v>
      </c>
      <c r="L228" s="19">
        <f t="shared" si="64"/>
        <v>0.115055537058858</v>
      </c>
      <c r="M228" s="19">
        <f t="shared" si="64"/>
        <v>0.136615947055874</v>
      </c>
      <c r="N228" s="19">
        <f t="shared" si="64"/>
        <v>0.134015156172915</v>
      </c>
      <c r="O228" s="19">
        <f t="shared" si="64"/>
        <v>0.143675825604894</v>
      </c>
    </row>
    <row customHeight="1" ht="15">
      <c r="A229" s="9" t="s">
        <v>216</v>
      </c>
      <c r="C229" s="19">
        <f t="shared" si="65" ref="C229:N229">IF(B103=0,"NM",-(C79+C84)/B103)</f>
        <v>0.0936364831543061</v>
      </c>
      <c r="D229" s="19">
        <f t="shared" si="66" ref="D229:O229">IF(B103=0,"NM",-(D79+D84)/B103)</f>
        <v>0.24148027692955</v>
      </c>
      <c r="E229" s="19">
        <f t="shared" si="67" ref="E229:L229">IF(B103=0,"NM",-(E79+E84)/B103)</f>
        <v>0.372754757113259</v>
      </c>
      <c r="F229" s="19">
        <f t="shared" si="65"/>
        <v>0.0363984800978772</v>
      </c>
      <c r="G229" s="19">
        <f t="shared" si="66"/>
        <v>0.0767040399284152</v>
      </c>
      <c r="H229" s="19">
        <f t="shared" si="67"/>
        <v>0.122780901591488</v>
      </c>
      <c r="I229" s="19">
        <f t="shared" si="68" ref="I229:M229">IF(E103=0,"NM",-(I79+I84)/E103)</f>
        <v>0.146456461288696</v>
      </c>
      <c r="J229" s="19">
        <f t="shared" si="65"/>
        <v>0.0186136297895088</v>
      </c>
      <c r="K229" s="19">
        <f t="shared" si="66"/>
        <v>0.110551359151313</v>
      </c>
      <c r="L229" s="19">
        <f t="shared" si="67"/>
        <v>0.15890054385943</v>
      </c>
      <c r="M229" s="19">
        <f t="shared" si="68"/>
        <v>0.251226280526641</v>
      </c>
      <c r="N229" s="19">
        <f t="shared" si="65"/>
        <v>0.0583413733595348</v>
      </c>
      <c r="O229" s="19">
        <f t="shared" si="66"/>
        <v>0.162470289330425</v>
      </c>
    </row>
    <row customHeight="1" ht="15">
      <c r="A230" s="9" t="s">
        <v>217</v>
      </c>
      <c r="B230" s="19">
        <f t="shared" si="69" ref="B230:O230">IF(B222=0,"NM",-B226/B222)</f>
        <v>1.81753007261449</v>
      </c>
      <c r="C230" s="19">
        <f t="shared" si="69"/>
        <v>0.775980080567491</v>
      </c>
      <c r="D230" s="19">
        <f t="shared" si="69"/>
        <v>1.23127814273677</v>
      </c>
      <c r="E230" s="19">
        <f t="shared" si="69"/>
        <v>1.55970991886924</v>
      </c>
      <c r="F230" s="19">
        <f t="shared" si="69"/>
        <v>0.711946207437742</v>
      </c>
      <c r="G230" s="19">
        <f t="shared" si="69"/>
        <v>0.530152738178758</v>
      </c>
      <c r="H230" s="19">
        <f t="shared" si="69"/>
        <v>0.626416131968923</v>
      </c>
      <c r="I230" s="19">
        <f t="shared" si="69"/>
        <v>0.718323860974976</v>
      </c>
      <c r="J230" s="19">
        <f t="shared" si="69"/>
        <v>0.258304729038666</v>
      </c>
      <c r="K230" s="19">
        <f t="shared" si="69"/>
        <v>0.611831954148363</v>
      </c>
      <c r="L230" s="19">
        <f t="shared" si="69"/>
        <v>0.657347132205432</v>
      </c>
      <c r="M230" s="19">
        <f t="shared" si="69"/>
        <v>0.796098420448486</v>
      </c>
      <c r="N230" s="19">
        <f t="shared" si="69"/>
        <v>0.77348167196236</v>
      </c>
      <c r="O230" s="19">
        <f t="shared" si="69"/>
        <v>0.843389555155159</v>
      </c>
    </row>
    <row customHeight="1" ht="15">
      <c r="A231" s="9" t="s">
        <v>218</v>
      </c>
      <c r="C231" s="19">
        <f t="shared" si="70" ref="C231:N231">-C80/B102</f>
        <v>0.0822614078580409</v>
      </c>
      <c r="D231" s="19">
        <f t="shared" si="71" ref="D231:O231">-D80/B102</f>
        <v>0.122778474312336</v>
      </c>
      <c r="E231" s="19">
        <f t="shared" si="72" ref="E231:L231">-E80/B102</f>
        <v>0.335211300396149</v>
      </c>
      <c r="F231" s="19">
        <f t="shared" si="70"/>
        <v>0.0640144474225948</v>
      </c>
      <c r="G231" s="19">
        <f t="shared" si="71"/>
        <v>0.0474099090685513</v>
      </c>
      <c r="H231" s="19">
        <f t="shared" si="72"/>
        <v>0.0973976739104297</v>
      </c>
      <c r="I231" s="19">
        <f t="shared" si="73" ref="I231:M231">-I80/E102</f>
        <v>0.264437647048795</v>
      </c>
      <c r="J231" s="19">
        <f t="shared" si="70"/>
        <v>0.0116532356869942</v>
      </c>
      <c r="K231" s="19">
        <f t="shared" si="71"/>
        <v>0</v>
      </c>
      <c r="L231" s="19">
        <f t="shared" si="72"/>
        <v>0.0564434135837832</v>
      </c>
      <c r="M231" s="19">
        <f t="shared" si="73"/>
        <v>0.104516288658941</v>
      </c>
      <c r="N231" s="19">
        <f t="shared" si="70"/>
        <v>0.0449709625892063</v>
      </c>
      <c r="O231" s="19">
        <f t="shared" si="71"/>
        <v>0</v>
      </c>
    </row>
    <row customHeight="1" ht="15">
      <c r="A232" s="9" t="s">
        <v>219</v>
      </c>
      <c r="B232" s="11">
        <f t="shared" si="74" ref="B232:G232">B78-(B59+B61+B62+B66+B68+B69)+B91</f>
        <v>62.446946</v>
      </c>
      <c r="C232" s="11">
        <f t="shared" si="74"/>
        <v>20.194142</v>
      </c>
      <c r="D232" s="11">
        <f t="shared" si="74"/>
        <v>26.596474</v>
      </c>
      <c r="E232" s="11">
        <f t="shared" si="74"/>
        <v>97.694284</v>
      </c>
      <c r="F232" s="11">
        <f t="shared" si="74"/>
        <v>22.758374</v>
      </c>
      <c r="G232" s="11">
        <f t="shared" si="74"/>
        <v>26.22515</v>
      </c>
      <c r="H232" s="11">
        <f t="shared" si="75" ref="H232:L232">H78-(H59+H61+H62+SUM(H66:H68))+H91</f>
        <v>31.699713</v>
      </c>
      <c r="I232" s="11">
        <f>I78-(I59+I61+I63+I69+I72)+I91</f>
        <v>48.025952</v>
      </c>
      <c r="J232" s="11">
        <f t="shared" si="76" ref="J232:N232">J78-(J59+J61+J63+J66+J69+J72)+J91</f>
        <v>8.374881</v>
      </c>
      <c r="K232" s="11">
        <f t="shared" si="77" ref="K232:O232">K78-(K60+K61+K63+K66+K69+K72)+K91</f>
        <v>33.596539</v>
      </c>
      <c r="L232" s="11">
        <f t="shared" si="75"/>
        <v>76.128793</v>
      </c>
      <c r="M232" s="11">
        <f>M78-(M59+M61+M63+M64+M69+M72)+M91</f>
        <v>88.296253</v>
      </c>
      <c r="N232" s="11">
        <f t="shared" si="76"/>
        <v>14.68597</v>
      </c>
      <c r="O232" s="11">
        <f t="shared" si="77"/>
        <v>46.469013</v>
      </c>
    </row>
    <row customHeight="1" ht="15">
      <c r="A233" s="4" t="s">
        <v>220</v>
      </c>
      <c r="B233" s="7">
        <f t="shared" si="78" ref="B233:O233">B78+B226+B91+B90</f>
        <v>-12.251704</v>
      </c>
      <c r="C233" s="7">
        <f t="shared" si="78"/>
        <v>-4.235924</v>
      </c>
      <c r="D233" s="7">
        <f t="shared" si="78"/>
        <v>14.631678</v>
      </c>
      <c r="E233" s="7">
        <f t="shared" si="78"/>
        <v>10.495122</v>
      </c>
      <c r="F233" s="7">
        <f t="shared" si="78"/>
        <v>-3.854374</v>
      </c>
      <c r="G233" s="7">
        <f t="shared" si="78"/>
        <v>-12.211658</v>
      </c>
      <c r="H233" s="7">
        <f t="shared" si="78"/>
        <v>5.297597</v>
      </c>
      <c r="I233" s="7">
        <f t="shared" si="78"/>
        <v>-33.942682</v>
      </c>
      <c r="J233" s="7">
        <f t="shared" si="78"/>
        <v>-22.222767</v>
      </c>
      <c r="K233" s="7">
        <f t="shared" si="78"/>
        <v>-16.117044</v>
      </c>
      <c r="L233" s="7">
        <f t="shared" si="78"/>
        <v>-2.154277</v>
      </c>
      <c r="M233" s="7">
        <f t="shared" si="78"/>
        <v>-38.794985</v>
      </c>
      <c r="N233" s="7">
        <f t="shared" si="78"/>
        <v>-43.539984</v>
      </c>
      <c r="O233" s="7">
        <f t="shared" si="78"/>
        <v>-39.791663</v>
      </c>
    </row>
    <row customHeight="1" ht="15">
      <c r="A234" s="9" t="s">
        <v>221</v>
      </c>
      <c r="B234" s="11">
        <f t="shared" si="79" ref="B234:O234">B233-B243-B90</f>
        <v>17.431701</v>
      </c>
      <c r="C234" s="11">
        <f t="shared" si="79"/>
        <v>25.263297</v>
      </c>
      <c r="D234" s="11">
        <f t="shared" si="79"/>
        <v>57.31918</v>
      </c>
      <c r="E234" s="11">
        <f t="shared" si="79"/>
        <v>40.444873</v>
      </c>
      <c r="F234" s="11">
        <f t="shared" si="79"/>
        <v>6.188672</v>
      </c>
      <c r="G234" s="11">
        <f t="shared" si="79"/>
        <v>17.595869</v>
      </c>
      <c r="H234" s="11">
        <f t="shared" si="79"/>
        <v>51.306706</v>
      </c>
      <c r="I234" s="11">
        <f t="shared" si="79"/>
        <v>6.006694</v>
      </c>
      <c r="J234" s="11">
        <f t="shared" si="79"/>
        <v>-12.87071</v>
      </c>
      <c r="K234" s="11">
        <f t="shared" si="79"/>
        <v>18.893242</v>
      </c>
      <c r="L234" s="11">
        <f t="shared" si="79"/>
        <v>36.294365</v>
      </c>
      <c r="M234" s="11">
        <f t="shared" si="79"/>
        <v>38.060046</v>
      </c>
      <c r="N234" s="11">
        <f t="shared" si="79"/>
        <v>-25.998561</v>
      </c>
      <c r="O234" s="11">
        <f t="shared" si="79"/>
        <v>6.184075</v>
      </c>
    </row>
    <row customHeight="1" ht="15">
      <c r="A235" s="9" t="s">
        <v>222</v>
      </c>
      <c r="B235" s="19">
        <f t="shared" si="80" ref="B235:M235">IF(B162&lt;=0,"NM",B232/B162)</f>
        <v>0.151451469703218</v>
      </c>
      <c r="E235" s="19">
        <f t="shared" si="80"/>
        <v>0.232033058394331</v>
      </c>
      <c r="G235" s="19">
        <f>'Rolling LTM'!G235</f>
        <v>0.241748040960731</v>
      </c>
      <c r="H235" s="19">
        <f>'Rolling LTM'!H235</f>
        <v>0.245187447732582</v>
      </c>
      <c r="I235" s="19">
        <f t="shared" si="80"/>
        <v>0.0993047588845746</v>
      </c>
      <c r="J235" s="19">
        <f>'Rolling LTM'!J235</f>
        <v>0.0687217208140048</v>
      </c>
      <c r="K235" s="19">
        <f>'Rolling LTM'!K235</f>
        <v>0.111569804514419</v>
      </c>
      <c r="L235" s="19">
        <f>'Rolling LTM'!L235</f>
        <v>0.193038458697127</v>
      </c>
      <c r="M235" s="19">
        <f t="shared" si="80"/>
        <v>0.171318151875303</v>
      </c>
      <c r="N235" s="19">
        <f>'Rolling LTM'!N235</f>
        <v>0.177082442511029</v>
      </c>
      <c r="O235" s="19">
        <f>'Rolling LTM'!O235</f>
        <v>0.18052272279898</v>
      </c>
    </row>
    <row customHeight="1" ht="15">
      <c r="A236" s="9" t="s">
        <v>223</v>
      </c>
      <c r="B236" s="19">
        <f t="shared" si="81" ref="B236:M236">IF(B162&lt;=0,"NM",B233/B162)</f>
        <v>-0.0297138402439855</v>
      </c>
      <c r="E236" s="19">
        <f t="shared" si="81"/>
        <v>0.024926895987913</v>
      </c>
      <c r="G236" s="19">
        <f>'Rolling LTM'!G236</f>
        <v>0.00587182838125898</v>
      </c>
      <c r="H236" s="19">
        <f>'Rolling LTM'!H236</f>
        <v>0.00276925621547209</v>
      </c>
      <c r="I236" s="19">
        <f t="shared" si="81"/>
        <v>-0.0701843422469958</v>
      </c>
      <c r="J236" s="19">
        <f>'Rolling LTM'!J236</f>
        <v>-0.106856252440717</v>
      </c>
      <c r="K236" s="19">
        <f>'Rolling LTM'!K236</f>
        <v>-0.0762257081618492</v>
      </c>
      <c r="L236" s="19">
        <f>'Rolling LTM'!L236</f>
        <v>-0.0864284086634887</v>
      </c>
      <c r="M236" s="19">
        <f t="shared" si="81"/>
        <v>-0.0752725614781195</v>
      </c>
      <c r="N236" s="19">
        <f>'Rolling LTM'!N236</f>
        <v>-0.112515744865514</v>
      </c>
      <c r="O236" s="19">
        <f>'Rolling LTM'!O236</f>
        <v>-0.11146906104941</v>
      </c>
    </row>
    <row customHeight="1" ht="15">
      <c r="A237" s="9" t="s">
        <v>224</v>
      </c>
      <c r="B237" s="19">
        <f t="shared" si="82" ref="B237:M237">IF(B162&lt;=0,"NM",B234/B162)</f>
        <v>0.0422767950233635</v>
      </c>
      <c r="E237" s="19">
        <f t="shared" si="82"/>
        <v>0.0960603547548423</v>
      </c>
      <c r="G237" s="19">
        <f>'Rolling LTM'!G237</f>
        <v>0.0763929699657834</v>
      </c>
      <c r="H237" s="19">
        <f>'Rolling LTM'!H237</f>
        <v>0.0821264149537913</v>
      </c>
      <c r="I237" s="19">
        <f t="shared" si="82"/>
        <v>0.0124202285331777</v>
      </c>
      <c r="J237" s="19">
        <f>'Rolling LTM'!J237</f>
        <v>-0.026662830461005</v>
      </c>
      <c r="K237" s="19">
        <f>'Rolling LTM'!K237</f>
        <v>0.0147103328903497</v>
      </c>
      <c r="L237" s="19">
        <f>'Rolling LTM'!L237</f>
        <v>-0.0188030459656367</v>
      </c>
      <c r="M237" s="19">
        <f t="shared" si="82"/>
        <v>0.0738465848716028</v>
      </c>
      <c r="N237" s="19">
        <f>'Rolling LTM'!N237</f>
        <v>0.0466671390869566</v>
      </c>
      <c r="O237" s="19">
        <f>'Rolling LTM'!O237</f>
        <v>0.0452354184749946</v>
      </c>
    </row>
    <row customHeight="1" ht="15">
      <c r="A238" s="9" t="s">
        <v>225</v>
      </c>
      <c r="B238" s="21">
        <v>365</v>
      </c>
      <c r="C238" s="21">
        <v>181</v>
      </c>
      <c r="D238" s="21">
        <v>273</v>
      </c>
      <c r="E238" s="21">
        <v>365</v>
      </c>
      <c r="F238" s="21">
        <v>91</v>
      </c>
      <c r="G238" s="21">
        <v>182</v>
      </c>
      <c r="H238" s="21">
        <v>274</v>
      </c>
      <c r="I238" s="21">
        <v>366</v>
      </c>
      <c r="J238" s="21">
        <v>90</v>
      </c>
      <c r="K238" s="21">
        <v>181</v>
      </c>
      <c r="L238" s="21">
        <v>273</v>
      </c>
      <c r="M238" s="21">
        <v>364</v>
      </c>
      <c r="N238" s="21">
        <v>91</v>
      </c>
      <c r="O238" s="21">
        <v>182</v>
      </c>
    </row>
    <row customHeight="1" ht="15">
      <c r="A239" s="9" t="s">
        <v>226</v>
      </c>
      <c r="E239" s="24">
        <f t="shared" si="83" ref="E239:L239">IF(E3&lt;0.05,"NM",((B109+B110+B114)+(E109+E110+E114))/2/E3*E238)</f>
        <v>21.5357457056196</v>
      </c>
      <c r="G239" s="24">
        <f t="shared" si="84" ref="G239:O239">IF(G3&lt;0.05,"NM",((E109+E110+E114)+(G109+G110+G114))/2/G3*G238)</f>
        <v>12.4294364158839</v>
      </c>
      <c r="H239" s="24">
        <f t="shared" si="83"/>
        <v>11.754687962604</v>
      </c>
      <c r="I239" s="24">
        <f t="shared" si="85" ref="I239:M239">IF(I3&lt;0.05,"NM",((E109+E110+E114)+(I109+I110+I114))/2/I3*I238)</f>
        <v>12.0373912647135</v>
      </c>
      <c r="J239" s="24">
        <f t="shared" si="86" ref="J239:N239">IF(J3&lt;0.05,"NM",((I109+I110+I114)+(J109+J110+J114))/2/J3*J238)</f>
        <v>11.5969946431012</v>
      </c>
      <c r="K239" s="24">
        <f t="shared" si="84"/>
        <v>12.0990461966685</v>
      </c>
      <c r="L239" s="24">
        <f t="shared" si="83"/>
        <v>12.2968144706004</v>
      </c>
      <c r="M239" s="24">
        <f t="shared" si="85"/>
        <v>11.367976845407</v>
      </c>
      <c r="N239" s="24">
        <f t="shared" si="86"/>
        <v>10.9526927092894</v>
      </c>
      <c r="O239" s="24">
        <f t="shared" si="84"/>
        <v>9.83029740270642</v>
      </c>
    </row>
    <row customHeight="1" ht="15">
      <c r="A240" s="9" t="s">
        <v>227</v>
      </c>
      <c r="E240" s="24">
        <f t="shared" si="87" ref="E240:L240">IF((E3-E167+(E9+E10+E12))&lt;0.05,"NM",((B135+B143)+(E135+E143))/2/(E3-E167+(E9+E10+E12))*E238)</f>
        <v>137.098295923182</v>
      </c>
      <c r="G240" s="24">
        <f t="shared" si="88" ref="G240:O240">IF((G3-G167+(G9+G10+G12))&lt;0.05,"NM",((E135+E143)+(G135+G143))/2/(G3-G167+(G9+G10+G12))*G238)</f>
        <v>181.25122849472</v>
      </c>
      <c r="H240" s="24">
        <f t="shared" si="87"/>
        <v>185.186274707314</v>
      </c>
      <c r="I240" s="24">
        <f t="shared" si="89" ref="I240:M240">IF((I3-I167+(I9+I10+I12))&lt;0.05,"NM",((E135+E143)+(I135+I143))/2/(I3-I167+(I9+I10+I12))*I238)</f>
        <v>158.485391377423</v>
      </c>
      <c r="J240" s="24">
        <f t="shared" si="90" ref="J240:N240">IF((J3-J167+(J9+J10+J12))&lt;0.05,"NM",((I135+I143)+(J135+J143))/2/(J3-J167+(J9+J10+J12))*J238)</f>
        <v>149.925685628424</v>
      </c>
      <c r="K240" s="24">
        <f t="shared" si="88"/>
        <v>142.953342922503</v>
      </c>
      <c r="L240" s="24">
        <f t="shared" si="87"/>
        <v>156.357769262863</v>
      </c>
      <c r="M240" s="24">
        <f t="shared" si="89"/>
        <v>133.099538271813</v>
      </c>
      <c r="N240" s="24">
        <f t="shared" si="90"/>
        <v>105.258901669677</v>
      </c>
      <c r="O240" s="24">
        <f t="shared" si="88"/>
        <v>105.260710711569</v>
      </c>
    </row>
    <row customHeight="1" ht="15">
      <c r="A241" s="9" t="s">
        <v>228</v>
      </c>
      <c r="B241" s="11">
        <f t="shared" si="91" ref="B241:O241">(B109+B110+B114)+B111-(B135+B143)</f>
        <v>-26.998701</v>
      </c>
      <c r="E241" s="11">
        <f t="shared" si="91"/>
        <v>-108.759546</v>
      </c>
      <c r="G241" s="11">
        <f t="shared" si="91"/>
        <v>-104.535005</v>
      </c>
      <c r="H241" s="11">
        <f t="shared" si="91"/>
        <v>-124.901767</v>
      </c>
      <c r="I241" s="11">
        <f t="shared" si="91"/>
        <v>-94.919875</v>
      </c>
      <c r="J241" s="11">
        <f t="shared" si="91"/>
        <v>-89.074999</v>
      </c>
      <c r="K241" s="11">
        <f t="shared" si="91"/>
        <v>-85.552569</v>
      </c>
      <c r="L241" s="11">
        <f t="shared" si="91"/>
        <v>-96.916182</v>
      </c>
      <c r="M241" s="11">
        <f t="shared" si="91"/>
        <v>-73.417212</v>
      </c>
      <c r="N241" s="11">
        <f t="shared" si="91"/>
        <v>-68.080292</v>
      </c>
      <c r="O241" s="11">
        <f t="shared" si="91"/>
        <v>-72.739474</v>
      </c>
    </row>
    <row customHeight="1" ht="15">
      <c r="A242" s="9" t="s">
        <v>229</v>
      </c>
      <c r="B242" s="11">
        <f t="shared" si="92" ref="B242:O242">SUM(B59:B61)+SUM(B63:B64)+B66+B69</f>
        <v>-0.807336000000001</v>
      </c>
      <c r="C242" s="11">
        <f t="shared" si="92"/>
        <v>30.54695</v>
      </c>
      <c r="D242" s="11">
        <f t="shared" si="92"/>
        <v>65.729844</v>
      </c>
      <c r="E242" s="11">
        <f t="shared" si="92"/>
        <v>59.963008</v>
      </c>
      <c r="F242" s="11">
        <f t="shared" si="92"/>
        <v>-3.007466</v>
      </c>
      <c r="G242" s="11">
        <f t="shared" si="92"/>
        <v>-3.949962</v>
      </c>
      <c r="H242" s="11">
        <f t="shared" si="92"/>
        <v>22.054977</v>
      </c>
      <c r="I242" s="11">
        <f t="shared" si="92"/>
        <v>-8.311572</v>
      </c>
      <c r="J242" s="11">
        <f t="shared" si="92"/>
        <v>-19.195185</v>
      </c>
      <c r="K242" s="11">
        <f t="shared" si="92"/>
        <v>-15.022967</v>
      </c>
      <c r="L242" s="11">
        <f t="shared" si="92"/>
        <v>-23.28042</v>
      </c>
      <c r="M242" s="11">
        <f t="shared" si="92"/>
        <v>-42.657673</v>
      </c>
      <c r="N242" s="11">
        <f t="shared" si="92"/>
        <v>-31.136134</v>
      </c>
      <c r="O242" s="11">
        <f t="shared" si="92"/>
        <v>-31.68345</v>
      </c>
    </row>
    <row customHeight="1" ht="15">
      <c r="A243" s="9" t="s">
        <v>230</v>
      </c>
      <c r="B243" s="11">
        <f t="shared" si="93" ref="B243:O243">B73+B74+B91</f>
        <v>-4.325272</v>
      </c>
      <c r="C243" s="11">
        <f t="shared" si="93"/>
        <v>-29.499221</v>
      </c>
      <c r="D243" s="11">
        <f t="shared" si="93"/>
        <v>-42.474465</v>
      </c>
      <c r="E243" s="11">
        <f t="shared" si="93"/>
        <v>-7.035281</v>
      </c>
      <c r="F243" s="11">
        <f t="shared" si="93"/>
        <v>-2.518324</v>
      </c>
      <c r="G243" s="11">
        <f t="shared" si="93"/>
        <v>-19.365862</v>
      </c>
      <c r="H243" s="11">
        <f t="shared" si="93"/>
        <v>-29.529752</v>
      </c>
      <c r="I243" s="11">
        <f t="shared" si="93"/>
        <v>-16.005968</v>
      </c>
      <c r="J243" s="11">
        <f t="shared" si="93"/>
        <v>-2.2983</v>
      </c>
      <c r="K243" s="11">
        <f t="shared" si="93"/>
        <v>-21.140549</v>
      </c>
      <c r="L243" s="11">
        <f t="shared" si="93"/>
        <v>-24.578955</v>
      </c>
      <c r="M243" s="11">
        <f t="shared" si="93"/>
        <v>-45.015545</v>
      </c>
      <c r="N243" s="11">
        <f t="shared" si="93"/>
        <v>-4.070436</v>
      </c>
      <c r="O243" s="11">
        <f t="shared" si="93"/>
        <v>-25.363529</v>
      </c>
    </row>
    <row customHeight="1" ht="15">
      <c r="A244" s="9" t="s">
        <v>231</v>
      </c>
      <c r="E244" s="25">
        <f t="shared" si="94" ref="E244:L244">IF((B159+E159)=0,"NM",-E243/((B159+E159)/2))</f>
        <v>0.0157813045923566</v>
      </c>
      <c r="G244" s="25">
        <f t="shared" si="95" ref="G244:O244">IF((E159+G159)=0,"NM",-G243/((E159+G159)/2))</f>
        <v>0.0427196107727335</v>
      </c>
      <c r="H244" s="25">
        <f t="shared" si="94"/>
        <v>0.066348283378163</v>
      </c>
      <c r="I244" s="25">
        <f t="shared" si="96" ref="I244:M244">IF((E159+I159)=0,"NM",-I243/((E159+I159)/2))</f>
        <v>0.0325979008378285</v>
      </c>
      <c r="J244" s="25">
        <f t="shared" si="97" ref="J244:N244">IF((I159+J159)=0,"NM",-J243/((I159+J159)/2))</f>
        <v>0.00435415908952269</v>
      </c>
      <c r="K244" s="25">
        <f t="shared" si="95"/>
        <v>0.0402337724733018</v>
      </c>
      <c r="L244" s="25">
        <f t="shared" si="94"/>
        <v>0.0470142094840866</v>
      </c>
      <c r="M244" s="25">
        <f t="shared" si="96"/>
        <v>0.0842953864385554</v>
      </c>
      <c r="N244" s="25">
        <f t="shared" si="97"/>
        <v>0.00713303140564692</v>
      </c>
      <c r="O244" s="25">
        <f t="shared" si="95"/>
        <v>0.0446480734517399</v>
      </c>
    </row>
    <row customHeight="1" ht="15">
      <c r="A245" s="9" t="s">
        <v>232</v>
      </c>
      <c r="B245" s="15">
        <f t="shared" si="98" ref="B245:M245">IF(OR(B167&lt;=0,B243=0),"NM",-B167/B243)</f>
        <v>16.3245326536689</v>
      </c>
      <c r="E245" s="15">
        <f t="shared" si="98"/>
        <v>16.251797760459</v>
      </c>
      <c r="G245" s="15">
        <f>'Rolling LTM'!G245</f>
        <v>-34.9422845389948</v>
      </c>
      <c r="H245" s="15">
        <f>'Rolling LTM'!H245</f>
        <v>-17.3301344359323</v>
      </c>
      <c r="I245" s="15">
        <f t="shared" si="98"/>
        <v>4.96750418343958</v>
      </c>
      <c r="J245" s="15">
        <f>'Rolling LTM'!J245</f>
        <v>5.21224140919289</v>
      </c>
      <c r="K245" s="15">
        <f>'Rolling LTM'!K245</f>
        <v>5.05288877153288</v>
      </c>
      <c r="L245" s="15">
        <f>'Rolling LTM'!L245</f>
        <v>10.7695157315975</v>
      </c>
      <c r="M245" s="15">
        <f t="shared" si="98"/>
        <v>3.07960150210333</v>
      </c>
      <c r="N245" s="15">
        <f>'Rolling LTM'!N245</f>
        <v>3.15773173284652</v>
      </c>
      <c r="O245" s="15">
        <f>'Rolling LTM'!O245</f>
        <v>3.22417349016852</v>
      </c>
    </row>
    <row customHeight="1" ht="15">
      <c r="A246" s="9" t="s">
        <v>233</v>
      </c>
      <c r="B246" s="15">
        <f t="shared" si="99" ref="B246:M246">IF(OR(B176&lt;=0,B243=0),"NM",-B176/B243)</f>
        <v>16.3245326536689</v>
      </c>
      <c r="E246" s="15">
        <f t="shared" si="99"/>
        <v>16.251797760459</v>
      </c>
      <c r="G246" s="15">
        <f>'Rolling LTM'!G246</f>
        <v>-34.9157251689596</v>
      </c>
      <c r="H246" s="15">
        <f>'Rolling LTM'!H246</f>
        <v>-17.3226964960423</v>
      </c>
      <c r="I246" s="15">
        <f t="shared" si="99"/>
        <v>4.96750418343958</v>
      </c>
      <c r="J246" s="15">
        <f>'Rolling LTM'!J246</f>
        <v>5.21079353885963</v>
      </c>
      <c r="K246" s="15">
        <f>'Rolling LTM'!K246</f>
        <v>5.05613471494723</v>
      </c>
      <c r="L246" s="15">
        <f>'Rolling LTM'!L246</f>
        <v>10.8005147998163</v>
      </c>
      <c r="M246" s="15">
        <f t="shared" si="99"/>
        <v>3.07960150210333</v>
      </c>
      <c r="N246" s="15">
        <f>'Rolling LTM'!N246</f>
        <v>3.1618445034709</v>
      </c>
      <c r="O246" s="15">
        <f>'Rolling LTM'!O246</f>
        <v>3.23007850052373</v>
      </c>
    </row>
    <row customHeight="1" ht="15">
      <c r="A247" s="9" t="s">
        <v>234</v>
      </c>
      <c r="B247" s="11">
        <f t="shared" si="100" ref="B247:O247">B76</f>
        <v>-3.350279</v>
      </c>
      <c r="C247" s="11">
        <f t="shared" si="100"/>
        <v>-2.407933</v>
      </c>
      <c r="D247" s="11">
        <f t="shared" si="100"/>
        <v>-3.955407</v>
      </c>
      <c r="E247" s="11">
        <f t="shared" si="100"/>
        <v>-5.782459</v>
      </c>
      <c r="F247" s="11">
        <f t="shared" si="100"/>
        <v>-1.75688</v>
      </c>
      <c r="G247" s="11">
        <f t="shared" si="100"/>
        <v>-2.734764</v>
      </c>
      <c r="H247" s="11">
        <f t="shared" si="100"/>
        <v>-4.156297</v>
      </c>
      <c r="I247" s="11">
        <f t="shared" si="100"/>
        <v>-7.184522</v>
      </c>
      <c r="J247" s="11">
        <f t="shared" si="100"/>
        <v>-0.9154</v>
      </c>
      <c r="K247" s="11">
        <f t="shared" si="100"/>
        <v>-1.83687</v>
      </c>
      <c r="L247" s="11">
        <f t="shared" si="100"/>
        <v>-3.475011</v>
      </c>
      <c r="M247" s="11">
        <f t="shared" si="100"/>
        <v>-6.091108</v>
      </c>
      <c r="N247" s="11">
        <f t="shared" si="100"/>
        <v>-1.015886</v>
      </c>
      <c r="O247" s="11">
        <f t="shared" si="100"/>
        <v>-2.258587</v>
      </c>
    </row>
    <row customHeight="1" ht="15">
      <c r="A248" s="9" t="s">
        <v>235</v>
      </c>
      <c r="B248" s="11">
        <f t="shared" si="101" ref="B248:M248">B243+B247+B226-(0.1*B159)</f>
        <v>-150.820602</v>
      </c>
      <c r="E248" s="11">
        <f t="shared" si="101"/>
        <v>-156.9903654</v>
      </c>
      <c r="G248" s="11">
        <f>'Rolling LTM'!G248</f>
        <v>-141.2519396</v>
      </c>
      <c r="H248" s="11">
        <f>'Rolling LTM'!H248</f>
        <v>-117.3136939</v>
      </c>
      <c r="I248" s="11">
        <f t="shared" si="101"/>
        <v>-125.6840067</v>
      </c>
      <c r="J248" s="11">
        <f>'Rolling LTM'!J248</f>
        <v>-116.8145279</v>
      </c>
      <c r="K248" s="11">
        <f>'Rolling LTM'!K248</f>
        <v>-128.1127329</v>
      </c>
      <c r="L248" s="11">
        <f>'Rolling LTM'!L248</f>
        <v>-121.6292677</v>
      </c>
      <c r="M248" s="11">
        <f t="shared" si="101"/>
        <v>-160.9709055</v>
      </c>
      <c r="N248" s="11">
        <f>'Rolling LTM'!N248</f>
        <v>-179.779427</v>
      </c>
      <c r="O248" s="11">
        <f>'Rolling LTM'!O248</f>
        <v>-183.360261</v>
      </c>
    </row>
    <row customHeight="1" ht="15">
      <c r="A249" s="9" t="s">
        <v>236</v>
      </c>
      <c r="B249" s="15">
        <f t="shared" si="102" ref="B249:M249">IF(OR(B167&lt;=0,B248=0),"NM",-B167/B248)</f>
        <v>0.468159144464892</v>
      </c>
      <c r="E249" s="15">
        <f t="shared" si="102"/>
        <v>0.728299241222099</v>
      </c>
      <c r="G249" s="15">
        <f>'Rolling LTM'!G249</f>
        <v>0.766388931058615</v>
      </c>
      <c r="H249" s="15">
        <f>'Rolling LTM'!H249</f>
        <v>0.872969280869264</v>
      </c>
      <c r="I249" s="15">
        <f t="shared" si="102"/>
        <v>0.632615995365145</v>
      </c>
      <c r="J249" s="15">
        <f>'Rolling LTM'!J249</f>
        <v>0.704365736686764</v>
      </c>
      <c r="K249" s="15">
        <f>'Rolling LTM'!K249</f>
        <v>0.701286046798554</v>
      </c>
      <c r="L249" s="15">
        <f>'Rolling LTM'!L249</f>
        <v>0.978866684404119</v>
      </c>
      <c r="M249" s="15">
        <f t="shared" si="102"/>
        <v>0.861211158435088</v>
      </c>
      <c r="N249" s="15">
        <f>'Rolling LTM'!N249</f>
        <v>0.82180117861873</v>
      </c>
      <c r="O249" s="15">
        <f>'Rolling LTM'!O249</f>
        <v>0.865801270865338</v>
      </c>
    </row>
    <row customHeight="1" ht="15">
      <c r="A250" s="9" t="s">
        <v>237</v>
      </c>
      <c r="B250" s="15">
        <f t="shared" si="103" ref="B250:M250">IF(OR(B176&lt;=0,B248=0),"NM",-B176/B248)</f>
        <v>0.468159144464892</v>
      </c>
      <c r="E250" s="15">
        <f t="shared" si="103"/>
        <v>0.728299241222099</v>
      </c>
      <c r="G250" s="15">
        <f>'Rolling LTM'!G250</f>
        <v>0.765806404544409</v>
      </c>
      <c r="H250" s="15">
        <f>'Rolling LTM'!H250</f>
        <v>0.872594610201768</v>
      </c>
      <c r="I250" s="15">
        <f t="shared" si="103"/>
        <v>0.632615995365145</v>
      </c>
      <c r="J250" s="15">
        <f>'Rolling LTM'!J250</f>
        <v>0.704170076092051</v>
      </c>
      <c r="K250" s="15">
        <f>'Rolling LTM'!K250</f>
        <v>0.701736548467619</v>
      </c>
      <c r="L250" s="15">
        <f>'Rolling LTM'!L250</f>
        <v>0.981684262824843</v>
      </c>
      <c r="M250" s="15">
        <f t="shared" si="103"/>
        <v>0.861211158435088</v>
      </c>
      <c r="N250" s="15">
        <f>'Rolling LTM'!N250</f>
        <v>0.822871529121071</v>
      </c>
      <c r="O250" s="15">
        <f>'Rolling LTM'!O250</f>
        <v>0.867386968869989</v>
      </c>
    </row>
    <row customHeight="1" ht="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customHeight="1" ht="15">
      <c r="A252" s="2" t="s">
        <v>238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customHeight="1" ht="15">
      <c r="A253" s="9" t="s">
        <v>239</v>
      </c>
      <c r="E253" s="19">
        <f>IF(AND(E3=0,B3=0),0,IF(OR(B3=0,B3="NM",E3="NM"),"NM",IF(B3&lt;0,-(E3/B3-1),E3/B3-1)))</f>
        <v>0.156075795585702</v>
      </c>
      <c r="G253" s="19">
        <f t="shared" si="104" ref="G253:O253">IF(AND(G3=0,C3=0),0,IF(OR(C3=0,C3="NM",G3="NM"),"NM",IF(C3&lt;0,-(G3/C3-1),G3/C3-1)))</f>
        <v>-0.0949478381991392</v>
      </c>
      <c r="H253" s="19">
        <f t="shared" si="104"/>
        <v>-0.00542935546130063</v>
      </c>
      <c r="I253" s="19">
        <f t="shared" si="104"/>
        <v>-0.000571029384713095</v>
      </c>
      <c r="J253" s="19">
        <f t="shared" si="104"/>
        <v>0.0896661678119905</v>
      </c>
      <c r="K253" s="19">
        <f t="shared" si="104"/>
        <v>0.110009326782009</v>
      </c>
      <c r="L253" s="19">
        <f t="shared" si="104"/>
        <v>0.144321199041921</v>
      </c>
      <c r="M253" s="19">
        <f t="shared" si="104"/>
        <v>0.147910181170013</v>
      </c>
      <c r="N253" s="19">
        <f t="shared" si="104"/>
        <v>0.222926129159143</v>
      </c>
      <c r="O253" s="19">
        <f t="shared" si="104"/>
        <v>0.191029174179769</v>
      </c>
    </row>
    <row customHeight="1" ht="15">
      <c r="A254" s="9" t="s">
        <v>240</v>
      </c>
      <c r="E254" s="19">
        <f>IF(AND(E167=0,B167=0),0,IF(OR(B167=0,B167="NM",E167="NM"),"NM",IF(B167&lt;0,-(E167/B167-1),E167/B167-1)))</f>
        <v>0.61930507521211</v>
      </c>
      <c r="G254" s="19">
        <f t="shared" si="105" ref="G254:O254">IF(AND(G167=0,C167=0),0,IF(OR(C167=0,C167="NM",G167="NM"),"NM",IF(C167&lt;0,-(G167/C167-1),G167/C167-1)))</f>
        <v>-0.112226388438376</v>
      </c>
      <c r="H254" s="19">
        <f t="shared" si="105"/>
        <v>-0.1560985329173</v>
      </c>
      <c r="I254" s="19">
        <f t="shared" si="105"/>
        <v>-0.304595770058842</v>
      </c>
      <c r="J254" s="19">
        <f t="shared" si="105"/>
        <v>0.105486490173659</v>
      </c>
      <c r="K254" s="19">
        <f t="shared" si="105"/>
        <v>0.214788065235306</v>
      </c>
      <c r="L254" s="19">
        <f t="shared" si="105"/>
        <v>0.613473805345403</v>
      </c>
      <c r="M254" s="19">
        <f t="shared" si="105"/>
        <v>0.743559808850021</v>
      </c>
      <c r="N254" s="19">
        <f t="shared" si="105"/>
        <v>0.313874891734232</v>
      </c>
      <c r="O254" s="19">
        <f t="shared" si="105"/>
        <v>0.344309275567452</v>
      </c>
    </row>
    <row customHeight="1" ht="15">
      <c r="A255" s="9" t="s">
        <v>241</v>
      </c>
      <c r="E255" s="19">
        <f>IF(AND(E176=0,B176=0),0,IF(OR(B176=0,B176="NM",E176="NM"),"NM",IF(B176&lt;0,-(E176/B176-1),E176/B176-1)))</f>
        <v>0.61930507521211</v>
      </c>
      <c r="G255" s="19">
        <f t="shared" si="106" ref="G255:O255">IF(AND(G176=0,C176=0),0,IF(OR(C176=0,C176="NM",G176="NM"),"NM",IF(C176&lt;0,-(G176/C176-1),G176/C176-1)))</f>
        <v>-0.113744682037494</v>
      </c>
      <c r="H255" s="19">
        <f t="shared" si="106"/>
        <v>-0.156673905667641</v>
      </c>
      <c r="I255" s="19">
        <f t="shared" si="106"/>
        <v>-0.304595770058842</v>
      </c>
      <c r="J255" s="19">
        <f t="shared" si="106"/>
        <v>0.104616230951323</v>
      </c>
      <c r="K255" s="19">
        <f t="shared" si="106"/>
        <v>0.216357673773069</v>
      </c>
      <c r="L255" s="19">
        <f t="shared" si="106"/>
        <v>0.619211841011555</v>
      </c>
      <c r="M255" s="19">
        <f t="shared" si="106"/>
        <v>0.743559808850021</v>
      </c>
      <c r="N255" s="19">
        <f t="shared" si="106"/>
        <v>0.32075506753106</v>
      </c>
      <c r="O255" s="19">
        <f t="shared" si="106"/>
        <v>0.349430878842489</v>
      </c>
    </row>
    <row customHeight="1" ht="15">
      <c r="A256" s="9" t="s">
        <v>242</v>
      </c>
      <c r="E256" s="19">
        <f>IF(AND(E13=0,B13=0),0,IF(OR(B13=0,B13="NM",E13="NM"),"NM",IF(B13&lt;0,-(E13/B13-1),E13/B13-1)))</f>
        <v>2.20794650130765</v>
      </c>
      <c r="G256" s="19">
        <f t="shared" si="107" ref="G256:O256">IF(AND(G13=0,C13=0),0,IF(OR(C13=0,C13="NM",G13="NM"),"NM",IF(C13&lt;0,-(G13/C13-1),G13/C13-1)))</f>
        <v>-0.452055993286319</v>
      </c>
      <c r="H256" s="19">
        <f t="shared" si="107"/>
        <v>-0.557030241021956</v>
      </c>
      <c r="I256" s="19">
        <f t="shared" si="107"/>
        <v>-0.798447759733972</v>
      </c>
      <c r="J256" s="19">
        <f t="shared" si="107"/>
        <v>0.310449795310451</v>
      </c>
      <c r="K256" s="19">
        <f t="shared" si="107"/>
        <v>0.970568515552241</v>
      </c>
      <c r="L256" s="19">
        <f t="shared" si="107"/>
        <v>2.88934966690395</v>
      </c>
      <c r="M256" s="19">
        <f t="shared" si="107"/>
        <v>5.66027525465441</v>
      </c>
      <c r="N256" s="19">
        <f t="shared" si="107"/>
        <v>0.567475338929314</v>
      </c>
      <c r="O256" s="19">
        <f t="shared" si="107"/>
        <v>0.635516055411849</v>
      </c>
    </row>
    <row customHeight="1" ht="15">
      <c r="A257" s="9" t="s">
        <v>243</v>
      </c>
      <c r="E257" s="19">
        <f>IF(AND(E20=0,B20=0),0,IF(OR(B20=0,B20="NM",E20="NM"),"NM",IF(B20&lt;0,-(E20/B20-1),E20/B20-1)))</f>
        <v>-0.697296600605904</v>
      </c>
      <c r="G257" s="19">
        <f t="shared" si="108" ref="G257:O257">IF(AND(G20=0,C20=0),0,IF(OR(C20=0,C20="NM",G20="NM"),"NM",IF(C20&lt;0,-(G20/C20-1),G20/C20-1)))</f>
        <v>0.433474809564521</v>
      </c>
      <c r="H257" s="19">
        <f t="shared" si="108"/>
        <v>0.123012132369054</v>
      </c>
      <c r="I257" s="19">
        <f t="shared" si="108"/>
        <v>0.0672574687767485</v>
      </c>
      <c r="J257" s="19">
        <f t="shared" si="108"/>
        <v>0.284761517765915</v>
      </c>
      <c r="K257" s="19">
        <f t="shared" si="108"/>
        <v>0.394951151470234</v>
      </c>
      <c r="L257" s="19">
        <f t="shared" si="108"/>
        <v>1.07280857484226</v>
      </c>
      <c r="M257" s="19">
        <f t="shared" si="108"/>
        <v>1.37498922955127</v>
      </c>
      <c r="N257" s="19">
        <f t="shared" si="108"/>
        <v>-0.111631804327065</v>
      </c>
      <c r="O257" s="19">
        <f t="shared" si="108"/>
        <v>0.361922155696233</v>
      </c>
    </row>
    <row customHeight="1" ht="15">
      <c r="A258" s="9" t="s">
        <v>244</v>
      </c>
      <c r="E258" s="19">
        <f>IF(AND(E24=0,B24=0),0,IF(OR(B24=0,B24="NM",E24="NM"),"NM",IF(B24&lt;0,-(E24/B24-1),E24/B24-1)))</f>
        <v>-0.869093555360517</v>
      </c>
      <c r="G258" s="19">
        <f t="shared" si="109" ref="G258:O258">IF(AND(G24=0,C24=0),0,IF(OR(C24=0,C24="NM",G24="NM"),"NM",IF(C24&lt;0,-(G24/C24-1),G24/C24-1)))</f>
        <v>0.472135221630132</v>
      </c>
      <c r="H258" s="19">
        <f t="shared" si="109"/>
        <v>0.132168529536835</v>
      </c>
      <c r="I258" s="19">
        <f t="shared" si="109"/>
        <v>0.101786752228812</v>
      </c>
      <c r="J258" s="19">
        <f t="shared" si="109"/>
        <v>0.3004318523829</v>
      </c>
      <c r="K258" s="19">
        <f t="shared" si="109"/>
        <v>0.397522987077551</v>
      </c>
      <c r="L258" s="19">
        <f t="shared" si="109"/>
        <v>1.00283259570919</v>
      </c>
      <c r="M258" s="19">
        <f t="shared" si="109"/>
        <v>1.29328319249841</v>
      </c>
      <c r="N258" s="19">
        <f t="shared" si="109"/>
        <v>-0.263886782284854</v>
      </c>
      <c r="O258" s="19">
        <f t="shared" si="109"/>
        <v>0.171578380273773</v>
      </c>
    </row>
    <row customHeight="1" ht="15">
      <c r="A259" s="9" t="s">
        <v>245</v>
      </c>
      <c r="E259" s="19">
        <f>IF(AND(E78=0,B78=0),0,IF(OR(B78=0,B78="NM",E78="NM"),"NM",IF(B78&lt;0,-(E78/B78-1),E78/B78-1)))</f>
        <v>0.174372533131378</v>
      </c>
      <c r="G259" s="19">
        <f t="shared" si="110" ref="G259:O259">IF(AND(G78=0,C78=0),0,IF(OR(C78=0,C78="NM",G78="NM"),"NM",IF(C78&lt;0,-(G78/C78-1),G78/C78-1)))</f>
        <v>-0.656342881982199</v>
      </c>
      <c r="H259" s="19">
        <f t="shared" si="110"/>
        <v>-0.530254492646574</v>
      </c>
      <c r="I259" s="19">
        <f t="shared" si="110"/>
        <v>-0.699379934197744</v>
      </c>
      <c r="J259" s="19">
        <f t="shared" si="110"/>
        <v>-1.6722106149622</v>
      </c>
      <c r="K259" s="19">
        <f t="shared" si="110"/>
        <v>0.0885213668885538</v>
      </c>
      <c r="L259" s="19">
        <f t="shared" si="110"/>
        <v>-0.139539878077677</v>
      </c>
      <c r="M259" s="19">
        <f t="shared" si="110"/>
        <v>0.230229924711019</v>
      </c>
      <c r="N259" s="19">
        <f t="shared" si="110"/>
        <v>-0.374892982026575</v>
      </c>
      <c r="O259" s="19">
        <f t="shared" si="110"/>
        <v>-0.252740963696093</v>
      </c>
    </row>
    <row customHeight="1" ht="15">
      <c r="A260" s="9" t="s">
        <v>246</v>
      </c>
      <c r="E260" s="19">
        <f>IF(AND(E226=0,B226=0),0,IF(OR(B226=0,B226="NM",E226="NM"),"NM",IF(B226&lt;0,(E226/B226-1),-(E226/B226-1))))</f>
        <v>-0.00685651940003806</v>
      </c>
      <c r="G260" s="19">
        <f t="shared" si="111" ref="G260:O260">IF(AND(G226=0,C226=0),0,IF(OR(C226=0,C226="NM",G226="NM"),"NM",IF(C226&lt;0,(G226/C226-1),-(G226/C226-1))))</f>
        <v>-0.231979873897582</v>
      </c>
      <c r="H260" s="19">
        <f t="shared" si="111"/>
        <v>-0.439151296206052</v>
      </c>
      <c r="I260" s="19">
        <f t="shared" si="111"/>
        <v>-0.496389840454486</v>
      </c>
      <c r="J260" s="19">
        <f t="shared" si="111"/>
        <v>-0.638220918436375</v>
      </c>
      <c r="K260" s="19">
        <f t="shared" si="111"/>
        <v>0.105429132534138</v>
      </c>
      <c r="L260" s="19">
        <f t="shared" si="111"/>
        <v>0.0797307440040123</v>
      </c>
      <c r="M260" s="19">
        <f t="shared" si="111"/>
        <v>0.122721646114283</v>
      </c>
      <c r="N260" s="19">
        <f t="shared" si="111"/>
        <v>2.44799530891666</v>
      </c>
      <c r="O260" s="19">
        <f t="shared" si="111"/>
        <v>0.582073726836216</v>
      </c>
    </row>
    <row customHeight="1" ht="15">
      <c r="A261" s="9" t="s">
        <v>247</v>
      </c>
      <c r="E261" s="19">
        <f t="shared" si="113" ref="E261:E263">IF(AND(E232=0,B232=0),0,IF(OR(B232=0,B232="NM",E232="NM"),"NM",IF(B232&lt;0,-(E232/B232-1),E232/B232-1)))</f>
        <v>0.564436537857272</v>
      </c>
      <c r="G261" s="19">
        <f t="shared" si="112" ref="G261:O263">IF(AND(G232=0,C232=0),0,IF(OR(C232=0,C232="NM",G232="NM"),"NM",IF(C232&lt;0,-(G232/C232-1),G232/C232-1)))</f>
        <v>0.298651361370045</v>
      </c>
      <c r="H261" s="19">
        <f t="shared" si="112"/>
        <v>0.191876524685189</v>
      </c>
      <c r="I261" s="19">
        <f t="shared" si="112"/>
        <v>-0.508405711842875</v>
      </c>
      <c r="J261" s="19">
        <f t="shared" si="112"/>
        <v>-0.632008815744042</v>
      </c>
      <c r="K261" s="19">
        <f t="shared" si="112"/>
        <v>0.281080908974782</v>
      </c>
      <c r="L261" s="19">
        <f t="shared" si="112"/>
        <v>1.40156095419539</v>
      </c>
      <c r="M261" s="19">
        <f t="shared" si="112"/>
        <v>0.838511249084662</v>
      </c>
      <c r="N261" s="19">
        <f t="shared" si="112"/>
        <v>0.753573573164801</v>
      </c>
      <c r="O261" s="19">
        <f t="shared" si="112"/>
        <v>0.383148811846363</v>
      </c>
    </row>
    <row customHeight="1" ht="15">
      <c r="A262" s="9" t="s">
        <v>248</v>
      </c>
      <c r="E262" s="19">
        <f t="shared" si="113"/>
        <v>1.8566254947067</v>
      </c>
      <c r="G262" s="19">
        <f t="shared" si="112"/>
        <v>-1.88287939065951</v>
      </c>
      <c r="H262" s="19">
        <f t="shared" si="112"/>
        <v>-0.637936469077573</v>
      </c>
      <c r="I262" s="19">
        <f t="shared" si="112"/>
        <v>-4.23413886946717</v>
      </c>
      <c r="J262" s="19">
        <f t="shared" si="112"/>
        <v>-4.76559695556269</v>
      </c>
      <c r="K262" s="19">
        <f t="shared" si="112"/>
        <v>-0.319808006414854</v>
      </c>
      <c r="L262" s="19">
        <f t="shared" si="112"/>
        <v>-1.40665173285171</v>
      </c>
      <c r="M262" s="19">
        <f t="shared" si="112"/>
        <v>-0.142955792356067</v>
      </c>
      <c r="N262" s="19">
        <f t="shared" si="112"/>
        <v>-0.959251248955632</v>
      </c>
      <c r="O262" s="19">
        <f t="shared" si="112"/>
        <v>-1.46891818375628</v>
      </c>
    </row>
    <row customHeight="1" ht="15">
      <c r="A263" s="9" t="s">
        <v>249</v>
      </c>
      <c r="E263" s="19">
        <f t="shared" si="113"/>
        <v>1.32019084081353</v>
      </c>
      <c r="G263" s="19">
        <f t="shared" si="112"/>
        <v>-0.303500687182675</v>
      </c>
      <c r="H263" s="19">
        <f t="shared" si="112"/>
        <v>-0.104894626894523</v>
      </c>
      <c r="I263" s="19">
        <f t="shared" si="112"/>
        <v>-0.851484414353335</v>
      </c>
      <c r="J263" s="19">
        <f t="shared" si="112"/>
        <v>-3.07972081894145</v>
      </c>
      <c r="K263" s="19">
        <f t="shared" si="112"/>
        <v>0.0737316809985344</v>
      </c>
      <c r="L263" s="19">
        <f t="shared" si="112"/>
        <v>-0.292599977086816</v>
      </c>
      <c r="M263" s="19">
        <f t="shared" si="112"/>
        <v>5.33627183272529</v>
      </c>
      <c r="N263" s="19">
        <f t="shared" si="112"/>
        <v>-1.01997877350977</v>
      </c>
      <c r="O263" s="19">
        <f t="shared" si="112"/>
        <v>-0.672683227156038</v>
      </c>
    </row>
    <row customHeight="1" ht="15">
      <c r="A264" s="9" t="s">
        <v>250</v>
      </c>
      <c r="E264" s="19">
        <f>IF(AND((E95+E96)=0,(B95+B96)=0),0,IF(OR((B95+B96)=0,(B95+B96)="NM",(E95+E96)="NM"),"NM",IF((B95+B96)&lt;0,-((E95+E96)/(B95+B96)-1),(E95+E96)/(B95+B96)-1)))</f>
        <v>1.16852098373355</v>
      </c>
      <c r="G264" s="19">
        <f t="shared" si="114" ref="G264:O264">IF(AND((G95+G96)=0,(C95+C96)=0),0,IF(OR((C95+C96)=0,(C95+C96)="NM",(G95+G96)="NM"),"NM",IF((C95+C96)&lt;0,-((G95+G96)/(C95+C96)-1),(G95+G96)/(C95+C96)-1)))</f>
        <v>-0.110627487021705</v>
      </c>
      <c r="H264" s="19">
        <f t="shared" si="114"/>
        <v>-26.9469496313468</v>
      </c>
      <c r="I264" s="19">
        <f t="shared" si="114"/>
        <v>2.38360484503064</v>
      </c>
      <c r="J264" s="19">
        <f t="shared" si="114"/>
        <v>-1.25755489179193</v>
      </c>
      <c r="K264" s="19">
        <f t="shared" si="114"/>
        <v>-0.897574435075098</v>
      </c>
      <c r="L264" s="19">
        <f t="shared" si="114"/>
        <v>0.125279583231259</v>
      </c>
      <c r="M264" s="19">
        <f t="shared" si="114"/>
        <v>-2.12587832447342</v>
      </c>
      <c r="N264" s="19">
        <f t="shared" si="114"/>
        <v>1.80931850832415</v>
      </c>
      <c r="O264" s="19">
        <f t="shared" si="114"/>
        <v>1.14698434997459</v>
      </c>
    </row>
    <row customHeight="1" ht="15">
      <c r="A265" s="9" t="s">
        <v>251</v>
      </c>
      <c r="E265" s="19">
        <f t="shared" si="118" ref="E265:E268">IF(AND(E159=0,B159=0),0,IF(OR(B159=0,B159="NM",E159="NM"),"NM",IF(B159&lt;0,-(E159/B159-1),E159/B159-1)))</f>
        <v>0.0390906758159248</v>
      </c>
      <c r="I265" s="19">
        <f t="shared" si="115" ref="I265:O268">IF(AND(I159=0,E159=0),0,IF(OR(E159=0,E159="NM",I159="NM"),"NM",IF(E159&lt;0,-(I159/E159-1),I159/E159-1)))</f>
        <v>0.161408497958788</v>
      </c>
      <c r="K265" s="19">
        <f t="shared" si="115"/>
        <v>0.156754632873262</v>
      </c>
      <c r="L265" s="19">
        <f t="shared" si="115"/>
        <v>0.188431161973879</v>
      </c>
      <c r="M265" s="19">
        <f t="shared" si="115"/>
        <v>0.0240360888418132</v>
      </c>
      <c r="N265" s="19">
        <f t="shared" si="115"/>
        <v>0.138121795328731</v>
      </c>
      <c r="O265" s="19">
        <f t="shared" si="115"/>
        <v>0.13872976475924</v>
      </c>
    </row>
    <row customHeight="1" ht="15">
      <c r="A266" s="9" t="s">
        <v>252</v>
      </c>
      <c r="E266" s="15">
        <f t="shared" si="117" ref="E266:E270">IF(OR(B160=0,B160="NM",E160="NM"),"NM",E160-B160)</f>
        <v>-2.21889958095478</v>
      </c>
      <c r="I266" s="15">
        <f t="shared" si="116" ref="I266:O270">IF(OR(E160=0,E160="NM",I160="NM"),"NM",I160-E160)</f>
        <v>2.66290185068484</v>
      </c>
      <c r="K266" s="15">
        <f t="shared" si="116"/>
        <v>1.64532869012361</v>
      </c>
      <c r="L266" s="15">
        <f t="shared" si="116"/>
        <v>0.0947117289338397</v>
      </c>
      <c r="M266" s="15">
        <f t="shared" si="116"/>
        <v>-2.73878872139843</v>
      </c>
      <c r="N266" s="15">
        <f t="shared" si="116"/>
        <v>-2.34971199118678</v>
      </c>
      <c r="O266" s="15">
        <f t="shared" si="116"/>
        <v>-2.07058962756291</v>
      </c>
    </row>
    <row customHeight="1" ht="15">
      <c r="A267" s="9" t="s">
        <v>253</v>
      </c>
      <c r="E267" s="15">
        <f t="shared" si="117"/>
        <v>-2.21889958095478</v>
      </c>
      <c r="I267" s="15">
        <f t="shared" si="116"/>
        <v>2.66290185068484</v>
      </c>
      <c r="K267" s="15">
        <f t="shared" si="116"/>
        <v>1.63841187901906</v>
      </c>
      <c r="L267" s="15">
        <f t="shared" si="116"/>
        <v>0.0803991633330696</v>
      </c>
      <c r="M267" s="15">
        <f t="shared" si="116"/>
        <v>-2.73878872139843</v>
      </c>
      <c r="N267" s="15">
        <f t="shared" si="116"/>
        <v>-2.35678571336817</v>
      </c>
      <c r="O267" s="15">
        <f t="shared" si="116"/>
        <v>-2.07371188393281</v>
      </c>
    </row>
    <row customHeight="1" ht="15">
      <c r="A268" s="9" t="s">
        <v>254</v>
      </c>
      <c r="E268" s="19">
        <f t="shared" si="118"/>
        <v>0.0211312756703546</v>
      </c>
      <c r="I268" s="19">
        <f t="shared" si="115"/>
        <v>0.148647128813483</v>
      </c>
      <c r="K268" s="19">
        <f t="shared" si="115"/>
        <v>0.15723229442682</v>
      </c>
      <c r="L268" s="19">
        <f t="shared" si="115"/>
        <v>0.142358177104082</v>
      </c>
      <c r="M268" s="19">
        <f t="shared" si="115"/>
        <v>0.0656951076020225</v>
      </c>
      <c r="N268" s="19">
        <f t="shared" si="115"/>
        <v>0.0913288382521997</v>
      </c>
      <c r="O268" s="19">
        <f t="shared" si="115"/>
        <v>0.12868346433113</v>
      </c>
    </row>
    <row customHeight="1" ht="15">
      <c r="A269" s="9" t="s">
        <v>255</v>
      </c>
      <c r="E269" s="15">
        <f t="shared" si="117"/>
        <v>-2.15715941387706</v>
      </c>
      <c r="I269" s="15">
        <f t="shared" si="116"/>
        <v>2.40010428668575</v>
      </c>
      <c r="K269" s="15">
        <f t="shared" si="116"/>
        <v>1.5630656084356</v>
      </c>
      <c r="L269" s="15">
        <f t="shared" si="116"/>
        <v>-0.0711266426883599</v>
      </c>
      <c r="M269" s="15">
        <f t="shared" si="116"/>
        <v>-2.36478632458596</v>
      </c>
      <c r="N269" s="15">
        <f t="shared" si="116"/>
        <v>-2.33363080941582</v>
      </c>
      <c r="O269" s="15">
        <f t="shared" si="116"/>
        <v>-1.99642605119469</v>
      </c>
    </row>
    <row customHeight="1" ht="15">
      <c r="A270" s="9" t="s">
        <v>256</v>
      </c>
      <c r="E270" s="15">
        <f t="shared" si="117"/>
        <v>-2.15715941387706</v>
      </c>
      <c r="I270" s="15">
        <f t="shared" si="116"/>
        <v>2.40010428668575</v>
      </c>
      <c r="K270" s="15">
        <f t="shared" si="116"/>
        <v>1.55650274909377</v>
      </c>
      <c r="L270" s="15">
        <f t="shared" si="116"/>
        <v>-0.0844303996392499</v>
      </c>
      <c r="M270" s="15">
        <f t="shared" si="116"/>
        <v>-2.36478632458596</v>
      </c>
      <c r="N270" s="15">
        <f t="shared" si="116"/>
        <v>-2.33998767272248</v>
      </c>
      <c r="O270" s="15">
        <f t="shared" si="116"/>
        <v>-1.99933165291464</v>
      </c>
    </row>
    <row customHeight="1" ht="15">
      <c r="A271" s="9" t="s">
        <v>257</v>
      </c>
      <c r="E271" s="28">
        <f t="shared" si="120" ref="E271:E273">IF(OR(B217=0,B217="NM",E217="NM"),"NM",10000*(E217-B217))</f>
        <v>918.24765284782</v>
      </c>
      <c r="G271" s="28">
        <f t="shared" si="119" ref="G271:O273">IF(OR(C217=0,C217="NM",G217="NM"),"NM",10000*(G217-C217))</f>
        <v>-53.6310608138402</v>
      </c>
      <c r="H271" s="28">
        <f t="shared" si="119"/>
        <v>-438.21200128624</v>
      </c>
      <c r="I271" s="28">
        <f t="shared" si="119"/>
        <v>-976.44884059562</v>
      </c>
      <c r="J271" s="28">
        <f t="shared" si="119"/>
        <v>44.4388842936699</v>
      </c>
      <c r="K271" s="28">
        <f t="shared" si="119"/>
        <v>260.11048344799</v>
      </c>
      <c r="L271" s="28">
        <f t="shared" si="119"/>
        <v>1006.27754543997</v>
      </c>
      <c r="M271" s="28">
        <f t="shared" si="119"/>
        <v>1158.93975928538</v>
      </c>
      <c r="N271" s="28">
        <f t="shared" si="119"/>
        <v>230.93929090396</v>
      </c>
      <c r="O271" s="28">
        <f t="shared" si="119"/>
        <v>388.10441835402</v>
      </c>
    </row>
    <row customHeight="1" ht="15">
      <c r="A272" s="9" t="s">
        <v>258</v>
      </c>
      <c r="E272" s="28">
        <f t="shared" si="120"/>
        <v>918.24765284782</v>
      </c>
      <c r="G272" s="28">
        <f t="shared" si="119"/>
        <v>-58.3437071423798</v>
      </c>
      <c r="H272" s="28">
        <f t="shared" si="119"/>
        <v>-439.8854374108</v>
      </c>
      <c r="I272" s="28">
        <f t="shared" si="119"/>
        <v>-976.44884059562</v>
      </c>
      <c r="J272" s="28">
        <f t="shared" si="119"/>
        <v>41.9943482088297</v>
      </c>
      <c r="K272" s="28">
        <f t="shared" si="119"/>
        <v>263.55548402172</v>
      </c>
      <c r="L272" s="28">
        <f t="shared" si="119"/>
        <v>1017.89048965693</v>
      </c>
      <c r="M272" s="28">
        <f t="shared" si="119"/>
        <v>1158.93975928538</v>
      </c>
      <c r="N272" s="28">
        <f t="shared" si="119"/>
        <v>248.21404659492</v>
      </c>
      <c r="O272" s="28">
        <f t="shared" si="119"/>
        <v>400.90369979358</v>
      </c>
    </row>
    <row customHeight="1" ht="15">
      <c r="A273" s="9" t="s">
        <v>259</v>
      </c>
      <c r="E273" s="28">
        <f t="shared" si="120"/>
        <v>916.352056111388</v>
      </c>
      <c r="G273" s="28">
        <f t="shared" si="119"/>
        <v>-457.625263992974</v>
      </c>
      <c r="H273" s="28">
        <f t="shared" si="119"/>
        <v>-630.287911999504</v>
      </c>
      <c r="I273" s="28">
        <f t="shared" si="119"/>
        <v>-1143.72957000516</v>
      </c>
      <c r="J273" s="28">
        <f t="shared" si="119"/>
        <v>212.73556959111</v>
      </c>
      <c r="K273" s="28">
        <f t="shared" si="119"/>
        <v>544.377947391724</v>
      </c>
      <c r="L273" s="28">
        <f t="shared" si="119"/>
        <v>1214.19100455854</v>
      </c>
      <c r="M273" s="28">
        <f t="shared" si="119"/>
        <v>1387.41135477314</v>
      </c>
      <c r="N273" s="28">
        <f t="shared" si="119"/>
        <v>355.74980205023</v>
      </c>
      <c r="O273" s="28">
        <f t="shared" si="119"/>
        <v>465.20873971696</v>
      </c>
    </row>
    <row customHeight="1" ht="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7" customHeight="1" ht="30">
      <c r="A277" s="9"/>
    </row>
    <row customHeight="1" ht="54">
      <c r="A278" s="29" t="s">
        <v>260</v>
      </c>
    </row>
    <row r="282" customHeight="1" ht="15">
      <c r="A282" s="29" t="s">
        <v>261</v>
      </c>
    </row>
    <row customHeight="1" ht="15">
      <c r="A283" s="30" t="s">
        <v>262</v>
      </c>
    </row>
  </sheetData>
  <hyperlinks>
    <hyperlink ref="A283" r:id="rId1" tooltip="Source location" xr:uid="{825167A8-0B15-1838-D458-3DAE508797F8}"/>
  </hyperlin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E554F88-C8A8-C9ED-FA39-9046E68177A8}" mc:Ignorable="x14ac xr xr2 xr3">
  <dimension ref="A1:O284"/>
  <sheetViews>
    <sheetView defaultGridColor="0" colorId="9" showGridLines="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15" width="10.7109375" customWidth="1"/>
  </cols>
  <sheetData>
    <row customHeight="1" ht="15">
      <c r="A1" s="0" t="s">
        <v>0</v>
      </c>
      <c r="B1" s="1" t="s">
        <v>1</v>
      </c>
      <c r="C1" s="1" t="s">
        <v>267</v>
      </c>
      <c r="D1" s="1" t="s">
        <v>6</v>
      </c>
      <c r="E1" s="1" t="s">
        <v>2</v>
      </c>
      <c r="F1" s="1" t="s">
        <v>8</v>
      </c>
      <c r="G1" s="1" t="s">
        <v>9</v>
      </c>
      <c r="H1" s="1" t="s">
        <v>10</v>
      </c>
      <c r="I1" s="1" t="s">
        <v>3</v>
      </c>
      <c r="J1" s="1" t="s">
        <v>12</v>
      </c>
      <c r="K1" s="1" t="s">
        <v>13</v>
      </c>
      <c r="L1" s="1" t="s">
        <v>14</v>
      </c>
      <c r="M1" s="1" t="s">
        <v>4</v>
      </c>
      <c r="N1" s="1" t="s">
        <v>16</v>
      </c>
      <c r="O1" s="1" t="s">
        <v>17</v>
      </c>
    </row>
    <row customHeight="1" ht="15">
      <c r="A2" s="2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customHeight="1" ht="15">
      <c r="A3" s="4" t="s">
        <v>21</v>
      </c>
      <c r="B3" s="5">
        <v>308.108761</v>
      </c>
      <c r="E3" s="5">
        <v>356.197081</v>
      </c>
      <c r="G3" s="7">
        <f>E3+'Quarterly YTD'!G3-'Quarterly YTD'!C3</f>
        <v>337.87998</v>
      </c>
      <c r="H3" s="7">
        <f>E3+'Quarterly YTD'!H3-'Quarterly YTD'!D3</f>
        <v>354.763237</v>
      </c>
      <c r="I3" s="5">
        <v>355.993682</v>
      </c>
      <c r="J3" s="7">
        <f>I3+'Quarterly YTD'!J3-'Quarterly YTD'!F3</f>
        <v>363.687447</v>
      </c>
      <c r="K3" s="7">
        <f>I3+'Quarterly YTD'!K3-'Quarterly YTD'!G3</f>
        <v>375.201356</v>
      </c>
      <c r="L3" s="7">
        <f>I3+'Quarterly YTD'!L3-'Quarterly YTD'!H3</f>
        <v>393.90068</v>
      </c>
      <c r="M3" s="5">
        <v>408.648772</v>
      </c>
      <c r="N3" s="7">
        <f>M3+'Quarterly YTD'!N3-'Quarterly YTD'!J3</f>
        <v>429.491989</v>
      </c>
      <c r="O3" s="7">
        <f>M3+'Quarterly YTD'!O3-'Quarterly YTD'!K3</f>
        <v>445.671771</v>
      </c>
    </row>
    <row customHeight="1" ht="15">
      <c r="A4" s="9" t="s">
        <v>22</v>
      </c>
      <c r="B4" s="0">
        <v>-136.085149</v>
      </c>
      <c r="E4" s="0">
        <v>-139.635052</v>
      </c>
      <c r="G4" s="11">
        <f>E4+'Quarterly YTD'!G4-'Quarterly YTD'!C4</f>
        <v>-129.777399</v>
      </c>
      <c r="H4" s="11">
        <f>E4+'Quarterly YTD'!H4-'Quarterly YTD'!D4</f>
        <v>-142.070711</v>
      </c>
      <c r="I4" s="0">
        <v>-145.864517</v>
      </c>
      <c r="J4" s="11">
        <f>I4+'Quarterly YTD'!J4-'Quarterly YTD'!F4</f>
        <v>-148.695727</v>
      </c>
      <c r="K4" s="11">
        <f>I4+'Quarterly YTD'!K4-'Quarterly YTD'!G4</f>
        <v>-146.882553</v>
      </c>
      <c r="L4" s="11">
        <f>I4+'Quarterly YTD'!L4-'Quarterly YTD'!H4</f>
        <v>-140.938531</v>
      </c>
      <c r="M4" s="0">
        <v>-144.119262</v>
      </c>
      <c r="N4" s="11">
        <f>M4+'Quarterly YTD'!N4-'Quarterly YTD'!J4</f>
        <v>-147.373922</v>
      </c>
      <c r="O4" s="11">
        <f>M4+'Quarterly YTD'!O4-'Quarterly YTD'!K4</f>
        <v>-149.350979</v>
      </c>
    </row>
    <row customHeight="1" ht="15">
      <c r="A5" s="9" t="s">
        <v>23</v>
      </c>
      <c r="B5" s="0">
        <v>-108.124855</v>
      </c>
      <c r="E5" s="0">
        <v>-115.298115</v>
      </c>
      <c r="G5" s="11">
        <f>E5+'Quarterly YTD'!G5-'Quarterly YTD'!C5</f>
        <v>-113.11501</v>
      </c>
      <c r="H5" s="11">
        <f>E5+'Quarterly YTD'!H5-'Quarterly YTD'!D5</f>
        <v>-124.072903</v>
      </c>
      <c r="I5" s="0">
        <v>-130.957906</v>
      </c>
      <c r="J5" s="11">
        <f>I5+'Quarterly YTD'!J5-'Quarterly YTD'!F5</f>
        <v>-132.92766</v>
      </c>
      <c r="K5" s="11">
        <f>I5+'Quarterly YTD'!K5-'Quarterly YTD'!G5</f>
        <v>-139.161717</v>
      </c>
      <c r="L5" s="11">
        <f>I5+'Quarterly YTD'!L5-'Quarterly YTD'!H5</f>
        <v>-134.190586</v>
      </c>
      <c r="M5" s="0">
        <v>-130.081</v>
      </c>
      <c r="N5" s="11">
        <f>M5+'Quarterly YTD'!N5-'Quarterly YTD'!J5</f>
        <v>-137.501791</v>
      </c>
      <c r="O5" s="11">
        <f>M5+'Quarterly YTD'!O5-'Quarterly YTD'!K5</f>
        <v>-142.367568</v>
      </c>
    </row>
    <row customHeight="1" ht="15">
      <c r="A6" s="9" t="s">
        <v>24</v>
      </c>
      <c r="B6" s="0">
        <v>-42.745142</v>
      </c>
      <c r="E6" s="0">
        <v>-47.380285</v>
      </c>
      <c r="G6" s="11">
        <f>E6+'Quarterly YTD'!G6-'Quarterly YTD'!C6</f>
        <v>-47.839564</v>
      </c>
      <c r="H6" s="11">
        <f>E6+'Quarterly YTD'!H6-'Quarterly YTD'!D6</f>
        <v>-47.689041</v>
      </c>
      <c r="I6" s="0">
        <v>-48.614609</v>
      </c>
      <c r="J6" s="11">
        <f>I6+'Quarterly YTD'!J6-'Quarterly YTD'!F6</f>
        <v>-48.676557</v>
      </c>
      <c r="K6" s="11">
        <f>I6+'Quarterly YTD'!K6-'Quarterly YTD'!G6</f>
        <v>-47.417432</v>
      </c>
      <c r="L6" s="11">
        <f>I6+'Quarterly YTD'!L6-'Quarterly YTD'!H6</f>
        <v>-50.375114</v>
      </c>
      <c r="M6" s="0">
        <v>-50.741037</v>
      </c>
      <c r="N6" s="11">
        <f>M6+'Quarterly YTD'!N6-'Quarterly YTD'!J6</f>
        <v>-53.461583</v>
      </c>
      <c r="O6" s="11">
        <f>M6+'Quarterly YTD'!O6-'Quarterly YTD'!K6</f>
        <v>-56.226568</v>
      </c>
    </row>
    <row customHeight="1" ht="15">
      <c r="A7" s="9" t="s">
        <v>25</v>
      </c>
      <c r="B7" s="0">
        <v>-11.955373</v>
      </c>
      <c r="E7" s="0">
        <v>-15.925177</v>
      </c>
      <c r="G7" s="11">
        <f>E7+'Quarterly YTD'!G7-'Quarterly YTD'!C7</f>
        <v>-19.416151</v>
      </c>
      <c r="H7" s="11">
        <f>E7+'Quarterly YTD'!H7-'Quarterly YTD'!D7</f>
        <v>-20.365667</v>
      </c>
      <c r="I7" s="0">
        <v>-20.609792</v>
      </c>
      <c r="J7" s="11">
        <f>I7+'Quarterly YTD'!J7-'Quarterly YTD'!F7</f>
        <v>-20.498581</v>
      </c>
      <c r="K7" s="11">
        <f>I7+'Quarterly YTD'!K7-'Quarterly YTD'!G7</f>
        <v>-20.29944</v>
      </c>
      <c r="L7" s="11">
        <f>I7+'Quarterly YTD'!L7-'Quarterly YTD'!H7</f>
        <v>-20.328179</v>
      </c>
      <c r="M7" s="0">
        <v>-19.385894</v>
      </c>
      <c r="N7" s="11">
        <f>M7+'Quarterly YTD'!N7-'Quarterly YTD'!J7</f>
        <v>-19.271249</v>
      </c>
      <c r="O7" s="11">
        <f>M7+'Quarterly YTD'!O7-'Quarterly YTD'!K7</f>
        <v>-18.961141</v>
      </c>
    </row>
    <row customHeight="1" ht="15">
      <c r="A8" s="9" t="s">
        <v>26</v>
      </c>
      <c r="B8" s="0">
        <v>0</v>
      </c>
      <c r="E8" s="0">
        <v>0</v>
      </c>
      <c r="G8" s="11">
        <f>E8+'Quarterly YTD'!G8-'Quarterly YTD'!C8</f>
        <v>0</v>
      </c>
      <c r="H8" s="11">
        <f>E8+'Quarterly YTD'!H8-'Quarterly YTD'!D8</f>
        <v>0</v>
      </c>
      <c r="I8" s="0">
        <v>0</v>
      </c>
      <c r="J8" s="11">
        <f>I8+'Quarterly YTD'!J8-'Quarterly YTD'!F8</f>
        <v>0.039965</v>
      </c>
      <c r="K8" s="11">
        <f>I8+'Quarterly YTD'!K8-'Quarterly YTD'!G8</f>
        <v>0</v>
      </c>
      <c r="L8" s="11">
        <f>I8+'Quarterly YTD'!L8-'Quarterly YTD'!H8</f>
        <v>0</v>
      </c>
      <c r="M8" s="0">
        <v>0</v>
      </c>
      <c r="N8" s="11">
        <f>M8+'Quarterly YTD'!N8-'Quarterly YTD'!J8</f>
        <v>-0.155571</v>
      </c>
      <c r="O8" s="11">
        <f>M8+'Quarterly YTD'!O8-'Quarterly YTD'!K8</f>
        <v>0</v>
      </c>
    </row>
    <row customHeight="1" ht="15">
      <c r="A9" s="9" t="s">
        <v>27</v>
      </c>
      <c r="B9" s="0">
        <v>-1.660354</v>
      </c>
      <c r="E9" s="0">
        <v>1.024685</v>
      </c>
      <c r="G9" s="11">
        <f>E9+'Quarterly YTD'!G9-'Quarterly YTD'!C9</f>
        <v>0.965212</v>
      </c>
      <c r="H9" s="11">
        <f>E9+'Quarterly YTD'!H9-'Quarterly YTD'!D9</f>
        <v>0.518662</v>
      </c>
      <c r="I9" s="0">
        <v>-0.904712</v>
      </c>
      <c r="J9" s="11">
        <f>I9+'Quarterly YTD'!J9-'Quarterly YTD'!F9</f>
        <v>-0.896099</v>
      </c>
      <c r="K9" s="11">
        <f>I9+'Quarterly YTD'!K9-'Quarterly YTD'!G9</f>
        <v>-0.788288</v>
      </c>
      <c r="L9" s="11">
        <f>I9+'Quarterly YTD'!L9-'Quarterly YTD'!H9</f>
        <v>-0.36845</v>
      </c>
      <c r="M9" s="0">
        <v>-0.605485</v>
      </c>
      <c r="N9" s="11">
        <f>M9+'Quarterly YTD'!N9-'Quarterly YTD'!J9</f>
        <v>-0.605485</v>
      </c>
      <c r="O9" s="11">
        <f>M9+'Quarterly YTD'!O9-'Quarterly YTD'!K9</f>
        <v>-0.218586</v>
      </c>
    </row>
    <row customHeight="1" ht="15">
      <c r="A10" s="9" t="s">
        <v>29</v>
      </c>
      <c r="B10" s="0">
        <v>-0.390413</v>
      </c>
      <c r="E10" s="0">
        <v>0</v>
      </c>
      <c r="G10" s="11">
        <f>E10+'Quarterly YTD'!G10-'Quarterly YTD'!C10</f>
        <v>0</v>
      </c>
      <c r="H10" s="11">
        <f>E10+'Quarterly YTD'!H10-'Quarterly YTD'!D10</f>
        <v>-0.12936</v>
      </c>
      <c r="I10" s="0">
        <v>-0.12936</v>
      </c>
      <c r="J10" s="11">
        <f>I10+'Quarterly YTD'!J10-'Quarterly YTD'!F10</f>
        <v>-0.12936</v>
      </c>
      <c r="K10" s="11">
        <f>I10+'Quarterly YTD'!K10-'Quarterly YTD'!G10</f>
        <v>-0.168047</v>
      </c>
      <c r="L10" s="11">
        <f>I10+'Quarterly YTD'!L10-'Quarterly YTD'!H10</f>
        <v>-0.052032</v>
      </c>
      <c r="M10" s="0">
        <v>-0.065328</v>
      </c>
      <c r="N10" s="11">
        <f>M10+'Quarterly YTD'!N10-'Quarterly YTD'!J10</f>
        <v>-0.403895</v>
      </c>
      <c r="O10" s="11">
        <f>M10+'Quarterly YTD'!O10-'Quarterly YTD'!K10</f>
        <v>-0.432576</v>
      </c>
    </row>
    <row customHeight="1" ht="15">
      <c r="A11" s="9" t="s">
        <v>30</v>
      </c>
      <c r="B11" s="0">
        <v>0</v>
      </c>
      <c r="E11" s="0">
        <v>0</v>
      </c>
      <c r="G11" s="11">
        <f>E11+'Quarterly YTD'!G11-'Quarterly YTD'!C11</f>
        <v>0</v>
      </c>
      <c r="H11" s="11">
        <f>E11+'Quarterly YTD'!H11-'Quarterly YTD'!D11</f>
        <v>0</v>
      </c>
      <c r="I11" s="0">
        <v>-0.072471</v>
      </c>
      <c r="J11" s="11">
        <f>I11+'Quarterly YTD'!J11-'Quarterly YTD'!F11</f>
        <v>-0.072471</v>
      </c>
      <c r="K11" s="11">
        <f>I11+'Quarterly YTD'!K11-'Quarterly YTD'!G11</f>
        <v>-0.072471</v>
      </c>
      <c r="L11" s="11">
        <f>I11+'Quarterly YTD'!L11-'Quarterly YTD'!H11</f>
        <v>-0.072471</v>
      </c>
      <c r="M11" s="0">
        <v>-0.06976</v>
      </c>
      <c r="N11" s="11">
        <f>M11+'Quarterly YTD'!N11-'Quarterly YTD'!J11</f>
        <v>-0.06976</v>
      </c>
      <c r="O11" s="11">
        <f>M11+'Quarterly YTD'!O11-'Quarterly YTD'!K11</f>
        <v>-0.084892</v>
      </c>
    </row>
    <row customHeight="1" ht="15">
      <c r="A12" s="9" t="s">
        <v>31</v>
      </c>
      <c r="B12" s="0">
        <v>8.760054</v>
      </c>
      <c r="E12" s="0">
        <v>12.047365</v>
      </c>
      <c r="G12" s="11">
        <f>E12+'Quarterly YTD'!G12-'Quarterly YTD'!C12</f>
        <v>12.218857</v>
      </c>
      <c r="H12" s="11">
        <f>E12+'Quarterly YTD'!H12-'Quarterly YTD'!D12</f>
        <v>13.358372</v>
      </c>
      <c r="I12" s="0">
        <v>1.444997</v>
      </c>
      <c r="J12" s="11">
        <f>I12+'Quarterly YTD'!J12-'Quarterly YTD'!F12</f>
        <v>1.2512</v>
      </c>
      <c r="K12" s="11">
        <f>I12+'Quarterly YTD'!K12-'Quarterly YTD'!G12</f>
        <v>1.773107</v>
      </c>
      <c r="L12" s="11">
        <f>I12+'Quarterly YTD'!L12-'Quarterly YTD'!H12</f>
        <v>1.122928</v>
      </c>
      <c r="M12" s="0">
        <v>4.922003</v>
      </c>
      <c r="N12" s="11">
        <f>M12+'Quarterly YTD'!N12-'Quarterly YTD'!J12</f>
        <v>4.553807</v>
      </c>
      <c r="O12" s="11">
        <f>M12+'Quarterly YTD'!O12-'Quarterly YTD'!K12</f>
        <v>5.827131</v>
      </c>
    </row>
    <row customHeight="1" ht="15">
      <c r="A13" s="4" t="s">
        <v>32</v>
      </c>
      <c r="B13" s="7">
        <f>SUM(B3:B7)+SUM(B9:B10)+B12</f>
        <v>15.907529</v>
      </c>
      <c r="E13" s="7">
        <f t="shared" si="0" ref="E13:M13">SUM(E3:E7)+SUM(E9:E12)</f>
        <v>51.030502</v>
      </c>
      <c r="G13" s="7">
        <f>E13+'Quarterly YTD'!G13-'Quarterly YTD'!C13</f>
        <v>40.915925</v>
      </c>
      <c r="H13" s="7">
        <f>E13+'Quarterly YTD'!H13-'Quarterly YTD'!D13</f>
        <v>34.312589</v>
      </c>
      <c r="I13" s="7">
        <f t="shared" si="0"/>
        <v>10.285312</v>
      </c>
      <c r="J13" s="7">
        <f>I13+'Quarterly YTD'!J13-'Quarterly YTD'!F13</f>
        <v>13.082157</v>
      </c>
      <c r="K13" s="7">
        <f>I13+'Quarterly YTD'!K13-'Quarterly YTD'!G13</f>
        <v>22.184515</v>
      </c>
      <c r="L13" s="7">
        <f>I13+'Quarterly YTD'!L13-'Quarterly YTD'!H13</f>
        <v>48.698245</v>
      </c>
      <c r="M13" s="7">
        <f t="shared" si="0"/>
        <v>68.503009</v>
      </c>
      <c r="N13" s="7">
        <f>M13+'Quarterly YTD'!N13-'Quarterly YTD'!J13</f>
        <v>75.20254</v>
      </c>
      <c r="O13" s="7">
        <f>M13+'Quarterly YTD'!O13-'Quarterly YTD'!K13</f>
        <v>83.856592</v>
      </c>
    </row>
    <row customHeight="1" ht="15">
      <c r="A14" s="9" t="s">
        <v>33</v>
      </c>
      <c r="B14" s="0">
        <v>1.932958</v>
      </c>
      <c r="E14" s="0">
        <v>2.126254</v>
      </c>
      <c r="G14" s="11">
        <f>E14+'Quarterly YTD'!G14-'Quarterly YTD'!C14</f>
        <v>2.126254</v>
      </c>
      <c r="H14" s="11">
        <f>E14+'Quarterly YTD'!H14-'Quarterly YTD'!D14</f>
        <v>2.126254</v>
      </c>
      <c r="I14" s="0">
        <v>2.33888</v>
      </c>
      <c r="J14" s="11">
        <f>I14+'Quarterly YTD'!J14-'Quarterly YTD'!F14</f>
        <v>2.33888</v>
      </c>
      <c r="K14" s="11">
        <f>I14+'Quarterly YTD'!K14-'Quarterly YTD'!G14</f>
        <v>2.33888</v>
      </c>
      <c r="L14" s="11">
        <f>I14+'Quarterly YTD'!L14-'Quarterly YTD'!H14</f>
        <v>2.33888</v>
      </c>
      <c r="M14" s="0">
        <v>2.572767</v>
      </c>
      <c r="N14" s="11">
        <f>M14+'Quarterly YTD'!N14-'Quarterly YTD'!J14</f>
        <v>2.572767</v>
      </c>
      <c r="O14" s="11">
        <f>M14+'Quarterly YTD'!O14-'Quarterly YTD'!K14</f>
        <v>2.572767</v>
      </c>
    </row>
    <row customHeight="1" ht="15">
      <c r="A15" s="9" t="s">
        <v>34</v>
      </c>
      <c r="B15" s="0">
        <v>0</v>
      </c>
      <c r="E15" s="0">
        <v>0</v>
      </c>
      <c r="G15" s="11">
        <f>E15+'Quarterly YTD'!G15-'Quarterly YTD'!C15</f>
        <v>0.106313</v>
      </c>
      <c r="H15" s="11">
        <f>E15+'Quarterly YTD'!H15-'Quarterly YTD'!D15</f>
        <v>0.159469</v>
      </c>
      <c r="I15" s="0">
        <v>0</v>
      </c>
      <c r="J15" s="11">
        <f>I15+'Quarterly YTD'!J15-'Quarterly YTD'!F15</f>
        <v>0.058469</v>
      </c>
      <c r="K15" s="11">
        <f>I15+'Quarterly YTD'!K15-'Quarterly YTD'!G15</f>
        <v>0.116944</v>
      </c>
      <c r="L15" s="11">
        <f>I15+'Quarterly YTD'!L15-'Quarterly YTD'!H15</f>
        <v>0.175416</v>
      </c>
      <c r="M15" s="0">
        <v>0</v>
      </c>
      <c r="N15" s="11">
        <f>M15+'Quarterly YTD'!N15-'Quarterly YTD'!J15</f>
        <v>0.064322</v>
      </c>
      <c r="O15" s="11">
        <f>M15+'Quarterly YTD'!O15-'Quarterly YTD'!K15</f>
        <v>0.128638</v>
      </c>
    </row>
    <row customHeight="1" ht="15">
      <c r="A16" s="9" t="s">
        <v>35</v>
      </c>
      <c r="B16" s="0">
        <v>0.187722</v>
      </c>
      <c r="E16" s="0">
        <v>0.156096</v>
      </c>
      <c r="G16" s="11">
        <f>E16+'Quarterly YTD'!G16-'Quarterly YTD'!C16</f>
        <v>0.158819</v>
      </c>
      <c r="H16" s="11">
        <f>E16+'Quarterly YTD'!H16-'Quarterly YTD'!D16</f>
        <v>0.157212</v>
      </c>
      <c r="I16" s="0">
        <v>0.329062</v>
      </c>
      <c r="J16" s="11">
        <f>I16+'Quarterly YTD'!J16-'Quarterly YTD'!F16</f>
        <v>0.3978</v>
      </c>
      <c r="K16" s="11">
        <f>I16+'Quarterly YTD'!K16-'Quarterly YTD'!G16</f>
        <v>0.407202</v>
      </c>
      <c r="L16" s="11">
        <f>I16+'Quarterly YTD'!L16-'Quarterly YTD'!H16</f>
        <v>0.442984</v>
      </c>
      <c r="M16" s="0">
        <v>0.269998</v>
      </c>
      <c r="N16" s="11">
        <f>M16+'Quarterly YTD'!N16-'Quarterly YTD'!J16</f>
        <v>0.397375</v>
      </c>
      <c r="O16" s="11">
        <f>M16+'Quarterly YTD'!O16-'Quarterly YTD'!K16</f>
        <v>0.501385</v>
      </c>
    </row>
    <row customHeight="1" ht="15">
      <c r="A17" s="9" t="s">
        <v>36</v>
      </c>
      <c r="B17" s="0">
        <v>-55.213244</v>
      </c>
      <c r="E17" s="0">
        <v>-64.737849</v>
      </c>
      <c r="G17" s="11">
        <f>E17+'Quarterly YTD'!G17-'Quarterly YTD'!C17</f>
        <v>-60.917214</v>
      </c>
      <c r="H17" s="11">
        <f>E17+'Quarterly YTD'!H17-'Quarterly YTD'!D17</f>
        <v>-62.858629</v>
      </c>
      <c r="I17" s="0">
        <v>-74.276529</v>
      </c>
      <c r="J17" s="11">
        <f>I17+'Quarterly YTD'!J17-'Quarterly YTD'!F17</f>
        <v>-75.992035</v>
      </c>
      <c r="K17" s="11">
        <f>I17+'Quarterly YTD'!K17-'Quarterly YTD'!G17</f>
        <v>-77.766373</v>
      </c>
      <c r="L17" s="11">
        <f>I17+'Quarterly YTD'!L17-'Quarterly YTD'!H17</f>
        <v>-79.875363</v>
      </c>
      <c r="M17" s="0">
        <v>-71.039195</v>
      </c>
      <c r="N17" s="11">
        <f>M17+'Quarterly YTD'!N17-'Quarterly YTD'!J17</f>
        <v>-74.247913</v>
      </c>
      <c r="O17" s="11">
        <f>M17+'Quarterly YTD'!O17-'Quarterly YTD'!K17</f>
        <v>-77.784129</v>
      </c>
    </row>
    <row customHeight="1" ht="15">
      <c r="A18" s="9" t="s">
        <v>37</v>
      </c>
      <c r="B18" s="0">
        <v>-24.108535</v>
      </c>
      <c r="E18" s="0">
        <v>-114.151736</v>
      </c>
      <c r="G18" s="11">
        <f>E18+'Quarterly YTD'!G18-'Quarterly YTD'!C18</f>
        <v>-51.710745</v>
      </c>
      <c r="H18" s="11">
        <f>E18+'Quarterly YTD'!H18-'Quarterly YTD'!D18</f>
        <v>-64.181368</v>
      </c>
      <c r="I18" s="0">
        <v>-39.271284</v>
      </c>
      <c r="J18" s="11">
        <f>I18+'Quarterly YTD'!J18-'Quarterly YTD'!F18</f>
        <v>-32.460065</v>
      </c>
      <c r="K18" s="11">
        <f>I18+'Quarterly YTD'!K18-'Quarterly YTD'!G18</f>
        <v>-29.292779</v>
      </c>
      <c r="L18" s="11">
        <f>I18+'Quarterly YTD'!L18-'Quarterly YTD'!H18</f>
        <v>-3.553722</v>
      </c>
      <c r="M18" s="0">
        <v>37.680522</v>
      </c>
      <c r="N18" s="11">
        <f>M18+'Quarterly YTD'!N18-'Quarterly YTD'!J18</f>
        <v>29.847942</v>
      </c>
      <c r="O18" s="11">
        <f>M18+'Quarterly YTD'!O18-'Quarterly YTD'!K18</f>
        <v>33.66656</v>
      </c>
    </row>
    <row customHeight="1" ht="15">
      <c r="A19" s="9" t="s">
        <v>38</v>
      </c>
      <c r="B19" s="0">
        <v>0</v>
      </c>
      <c r="E19" s="0">
        <v>21.543365</v>
      </c>
      <c r="G19" s="11">
        <f>E19+'Quarterly YTD'!G19-'Quarterly YTD'!C19</f>
        <v>-6.850365</v>
      </c>
      <c r="H19" s="11">
        <f>E19+'Quarterly YTD'!H19-'Quarterly YTD'!D19</f>
        <v>-5.050614</v>
      </c>
      <c r="I19" s="0">
        <v>3.558212</v>
      </c>
      <c r="J19" s="11">
        <f>I19+'Quarterly YTD'!J19-'Quarterly YTD'!F19</f>
        <v>-0.371064</v>
      </c>
      <c r="K19" s="11">
        <f>I19+'Quarterly YTD'!K19-'Quarterly YTD'!G19</f>
        <v>-0.642826</v>
      </c>
      <c r="L19" s="11">
        <f>I19+'Quarterly YTD'!L19-'Quarterly YTD'!H19</f>
        <v>1.264729</v>
      </c>
      <c r="M19" s="0">
        <v>-1.599516</v>
      </c>
      <c r="N19" s="11">
        <f>M19+'Quarterly YTD'!N19-'Quarterly YTD'!J19</f>
        <v>1.403633</v>
      </c>
      <c r="O19" s="11">
        <f>M19+'Quarterly YTD'!O19-'Quarterly YTD'!K19</f>
        <v>1.419819</v>
      </c>
    </row>
    <row customHeight="1" ht="15">
      <c r="A20" s="9" t="s">
        <v>39</v>
      </c>
      <c r="B20" s="11">
        <f>SUM(B13:B14)+SUM(B16:B18)</f>
        <v>-61.29357</v>
      </c>
      <c r="E20" s="11">
        <f t="shared" si="1" ref="E20:M20">SUM(E13:E14)+SUM(E16:E19)</f>
        <v>-104.033368</v>
      </c>
      <c r="G20" s="11">
        <f>E20+'Quarterly YTD'!G20-'Quarterly YTD'!C20</f>
        <v>-76.171013</v>
      </c>
      <c r="H20" s="11">
        <f>E20+'Quarterly YTD'!H20-'Quarterly YTD'!D20</f>
        <v>-95.335087</v>
      </c>
      <c r="I20" s="11">
        <f t="shared" si="1"/>
        <v>-97.036347</v>
      </c>
      <c r="J20" s="11">
        <f>I20+'Quarterly YTD'!J20-'Quarterly YTD'!F20</f>
        <v>-92.945858</v>
      </c>
      <c r="K20" s="11">
        <f>I20+'Quarterly YTD'!K20-'Quarterly YTD'!G20</f>
        <v>-82.654437</v>
      </c>
      <c r="L20" s="11">
        <f>I20+'Quarterly YTD'!L20-'Quarterly YTD'!H20</f>
        <v>-30.508831</v>
      </c>
      <c r="M20" s="11">
        <f t="shared" si="1"/>
        <v>36.387585</v>
      </c>
      <c r="N20" s="11">
        <f>M20+'Quarterly YTD'!N20-'Quarterly YTD'!J20</f>
        <v>35.240666</v>
      </c>
      <c r="O20" s="11">
        <f>M20+'Quarterly YTD'!O20-'Quarterly YTD'!K20</f>
        <v>44.361632</v>
      </c>
    </row>
    <row customHeight="1" ht="15">
      <c r="A21" s="9" t="s">
        <v>40</v>
      </c>
      <c r="B21" s="0">
        <v>-0.891378</v>
      </c>
      <c r="E21" s="0">
        <v>-11.454357</v>
      </c>
      <c r="G21" s="11">
        <f>E21+'Quarterly YTD'!G21-'Quarterly YTD'!C21</f>
        <v>-4.660513</v>
      </c>
      <c r="H21" s="11">
        <f>E21+'Quarterly YTD'!H21-'Quarterly YTD'!D21</f>
        <v>-10.085143</v>
      </c>
      <c r="I21" s="0">
        <v>-6.737506</v>
      </c>
      <c r="J21" s="11">
        <f>I21+'Quarterly YTD'!J21-'Quarterly YTD'!F21</f>
        <v>-6.188928</v>
      </c>
      <c r="K21" s="11">
        <f>I21+'Quarterly YTD'!K21-'Quarterly YTD'!G21</f>
        <v>-5.751864</v>
      </c>
      <c r="L21" s="11">
        <f>I21+'Quarterly YTD'!L21-'Quarterly YTD'!H21</f>
        <v>-6.844235</v>
      </c>
      <c r="M21" s="0">
        <v>-6.007564</v>
      </c>
      <c r="N21" s="11">
        <f>M21+'Quarterly YTD'!N21-'Quarterly YTD'!J21</f>
        <v>-7.719341</v>
      </c>
      <c r="O21" s="11">
        <f>M21+'Quarterly YTD'!O21-'Quarterly YTD'!K21</f>
        <v>-9.937987</v>
      </c>
    </row>
    <row customHeight="1" ht="15">
      <c r="A22" s="9" t="s">
        <v>41</v>
      </c>
      <c r="B22" s="11">
        <f t="shared" si="2" ref="B22:O125">SUM(B20:B21)</f>
        <v>-62.184948</v>
      </c>
      <c r="E22" s="11">
        <f t="shared" si="2"/>
        <v>-115.487725</v>
      </c>
      <c r="G22" s="11">
        <f t="shared" si="2"/>
        <v>-80.831526</v>
      </c>
      <c r="H22" s="11">
        <f t="shared" si="2"/>
        <v>-105.42023</v>
      </c>
      <c r="I22" s="11">
        <f t="shared" si="2"/>
        <v>-103.773853</v>
      </c>
      <c r="J22" s="11">
        <f t="shared" si="2"/>
        <v>-99.134786</v>
      </c>
      <c r="K22" s="11">
        <f t="shared" si="2"/>
        <v>-88.406301</v>
      </c>
      <c r="L22" s="11">
        <f t="shared" si="2"/>
        <v>-37.353066</v>
      </c>
      <c r="M22" s="11">
        <f t="shared" si="2"/>
        <v>30.380021</v>
      </c>
      <c r="N22" s="11">
        <f t="shared" si="2"/>
        <v>27.521325</v>
      </c>
      <c r="O22" s="11">
        <f t="shared" si="2"/>
        <v>34.423645</v>
      </c>
    </row>
    <row customHeight="1" ht="15">
      <c r="A23" s="9" t="s">
        <v>42</v>
      </c>
      <c r="B23" s="0">
        <v>0.397799</v>
      </c>
      <c r="E23" s="0">
        <v>0.001763</v>
      </c>
      <c r="G23" s="11">
        <f>E23+'Quarterly YTD'!G23-'Quarterly YTD'!C23</f>
        <v>-0.004891</v>
      </c>
      <c r="H23" s="11">
        <f>E23+'Quarterly YTD'!H23-'Quarterly YTD'!D23</f>
        <v>0.019756</v>
      </c>
      <c r="I23" s="0">
        <v>0.042832</v>
      </c>
      <c r="J23" s="11">
        <f>I23+'Quarterly YTD'!J23-'Quarterly YTD'!F23</f>
        <v>0.078399</v>
      </c>
      <c r="K23" s="11">
        <f>I23+'Quarterly YTD'!K23-'Quarterly YTD'!G23</f>
        <v>0.075115</v>
      </c>
      <c r="L23" s="11">
        <f>I23+'Quarterly YTD'!L23-'Quarterly YTD'!H23</f>
        <v>0.031925</v>
      </c>
      <c r="M23" s="0">
        <v>0.042544</v>
      </c>
      <c r="N23" s="11">
        <f>M23+'Quarterly YTD'!N23-'Quarterly YTD'!J23</f>
        <v>0.028811</v>
      </c>
      <c r="O23" s="11">
        <f>M23+'Quarterly YTD'!O23-'Quarterly YTD'!K23</f>
        <v>0.003499</v>
      </c>
    </row>
    <row customHeight="1" ht="15">
      <c r="A24" s="4" t="s">
        <v>43</v>
      </c>
      <c r="B24" s="7">
        <f t="shared" si="2"/>
        <v>-61.787149</v>
      </c>
      <c r="E24" s="7">
        <f t="shared" si="2"/>
        <v>-115.485962</v>
      </c>
      <c r="G24" s="7">
        <f t="shared" si="2"/>
        <v>-80.836417</v>
      </c>
      <c r="H24" s="7">
        <f t="shared" si="2"/>
        <v>-105.400474</v>
      </c>
      <c r="I24" s="7">
        <f t="shared" si="2"/>
        <v>-103.731021</v>
      </c>
      <c r="J24" s="7">
        <f t="shared" si="2"/>
        <v>-99.056387</v>
      </c>
      <c r="K24" s="7">
        <f t="shared" si="2"/>
        <v>-88.331186</v>
      </c>
      <c r="L24" s="7">
        <f t="shared" si="2"/>
        <v>-37.321141</v>
      </c>
      <c r="M24" s="7">
        <f t="shared" si="2"/>
        <v>30.422565</v>
      </c>
      <c r="N24" s="7">
        <f t="shared" si="2"/>
        <v>27.550136</v>
      </c>
      <c r="O24" s="7">
        <f t="shared" si="2"/>
        <v>34.427144</v>
      </c>
    </row>
    <row customHeight="1" ht="15">
      <c r="A25" s="9" t="s">
        <v>44</v>
      </c>
      <c r="B25" s="0">
        <v>-61.744696</v>
      </c>
      <c r="E25" s="0">
        <v>-115.468153</v>
      </c>
      <c r="G25" s="11">
        <f>E25+'Quarterly YTD'!G25-'Quarterly YTD'!C25</f>
        <v>-80.825552</v>
      </c>
      <c r="H25" s="11">
        <f>E25+'Quarterly YTD'!H25-'Quarterly YTD'!D25</f>
        <v>-105.418743</v>
      </c>
      <c r="I25" s="0">
        <v>-103.758742</v>
      </c>
      <c r="J25" s="11">
        <f>I25+'Quarterly YTD'!J25-'Quarterly YTD'!F25</f>
        <v>-99.116397</v>
      </c>
      <c r="K25" s="11">
        <f>I25+'Quarterly YTD'!K25-'Quarterly YTD'!G25</f>
        <v>-88.363419</v>
      </c>
      <c r="L25" s="11">
        <f>I25+'Quarterly YTD'!L25-'Quarterly YTD'!H25</f>
        <v>-37.378</v>
      </c>
      <c r="M25" s="0">
        <v>30.417809</v>
      </c>
      <c r="N25" s="11">
        <f>M25+'Quarterly YTD'!N25-'Quarterly YTD'!J25</f>
        <v>27.593756</v>
      </c>
      <c r="O25" s="11">
        <f>M25+'Quarterly YTD'!O25-'Quarterly YTD'!K25</f>
        <v>34.470036</v>
      </c>
    </row>
    <row customHeight="1" ht="15">
      <c r="A26" s="9" t="s">
        <v>45</v>
      </c>
      <c r="B26" s="0">
        <v>-0.042453</v>
      </c>
      <c r="E26" s="0">
        <v>-0.017809</v>
      </c>
      <c r="G26" s="11">
        <f>E26+'Quarterly YTD'!G26-'Quarterly YTD'!C26</f>
        <v>-0.010865</v>
      </c>
      <c r="H26" s="11">
        <f>E26+'Quarterly YTD'!H26-'Quarterly YTD'!D26</f>
        <v>0.018269</v>
      </c>
      <c r="I26" s="0">
        <v>0.027721</v>
      </c>
      <c r="J26" s="11">
        <f>I26+'Quarterly YTD'!J26-'Quarterly YTD'!F26</f>
        <v>0.06001</v>
      </c>
      <c r="K26" s="11">
        <f>I26+'Quarterly YTD'!K26-'Quarterly YTD'!G26</f>
        <v>0.032233</v>
      </c>
      <c r="L26" s="11">
        <f>I26+'Quarterly YTD'!L26-'Quarterly YTD'!H26</f>
        <v>0.056859</v>
      </c>
      <c r="M26" s="0">
        <v>0.004756</v>
      </c>
      <c r="N26" s="11">
        <f>M26+'Quarterly YTD'!N26-'Quarterly YTD'!J26</f>
        <v>-0.04362</v>
      </c>
      <c r="O26" s="11">
        <f>M26+'Quarterly YTD'!O26-'Quarterly YTD'!K26</f>
        <v>-0.042892</v>
      </c>
    </row>
    <row customHeight="1" ht="15">
      <c r="A27" s="9" t="s">
        <v>46</v>
      </c>
      <c r="B27" s="0">
        <v>-1.064477</v>
      </c>
      <c r="E27" s="0">
        <v>52.549161</v>
      </c>
      <c r="G27" s="11">
        <f>E27+'Quarterly YTD'!G27-'Quarterly YTD'!C27</f>
        <v>51.890828</v>
      </c>
      <c r="H27" s="11">
        <f>E27+'Quarterly YTD'!H27-'Quarterly YTD'!D27</f>
        <v>9.17783799999999</v>
      </c>
      <c r="I27" s="0">
        <v>10.984271</v>
      </c>
      <c r="J27" s="11">
        <f>I27+'Quarterly YTD'!J27-'Quarterly YTD'!F27</f>
        <v>2.9698</v>
      </c>
      <c r="K27" s="11">
        <f>I27+'Quarterly YTD'!K27-'Quarterly YTD'!G27</f>
        <v>0.195727999999999</v>
      </c>
      <c r="L27" s="11">
        <f>I27+'Quarterly YTD'!L27-'Quarterly YTD'!H27</f>
        <v>-6.644797</v>
      </c>
      <c r="M27" s="0">
        <v>-21.059859</v>
      </c>
      <c r="N27" s="11">
        <f>M27+'Quarterly YTD'!N27-'Quarterly YTD'!J27</f>
        <v>-12.505984</v>
      </c>
      <c r="O27" s="11">
        <f>M27+'Quarterly YTD'!O27-'Quarterly YTD'!K27</f>
        <v>-13.242169</v>
      </c>
    </row>
    <row customHeight="1" ht="15">
      <c r="A28" s="9" t="s">
        <v>47</v>
      </c>
      <c r="B28" s="0">
        <v>-0.048464</v>
      </c>
      <c r="E28" s="0">
        <v>0.016915</v>
      </c>
      <c r="G28" s="11">
        <f>E28+'Quarterly YTD'!G28-'Quarterly YTD'!C28</f>
        <v>0.016915</v>
      </c>
      <c r="H28" s="11">
        <f>E28+'Quarterly YTD'!H28-'Quarterly YTD'!D28</f>
        <v>0.016915</v>
      </c>
      <c r="I28" s="0">
        <v>0.078297</v>
      </c>
      <c r="J28" s="11">
        <f>I28+'Quarterly YTD'!J28-'Quarterly YTD'!F28</f>
        <v>0.078297</v>
      </c>
      <c r="K28" s="11">
        <f>I28+'Quarterly YTD'!K28-'Quarterly YTD'!G28</f>
        <v>0.078297</v>
      </c>
      <c r="L28" s="11">
        <f>I28+'Quarterly YTD'!L28-'Quarterly YTD'!H28</f>
        <v>0.078297</v>
      </c>
      <c r="M28" s="0">
        <v>0.73497</v>
      </c>
      <c r="N28" s="11">
        <f>M28+'Quarterly YTD'!N28-'Quarterly YTD'!J28</f>
        <v>0.73497</v>
      </c>
      <c r="O28" s="11">
        <f>M28+'Quarterly YTD'!O28-'Quarterly YTD'!K28</f>
        <v>0.73497</v>
      </c>
    </row>
    <row customHeight="1" ht="15">
      <c r="A29" s="9" t="s">
        <v>48</v>
      </c>
      <c r="B29" s="11">
        <f t="shared" si="2"/>
        <v>-1.112941</v>
      </c>
      <c r="E29" s="11">
        <f t="shared" si="2"/>
        <v>52.566076</v>
      </c>
      <c r="G29" s="11">
        <f t="shared" si="2"/>
        <v>51.907743</v>
      </c>
      <c r="H29" s="11">
        <f t="shared" si="2"/>
        <v>9.19475299999999</v>
      </c>
      <c r="I29" s="11">
        <f t="shared" si="2"/>
        <v>11.062568</v>
      </c>
      <c r="J29" s="11">
        <f t="shared" si="2"/>
        <v>3.048097</v>
      </c>
      <c r="K29" s="11">
        <f t="shared" si="2"/>
        <v>0.274024999999999</v>
      </c>
      <c r="L29" s="11">
        <f t="shared" si="2"/>
        <v>-6.5665</v>
      </c>
      <c r="M29" s="11">
        <f t="shared" si="2"/>
        <v>-20.324889</v>
      </c>
      <c r="N29" s="11">
        <f t="shared" si="2"/>
        <v>-11.771014</v>
      </c>
      <c r="O29" s="11">
        <f t="shared" si="2"/>
        <v>-12.507199</v>
      </c>
    </row>
    <row customHeight="1" ht="15">
      <c r="A30" s="9" t="s">
        <v>49</v>
      </c>
      <c r="B30" s="11">
        <f t="shared" si="3" ref="B30:O30">B24+B29</f>
        <v>-62.90009</v>
      </c>
      <c r="E30" s="11">
        <f t="shared" si="3"/>
        <v>-62.919886</v>
      </c>
      <c r="G30" s="11">
        <f t="shared" si="3"/>
        <v>-28.928674</v>
      </c>
      <c r="H30" s="11">
        <f t="shared" si="3"/>
        <v>-96.205721</v>
      </c>
      <c r="I30" s="11">
        <f t="shared" si="3"/>
        <v>-92.668453</v>
      </c>
      <c r="J30" s="11">
        <f t="shared" si="3"/>
        <v>-96.00829</v>
      </c>
      <c r="K30" s="11">
        <f t="shared" si="3"/>
        <v>-88.057161</v>
      </c>
      <c r="L30" s="11">
        <f t="shared" si="3"/>
        <v>-43.887641</v>
      </c>
      <c r="M30" s="11">
        <f t="shared" si="3"/>
        <v>10.097676</v>
      </c>
      <c r="N30" s="11">
        <f t="shared" si="3"/>
        <v>15.779122</v>
      </c>
      <c r="O30" s="11">
        <f t="shared" si="3"/>
        <v>21.919945</v>
      </c>
    </row>
    <row customHeight="1" ht="15">
      <c r="A31" s="9" t="s">
        <v>44</v>
      </c>
      <c r="B31" s="0">
        <v>-63.024558</v>
      </c>
      <c r="E31" s="0">
        <v>-62.963777</v>
      </c>
      <c r="G31" s="11">
        <f>E31+'Quarterly YTD'!G31-'Quarterly YTD'!C31</f>
        <v>-28.955696</v>
      </c>
      <c r="H31" s="11">
        <f>E31+'Quarterly YTD'!H31-'Quarterly YTD'!D31</f>
        <v>-96.161313</v>
      </c>
      <c r="I31" s="0">
        <v>-92.602016</v>
      </c>
      <c r="J31" s="11">
        <f>I31+'Quarterly YTD'!J31-'Quarterly YTD'!F31</f>
        <v>-95.86396</v>
      </c>
      <c r="K31" s="11">
        <f>I31+'Quarterly YTD'!K31-'Quarterly YTD'!G31</f>
        <v>-87.980085</v>
      </c>
      <c r="L31" s="11">
        <f>I31+'Quarterly YTD'!L31-'Quarterly YTD'!H31</f>
        <v>-43.744068</v>
      </c>
      <c r="M31" s="0">
        <v>10.148129</v>
      </c>
      <c r="N31" s="11">
        <f>M31+'Quarterly YTD'!N31-'Quarterly YTD'!J31</f>
        <v>15.726757</v>
      </c>
      <c r="O31" s="11">
        <f>M31+'Quarterly YTD'!O31-'Quarterly YTD'!K31</f>
        <v>21.893804</v>
      </c>
    </row>
    <row customHeight="1" ht="15">
      <c r="A32" s="9" t="s">
        <v>45</v>
      </c>
      <c r="B32" s="0">
        <v>0.124468</v>
      </c>
      <c r="E32" s="0">
        <v>0.043891</v>
      </c>
      <c r="G32" s="11">
        <f>E32+'Quarterly YTD'!G32-'Quarterly YTD'!C32</f>
        <v>0.027022</v>
      </c>
      <c r="H32" s="11">
        <f>E32+'Quarterly YTD'!H32-'Quarterly YTD'!D32</f>
        <v>-0.044408</v>
      </c>
      <c r="I32" s="0">
        <v>-0.066437</v>
      </c>
      <c r="J32" s="11">
        <f>I32+'Quarterly YTD'!J32-'Quarterly YTD'!F32</f>
        <v>-0.14433</v>
      </c>
      <c r="K32" s="11">
        <f>I32+'Quarterly YTD'!K32-'Quarterly YTD'!G32</f>
        <v>-0.077076</v>
      </c>
      <c r="L32" s="11">
        <f>I32+'Quarterly YTD'!L32-'Quarterly YTD'!H32</f>
        <v>-0.143573</v>
      </c>
      <c r="M32" s="0">
        <v>-0.050453</v>
      </c>
      <c r="N32" s="11">
        <f>M32+'Quarterly YTD'!N32-'Quarterly YTD'!J32</f>
        <v>0.052365</v>
      </c>
      <c r="O32" s="11">
        <f>M32+'Quarterly YTD'!O32-'Quarterly YTD'!K32</f>
        <v>0.026141</v>
      </c>
    </row>
    <row customHeight="1" ht="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customHeight="1" ht="15">
      <c r="A34" s="2" t="s">
        <v>50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customHeight="1" ht="15">
      <c r="A35" s="9" t="s">
        <v>51</v>
      </c>
      <c r="B35" s="0">
        <v>-61.29357</v>
      </c>
      <c r="E35" s="0">
        <v>-104.033368</v>
      </c>
      <c r="G35" s="11">
        <f>E35+'Quarterly YTD'!G35-'Quarterly YTD'!C35</f>
        <v>-76.171013</v>
      </c>
      <c r="H35" s="11">
        <f>E35+'Quarterly YTD'!H35-'Quarterly YTD'!D35</f>
        <v>-95.335087</v>
      </c>
      <c r="I35" s="0">
        <v>-97.036347</v>
      </c>
      <c r="J35" s="11">
        <f>I35+'Quarterly YTD'!J35-'Quarterly YTD'!F35</f>
        <v>-92.945858</v>
      </c>
      <c r="K35" s="11">
        <f>I35+'Quarterly YTD'!K35-'Quarterly YTD'!G35</f>
        <v>-82.654437</v>
      </c>
      <c r="L35" s="11">
        <f>I35+'Quarterly YTD'!L35-'Quarterly YTD'!H35</f>
        <v>-30.508831</v>
      </c>
      <c r="M35" s="0">
        <v>36.387585</v>
      </c>
      <c r="N35" s="11">
        <f>M35+'Quarterly YTD'!N35-'Quarterly YTD'!J35</f>
        <v>35.240666</v>
      </c>
      <c r="O35" s="11">
        <f>M35+'Quarterly YTD'!O35-'Quarterly YTD'!K35</f>
        <v>44.361632</v>
      </c>
    </row>
    <row customHeight="1" ht="15">
      <c r="A36" s="9" t="s">
        <v>52</v>
      </c>
      <c r="B36" s="0">
        <v>0.397799</v>
      </c>
      <c r="E36" s="0">
        <v>0.001763</v>
      </c>
      <c r="G36" s="11">
        <f>E36+'Quarterly YTD'!G36-'Quarterly YTD'!C36</f>
        <v>-0.004891</v>
      </c>
      <c r="H36" s="11">
        <f>E36+'Quarterly YTD'!H36-'Quarterly YTD'!D36</f>
        <v>0.019756</v>
      </c>
      <c r="I36" s="0">
        <v>0.042832</v>
      </c>
      <c r="J36" s="11">
        <f>I36+'Quarterly YTD'!J36-'Quarterly YTD'!F36</f>
        <v>0.078399</v>
      </c>
      <c r="K36" s="11">
        <f>I36+'Quarterly YTD'!K36-'Quarterly YTD'!G36</f>
        <v>0.075115</v>
      </c>
      <c r="L36" s="11">
        <f>I36+'Quarterly YTD'!L36-'Quarterly YTD'!H36</f>
        <v>0.031925</v>
      </c>
      <c r="M36" s="0">
        <v>0.042544</v>
      </c>
      <c r="N36" s="11">
        <f>M36+'Quarterly YTD'!N36-'Quarterly YTD'!J36</f>
        <v>0.028811</v>
      </c>
      <c r="O36" s="11">
        <f>M36+'Quarterly YTD'!O36-'Quarterly YTD'!K36</f>
        <v>0.003499</v>
      </c>
    </row>
    <row customHeight="1" ht="15">
      <c r="A37" s="9" t="s">
        <v>53</v>
      </c>
      <c r="B37" s="0">
        <v>42.745142</v>
      </c>
      <c r="E37" s="0">
        <v>47.380285</v>
      </c>
      <c r="G37" s="11">
        <f>E37+'Quarterly YTD'!G37-'Quarterly YTD'!C37</f>
        <v>47.839564</v>
      </c>
      <c r="H37" s="11">
        <f>E37+'Quarterly YTD'!H37-'Quarterly YTD'!D37</f>
        <v>47.689041</v>
      </c>
      <c r="I37" s="0">
        <v>48.614609</v>
      </c>
      <c r="J37" s="11">
        <f>I37+'Quarterly YTD'!J37-'Quarterly YTD'!F37</f>
        <v>48.676557</v>
      </c>
      <c r="K37" s="11">
        <f>I37+'Quarterly YTD'!K37-'Quarterly YTD'!G37</f>
        <v>47.417432</v>
      </c>
      <c r="L37" s="11">
        <f>I37+'Quarterly YTD'!L37-'Quarterly YTD'!H37</f>
        <v>50.375114</v>
      </c>
      <c r="M37" s="0">
        <v>50.741037</v>
      </c>
      <c r="N37" s="11">
        <f>M37+'Quarterly YTD'!N37-'Quarterly YTD'!J37</f>
        <v>53.461583</v>
      </c>
      <c r="O37" s="11">
        <f>M37+'Quarterly YTD'!O37-'Quarterly YTD'!K37</f>
        <v>56.226568</v>
      </c>
    </row>
    <row customHeight="1" ht="15">
      <c r="A38" s="9" t="s">
        <v>25</v>
      </c>
      <c r="B38" s="0">
        <v>11.955373</v>
      </c>
      <c r="E38" s="0">
        <v>15.925177</v>
      </c>
      <c r="G38" s="11">
        <f>E38+'Quarterly YTD'!G38-'Quarterly YTD'!C38</f>
        <v>19.416151</v>
      </c>
      <c r="H38" s="11">
        <f>E38+'Quarterly YTD'!H38-'Quarterly YTD'!D38</f>
        <v>20.365667</v>
      </c>
      <c r="I38" s="0">
        <v>20.609792</v>
      </c>
      <c r="J38" s="11">
        <f>I38+'Quarterly YTD'!J38-'Quarterly YTD'!F38</f>
        <v>20.498581</v>
      </c>
      <c r="K38" s="11">
        <f>I38+'Quarterly YTD'!K38-'Quarterly YTD'!G38</f>
        <v>20.29944</v>
      </c>
      <c r="L38" s="11">
        <f>I38+'Quarterly YTD'!L38-'Quarterly YTD'!H38</f>
        <v>20.328179</v>
      </c>
      <c r="M38" s="0">
        <v>19.385894</v>
      </c>
      <c r="N38" s="11">
        <f>M38+'Quarterly YTD'!N38-'Quarterly YTD'!J38</f>
        <v>19.271249</v>
      </c>
      <c r="O38" s="11">
        <f>M38+'Quarterly YTD'!O38-'Quarterly YTD'!K38</f>
        <v>18.961141</v>
      </c>
    </row>
    <row customHeight="1" ht="15">
      <c r="A39" s="9" t="s">
        <v>54</v>
      </c>
      <c r="B39" s="0">
        <v>0</v>
      </c>
      <c r="E39" s="0">
        <v>0</v>
      </c>
      <c r="G39" s="11">
        <f>E39+'Quarterly YTD'!G39-'Quarterly YTD'!C39</f>
        <v>0.082283</v>
      </c>
      <c r="H39" s="11">
        <f>E39+'Quarterly YTD'!H39-'Quarterly YTD'!D39</f>
        <v>0</v>
      </c>
      <c r="I39" s="0">
        <v>0</v>
      </c>
      <c r="J39" s="11">
        <f>I39+'Quarterly YTD'!J39-'Quarterly YTD'!F39</f>
        <v>0</v>
      </c>
      <c r="K39" s="11">
        <f>I39+'Quarterly YTD'!K39-'Quarterly YTD'!G39</f>
        <v>-0.082283</v>
      </c>
      <c r="L39" s="11">
        <f>I39+'Quarterly YTD'!L39-'Quarterly YTD'!H39</f>
        <v>0</v>
      </c>
      <c r="M39" s="0">
        <v>0</v>
      </c>
      <c r="N39" s="11">
        <f>M39+'Quarterly YTD'!N39-'Quarterly YTD'!J39</f>
        <v>0</v>
      </c>
      <c r="O39" s="11">
        <f>M39+'Quarterly YTD'!O39-'Quarterly YTD'!K39</f>
        <v>0</v>
      </c>
    </row>
    <row customHeight="1" ht="15">
      <c r="A40" s="9" t="s">
        <v>55</v>
      </c>
      <c r="B40" s="0">
        <v>1.070047</v>
      </c>
      <c r="E40" s="0">
        <v>-1.024685</v>
      </c>
      <c r="G40" s="11">
        <f>E40+'Quarterly YTD'!G40-'Quarterly YTD'!C40</f>
        <v>-1.047495</v>
      </c>
      <c r="H40" s="11">
        <f>E40+'Quarterly YTD'!H40-'Quarterly YTD'!D40</f>
        <v>-0.518662</v>
      </c>
      <c r="I40" s="0">
        <v>0.849054</v>
      </c>
      <c r="J40" s="11">
        <f>I40+'Quarterly YTD'!J40-'Quarterly YTD'!F40</f>
        <v>0.798621</v>
      </c>
      <c r="K40" s="11">
        <f>I40+'Quarterly YTD'!K40-'Quarterly YTD'!G40</f>
        <v>0.849054</v>
      </c>
      <c r="L40" s="11">
        <f>I40+'Quarterly YTD'!L40-'Quarterly YTD'!H40</f>
        <v>0.312792</v>
      </c>
      <c r="M40" s="0">
        <v>0.615199</v>
      </c>
      <c r="N40" s="11">
        <f>M40+'Quarterly YTD'!N40-'Quarterly YTD'!J40</f>
        <v>0.77077</v>
      </c>
      <c r="O40" s="11">
        <f>M40+'Quarterly YTD'!O40-'Quarterly YTD'!K40</f>
        <v>0.615199</v>
      </c>
    </row>
    <row customHeight="1" ht="15">
      <c r="A41" s="9" t="s">
        <v>56</v>
      </c>
      <c r="B41" s="0">
        <v>0</v>
      </c>
      <c r="E41" s="0">
        <v>0</v>
      </c>
      <c r="G41" s="11">
        <f>E41+'Quarterly YTD'!G41-'Quarterly YTD'!C41</f>
        <v>0</v>
      </c>
      <c r="H41" s="11">
        <f>E41+'Quarterly YTD'!H41-'Quarterly YTD'!D41</f>
        <v>0</v>
      </c>
      <c r="I41" s="0">
        <v>-0.195467</v>
      </c>
      <c r="J41" s="11">
        <f>I41+'Quarterly YTD'!J41-'Quarterly YTD'!F41</f>
        <v>-0.195467</v>
      </c>
      <c r="K41" s="11">
        <f>I41+'Quarterly YTD'!K41-'Quarterly YTD'!G41</f>
        <v>-0.195467</v>
      </c>
      <c r="L41" s="11">
        <f>I41+'Quarterly YTD'!L41-'Quarterly YTD'!H41</f>
        <v>-0.195467</v>
      </c>
      <c r="M41" s="0">
        <v>0</v>
      </c>
      <c r="N41" s="11">
        <f>M41+'Quarterly YTD'!N41-'Quarterly YTD'!J41</f>
        <v>0</v>
      </c>
      <c r="O41" s="11">
        <f>M41+'Quarterly YTD'!O41-'Quarterly YTD'!K41</f>
        <v>0</v>
      </c>
    </row>
    <row customHeight="1" ht="15">
      <c r="A42" s="9" t="s">
        <v>57</v>
      </c>
      <c r="B42" s="0">
        <v>0</v>
      </c>
      <c r="E42" s="0">
        <v>0</v>
      </c>
      <c r="G42" s="11">
        <f>E42+'Quarterly YTD'!G42-'Quarterly YTD'!C42</f>
        <v>0</v>
      </c>
      <c r="H42" s="11">
        <f>E42+'Quarterly YTD'!H42-'Quarterly YTD'!D42</f>
        <v>0</v>
      </c>
      <c r="I42" s="0">
        <v>0</v>
      </c>
      <c r="J42" s="11">
        <f>I42+'Quarterly YTD'!J42-'Quarterly YTD'!F42</f>
        <v>0</v>
      </c>
      <c r="K42" s="11">
        <f>I42+'Quarterly YTD'!K42-'Quarterly YTD'!G42</f>
        <v>-0.034141</v>
      </c>
      <c r="L42" s="11">
        <f>I42+'Quarterly YTD'!L42-'Quarterly YTD'!H42</f>
        <v>0</v>
      </c>
      <c r="M42" s="0">
        <v>0</v>
      </c>
      <c r="N42" s="11">
        <f>M42+'Quarterly YTD'!N42-'Quarterly YTD'!J42</f>
        <v>0</v>
      </c>
      <c r="O42" s="11">
        <f>M42+'Quarterly YTD'!O42-'Quarterly YTD'!K42</f>
        <v>-0.386899</v>
      </c>
    </row>
    <row customHeight="1" ht="15">
      <c r="A43" s="9" t="s">
        <v>58</v>
      </c>
      <c r="B43" s="0">
        <v>0</v>
      </c>
      <c r="E43" s="0">
        <v>0</v>
      </c>
      <c r="G43" s="11">
        <f>E43+'Quarterly YTD'!G43-'Quarterly YTD'!C43</f>
        <v>0</v>
      </c>
      <c r="H43" s="11">
        <f>E43+'Quarterly YTD'!H43-'Quarterly YTD'!D43</f>
        <v>0</v>
      </c>
      <c r="I43" s="0">
        <v>0</v>
      </c>
      <c r="J43" s="11">
        <f>I43+'Quarterly YTD'!J43-'Quarterly YTD'!F43</f>
        <v>0</v>
      </c>
      <c r="K43" s="11">
        <f>I43+'Quarterly YTD'!K43-'Quarterly YTD'!G43</f>
        <v>0.058709</v>
      </c>
      <c r="L43" s="11">
        <f>I43+'Quarterly YTD'!L43-'Quarterly YTD'!H43</f>
        <v>0</v>
      </c>
      <c r="M43" s="0">
        <v>0</v>
      </c>
      <c r="N43" s="11">
        <f>M43+'Quarterly YTD'!N43-'Quarterly YTD'!J43</f>
        <v>0</v>
      </c>
      <c r="O43" s="11">
        <f>M43+'Quarterly YTD'!O43-'Quarterly YTD'!K43</f>
        <v>0.096145</v>
      </c>
    </row>
    <row customHeight="1" ht="15">
      <c r="A44" s="9" t="s">
        <v>59</v>
      </c>
      <c r="B44" s="0">
        <v>0.390413</v>
      </c>
      <c r="E44" s="0">
        <v>0</v>
      </c>
      <c r="G44" s="11">
        <f>E44+'Quarterly YTD'!G44-'Quarterly YTD'!C44</f>
        <v>0</v>
      </c>
      <c r="H44" s="11">
        <f>E44+'Quarterly YTD'!H44-'Quarterly YTD'!D44</f>
        <v>0.12936</v>
      </c>
      <c r="I44" s="0">
        <v>0.12936</v>
      </c>
      <c r="J44" s="11">
        <f>I44+'Quarterly YTD'!J44-'Quarterly YTD'!F44</f>
        <v>0.15475</v>
      </c>
      <c r="K44" s="11">
        <f>I44+'Quarterly YTD'!K44-'Quarterly YTD'!G44</f>
        <v>0.168047</v>
      </c>
      <c r="L44" s="11">
        <f>I44+'Quarterly YTD'!L44-'Quarterly YTD'!H44</f>
        <v>0.052032</v>
      </c>
      <c r="M44" s="0">
        <v>0.065328</v>
      </c>
      <c r="N44" s="11">
        <f>M44+'Quarterly YTD'!N44-'Quarterly YTD'!J44</f>
        <v>0.378505</v>
      </c>
      <c r="O44" s="11">
        <f>M44+'Quarterly YTD'!O44-'Quarterly YTD'!K44</f>
        <v>0.432576</v>
      </c>
    </row>
    <row customHeight="1" ht="15">
      <c r="A45" s="9" t="s">
        <v>60</v>
      </c>
      <c r="B45" s="0">
        <v>0</v>
      </c>
      <c r="E45" s="0">
        <v>0</v>
      </c>
      <c r="G45" s="11">
        <f>E45+'Quarterly YTD'!G45-'Quarterly YTD'!C45</f>
        <v>0</v>
      </c>
      <c r="H45" s="11">
        <f>E45+'Quarterly YTD'!H45-'Quarterly YTD'!D45</f>
        <v>-0.033497</v>
      </c>
      <c r="I45" s="0">
        <v>0</v>
      </c>
      <c r="J45" s="11">
        <f>I45+'Quarterly YTD'!J45-'Quarterly YTD'!F45</f>
        <v>0</v>
      </c>
      <c r="K45" s="11">
        <f>I45+'Quarterly YTD'!K45-'Quarterly YTD'!G45</f>
        <v>0</v>
      </c>
      <c r="L45" s="11">
        <f>I45+'Quarterly YTD'!L45-'Quarterly YTD'!H45</f>
        <v>0.065073</v>
      </c>
      <c r="M45" s="0">
        <v>0</v>
      </c>
      <c r="N45" s="11">
        <f>M45+'Quarterly YTD'!N45-'Quarterly YTD'!J45</f>
        <v>0</v>
      </c>
      <c r="O45" s="11">
        <f>M45+'Quarterly YTD'!O45-'Quarterly YTD'!K45</f>
        <v>0</v>
      </c>
    </row>
    <row customHeight="1" ht="15">
      <c r="A46" s="9" t="s">
        <v>61</v>
      </c>
      <c r="B46" s="0">
        <v>0</v>
      </c>
      <c r="E46" s="0">
        <v>0</v>
      </c>
      <c r="G46" s="11">
        <f>E46+'Quarterly YTD'!G46-'Quarterly YTD'!C46</f>
        <v>0</v>
      </c>
      <c r="H46" s="11">
        <f>E46+'Quarterly YTD'!H46-'Quarterly YTD'!D46</f>
        <v>0</v>
      </c>
      <c r="I46" s="0">
        <v>-0.000452</v>
      </c>
      <c r="J46" s="11">
        <f>I46+'Quarterly YTD'!J46-'Quarterly YTD'!F46</f>
        <v>-0.000452</v>
      </c>
      <c r="K46" s="11">
        <f>I46+'Quarterly YTD'!K46-'Quarterly YTD'!G46</f>
        <v>-0.000452</v>
      </c>
      <c r="L46" s="11">
        <f>I46+'Quarterly YTD'!L46-'Quarterly YTD'!H46</f>
        <v>-0.000452</v>
      </c>
      <c r="M46" s="0">
        <v>0.090045</v>
      </c>
      <c r="N46" s="11">
        <f>M46+'Quarterly YTD'!N46-'Quarterly YTD'!J46</f>
        <v>0.090045</v>
      </c>
      <c r="O46" s="11">
        <f>M46+'Quarterly YTD'!O46-'Quarterly YTD'!K46</f>
        <v>0.090045</v>
      </c>
    </row>
    <row customHeight="1" ht="15">
      <c r="A47" s="9" t="s">
        <v>62</v>
      </c>
      <c r="B47" s="0">
        <v>0.038122</v>
      </c>
      <c r="E47" s="0">
        <v>0.036329</v>
      </c>
      <c r="G47" s="11">
        <f>E47+'Quarterly YTD'!G47-'Quarterly YTD'!C47</f>
        <v>0.036329</v>
      </c>
      <c r="H47" s="11">
        <f>E47+'Quarterly YTD'!H47-'Quarterly YTD'!D47</f>
        <v>0.040984</v>
      </c>
      <c r="I47" s="0">
        <v>0</v>
      </c>
      <c r="J47" s="11">
        <f>I47+'Quarterly YTD'!J47-'Quarterly YTD'!F47</f>
        <v>0.02492</v>
      </c>
      <c r="K47" s="11">
        <f>I47+'Quarterly YTD'!K47-'Quarterly YTD'!G47</f>
        <v>0</v>
      </c>
      <c r="L47" s="11">
        <f>I47+'Quarterly YTD'!L47-'Quarterly YTD'!H47</f>
        <v>0</v>
      </c>
      <c r="M47" s="0">
        <v>0</v>
      </c>
      <c r="N47" s="11">
        <f>M47+'Quarterly YTD'!N47-'Quarterly YTD'!J47</f>
        <v>0.222824</v>
      </c>
      <c r="O47" s="11">
        <f>M47+'Quarterly YTD'!O47-'Quarterly YTD'!K47</f>
        <v>0</v>
      </c>
    </row>
    <row customHeight="1" ht="15">
      <c r="A48" s="9" t="s">
        <v>63</v>
      </c>
      <c r="B48" s="0">
        <v>-0.133104</v>
      </c>
      <c r="E48" s="0">
        <v>-1.237004</v>
      </c>
      <c r="G48" s="11">
        <f>E48+'Quarterly YTD'!G48-'Quarterly YTD'!C48</f>
        <v>-1.501688</v>
      </c>
      <c r="H48" s="11">
        <f>E48+'Quarterly YTD'!H48-'Quarterly YTD'!D48</f>
        <v>0.0076000000000001</v>
      </c>
      <c r="I48" s="0">
        <v>2.400355</v>
      </c>
      <c r="J48" s="11">
        <f>I48+'Quarterly YTD'!J48-'Quarterly YTD'!F48</f>
        <v>1.221701</v>
      </c>
      <c r="K48" s="11">
        <f>I48+'Quarterly YTD'!K48-'Quarterly YTD'!G48</f>
        <v>2.338405</v>
      </c>
      <c r="L48" s="11">
        <f>I48+'Quarterly YTD'!L48-'Quarterly YTD'!H48</f>
        <v>2.799603</v>
      </c>
      <c r="M48" s="0">
        <v>1.255323</v>
      </c>
      <c r="N48" s="11">
        <f>M48+'Quarterly YTD'!N48-'Quarterly YTD'!J48</f>
        <v>1.678805</v>
      </c>
      <c r="O48" s="11">
        <f>M48+'Quarterly YTD'!O48-'Quarterly YTD'!K48</f>
        <v>1.263294</v>
      </c>
    </row>
    <row customHeight="1" ht="15">
      <c r="A49" s="9" t="s">
        <v>64</v>
      </c>
      <c r="B49" s="0">
        <v>0</v>
      </c>
      <c r="E49" s="0">
        <v>0</v>
      </c>
      <c r="G49" s="11">
        <f>E49+'Quarterly YTD'!G49-'Quarterly YTD'!C49</f>
        <v>0</v>
      </c>
      <c r="H49" s="11">
        <f>E49+'Quarterly YTD'!H49-'Quarterly YTD'!D49</f>
        <v>0</v>
      </c>
      <c r="I49" s="0">
        <v>0.028256</v>
      </c>
      <c r="J49" s="11">
        <f>I49+'Quarterly YTD'!J49-'Quarterly YTD'!F49</f>
        <v>0.028256</v>
      </c>
      <c r="K49" s="11">
        <f>I49+'Quarterly YTD'!K49-'Quarterly YTD'!G49</f>
        <v>0.028256</v>
      </c>
      <c r="L49" s="11">
        <f>I49+'Quarterly YTD'!L49-'Quarterly YTD'!H49</f>
        <v>0.028256</v>
      </c>
      <c r="M49" s="0">
        <v>-0.390374</v>
      </c>
      <c r="N49" s="11">
        <f>M49+'Quarterly YTD'!N49-'Quarterly YTD'!J49</f>
        <v>-0.390374</v>
      </c>
      <c r="O49" s="11">
        <f>M49+'Quarterly YTD'!O49-'Quarterly YTD'!K49</f>
        <v>-0.390374</v>
      </c>
    </row>
    <row customHeight="1" ht="15">
      <c r="A50" s="9" t="s">
        <v>65</v>
      </c>
      <c r="B50" s="0">
        <v>0</v>
      </c>
      <c r="E50" s="0">
        <v>0</v>
      </c>
      <c r="G50" s="11">
        <f>E50+'Quarterly YTD'!G50-'Quarterly YTD'!C50</f>
        <v>0</v>
      </c>
      <c r="H50" s="11">
        <f>E50+'Quarterly YTD'!H50-'Quarterly YTD'!D50</f>
        <v>0.043954</v>
      </c>
      <c r="I50" s="0">
        <v>0</v>
      </c>
      <c r="J50" s="11">
        <f>I50+'Quarterly YTD'!J50-'Quarterly YTD'!F50</f>
        <v>0.022856</v>
      </c>
      <c r="K50" s="11">
        <f>I50+'Quarterly YTD'!K50-'Quarterly YTD'!G50</f>
        <v>0</v>
      </c>
      <c r="L50" s="11">
        <f>I50+'Quarterly YTD'!L50-'Quarterly YTD'!H50</f>
        <v>-0.3427</v>
      </c>
      <c r="M50" s="0">
        <v>0</v>
      </c>
      <c r="N50" s="11">
        <f>M50+'Quarterly YTD'!N50-'Quarterly YTD'!J50</f>
        <v>-0.192427</v>
      </c>
      <c r="O50" s="11">
        <f>M50+'Quarterly YTD'!O50-'Quarterly YTD'!K50</f>
        <v>0</v>
      </c>
    </row>
    <row customHeight="1" ht="15">
      <c r="A51" s="9" t="s">
        <v>66</v>
      </c>
      <c r="B51" s="0">
        <v>-0.070659</v>
      </c>
      <c r="E51" s="0">
        <v>0.556148</v>
      </c>
      <c r="G51" s="11">
        <f>E51+'Quarterly YTD'!G51-'Quarterly YTD'!C51</f>
        <v>0.705069</v>
      </c>
      <c r="H51" s="11">
        <f>E51+'Quarterly YTD'!H51-'Quarterly YTD'!D51</f>
        <v>0.28726</v>
      </c>
      <c r="I51" s="0">
        <v>0</v>
      </c>
      <c r="J51" s="11">
        <f>I51+'Quarterly YTD'!J51-'Quarterly YTD'!F51</f>
        <v>0.330228</v>
      </c>
      <c r="K51" s="11">
        <f>I51+'Quarterly YTD'!K51-'Quarterly YTD'!G51</f>
        <v>-0.020299</v>
      </c>
      <c r="L51" s="11">
        <f>I51+'Quarterly YTD'!L51-'Quarterly YTD'!H51</f>
        <v>0</v>
      </c>
      <c r="M51" s="0">
        <v>0</v>
      </c>
      <c r="N51" s="11">
        <f>M51+'Quarterly YTD'!N51-'Quarterly YTD'!J51</f>
        <v>0</v>
      </c>
      <c r="O51" s="11">
        <f>M51+'Quarterly YTD'!O51-'Quarterly YTD'!K51</f>
        <v>-0.21317</v>
      </c>
    </row>
    <row customHeight="1" ht="15">
      <c r="A52" s="9" t="s">
        <v>35</v>
      </c>
      <c r="B52" s="0">
        <v>-0.187722</v>
      </c>
      <c r="E52" s="0">
        <v>-0.156096</v>
      </c>
      <c r="G52" s="11">
        <f>E52+'Quarterly YTD'!G52-'Quarterly YTD'!C52</f>
        <v>-0.158819</v>
      </c>
      <c r="H52" s="11">
        <f>E52+'Quarterly YTD'!H52-'Quarterly YTD'!D52</f>
        <v>-0.157212</v>
      </c>
      <c r="I52" s="0">
        <v>-0.329052</v>
      </c>
      <c r="J52" s="11">
        <f>I52+'Quarterly YTD'!J52-'Quarterly YTD'!F52</f>
        <v>-0.39779</v>
      </c>
      <c r="K52" s="11">
        <f>I52+'Quarterly YTD'!K52-'Quarterly YTD'!G52</f>
        <v>-0.407192</v>
      </c>
      <c r="L52" s="11">
        <f>I52+'Quarterly YTD'!L52-'Quarterly YTD'!H52</f>
        <v>-0.442974</v>
      </c>
      <c r="M52" s="0">
        <v>-0.269998</v>
      </c>
      <c r="N52" s="11">
        <f>M52+'Quarterly YTD'!N52-'Quarterly YTD'!J52</f>
        <v>-0.397375</v>
      </c>
      <c r="O52" s="11">
        <f>M52+'Quarterly YTD'!O52-'Quarterly YTD'!K52</f>
        <v>-0.501385</v>
      </c>
    </row>
    <row customHeight="1" ht="15">
      <c r="A53" s="9" t="s">
        <v>34</v>
      </c>
      <c r="B53" s="0">
        <v>-1.932958</v>
      </c>
      <c r="E53" s="0">
        <v>-2.126254</v>
      </c>
      <c r="G53" s="11">
        <f>E53+'Quarterly YTD'!G53-'Quarterly YTD'!C53</f>
        <v>-2.232567</v>
      </c>
      <c r="H53" s="11">
        <f>E53+'Quarterly YTD'!H53-'Quarterly YTD'!D53</f>
        <v>-2.285723</v>
      </c>
      <c r="I53" s="0">
        <v>-2.33888</v>
      </c>
      <c r="J53" s="11">
        <f>I53+'Quarterly YTD'!J53-'Quarterly YTD'!F53</f>
        <v>-2.397349</v>
      </c>
      <c r="K53" s="11">
        <f>I53+'Quarterly YTD'!K53-'Quarterly YTD'!G53</f>
        <v>-2.455824</v>
      </c>
      <c r="L53" s="11">
        <f>I53+'Quarterly YTD'!L53-'Quarterly YTD'!H53</f>
        <v>-2.514296</v>
      </c>
      <c r="M53" s="0">
        <v>-2.572767</v>
      </c>
      <c r="N53" s="11">
        <f>M53+'Quarterly YTD'!N53-'Quarterly YTD'!J53</f>
        <v>-2.637089</v>
      </c>
      <c r="O53" s="11">
        <f>M53+'Quarterly YTD'!O53-'Quarterly YTD'!K53</f>
        <v>-2.701405</v>
      </c>
    </row>
    <row customHeight="1" ht="15">
      <c r="A54" s="9" t="s">
        <v>67</v>
      </c>
      <c r="B54" s="0">
        <v>55.213244</v>
      </c>
      <c r="E54" s="0">
        <v>64.737849</v>
      </c>
      <c r="G54" s="11">
        <f>E54+'Quarterly YTD'!G54-'Quarterly YTD'!C54</f>
        <v>63.609155</v>
      </c>
      <c r="H54" s="11">
        <f>E54+'Quarterly YTD'!H54-'Quarterly YTD'!D54</f>
        <v>65.847714</v>
      </c>
      <c r="I54" s="0">
        <v>74.276529</v>
      </c>
      <c r="J54" s="11">
        <f>I54+'Quarterly YTD'!J54-'Quarterly YTD'!F54</f>
        <v>75.992035</v>
      </c>
      <c r="K54" s="11">
        <f>I54+'Quarterly YTD'!K54-'Quarterly YTD'!G54</f>
        <v>77.766373</v>
      </c>
      <c r="L54" s="11">
        <f>I54+'Quarterly YTD'!L54-'Quarterly YTD'!H54</f>
        <v>79.875363</v>
      </c>
      <c r="M54" s="0">
        <v>71.039195</v>
      </c>
      <c r="N54" s="11">
        <f>M54+'Quarterly YTD'!N54-'Quarterly YTD'!J54</f>
        <v>74.247913</v>
      </c>
      <c r="O54" s="11">
        <f>M54+'Quarterly YTD'!O54-'Quarterly YTD'!K54</f>
        <v>77.784129</v>
      </c>
    </row>
    <row customHeight="1" ht="15">
      <c r="A55" s="9" t="s">
        <v>68</v>
      </c>
      <c r="B55" s="0">
        <v>-1.836886</v>
      </c>
      <c r="E55" s="0">
        <v>0.015574</v>
      </c>
      <c r="G55" s="11">
        <f>E55+'Quarterly YTD'!G55-'Quarterly YTD'!C55</f>
        <v>-0.028992</v>
      </c>
      <c r="H55" s="11">
        <f>E55+'Quarterly YTD'!H55-'Quarterly YTD'!D55</f>
        <v>-0.039492</v>
      </c>
      <c r="I55" s="0">
        <v>-0.032154</v>
      </c>
      <c r="J55" s="11">
        <f>I55+'Quarterly YTD'!J55-'Quarterly YTD'!F55</f>
        <v>-0.02907</v>
      </c>
      <c r="K55" s="11">
        <f>I55+'Quarterly YTD'!K55-'Quarterly YTD'!G55</f>
        <v>-0.058831</v>
      </c>
      <c r="L55" s="11">
        <f>I55+'Quarterly YTD'!L55-'Quarterly YTD'!H55</f>
        <v>-0.055372</v>
      </c>
      <c r="M55" s="0">
        <v>-0.064657</v>
      </c>
      <c r="N55" s="11">
        <f>M55+'Quarterly YTD'!N55-'Quarterly YTD'!J55</f>
        <v>-0.050087</v>
      </c>
      <c r="O55" s="11">
        <f>M55+'Quarterly YTD'!O55-'Quarterly YTD'!K55</f>
        <v>-0.019359</v>
      </c>
    </row>
    <row customHeight="1" ht="15">
      <c r="A56" s="9" t="s">
        <v>69</v>
      </c>
      <c r="B56" s="0">
        <v>-0.009102</v>
      </c>
      <c r="E56" s="0">
        <v>0.023764</v>
      </c>
      <c r="G56" s="11">
        <f>E56+'Quarterly YTD'!G56-'Quarterly YTD'!C56</f>
        <v>-0.037977</v>
      </c>
      <c r="H56" s="11">
        <f>E56+'Quarterly YTD'!H56-'Quarterly YTD'!D56</f>
        <v>-0.062951</v>
      </c>
      <c r="I56" s="0">
        <v>-0.054614</v>
      </c>
      <c r="J56" s="11">
        <f>I56+'Quarterly YTD'!J56-'Quarterly YTD'!F56</f>
        <v>-0.049873</v>
      </c>
      <c r="K56" s="11">
        <f>I56+'Quarterly YTD'!K56-'Quarterly YTD'!G56</f>
        <v>0.019449</v>
      </c>
      <c r="L56" s="11">
        <f>I56+'Quarterly YTD'!L56-'Quarterly YTD'!H56</f>
        <v>0.057773</v>
      </c>
      <c r="M56" s="0">
        <v>-0.047063</v>
      </c>
      <c r="N56" s="11">
        <f>M56+'Quarterly YTD'!N56-'Quarterly YTD'!J56</f>
        <v>-0.109708</v>
      </c>
      <c r="O56" s="11">
        <f>M56+'Quarterly YTD'!O56-'Quarterly YTD'!K56</f>
        <v>-0.092696</v>
      </c>
    </row>
    <row customHeight="1" ht="15">
      <c r="A57" s="9" t="s">
        <v>37</v>
      </c>
      <c r="B57" s="0">
        <v>24.108535</v>
      </c>
      <c r="E57" s="0">
        <v>114.151736</v>
      </c>
      <c r="G57" s="11">
        <f>E57+'Quarterly YTD'!G57-'Quarterly YTD'!C57</f>
        <v>51.710745</v>
      </c>
      <c r="H57" s="11">
        <f>E57+'Quarterly YTD'!H57-'Quarterly YTD'!D57</f>
        <v>64.181368</v>
      </c>
      <c r="I57" s="0">
        <v>39.271284</v>
      </c>
      <c r="J57" s="11">
        <f>I57+'Quarterly YTD'!J57-'Quarterly YTD'!F57</f>
        <v>32.460065</v>
      </c>
      <c r="K57" s="11">
        <f>I57+'Quarterly YTD'!K57-'Quarterly YTD'!G57</f>
        <v>29.292779</v>
      </c>
      <c r="L57" s="11">
        <f>I57+'Quarterly YTD'!L57-'Quarterly YTD'!H57</f>
        <v>3.553722</v>
      </c>
      <c r="M57" s="0">
        <v>-37.680522</v>
      </c>
      <c r="N57" s="11">
        <f>M57+'Quarterly YTD'!N57-'Quarterly YTD'!J57</f>
        <v>-29.847942</v>
      </c>
      <c r="O57" s="11">
        <f>M57+'Quarterly YTD'!O57-'Quarterly YTD'!K57</f>
        <v>-33.66656</v>
      </c>
    </row>
    <row customHeight="1" ht="15">
      <c r="A58" s="9" t="s">
        <v>70</v>
      </c>
      <c r="B58" s="0">
        <v>0</v>
      </c>
      <c r="E58" s="0">
        <v>-21.543365</v>
      </c>
      <c r="G58" s="11">
        <f>E58+'Quarterly YTD'!G58-'Quarterly YTD'!C58</f>
        <v>6.850365</v>
      </c>
      <c r="H58" s="11">
        <f>E58+'Quarterly YTD'!H58-'Quarterly YTD'!D58</f>
        <v>5.050614</v>
      </c>
      <c r="I58" s="0">
        <v>-3.558212</v>
      </c>
      <c r="J58" s="11">
        <f>I58+'Quarterly YTD'!J58-'Quarterly YTD'!F58</f>
        <v>0.371064</v>
      </c>
      <c r="K58" s="11">
        <f>I58+'Quarterly YTD'!K58-'Quarterly YTD'!G58</f>
        <v>0.642826</v>
      </c>
      <c r="L58" s="11">
        <f>I58+'Quarterly YTD'!L58-'Quarterly YTD'!H58</f>
        <v>-1.264729</v>
      </c>
      <c r="M58" s="0">
        <v>1.599516</v>
      </c>
      <c r="N58" s="11">
        <f>M58+'Quarterly YTD'!N58-'Quarterly YTD'!J58</f>
        <v>-1.403633</v>
      </c>
      <c r="O58" s="11">
        <f>M58+'Quarterly YTD'!O58-'Quarterly YTD'!K58</f>
        <v>-1.419819</v>
      </c>
    </row>
    <row customHeight="1" ht="15">
      <c r="A59" s="9" t="s">
        <v>71</v>
      </c>
      <c r="B59" s="0">
        <v>-7.6196</v>
      </c>
      <c r="E59" s="0">
        <v>-3.808835</v>
      </c>
      <c r="G59" s="11">
        <f>E59+'Quarterly YTD'!G59-'Quarterly YTD'!C59</f>
        <v>-7.269714</v>
      </c>
      <c r="H59" s="11">
        <f>E59+'Quarterly YTD'!H59-'Quarterly YTD'!D59</f>
        <v>-2.822592</v>
      </c>
      <c r="I59" s="0">
        <v>-0.445687</v>
      </c>
      <c r="J59" s="11">
        <f>I59+'Quarterly YTD'!J59-'Quarterly YTD'!F59</f>
        <v>-0.49526</v>
      </c>
      <c r="K59" s="11">
        <f>I59+'Quarterly YTD'!K59-'Quarterly YTD'!G59</f>
        <v>2.00194</v>
      </c>
      <c r="L59" s="11">
        <f>I59+'Quarterly YTD'!L59-'Quarterly YTD'!H59</f>
        <v>-3.030813</v>
      </c>
      <c r="M59" s="0">
        <v>-1.67919</v>
      </c>
      <c r="N59" s="11">
        <f>M59+'Quarterly YTD'!N59-'Quarterly YTD'!J59</f>
        <v>-1.790114</v>
      </c>
      <c r="O59" s="11">
        <f>M59+'Quarterly YTD'!O59-'Quarterly YTD'!K59</f>
        <v>-1.67919</v>
      </c>
    </row>
    <row customHeight="1" ht="15">
      <c r="A60" s="9" t="s">
        <v>72</v>
      </c>
      <c r="B60" s="0">
        <v>0</v>
      </c>
      <c r="E60" s="0">
        <v>0</v>
      </c>
      <c r="G60" s="11">
        <f>E60+'Quarterly YTD'!G60-'Quarterly YTD'!C60</f>
        <v>0</v>
      </c>
      <c r="H60" s="11">
        <f>E60+'Quarterly YTD'!H60-'Quarterly YTD'!D60</f>
        <v>0</v>
      </c>
      <c r="I60" s="0">
        <v>0</v>
      </c>
      <c r="J60" s="11">
        <f>I60+'Quarterly YTD'!J60-'Quarterly YTD'!F60</f>
        <v>0</v>
      </c>
      <c r="K60" s="11">
        <f>I60+'Quarterly YTD'!K60-'Quarterly YTD'!G60</f>
        <v>-1.589195</v>
      </c>
      <c r="L60" s="11">
        <f>I60+'Quarterly YTD'!L60-'Quarterly YTD'!H60</f>
        <v>0</v>
      </c>
      <c r="M60" s="0">
        <v>0</v>
      </c>
      <c r="N60" s="11">
        <f>M60+'Quarterly YTD'!N60-'Quarterly YTD'!J60</f>
        <v>0</v>
      </c>
      <c r="O60" s="11">
        <f>M60+'Quarterly YTD'!O60-'Quarterly YTD'!K60</f>
        <v>3.704261</v>
      </c>
    </row>
    <row customHeight="1" ht="15">
      <c r="A61" s="9" t="s">
        <v>73</v>
      </c>
      <c r="B61" s="0">
        <v>-0.651903</v>
      </c>
      <c r="E61" s="0">
        <v>-7.075708</v>
      </c>
      <c r="G61" s="11">
        <f>E61+'Quarterly YTD'!G61-'Quarterly YTD'!C61</f>
        <v>-3.099095</v>
      </c>
      <c r="H61" s="11">
        <f>E61+'Quarterly YTD'!H61-'Quarterly YTD'!D61</f>
        <v>0.0147880000000005</v>
      </c>
      <c r="I61" s="0">
        <v>4.098743</v>
      </c>
      <c r="J61" s="11">
        <f>I61+'Quarterly YTD'!J61-'Quarterly YTD'!F61</f>
        <v>4.425878</v>
      </c>
      <c r="K61" s="11">
        <f>I61+'Quarterly YTD'!K61-'Quarterly YTD'!G61</f>
        <v>1.441572</v>
      </c>
      <c r="L61" s="11">
        <f>I61+'Quarterly YTD'!L61-'Quarterly YTD'!H61</f>
        <v>-0.397666</v>
      </c>
      <c r="M61" s="0">
        <v>1.583755</v>
      </c>
      <c r="N61" s="11">
        <f>M61+'Quarterly YTD'!N61-'Quarterly YTD'!J61</f>
        <v>0.250505</v>
      </c>
      <c r="O61" s="11">
        <f>M61+'Quarterly YTD'!O61-'Quarterly YTD'!K61</f>
        <v>0.543746</v>
      </c>
    </row>
    <row customHeight="1" ht="15">
      <c r="A62" s="9" t="s">
        <v>74</v>
      </c>
      <c r="B62" s="0">
        <v>47.043432</v>
      </c>
      <c r="E62" s="0">
        <v>-26.765219</v>
      </c>
      <c r="G62" s="11">
        <f>E62+'Quarterly YTD'!G62-'Quarterly YTD'!C62</f>
        <v>0.121969999999997</v>
      </c>
      <c r="H62" s="11">
        <f>E62+'Quarterly YTD'!H62-'Quarterly YTD'!D62</f>
        <v>-3.92931799999999</v>
      </c>
      <c r="I62" s="0">
        <v>0</v>
      </c>
      <c r="J62" s="11">
        <f>I62+'Quarterly YTD'!J62-'Quarterly YTD'!F62</f>
        <v>5.818776</v>
      </c>
      <c r="K62" s="11">
        <f>I62+'Quarterly YTD'!K62-'Quarterly YTD'!G62</f>
        <v>6.330785</v>
      </c>
      <c r="L62" s="11">
        <f>I62+'Quarterly YTD'!L62-'Quarterly YTD'!H62</f>
        <v>-5.298623</v>
      </c>
      <c r="M62" s="0">
        <v>0</v>
      </c>
      <c r="N62" s="11">
        <f>M62+'Quarterly YTD'!N62-'Quarterly YTD'!J62</f>
        <v>0</v>
      </c>
      <c r="O62" s="11">
        <f>M62+'Quarterly YTD'!O62-'Quarterly YTD'!K62</f>
        <v>0</v>
      </c>
    </row>
    <row customHeight="1" ht="15">
      <c r="A63" s="9" t="s">
        <v>75</v>
      </c>
      <c r="B63" s="0">
        <v>0</v>
      </c>
      <c r="E63" s="0">
        <v>0</v>
      </c>
      <c r="G63" s="11">
        <f>E63+'Quarterly YTD'!G63-'Quarterly YTD'!C63</f>
        <v>0</v>
      </c>
      <c r="H63" s="11">
        <f>E63+'Quarterly YTD'!H63-'Quarterly YTD'!D63</f>
        <v>0</v>
      </c>
      <c r="I63" s="0">
        <v>-12.040304</v>
      </c>
      <c r="J63" s="11">
        <f>I63+'Quarterly YTD'!J63-'Quarterly YTD'!F63</f>
        <v>-27.520033</v>
      </c>
      <c r="K63" s="11">
        <f>I63+'Quarterly YTD'!K63-'Quarterly YTD'!G63</f>
        <v>-19.195636</v>
      </c>
      <c r="L63" s="11">
        <f>I63+'Quarterly YTD'!L63-'Quarterly YTD'!H63</f>
        <v>-12.040304</v>
      </c>
      <c r="M63" s="0">
        <v>5.289519</v>
      </c>
      <c r="N63" s="11">
        <f>M63+'Quarterly YTD'!N63-'Quarterly YTD'!J63</f>
        <v>1.804611</v>
      </c>
      <c r="O63" s="11">
        <f>M63+'Quarterly YTD'!O63-'Quarterly YTD'!K63</f>
        <v>-4.354654</v>
      </c>
    </row>
    <row customHeight="1" ht="15">
      <c r="A64" s="9" t="s">
        <v>76</v>
      </c>
      <c r="B64" s="0">
        <v>0</v>
      </c>
      <c r="E64" s="0">
        <v>0</v>
      </c>
      <c r="G64" s="11">
        <f>E64+'Quarterly YTD'!G64-'Quarterly YTD'!C64</f>
        <v>0</v>
      </c>
      <c r="H64" s="11">
        <f>E64+'Quarterly YTD'!H64-'Quarterly YTD'!D64</f>
        <v>0</v>
      </c>
      <c r="I64" s="0">
        <v>0</v>
      </c>
      <c r="J64" s="11">
        <f>I64+'Quarterly YTD'!J64-'Quarterly YTD'!F64</f>
        <v>0</v>
      </c>
      <c r="K64" s="11">
        <f>I64+'Quarterly YTD'!K64-'Quarterly YTD'!G64</f>
        <v>0</v>
      </c>
      <c r="L64" s="11">
        <f>I64+'Quarterly YTD'!L64-'Quarterly YTD'!H64</f>
        <v>0</v>
      </c>
      <c r="M64" s="0">
        <v>-35.839263</v>
      </c>
      <c r="N64" s="11">
        <f>M64+'Quarterly YTD'!N64-'Quarterly YTD'!J64</f>
        <v>-35.839263</v>
      </c>
      <c r="O64" s="11">
        <f>M64+'Quarterly YTD'!O64-'Quarterly YTD'!K64</f>
        <v>-35.839263</v>
      </c>
    </row>
    <row customHeight="1" ht="15">
      <c r="A65" s="9" t="s">
        <v>77</v>
      </c>
      <c r="B65" s="0">
        <v>0</v>
      </c>
      <c r="E65" s="0">
        <v>0</v>
      </c>
      <c r="G65" s="11">
        <f>E65+'Quarterly YTD'!G65-'Quarterly YTD'!C65</f>
        <v>0</v>
      </c>
      <c r="H65" s="11">
        <f>E65+'Quarterly YTD'!H65-'Quarterly YTD'!D65</f>
        <v>0</v>
      </c>
      <c r="I65" s="0">
        <v>-31.924235</v>
      </c>
      <c r="J65" s="11">
        <f>I65+'Quarterly YTD'!J65-'Quarterly YTD'!F65</f>
        <v>-31.924235</v>
      </c>
      <c r="K65" s="11">
        <f>I65+'Quarterly YTD'!K65-'Quarterly YTD'!G65</f>
        <v>-31.924235</v>
      </c>
      <c r="L65" s="11">
        <f>I65+'Quarterly YTD'!L65-'Quarterly YTD'!H65</f>
        <v>-31.924235</v>
      </c>
      <c r="M65" s="0">
        <v>0</v>
      </c>
      <c r="N65" s="11">
        <f>M65+'Quarterly YTD'!N65-'Quarterly YTD'!J65</f>
        <v>0</v>
      </c>
      <c r="O65" s="11">
        <f>M65+'Quarterly YTD'!O65-'Quarterly YTD'!K65</f>
        <v>0</v>
      </c>
    </row>
    <row customHeight="1" ht="15">
      <c r="A66" s="9" t="s">
        <v>78</v>
      </c>
      <c r="B66" s="0">
        <v>7.85232</v>
      </c>
      <c r="E66" s="0">
        <v>49.126942</v>
      </c>
      <c r="G66" s="11">
        <f>E66+'Quarterly YTD'!G66-'Quarterly YTD'!C66</f>
        <v>14.238151</v>
      </c>
      <c r="H66" s="11">
        <f>E66+'Quarterly YTD'!H66-'Quarterly YTD'!D66</f>
        <v>15.202746</v>
      </c>
      <c r="I66" s="0">
        <v>0</v>
      </c>
      <c r="J66" s="11">
        <f>I66+'Quarterly YTD'!J66-'Quarterly YTD'!F66</f>
        <v>-0.242194</v>
      </c>
      <c r="K66" s="11">
        <f>I66+'Quarterly YTD'!K66-'Quarterly YTD'!G66</f>
        <v>-1.068983</v>
      </c>
      <c r="L66" s="11">
        <f>I66+'Quarterly YTD'!L66-'Quarterly YTD'!H66</f>
        <v>-38.253862</v>
      </c>
      <c r="M66" s="0">
        <v>0</v>
      </c>
      <c r="N66" s="11">
        <f>M66+'Quarterly YTD'!N66-'Quarterly YTD'!J66</f>
        <v>-3.917079</v>
      </c>
      <c r="O66" s="11">
        <f>M66+'Quarterly YTD'!O66-'Quarterly YTD'!K66</f>
        <v>-3.884561</v>
      </c>
    </row>
    <row customHeight="1" ht="15">
      <c r="A67" s="9" t="s">
        <v>79</v>
      </c>
      <c r="B67" s="0">
        <v>0</v>
      </c>
      <c r="E67" s="0">
        <v>0</v>
      </c>
      <c r="G67" s="11">
        <f>E67+'Quarterly YTD'!G67-'Quarterly YTD'!C67</f>
        <v>0</v>
      </c>
      <c r="H67" s="11">
        <f>E67+'Quarterly YTD'!H67-'Quarterly YTD'!D67</f>
        <v>0.443359</v>
      </c>
      <c r="I67" s="0">
        <v>0</v>
      </c>
      <c r="J67" s="11">
        <f>I67+'Quarterly YTD'!J67-'Quarterly YTD'!F67</f>
        <v>0</v>
      </c>
      <c r="K67" s="11">
        <f>I67+'Quarterly YTD'!K67-'Quarterly YTD'!G67</f>
        <v>0</v>
      </c>
      <c r="L67" s="11">
        <f>I67+'Quarterly YTD'!L67-'Quarterly YTD'!H67</f>
        <v>-2.040643</v>
      </c>
      <c r="M67" s="0">
        <v>0</v>
      </c>
      <c r="N67" s="11">
        <f>M67+'Quarterly YTD'!N67-'Quarterly YTD'!J67</f>
        <v>0</v>
      </c>
      <c r="O67" s="11">
        <f>M67+'Quarterly YTD'!O67-'Quarterly YTD'!K67</f>
        <v>0</v>
      </c>
    </row>
    <row customHeight="1" ht="15">
      <c r="A68" s="9" t="s">
        <v>80</v>
      </c>
      <c r="B68" s="0">
        <v>3.843218</v>
      </c>
      <c r="E68" s="0">
        <v>1.255676</v>
      </c>
      <c r="G68" s="11">
        <f>E68+'Quarterly YTD'!G68-'Quarterly YTD'!C68</f>
        <v>-0.427613</v>
      </c>
      <c r="H68" s="11">
        <f>E68+'Quarterly YTD'!H68-'Quarterly YTD'!D68</f>
        <v>-1.597995</v>
      </c>
      <c r="I68" s="0">
        <v>0</v>
      </c>
      <c r="J68" s="11">
        <f>I68+'Quarterly YTD'!J68-'Quarterly YTD'!F68</f>
        <v>-2.022442</v>
      </c>
      <c r="K68" s="11">
        <f>I68+'Quarterly YTD'!K68-'Quarterly YTD'!G68</f>
        <v>-1.249186</v>
      </c>
      <c r="L68" s="11">
        <f>I68+'Quarterly YTD'!L68-'Quarterly YTD'!H68</f>
        <v>0.737652</v>
      </c>
      <c r="M68" s="0">
        <v>0</v>
      </c>
      <c r="N68" s="11">
        <f>M68+'Quarterly YTD'!N68-'Quarterly YTD'!J68</f>
        <v>0</v>
      </c>
      <c r="O68" s="11">
        <f>M68+'Quarterly YTD'!O68-'Quarterly YTD'!K68</f>
        <v>0</v>
      </c>
    </row>
    <row customHeight="1" ht="15">
      <c r="A69" s="9" t="s">
        <v>81</v>
      </c>
      <c r="B69" s="0">
        <v>-0.388153</v>
      </c>
      <c r="E69" s="0">
        <v>21.720609</v>
      </c>
      <c r="G69" s="11">
        <f>E69+'Quarterly YTD'!G69-'Quarterly YTD'!C69</f>
        <v>21.596754</v>
      </c>
      <c r="H69" s="11">
        <f>E69+'Quarterly YTD'!H69-'Quarterly YTD'!D69</f>
        <v>3.893199</v>
      </c>
      <c r="I69" s="0">
        <v>0.075676</v>
      </c>
      <c r="J69" s="11">
        <f>I69+'Quarterly YTD'!J69-'Quarterly YTD'!F69</f>
        <v>-0.667682</v>
      </c>
      <c r="K69" s="11">
        <f>I69+'Quarterly YTD'!K69-'Quarterly YTD'!G69</f>
        <v>-0.974275</v>
      </c>
      <c r="L69" s="11">
        <f>I69+'Quarterly YTD'!L69-'Quarterly YTD'!H69</f>
        <v>0.075676</v>
      </c>
      <c r="M69" s="0">
        <v>-12.012494</v>
      </c>
      <c r="N69" s="11">
        <f>M69+'Quarterly YTD'!N69-'Quarterly YTD'!J69</f>
        <v>-15.107282</v>
      </c>
      <c r="O69" s="11">
        <f>M69+'Quarterly YTD'!O69-'Quarterly YTD'!K69</f>
        <v>-17.808495</v>
      </c>
    </row>
    <row customHeight="1" ht="15">
      <c r="A70" s="9" t="s">
        <v>82</v>
      </c>
      <c r="B70" s="0">
        <v>0</v>
      </c>
      <c r="E70" s="0">
        <v>0</v>
      </c>
      <c r="G70" s="11">
        <f>E70+'Quarterly YTD'!G70-'Quarterly YTD'!C70</f>
        <v>0</v>
      </c>
      <c r="H70" s="11">
        <f>E70+'Quarterly YTD'!H70-'Quarterly YTD'!D70</f>
        <v>0</v>
      </c>
      <c r="I70" s="0">
        <v>10.080507</v>
      </c>
      <c r="J70" s="11">
        <f>I70+'Quarterly YTD'!J70-'Quarterly YTD'!F70</f>
        <v>9.207915</v>
      </c>
      <c r="K70" s="11">
        <f>I70+'Quarterly YTD'!K70-'Quarterly YTD'!G70</f>
        <v>7.596655</v>
      </c>
      <c r="L70" s="11">
        <f>I70+'Quarterly YTD'!L70-'Quarterly YTD'!H70</f>
        <v>10.080507</v>
      </c>
      <c r="M70" s="0">
        <v>0.39442</v>
      </c>
      <c r="N70" s="11">
        <f>M70+'Quarterly YTD'!N70-'Quarterly YTD'!J70</f>
        <v>0.917691</v>
      </c>
      <c r="O70" s="11">
        <f>M70+'Quarterly YTD'!O70-'Quarterly YTD'!K70</f>
        <v>0.764209</v>
      </c>
    </row>
    <row customHeight="1" ht="15">
      <c r="A71" s="9" t="s">
        <v>83</v>
      </c>
      <c r="B71" s="0">
        <v>0</v>
      </c>
      <c r="E71" s="0">
        <v>0</v>
      </c>
      <c r="G71" s="11">
        <f>E71+'Quarterly YTD'!G71-'Quarterly YTD'!C71</f>
        <v>0</v>
      </c>
      <c r="H71" s="11">
        <f>E71+'Quarterly YTD'!H71-'Quarterly YTD'!D71</f>
        <v>0</v>
      </c>
      <c r="I71" s="0">
        <v>10.786602</v>
      </c>
      <c r="J71" s="11">
        <f>I71+'Quarterly YTD'!J71-'Quarterly YTD'!F71</f>
        <v>-5.859557</v>
      </c>
      <c r="K71" s="11">
        <f>I71+'Quarterly YTD'!K71-'Quarterly YTD'!G71</f>
        <v>11.81444</v>
      </c>
      <c r="L71" s="11">
        <f>I71+'Quarterly YTD'!L71-'Quarterly YTD'!H71</f>
        <v>10.786602</v>
      </c>
      <c r="M71" s="0">
        <v>-0.088701</v>
      </c>
      <c r="N71" s="11">
        <f>M71+'Quarterly YTD'!N71-'Quarterly YTD'!J71</f>
        <v>-2.451667</v>
      </c>
      <c r="O71" s="11">
        <f>M71+'Quarterly YTD'!O71-'Quarterly YTD'!K71</f>
        <v>-3.873222</v>
      </c>
    </row>
    <row customHeight="1" ht="15">
      <c r="A72" s="9" t="s">
        <v>84</v>
      </c>
      <c r="B72" s="0">
        <v>0</v>
      </c>
      <c r="E72" s="0">
        <v>0</v>
      </c>
      <c r="G72" s="11">
        <f>E72+'Quarterly YTD'!G72-'Quarterly YTD'!C72</f>
        <v>0</v>
      </c>
      <c r="H72" s="11">
        <f>E72+'Quarterly YTD'!H72-'Quarterly YTD'!D72</f>
        <v>0</v>
      </c>
      <c r="I72" s="0">
        <v>0.011885</v>
      </c>
      <c r="J72" s="11">
        <f>I72+'Quarterly YTD'!J72-'Quarterly YTD'!F72</f>
        <v>0.107355</v>
      </c>
      <c r="K72" s="11">
        <f>I72+'Quarterly YTD'!K72-'Quarterly YTD'!G72</f>
        <v>0.153902</v>
      </c>
      <c r="L72" s="11">
        <f>I72+'Quarterly YTD'!L72-'Quarterly YTD'!H72</f>
        <v>0.011885</v>
      </c>
      <c r="M72" s="0">
        <v>3.23386</v>
      </c>
      <c r="N72" s="11">
        <f>M72+'Quarterly YTD'!N72-'Quarterly YTD'!J72</f>
        <v>4.843055</v>
      </c>
      <c r="O72" s="11">
        <f>M72+'Quarterly YTD'!O72-'Quarterly YTD'!K72</f>
        <v>2.291673</v>
      </c>
    </row>
    <row customHeight="1" ht="15">
      <c r="A73" s="9" t="s">
        <v>85</v>
      </c>
      <c r="B73" s="0">
        <v>0.187722</v>
      </c>
      <c r="E73" s="0">
        <v>0.156096</v>
      </c>
      <c r="G73" s="11">
        <f>E73+'Quarterly YTD'!G73-'Quarterly YTD'!C73</f>
        <v>0.158819</v>
      </c>
      <c r="H73" s="11">
        <f>E73+'Quarterly YTD'!H73-'Quarterly YTD'!D73</f>
        <v>0.157212</v>
      </c>
      <c r="I73" s="0">
        <v>0.329052</v>
      </c>
      <c r="J73" s="11">
        <f>I73+'Quarterly YTD'!J73-'Quarterly YTD'!F73</f>
        <v>0.39779</v>
      </c>
      <c r="K73" s="11">
        <f>I73+'Quarterly YTD'!K73-'Quarterly YTD'!G73</f>
        <v>0.407192</v>
      </c>
      <c r="L73" s="11">
        <f>I73+'Quarterly YTD'!L73-'Quarterly YTD'!H73</f>
        <v>0.442974</v>
      </c>
      <c r="M73" s="0">
        <v>0.269998</v>
      </c>
      <c r="N73" s="11">
        <f>M73+'Quarterly YTD'!N73-'Quarterly YTD'!J73</f>
        <v>0.397375</v>
      </c>
      <c r="O73" s="11">
        <f>M73+'Quarterly YTD'!O73-'Quarterly YTD'!K73</f>
        <v>0.501385</v>
      </c>
    </row>
    <row customHeight="1" ht="15">
      <c r="A74" s="9" t="s">
        <v>86</v>
      </c>
      <c r="B74" s="0">
        <v>-4.512994</v>
      </c>
      <c r="E74" s="0">
        <v>-7.191377</v>
      </c>
      <c r="G74" s="11">
        <f>E74+'Quarterly YTD'!G74-'Quarterly YTD'!C74</f>
        <v>-26.63638</v>
      </c>
      <c r="H74" s="11">
        <f>E74+'Quarterly YTD'!H74-'Quarterly YTD'!D74</f>
        <v>-36.837387</v>
      </c>
      <c r="I74" s="0">
        <v>-16.33502</v>
      </c>
      <c r="J74" s="11">
        <f>I74+'Quarterly YTD'!J74-'Quarterly YTD'!F74</f>
        <v>-16.183734</v>
      </c>
      <c r="K74" s="11">
        <f>I74+'Quarterly YTD'!K74-'Quarterly YTD'!G74</f>
        <v>-18.187847</v>
      </c>
      <c r="L74" s="11">
        <f>I74+'Quarterly YTD'!L74-'Quarterly YTD'!H74</f>
        <v>-11.498145</v>
      </c>
      <c r="M74" s="0">
        <v>-45.285543</v>
      </c>
      <c r="N74" s="11">
        <f>M74+'Quarterly YTD'!N74-'Quarterly YTD'!J74</f>
        <v>-47.185056</v>
      </c>
      <c r="O74" s="11">
        <f>M74+'Quarterly YTD'!O74-'Quarterly YTD'!K74</f>
        <v>-49.73991</v>
      </c>
    </row>
    <row customHeight="1" ht="15">
      <c r="A75" s="9" t="s">
        <v>87</v>
      </c>
      <c r="B75" s="0">
        <v>116.208716</v>
      </c>
      <c r="E75" s="0">
        <v>140.126037</v>
      </c>
      <c r="G75" s="11">
        <f>E75+'Quarterly YTD'!G75-'Quarterly YTD'!C75</f>
        <v>127.191391</v>
      </c>
      <c r="H75" s="11">
        <f>E75+'Quarterly YTD'!H75-'Quarterly YTD'!D75</f>
        <v>109.3996</v>
      </c>
      <c r="I75" s="0">
        <v>47.314112</v>
      </c>
      <c r="J75" s="11">
        <f>I75+'Quarterly YTD'!J75-'Quarterly YTD'!F75</f>
        <v>19.464727</v>
      </c>
      <c r="K75" s="11">
        <f>I75+'Quarterly YTD'!K75-'Quarterly YTD'!G75</f>
        <v>29.238226</v>
      </c>
      <c r="L75" s="11">
        <f>I75+'Quarterly YTD'!L75-'Quarterly YTD'!H75</f>
        <v>34.855219</v>
      </c>
      <c r="M75" s="0">
        <v>56.062646</v>
      </c>
      <c r="N75" s="11">
        <f>M75+'Quarterly YTD'!N75-'Quarterly YTD'!J75</f>
        <v>54.057448</v>
      </c>
      <c r="O75" s="11">
        <f>M75+'Quarterly YTD'!O75-'Quarterly YTD'!K75</f>
        <v>51.06854</v>
      </c>
    </row>
    <row customHeight="1" ht="15">
      <c r="A76" s="9" t="s">
        <v>88</v>
      </c>
      <c r="B76" s="0">
        <v>-3.350279</v>
      </c>
      <c r="E76" s="0">
        <v>-5.782459</v>
      </c>
      <c r="G76" s="11">
        <f>E76+'Quarterly YTD'!G76-'Quarterly YTD'!C76</f>
        <v>-6.10929</v>
      </c>
      <c r="H76" s="11">
        <f>E76+'Quarterly YTD'!H76-'Quarterly YTD'!D76</f>
        <v>-5.983349</v>
      </c>
      <c r="I76" s="0">
        <v>-7.184522</v>
      </c>
      <c r="J76" s="11">
        <f>I76+'Quarterly YTD'!J76-'Quarterly YTD'!F76</f>
        <v>-6.343042</v>
      </c>
      <c r="K76" s="11">
        <f>I76+'Quarterly YTD'!K76-'Quarterly YTD'!G76</f>
        <v>-6.286628</v>
      </c>
      <c r="L76" s="11">
        <f>I76+'Quarterly YTD'!L76-'Quarterly YTD'!H76</f>
        <v>-6.503236</v>
      </c>
      <c r="M76" s="0">
        <v>-6.091108</v>
      </c>
      <c r="N76" s="11">
        <f>M76+'Quarterly YTD'!N76-'Quarterly YTD'!J76</f>
        <v>-6.191594</v>
      </c>
      <c r="O76" s="11">
        <f>M76+'Quarterly YTD'!O76-'Quarterly YTD'!K76</f>
        <v>-6.512825</v>
      </c>
    </row>
    <row customHeight="1" ht="15">
      <c r="A77" s="9" t="s">
        <v>89</v>
      </c>
      <c r="B77" s="0">
        <v>-0.332177</v>
      </c>
      <c r="E77" s="0">
        <v>-2.195829</v>
      </c>
      <c r="G77" s="11">
        <f>E77+'Quarterly YTD'!G77-'Quarterly YTD'!C77</f>
        <v>-2.329715</v>
      </c>
      <c r="H77" s="11">
        <f>E77+'Quarterly YTD'!H77-'Quarterly YTD'!D77</f>
        <v>-2.359254</v>
      </c>
      <c r="I77" s="0">
        <v>-0.403325</v>
      </c>
      <c r="J77" s="11">
        <f>I77+'Quarterly YTD'!J77-'Quarterly YTD'!F77</f>
        <v>-0.294852</v>
      </c>
      <c r="K77" s="11">
        <f>I77+'Quarterly YTD'!K77-'Quarterly YTD'!G77</f>
        <v>-1.069195</v>
      </c>
      <c r="L77" s="11">
        <f>I77+'Quarterly YTD'!L77-'Quarterly YTD'!H77</f>
        <v>-1.084446</v>
      </c>
      <c r="M77" s="0">
        <v>-1.099098</v>
      </c>
      <c r="N77" s="11">
        <f>M77+'Quarterly YTD'!N77-'Quarterly YTD'!J77</f>
        <v>-1.241943</v>
      </c>
      <c r="O77" s="11">
        <f>M77+'Quarterly YTD'!O77-'Quarterly YTD'!K77</f>
        <v>-0.413471</v>
      </c>
    </row>
    <row customHeight="1" ht="15">
      <c r="A78" s="4" t="s">
        <v>90</v>
      </c>
      <c r="B78" s="7">
        <f>SUM(B35:B38)+B40+B44+SUM(B47:B48)+SUM(B51:B59)+SUM(B61:B62)+B66+SUM(B68:B69)+SUM(B73:B74)+SUM(B76:B77)</f>
        <v>112.52626</v>
      </c>
      <c r="E78" s="7">
        <f>SUM(E35:E38)+SUM(E40:E41)+E44+SUM(E47:E48)+SUM(E51:E59)+SUM(E61:E62)+E66+SUM(E68:E70)+SUM(E73:E74)+SUM(E76:E77)</f>
        <v>132.147749</v>
      </c>
      <c r="G78" s="7">
        <f>E78+'Quarterly YTD'!G78-'Quarterly YTD'!C78</f>
        <v>99.310106</v>
      </c>
      <c r="H78" s="7">
        <f>E78+'Quarterly YTD'!H78-'Quarterly YTD'!D78</f>
        <v>71.412103</v>
      </c>
      <c r="I78" s="7">
        <f>SUM(I35:I38)+SUM(I40:I41)+I44+I46+SUM(I48:I49)+SUM(I52:I59)+I61+I63+I65+SUM(I69:I74)+SUM(I76:I77)</f>
        <v>39.726265</v>
      </c>
      <c r="J78" s="7">
        <f>I78+'Quarterly YTD'!J78-'Quarterly YTD'!F78</f>
        <v>13.046857</v>
      </c>
      <c r="K78" s="7">
        <f>I78+'Quarterly YTD'!K78-'Quarterly YTD'!G78</f>
        <v>41.248265</v>
      </c>
      <c r="L78" s="7">
        <f>I78+'Quarterly YTD'!L78-'Quarterly YTD'!H78</f>
        <v>32.218334</v>
      </c>
      <c r="M78" s="7">
        <f>SUM(M35:M38)+SUM(M40:M41)+M44+M46+SUM(M48:M49)+SUM(M52:M59)+M61+SUM(M63:M64)+SUM(M69:M74)+SUM(M76:M77)</f>
        <v>48.87244</v>
      </c>
      <c r="N78" s="7">
        <f>M78+'Quarterly YTD'!N78-'Quarterly YTD'!J78</f>
        <v>44.851775</v>
      </c>
      <c r="O78" s="7">
        <f>M78+'Quarterly YTD'!O78-'Quarterly YTD'!K78</f>
        <v>44.142244</v>
      </c>
    </row>
    <row customHeight="1" ht="15">
      <c r="A79" s="9" t="s">
        <v>91</v>
      </c>
      <c r="B79" s="0">
        <v>-84.254415</v>
      </c>
      <c r="E79" s="0">
        <v>-74.376186</v>
      </c>
      <c r="G79" s="11">
        <f>E79+'Quarterly YTD'!G79-'Quarterly YTD'!C79</f>
        <v>-70.93356</v>
      </c>
      <c r="H79" s="11">
        <f>E79+'Quarterly YTD'!H79-'Quarterly YTD'!D79</f>
        <v>-50.633884</v>
      </c>
      <c r="I79" s="0">
        <v>-29.126253</v>
      </c>
      <c r="J79" s="11">
        <f>I79+'Quarterly YTD'!J79-'Quarterly YTD'!F79</f>
        <v>-25.348941</v>
      </c>
      <c r="K79" s="11">
        <f>I79+'Quarterly YTD'!K79-'Quarterly YTD'!G79</f>
        <v>-34.818726</v>
      </c>
      <c r="L79" s="11">
        <f>I79+'Quarterly YTD'!L79-'Quarterly YTD'!H79</f>
        <v>-34.792062</v>
      </c>
      <c r="M79" s="0">
        <v>-47.541704</v>
      </c>
      <c r="N79" s="11">
        <f>M79+'Quarterly YTD'!N79-'Quarterly YTD'!J79</f>
        <v>-55.930565</v>
      </c>
      <c r="O79" s="11">
        <f>M79+'Quarterly YTD'!O79-'Quarterly YTD'!K79</f>
        <v>-59.743655</v>
      </c>
    </row>
    <row customHeight="1" ht="15">
      <c r="A80" s="9" t="s">
        <v>92</v>
      </c>
      <c r="B80" s="0">
        <v>-15.165416</v>
      </c>
      <c r="E80" s="0">
        <v>-24.361971</v>
      </c>
      <c r="G80" s="11">
        <f>E80+'Quarterly YTD'!G80-'Quarterly YTD'!C80</f>
        <v>-22.076662</v>
      </c>
      <c r="H80" s="11">
        <f>E80+'Quarterly YTD'!H80-'Quarterly YTD'!D80</f>
        <v>-23.025995</v>
      </c>
      <c r="I80" s="0">
        <v>-20.599286</v>
      </c>
      <c r="J80" s="11">
        <f>I80+'Quarterly YTD'!J80-'Quarterly YTD'!F80</f>
        <v>-16.536548</v>
      </c>
      <c r="K80" s="11">
        <f>I80+'Quarterly YTD'!K80-'Quarterly YTD'!G80</f>
        <v>-16.906127</v>
      </c>
      <c r="L80" s="11">
        <f>I80+'Quarterly YTD'!L80-'Quarterly YTD'!H80</f>
        <v>-17.48709</v>
      </c>
      <c r="M80" s="0">
        <v>-8.286235</v>
      </c>
      <c r="N80" s="11">
        <f>M80+'Quarterly YTD'!N80-'Quarterly YTD'!J80</f>
        <v>-10.776696</v>
      </c>
      <c r="O80" s="11">
        <f>M80+'Quarterly YTD'!O80-'Quarterly YTD'!K80</f>
        <v>-8.286235</v>
      </c>
    </row>
    <row customHeight="1" ht="15">
      <c r="A81" s="9" t="s">
        <v>93</v>
      </c>
      <c r="B81" s="0">
        <v>-0.406392</v>
      </c>
      <c r="E81" s="0">
        <v>-0.009795</v>
      </c>
      <c r="G81" s="11">
        <f>E81+'Quarterly YTD'!G81-'Quarterly YTD'!C81</f>
        <v>-0.009795</v>
      </c>
      <c r="H81" s="11">
        <f>E81+'Quarterly YTD'!H81-'Quarterly YTD'!D81</f>
        <v>-0.009795</v>
      </c>
      <c r="I81" s="0">
        <v>0</v>
      </c>
      <c r="J81" s="11">
        <f>I81+'Quarterly YTD'!J81-'Quarterly YTD'!F81</f>
        <v>0</v>
      </c>
      <c r="K81" s="11">
        <f>I81+'Quarterly YTD'!K81-'Quarterly YTD'!G81</f>
        <v>0</v>
      </c>
      <c r="L81" s="11">
        <f>I81+'Quarterly YTD'!L81-'Quarterly YTD'!H81</f>
        <v>0</v>
      </c>
      <c r="M81" s="0">
        <v>0</v>
      </c>
      <c r="N81" s="11">
        <f>M81+'Quarterly YTD'!N81-'Quarterly YTD'!J81</f>
        <v>0</v>
      </c>
      <c r="O81" s="11">
        <f>M81+'Quarterly YTD'!O81-'Quarterly YTD'!K81</f>
        <v>0</v>
      </c>
    </row>
    <row customHeight="1" ht="15">
      <c r="A82" s="9" t="s">
        <v>94</v>
      </c>
      <c r="B82" s="0">
        <v>0</v>
      </c>
      <c r="E82" s="0">
        <v>0</v>
      </c>
      <c r="G82" s="11">
        <f>E82+'Quarterly YTD'!G82-'Quarterly YTD'!C82</f>
        <v>0</v>
      </c>
      <c r="H82" s="11">
        <f>E82+'Quarterly YTD'!H82-'Quarterly YTD'!D82</f>
        <v>0</v>
      </c>
      <c r="I82" s="0">
        <v>0</v>
      </c>
      <c r="J82" s="11">
        <f>I82+'Quarterly YTD'!J82-'Quarterly YTD'!F82</f>
        <v>0</v>
      </c>
      <c r="K82" s="11">
        <f>I82+'Quarterly YTD'!K82-'Quarterly YTD'!G82</f>
        <v>0</v>
      </c>
      <c r="L82" s="11">
        <f>I82+'Quarterly YTD'!L82-'Quarterly YTD'!H82</f>
        <v>0</v>
      </c>
      <c r="M82" s="0">
        <v>-5.02211</v>
      </c>
      <c r="N82" s="11">
        <f>M82+'Quarterly YTD'!N82-'Quarterly YTD'!J82</f>
        <v>-5.02211</v>
      </c>
      <c r="O82" s="11">
        <f>M82+'Quarterly YTD'!O82-'Quarterly YTD'!K82</f>
        <v>-5.02211</v>
      </c>
    </row>
    <row customHeight="1" ht="15">
      <c r="A83" s="9" t="s">
        <v>95</v>
      </c>
      <c r="B83" s="0">
        <v>0</v>
      </c>
      <c r="E83" s="0">
        <v>0</v>
      </c>
      <c r="G83" s="11">
        <f>E83+'Quarterly YTD'!G83-'Quarterly YTD'!C83</f>
        <v>0</v>
      </c>
      <c r="H83" s="11">
        <f>E83+'Quarterly YTD'!H83-'Quarterly YTD'!D83</f>
        <v>0</v>
      </c>
      <c r="I83" s="0">
        <v>0</v>
      </c>
      <c r="J83" s="11">
        <f>I83+'Quarterly YTD'!J83-'Quarterly YTD'!F83</f>
        <v>0</v>
      </c>
      <c r="K83" s="11">
        <f>I83+'Quarterly YTD'!K83-'Quarterly YTD'!G83</f>
        <v>-0.108169</v>
      </c>
      <c r="L83" s="11">
        <f>I83+'Quarterly YTD'!L83-'Quarterly YTD'!H83</f>
        <v>0</v>
      </c>
      <c r="M83" s="0">
        <v>0</v>
      </c>
      <c r="N83" s="11">
        <f>M83+'Quarterly YTD'!N83-'Quarterly YTD'!J83</f>
        <v>0</v>
      </c>
      <c r="O83" s="11">
        <f>M83+'Quarterly YTD'!O83-'Quarterly YTD'!K83</f>
        <v>-12.520713</v>
      </c>
    </row>
    <row customHeight="1" ht="15">
      <c r="A84" s="9" t="s">
        <v>96</v>
      </c>
      <c r="B84" s="0">
        <v>10.346399</v>
      </c>
      <c r="E84" s="0">
        <v>0.037732</v>
      </c>
      <c r="G84" s="11">
        <f>E84+'Quarterly YTD'!G84-'Quarterly YTD'!C84</f>
        <v>0.046772</v>
      </c>
      <c r="H84" s="11">
        <f>E84+'Quarterly YTD'!H84-'Quarterly YTD'!D84</f>
        <v>0.087419</v>
      </c>
      <c r="I84" s="0">
        <v>0.06133</v>
      </c>
      <c r="J84" s="11">
        <f>I84+'Quarterly YTD'!J84-'Quarterly YTD'!F84</f>
        <v>0.00379299999999999</v>
      </c>
      <c r="K84" s="11">
        <f>I84+'Quarterly YTD'!K84-'Quarterly YTD'!G84</f>
        <v>0.166862</v>
      </c>
      <c r="L84" s="11">
        <f>I84+'Quarterly YTD'!L84-'Quarterly YTD'!H84</f>
        <v>0.183537</v>
      </c>
      <c r="M84" s="0">
        <v>0.253132</v>
      </c>
      <c r="N84" s="11">
        <f>M84+'Quarterly YTD'!N84-'Quarterly YTD'!J84</f>
        <v>0.236507</v>
      </c>
      <c r="O84" s="11">
        <f>M84+'Quarterly YTD'!O84-'Quarterly YTD'!K84</f>
        <v>0.099428</v>
      </c>
    </row>
    <row customHeight="1" ht="15">
      <c r="A85" s="9" t="s">
        <v>97</v>
      </c>
      <c r="B85" s="0">
        <v>0</v>
      </c>
      <c r="E85" s="0">
        <v>0</v>
      </c>
      <c r="G85" s="11">
        <f>E85+'Quarterly YTD'!G85-'Quarterly YTD'!C85</f>
        <v>0.229378</v>
      </c>
      <c r="H85" s="11">
        <f>E85+'Quarterly YTD'!H85-'Quarterly YTD'!D85</f>
        <v>0.100571</v>
      </c>
      <c r="I85" s="0">
        <v>0</v>
      </c>
      <c r="J85" s="11">
        <f>I85+'Quarterly YTD'!J85-'Quarterly YTD'!F85</f>
        <v>0</v>
      </c>
      <c r="K85" s="11">
        <f>I85+'Quarterly YTD'!K85-'Quarterly YTD'!G85</f>
        <v>0</v>
      </c>
      <c r="L85" s="11">
        <f>I85+'Quarterly YTD'!L85-'Quarterly YTD'!H85</f>
        <v>0</v>
      </c>
      <c r="M85" s="0">
        <v>0</v>
      </c>
      <c r="N85" s="11">
        <f>M85+'Quarterly YTD'!N85-'Quarterly YTD'!J85</f>
        <v>0</v>
      </c>
      <c r="O85" s="11">
        <f>M85+'Quarterly YTD'!O85-'Quarterly YTD'!K85</f>
        <v>0</v>
      </c>
    </row>
    <row customHeight="1" ht="15">
      <c r="A86" s="9" t="s">
        <v>98</v>
      </c>
      <c r="B86" s="0">
        <v>0.132403</v>
      </c>
      <c r="E86" s="0">
        <v>-0.025433</v>
      </c>
      <c r="G86" s="11">
        <f>E86+'Quarterly YTD'!G86-'Quarterly YTD'!C86</f>
        <v>0.01746</v>
      </c>
      <c r="H86" s="11">
        <f>E86+'Quarterly YTD'!H86-'Quarterly YTD'!D86</f>
        <v>-0.052095</v>
      </c>
      <c r="I86" s="0">
        <v>0.747273</v>
      </c>
      <c r="J86" s="11">
        <f>I86+'Quarterly YTD'!J86-'Quarterly YTD'!F86</f>
        <v>0.727504</v>
      </c>
      <c r="K86" s="11">
        <f>I86+'Quarterly YTD'!K86-'Quarterly YTD'!G86</f>
        <v>0.762494</v>
      </c>
      <c r="L86" s="11">
        <f>I86+'Quarterly YTD'!L86-'Quarterly YTD'!H86</f>
        <v>0.76594</v>
      </c>
      <c r="M86" s="0">
        <v>-0.110069</v>
      </c>
      <c r="N86" s="11">
        <f>M86+'Quarterly YTD'!N86-'Quarterly YTD'!J86</f>
        <v>-0.000002000000000002</v>
      </c>
      <c r="O86" s="11">
        <f>M86+'Quarterly YTD'!O86-'Quarterly YTD'!K86</f>
        <v>-0.106187</v>
      </c>
    </row>
    <row customHeight="1" ht="15">
      <c r="A87" s="4" t="s">
        <v>99</v>
      </c>
      <c r="B87" s="7">
        <f t="shared" si="4" ref="B87:E87">SUM(B79:B81)+B84+B86</f>
        <v>-89.347421</v>
      </c>
      <c r="E87" s="7">
        <f t="shared" si="4"/>
        <v>-98.735653</v>
      </c>
      <c r="G87" s="7">
        <f>E87+'Quarterly YTD'!G87-'Quarterly YTD'!C87</f>
        <v>-92.726407</v>
      </c>
      <c r="H87" s="7">
        <f>E87+'Quarterly YTD'!H87-'Quarterly YTD'!D87</f>
        <v>-73.533779</v>
      </c>
      <c r="I87" s="7">
        <f t="shared" si="5" ref="I87:M87">SUM(I79:I80)+I82+I84+I86</f>
        <v>-48.916936</v>
      </c>
      <c r="J87" s="7">
        <f>I87+'Quarterly YTD'!J87-'Quarterly YTD'!F87</f>
        <v>-41.154192</v>
      </c>
      <c r="K87" s="7">
        <f>I87+'Quarterly YTD'!K87-'Quarterly YTD'!G87</f>
        <v>-50.903666</v>
      </c>
      <c r="L87" s="7">
        <f>I87+'Quarterly YTD'!L87-'Quarterly YTD'!H87</f>
        <v>-51.329675</v>
      </c>
      <c r="M87" s="7">
        <f t="shared" si="5"/>
        <v>-60.706986</v>
      </c>
      <c r="N87" s="7">
        <f>M87+'Quarterly YTD'!N87-'Quarterly YTD'!J87</f>
        <v>-71.492866</v>
      </c>
      <c r="O87" s="7">
        <f>M87+'Quarterly YTD'!O87-'Quarterly YTD'!K87</f>
        <v>-85.579472</v>
      </c>
    </row>
    <row customHeight="1" ht="15">
      <c r="A88" s="9" t="s">
        <v>100</v>
      </c>
      <c r="B88" s="0">
        <v>10.230431</v>
      </c>
      <c r="E88" s="0">
        <v>43.919974</v>
      </c>
      <c r="G88" s="11">
        <f>E88+'Quarterly YTD'!G88-'Quarterly YTD'!C88</f>
        <v>34.583397</v>
      </c>
      <c r="H88" s="11">
        <f>E88+'Quarterly YTD'!H88-'Quarterly YTD'!D88</f>
        <v>44.419026</v>
      </c>
      <c r="I88" s="0">
        <v>0.674215</v>
      </c>
      <c r="J88" s="11">
        <f>I88+'Quarterly YTD'!J88-'Quarterly YTD'!F88</f>
        <v>0.674215</v>
      </c>
      <c r="K88" s="11">
        <f>I88+'Quarterly YTD'!K88-'Quarterly YTD'!G88</f>
        <v>0.010792</v>
      </c>
      <c r="L88" s="11">
        <f>I88+'Quarterly YTD'!L88-'Quarterly YTD'!H88</f>
        <v>3.744646</v>
      </c>
      <c r="M88" s="0">
        <v>17.005817</v>
      </c>
      <c r="N88" s="11">
        <f>M88+'Quarterly YTD'!N88-'Quarterly YTD'!J88</f>
        <v>20.381808</v>
      </c>
      <c r="O88" s="11">
        <f>M88+'Quarterly YTD'!O88-'Quarterly YTD'!K88</f>
        <v>22.461817</v>
      </c>
    </row>
    <row customHeight="1" ht="15">
      <c r="A89" s="9" t="s">
        <v>101</v>
      </c>
      <c r="B89" s="0">
        <v>-37.974252</v>
      </c>
      <c r="E89" s="0">
        <v>-47.519074</v>
      </c>
      <c r="G89" s="11">
        <f>E89+'Quarterly YTD'!G89-'Quarterly YTD'!C89</f>
        <v>-49.519725</v>
      </c>
      <c r="H89" s="11">
        <f>E89+'Quarterly YTD'!H89-'Quarterly YTD'!D89</f>
        <v>-69.114793</v>
      </c>
      <c r="I89" s="0">
        <v>-253.918159</v>
      </c>
      <c r="J89" s="11">
        <f>I89+'Quarterly YTD'!J89-'Quarterly YTD'!F89</f>
        <v>-245.18514</v>
      </c>
      <c r="K89" s="11">
        <f>I89+'Quarterly YTD'!K89-'Quarterly YTD'!G89</f>
        <v>-244.913183</v>
      </c>
      <c r="L89" s="11">
        <f>I89+'Quarterly YTD'!L89-'Quarterly YTD'!H89</f>
        <v>-228.127659</v>
      </c>
      <c r="M89" s="0">
        <v>-6.611861</v>
      </c>
      <c r="N89" s="11">
        <f>M89+'Quarterly YTD'!N89-'Quarterly YTD'!J89</f>
        <v>-7.458745</v>
      </c>
      <c r="O89" s="11">
        <f>M89+'Quarterly YTD'!O89-'Quarterly YTD'!K89</f>
        <v>-9.555588</v>
      </c>
    </row>
    <row customHeight="1" ht="15">
      <c r="A90" s="9" t="s">
        <v>102</v>
      </c>
      <c r="B90" s="0">
        <v>-25.358133</v>
      </c>
      <c r="E90" s="0">
        <v>-22.91447</v>
      </c>
      <c r="G90" s="11">
        <f>E90+'Quarterly YTD'!G90-'Quarterly YTD'!C90</f>
        <v>-33.356135</v>
      </c>
      <c r="H90" s="11">
        <f>E90+'Quarterly YTD'!H90-'Quarterly YTD'!D90</f>
        <v>-39.18079</v>
      </c>
      <c r="I90" s="0">
        <v>-23.943408</v>
      </c>
      <c r="J90" s="11">
        <f>I90+'Quarterly YTD'!J90-'Quarterly YTD'!F90</f>
        <v>-23.472443</v>
      </c>
      <c r="K90" s="11">
        <f>I90+'Quarterly YTD'!K90-'Quarterly YTD'!G90</f>
        <v>-27.37148</v>
      </c>
      <c r="L90" s="11">
        <f>I90+'Quarterly YTD'!L90-'Quarterly YTD'!H90</f>
        <v>-21.333738</v>
      </c>
      <c r="M90" s="0">
        <v>-31.839486</v>
      </c>
      <c r="N90" s="11">
        <f>M90+'Quarterly YTD'!N90-'Quarterly YTD'!J90</f>
        <v>-38.256716</v>
      </c>
      <c r="O90" s="11">
        <f>M90+'Quarterly YTD'!O90-'Quarterly YTD'!K90</f>
        <v>-38.581958</v>
      </c>
    </row>
    <row customHeight="1" ht="15">
      <c r="A91" s="9" t="s">
        <v>103</v>
      </c>
      <c r="B91" s="0">
        <v>0</v>
      </c>
      <c r="E91" s="0">
        <v>0</v>
      </c>
      <c r="G91" s="11">
        <f>E91+'Quarterly YTD'!G91-'Quarterly YTD'!C91</f>
        <v>29.575639</v>
      </c>
      <c r="H91" s="11">
        <f>E91+'Quarterly YTD'!H91-'Quarterly YTD'!D91</f>
        <v>42.589607</v>
      </c>
      <c r="I91" s="0">
        <v>0</v>
      </c>
      <c r="J91" s="11">
        <f>I91+'Quarterly YTD'!J91-'Quarterly YTD'!F91</f>
        <v>0</v>
      </c>
      <c r="K91" s="11">
        <f>I91+'Quarterly YTD'!K91-'Quarterly YTD'!G91</f>
        <v>0</v>
      </c>
      <c r="L91" s="11">
        <f>I91+'Quarterly YTD'!L91-'Quarterly YTD'!H91</f>
        <v>0</v>
      </c>
      <c r="M91" s="0">
        <v>0</v>
      </c>
      <c r="N91" s="11">
        <f>M91+'Quarterly YTD'!N91-'Quarterly YTD'!J91</f>
        <v>0</v>
      </c>
      <c r="O91" s="11">
        <f>M91+'Quarterly YTD'!O91-'Quarterly YTD'!K91</f>
        <v>0</v>
      </c>
    </row>
    <row customHeight="1" ht="15">
      <c r="A92" s="9" t="s">
        <v>104</v>
      </c>
      <c r="B92" s="0">
        <v>-6.559526</v>
      </c>
      <c r="E92" s="0">
        <v>-0.143868</v>
      </c>
      <c r="G92" s="11">
        <f>E92+'Quarterly YTD'!G92-'Quarterly YTD'!C92</f>
        <v>9.894487</v>
      </c>
      <c r="H92" s="11">
        <f>E92+'Quarterly YTD'!H92-'Quarterly YTD'!D92</f>
        <v>-0.142785</v>
      </c>
      <c r="I92" s="0">
        <v>0</v>
      </c>
      <c r="J92" s="11">
        <f>I92+'Quarterly YTD'!J92-'Quarterly YTD'!F92</f>
        <v>-2.490096</v>
      </c>
      <c r="K92" s="11">
        <f>I92+'Quarterly YTD'!K92-'Quarterly YTD'!G92</f>
        <v>-9.96665</v>
      </c>
      <c r="L92" s="11">
        <f>I92+'Quarterly YTD'!L92-'Quarterly YTD'!H92</f>
        <v>-15.899546</v>
      </c>
      <c r="M92" s="0">
        <v>0</v>
      </c>
      <c r="N92" s="11">
        <f>M92+'Quarterly YTD'!N92-'Quarterly YTD'!J92</f>
        <v>0</v>
      </c>
      <c r="O92" s="11">
        <f>M92+'Quarterly YTD'!O92-'Quarterly YTD'!K92</f>
        <v>0</v>
      </c>
    </row>
    <row customHeight="1" ht="15">
      <c r="A93" s="9" t="s">
        <v>105</v>
      </c>
      <c r="B93" s="0">
        <v>0</v>
      </c>
      <c r="E93" s="0">
        <v>0</v>
      </c>
      <c r="G93" s="11">
        <f>E93+'Quarterly YTD'!G93-'Quarterly YTD'!C93</f>
        <v>0</v>
      </c>
      <c r="H93" s="11">
        <f>E93+'Quarterly YTD'!H93-'Quarterly YTD'!D93</f>
        <v>0</v>
      </c>
      <c r="I93" s="0">
        <v>300</v>
      </c>
      <c r="J93" s="11">
        <f>I93+'Quarterly YTD'!J93-'Quarterly YTD'!F93</f>
        <v>300</v>
      </c>
      <c r="K93" s="11">
        <f>I93+'Quarterly YTD'!K93-'Quarterly YTD'!G93</f>
        <v>300</v>
      </c>
      <c r="L93" s="11">
        <f>I93+'Quarterly YTD'!L93-'Quarterly YTD'!H93</f>
        <v>300</v>
      </c>
      <c r="M93" s="0">
        <v>0</v>
      </c>
      <c r="N93" s="11">
        <f>M93+'Quarterly YTD'!N93-'Quarterly YTD'!J93</f>
        <v>56.796935</v>
      </c>
      <c r="O93" s="11">
        <f>M93+'Quarterly YTD'!O93-'Quarterly YTD'!K93</f>
        <v>56.796935</v>
      </c>
    </row>
    <row customHeight="1" ht="15">
      <c r="A94" s="4" t="s">
        <v>106</v>
      </c>
      <c r="B94" s="7">
        <f>SUM(B88:B90)+B92</f>
        <v>-59.66148</v>
      </c>
      <c r="E94" s="7">
        <f>SUM(E88:E90)+SUM(E92:E93)</f>
        <v>-26.657438</v>
      </c>
      <c r="G94" s="7">
        <f>E94+'Quarterly YTD'!G94-'Quarterly YTD'!C94</f>
        <v>-8.82233699999999</v>
      </c>
      <c r="H94" s="7">
        <f>E94+'Quarterly YTD'!H94-'Quarterly YTD'!D94</f>
        <v>-21.429735</v>
      </c>
      <c r="I94" s="7">
        <f t="shared" si="6" ref="I94:M94">SUM(I88:I90)+I93</f>
        <v>22.812648</v>
      </c>
      <c r="J94" s="7">
        <f>I94+'Quarterly YTD'!J94-'Quarterly YTD'!F94</f>
        <v>29.526536</v>
      </c>
      <c r="K94" s="7">
        <f>I94+'Quarterly YTD'!K94-'Quarterly YTD'!G94</f>
        <v>17.759479</v>
      </c>
      <c r="L94" s="7">
        <f>I94+'Quarterly YTD'!L94-'Quarterly YTD'!H94</f>
        <v>38.383703</v>
      </c>
      <c r="M94" s="7">
        <f t="shared" si="6"/>
        <v>-21.44553</v>
      </c>
      <c r="N94" s="7">
        <f>M94+'Quarterly YTD'!N94-'Quarterly YTD'!J94</f>
        <v>31.463282</v>
      </c>
      <c r="O94" s="7">
        <f>M94+'Quarterly YTD'!O94-'Quarterly YTD'!K94</f>
        <v>31.121206</v>
      </c>
    </row>
    <row customHeight="1" ht="15">
      <c r="A95" s="9" t="s">
        <v>107</v>
      </c>
      <c r="B95" s="11">
        <f t="shared" si="7" ref="B95:O95">B78+B87+B94</f>
        <v>-36.482641</v>
      </c>
      <c r="E95" s="11">
        <f t="shared" si="7"/>
        <v>6.75465800000001</v>
      </c>
      <c r="G95" s="11">
        <f t="shared" si="7"/>
        <v>-2.23863799999998</v>
      </c>
      <c r="H95" s="11">
        <f t="shared" si="7"/>
        <v>-23.551411</v>
      </c>
      <c r="I95" s="11">
        <f t="shared" si="7"/>
        <v>13.621977</v>
      </c>
      <c r="J95" s="11">
        <f t="shared" si="7"/>
        <v>1.419201</v>
      </c>
      <c r="K95" s="11">
        <f t="shared" si="7"/>
        <v>8.104078</v>
      </c>
      <c r="L95" s="11">
        <f t="shared" si="7"/>
        <v>19.272362</v>
      </c>
      <c r="M95" s="11">
        <f t="shared" si="7"/>
        <v>-33.280076</v>
      </c>
      <c r="N95" s="11">
        <f t="shared" si="7"/>
        <v>4.822191</v>
      </c>
      <c r="O95" s="11">
        <f t="shared" si="7"/>
        <v>-10.316022</v>
      </c>
    </row>
    <row customHeight="1" ht="15">
      <c r="A96" s="9" t="s">
        <v>108</v>
      </c>
      <c r="B96" s="0">
        <v>-0.432477</v>
      </c>
      <c r="E96" s="0">
        <v>-0.533686</v>
      </c>
      <c r="G96" s="11">
        <f>E96+'Quarterly YTD'!G96-'Quarterly YTD'!C96</f>
        <v>7.418761</v>
      </c>
      <c r="H96" s="11">
        <f>E96+'Quarterly YTD'!H96-'Quarterly YTD'!D96</f>
        <v>5.314577</v>
      </c>
      <c r="I96" s="0">
        <v>7.427334</v>
      </c>
      <c r="J96" s="11">
        <f>I96+'Quarterly YTD'!J96-'Quarterly YTD'!F96</f>
        <v>5.765556</v>
      </c>
      <c r="K96" s="11">
        <f>I96+'Quarterly YTD'!K96-'Quarterly YTD'!G96</f>
        <v>3.566081</v>
      </c>
      <c r="L96" s="11">
        <f>I96+'Quarterly YTD'!L96-'Quarterly YTD'!H96</f>
        <v>4.95472</v>
      </c>
      <c r="M96" s="0">
        <v>9.581113</v>
      </c>
      <c r="N96" s="11">
        <f>M96+'Quarterly YTD'!N96-'Quarterly YTD'!J96</f>
        <v>16.511993</v>
      </c>
      <c r="O96" s="11">
        <f>M96+'Quarterly YTD'!O96-'Quarterly YTD'!K96</f>
        <v>9.360146</v>
      </c>
    </row>
    <row customHeight="1" ht="15">
      <c r="A97" s="9" t="s">
        <v>109</v>
      </c>
      <c r="B97" s="0">
        <v>23.60309</v>
      </c>
      <c r="E97" s="0">
        <v>-13.312028</v>
      </c>
      <c r="G97" s="11">
        <f>'Quarterly YTD'!C98</f>
        <v>-22.720621</v>
      </c>
      <c r="H97" s="11">
        <f>'Quarterly YTD'!D98</f>
        <v>-14.219656</v>
      </c>
      <c r="I97" s="0">
        <v>-7.091056</v>
      </c>
      <c r="J97" s="11">
        <f>'Quarterly YTD'!F98</f>
        <v>-18.116065</v>
      </c>
      <c r="K97" s="11">
        <f>'Quarterly YTD'!G98</f>
        <v>-17.540498</v>
      </c>
      <c r="L97" s="11">
        <f>'Quarterly YTD'!H98</f>
        <v>-29.034284</v>
      </c>
      <c r="M97" s="11">
        <f>'Quarterly YTD'!K97</f>
        <v>13.958255</v>
      </c>
      <c r="N97" s="11">
        <f>'Quarterly YTD'!J98</f>
        <v>-10.931308</v>
      </c>
      <c r="O97" s="11">
        <f>'Quarterly YTD'!K98</f>
        <v>-5.870339</v>
      </c>
    </row>
    <row customHeight="1" ht="15">
      <c r="A98" s="4" t="s">
        <v>110</v>
      </c>
      <c r="B98" s="7">
        <f t="shared" si="8" ref="B98:M98">SUM(B95:B97)</f>
        <v>-13.312028</v>
      </c>
      <c r="E98" s="7">
        <f t="shared" si="8"/>
        <v>-7.09105599999999</v>
      </c>
      <c r="G98" s="7">
        <f>((E95+E96)+('Quarterly YTD'!G95+'Quarterly YTD'!G96)-('Quarterly YTD'!C95+'Quarterly YTD'!C96))+G97</f>
        <v>-17.540498</v>
      </c>
      <c r="H98" s="7">
        <f>'Quarterly YTD'!H98</f>
        <v>-29.034284</v>
      </c>
      <c r="I98" s="7">
        <f t="shared" si="8"/>
        <v>13.958255</v>
      </c>
      <c r="J98" s="7">
        <f>((I95+I96)+('Quarterly YTD'!J95+'Quarterly YTD'!J96)-('Quarterly YTD'!F95+'Quarterly YTD'!F96))+J97</f>
        <v>-10.931308</v>
      </c>
      <c r="K98" s="7">
        <f>((I95+I96)+('Quarterly YTD'!K95+'Quarterly YTD'!K96)-('Quarterly YTD'!G95+'Quarterly YTD'!G96))+K97</f>
        <v>-5.870339</v>
      </c>
      <c r="L98" s="7">
        <f>'Quarterly YTD'!L98</f>
        <v>-8.229408</v>
      </c>
      <c r="M98" s="7">
        <f t="shared" si="8"/>
        <v>-9.740708</v>
      </c>
      <c r="N98" s="7">
        <f>((M95+M96)+('Quarterly YTD'!N95+'Quarterly YTD'!N96)-('Quarterly YTD'!J95+'Quarterly YTD'!J96))+N97</f>
        <v>10.402876</v>
      </c>
      <c r="O98" s="7">
        <f>((M95+M96)+('Quarterly YTD'!O95+'Quarterly YTD'!O96)-('Quarterly YTD'!K95+'Quarterly YTD'!K96))+O97</f>
        <v>-6.826215</v>
      </c>
    </row>
    <row customHeight="1" ht="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customHeight="1" ht="15">
      <c r="A100" s="2" t="s">
        <v>111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customHeight="1" ht="15">
      <c r="A101" s="9" t="s">
        <v>112</v>
      </c>
      <c r="B101" s="0">
        <v>12.743364</v>
      </c>
      <c r="E101" s="0">
        <v>58.270178</v>
      </c>
      <c r="G101" s="11">
        <f>'Annual and Quarterly'!J101</f>
        <v>63.306458</v>
      </c>
      <c r="H101" s="11">
        <f>'Annual and Quarterly'!K101</f>
        <v>64.783184</v>
      </c>
      <c r="I101" s="0">
        <v>65.66836</v>
      </c>
      <c r="J101" s="11">
        <f>'Quarterly YTD'!J101</f>
        <v>66.264948</v>
      </c>
      <c r="K101" s="11">
        <f>'Annual and Quarterly'!N101</f>
        <v>66.830334</v>
      </c>
      <c r="L101" s="11">
        <f>'Annual and Quarterly'!O101</f>
        <v>67.986917</v>
      </c>
      <c r="M101" s="0">
        <v>68.02026</v>
      </c>
      <c r="N101" s="11">
        <f>'Quarterly YTD'!N101</f>
        <v>72.295538</v>
      </c>
      <c r="O101" s="11">
        <f>'Annual and Quarterly'!R101</f>
        <v>72.283156</v>
      </c>
    </row>
    <row customHeight="1" ht="15">
      <c r="A102" s="9" t="s">
        <v>113</v>
      </c>
      <c r="B102" s="0">
        <v>72.676461</v>
      </c>
      <c r="E102" s="0">
        <v>77.898462</v>
      </c>
      <c r="G102" s="11">
        <f>'Annual and Quarterly'!J102</f>
        <v>71.26127</v>
      </c>
      <c r="H102" s="11">
        <f>'Annual and Quarterly'!K102</f>
        <v>69.320984</v>
      </c>
      <c r="I102" s="0">
        <v>79.281757</v>
      </c>
      <c r="J102" s="11">
        <f>'Quarterly YTD'!J102</f>
        <v>75.418243</v>
      </c>
      <c r="K102" s="11">
        <f>'Annual and Quarterly'!N102</f>
        <v>68.46526</v>
      </c>
      <c r="L102" s="11">
        <f>'Annual and Quarterly'!O102</f>
        <v>71.981934</v>
      </c>
      <c r="M102" s="0">
        <v>75.923436</v>
      </c>
      <c r="N102" s="11">
        <f>'Quarterly YTD'!N102</f>
        <v>75.683398</v>
      </c>
      <c r="O102" s="11">
        <f>'Annual and Quarterly'!R102</f>
        <v>78.219311</v>
      </c>
    </row>
    <row customHeight="1" ht="15">
      <c r="A103" s="9" t="s">
        <v>114</v>
      </c>
      <c r="B103" s="0">
        <v>199.429927</v>
      </c>
      <c r="E103" s="0">
        <v>198.454358</v>
      </c>
      <c r="G103" s="11">
        <f>'Annual and Quarterly'!J103</f>
        <v>198.156536</v>
      </c>
      <c r="H103" s="11">
        <f>'Annual and Quarterly'!K103</f>
        <v>186.792586</v>
      </c>
      <c r="I103" s="0">
        <v>188.230992</v>
      </c>
      <c r="J103" s="11">
        <f>'Quarterly YTD'!J103</f>
        <v>180.144226</v>
      </c>
      <c r="K103" s="11">
        <f>'Annual and Quarterly'!N103</f>
        <v>184.980303</v>
      </c>
      <c r="L103" s="11">
        <f>'Annual and Quarterly'!O103</f>
        <v>192.229941</v>
      </c>
      <c r="M103" s="0">
        <v>204.128688</v>
      </c>
      <c r="N103" s="11">
        <f>'Quarterly YTD'!N103</f>
        <v>207.120294</v>
      </c>
      <c r="O103" s="11">
        <f>'Annual and Quarterly'!R103</f>
        <v>213.705984</v>
      </c>
    </row>
    <row customHeight="1" ht="15">
      <c r="A104" s="9" t="s">
        <v>115</v>
      </c>
      <c r="B104" s="0">
        <v>173.527268</v>
      </c>
      <c r="E104" s="0">
        <v>121.173461</v>
      </c>
      <c r="G104" s="11">
        <f>'Annual and Quarterly'!J104</f>
        <v>109.796687</v>
      </c>
      <c r="H104" s="11">
        <f>'Annual and Quarterly'!K104</f>
        <v>104.474855</v>
      </c>
      <c r="I104" s="0">
        <v>96.64911</v>
      </c>
      <c r="J104" s="11">
        <f>'Quarterly YTD'!J104</f>
        <v>94.715846</v>
      </c>
      <c r="K104" s="11">
        <f>'Annual and Quarterly'!N104</f>
        <v>91.785329</v>
      </c>
      <c r="L104" s="11">
        <f>'Annual and Quarterly'!O104</f>
        <v>95.712509</v>
      </c>
      <c r="M104" s="0">
        <v>106.559893</v>
      </c>
      <c r="N104" s="11">
        <f>'Quarterly YTD'!N104</f>
        <v>99.809927</v>
      </c>
      <c r="O104" s="11">
        <f>'Annual and Quarterly'!R104</f>
        <v>97.262678</v>
      </c>
    </row>
    <row customHeight="1" ht="15">
      <c r="A105" s="9" t="s">
        <v>116</v>
      </c>
      <c r="B105" s="0">
        <v>9.248969</v>
      </c>
      <c r="E105" s="0">
        <v>4.153279</v>
      </c>
      <c r="G105" s="11">
        <f>'Annual and Quarterly'!J105</f>
        <v>4.507584</v>
      </c>
      <c r="H105" s="11">
        <f>'Annual and Quarterly'!K105</f>
        <v>4.280837</v>
      </c>
      <c r="I105" s="0">
        <v>10.29944</v>
      </c>
      <c r="J105" s="11">
        <f>'Quarterly YTD'!J105</f>
        <v>10.324458</v>
      </c>
      <c r="K105" s="11">
        <f>'Annual and Quarterly'!N105</f>
        <v>10.344395</v>
      </c>
      <c r="L105" s="11">
        <f>'Annual and Quarterly'!O105</f>
        <v>9.240384</v>
      </c>
      <c r="M105" s="0">
        <v>10.043497</v>
      </c>
      <c r="N105" s="11">
        <f>'Quarterly YTD'!N105</f>
        <v>10.295438</v>
      </c>
      <c r="O105" s="11">
        <f>'Annual and Quarterly'!R105</f>
        <v>10.267833</v>
      </c>
    </row>
    <row customHeight="1" ht="15">
      <c r="A106" s="9" t="s">
        <v>93</v>
      </c>
      <c r="B106" s="0">
        <v>20.862334</v>
      </c>
      <c r="E106" s="0">
        <v>22.998383</v>
      </c>
      <c r="G106" s="11">
        <f>'Annual and Quarterly'!J106</f>
        <v>24.167823</v>
      </c>
      <c r="H106" s="11">
        <f>'Annual and Quarterly'!K106</f>
        <v>24.623183</v>
      </c>
      <c r="I106" s="0">
        <v>25.578011</v>
      </c>
      <c r="J106" s="11">
        <f>'Quarterly YTD'!J106</f>
        <v>26.626797</v>
      </c>
      <c r="K106" s="11">
        <f>'Annual and Quarterly'!N106</f>
        <v>27.695011</v>
      </c>
      <c r="L106" s="11">
        <f>'Annual and Quarterly'!O106</f>
        <v>29.792436</v>
      </c>
      <c r="M106" s="0">
        <v>39.916191</v>
      </c>
      <c r="N106" s="11">
        <f>'Quarterly YTD'!N106</f>
        <v>43.885995</v>
      </c>
      <c r="O106" s="11">
        <f>'Annual and Quarterly'!R106</f>
        <v>47.819387</v>
      </c>
    </row>
    <row customHeight="1" ht="15">
      <c r="A107" s="9" t="s">
        <v>95</v>
      </c>
      <c r="B107" s="0">
        <v>0</v>
      </c>
      <c r="E107" s="0">
        <v>4.674381</v>
      </c>
      <c r="G107" s="11">
        <f>'Annual and Quarterly'!J107</f>
        <v>0</v>
      </c>
      <c r="H107" s="11">
        <f>'Annual and Quarterly'!K107</f>
        <v>0</v>
      </c>
      <c r="I107" s="0">
        <v>1.466235</v>
      </c>
      <c r="J107" s="11">
        <f>'Quarterly YTD'!J107</f>
        <v>3.745293</v>
      </c>
      <c r="K107" s="11">
        <f>'Annual and Quarterly'!N107</f>
        <v>1.574404</v>
      </c>
      <c r="L107" s="11">
        <f>'Annual and Quarterly'!O107</f>
        <v>0.525107</v>
      </c>
      <c r="M107" s="0">
        <v>0.394769</v>
      </c>
      <c r="N107" s="11">
        <f>'Quarterly YTD'!N107</f>
        <v>8.870091</v>
      </c>
      <c r="O107" s="11">
        <f>'Annual and Quarterly'!R107</f>
        <v>13.023651</v>
      </c>
    </row>
    <row customHeight="1" ht="15">
      <c r="A108" s="4" t="s">
        <v>117</v>
      </c>
      <c r="B108" s="7">
        <f>SUM(B101:B106)</f>
        <v>488.488323</v>
      </c>
      <c r="E108" s="7">
        <f t="shared" si="9" ref="E108:M133">SUM(E101:E107)</f>
        <v>487.622502</v>
      </c>
      <c r="G108" s="7">
        <f>'Annual and Quarterly'!J108</f>
        <v>471.196358</v>
      </c>
      <c r="H108" s="7">
        <f>'Annual and Quarterly'!K108</f>
        <v>454.275629</v>
      </c>
      <c r="I108" s="7">
        <f t="shared" si="9"/>
        <v>467.173905</v>
      </c>
      <c r="J108" s="7">
        <f>'Quarterly YTD'!J108</f>
        <v>457.239811</v>
      </c>
      <c r="K108" s="7">
        <f>'Annual and Quarterly'!N108</f>
        <v>451.675036</v>
      </c>
      <c r="L108" s="7">
        <f>'Annual and Quarterly'!O108</f>
        <v>467.469228</v>
      </c>
      <c r="M108" s="7">
        <f t="shared" si="9"/>
        <v>504.986734</v>
      </c>
      <c r="N108" s="7">
        <f>'Quarterly YTD'!N108</f>
        <v>517.960681</v>
      </c>
      <c r="O108" s="7">
        <f>'Annual and Quarterly'!R108</f>
        <v>532.582</v>
      </c>
    </row>
    <row customHeight="1" ht="15">
      <c r="A109" s="9" t="s">
        <v>93</v>
      </c>
      <c r="B109" s="0">
        <v>21.730404</v>
      </c>
      <c r="E109" s="0">
        <v>0</v>
      </c>
      <c r="G109" s="11">
        <f>'Annual and Quarterly'!J109</f>
        <v>0</v>
      </c>
      <c r="H109" s="11">
        <f>'Annual and Quarterly'!K109</f>
        <v>0</v>
      </c>
      <c r="I109" s="0">
        <v>0</v>
      </c>
      <c r="J109" s="11">
        <f>'Quarterly YTD'!J109</f>
        <v>0</v>
      </c>
      <c r="K109" s="11">
        <f>'Annual and Quarterly'!N109</f>
        <v>0</v>
      </c>
      <c r="L109" s="11">
        <f>'Annual and Quarterly'!O109</f>
        <v>0</v>
      </c>
      <c r="M109" s="0">
        <v>0</v>
      </c>
      <c r="N109" s="11">
        <f>'Quarterly YTD'!N109</f>
        <v>0</v>
      </c>
      <c r="O109" s="11">
        <f>'Annual and Quarterly'!R109</f>
        <v>0</v>
      </c>
    </row>
    <row customHeight="1" ht="15">
      <c r="A110" s="9" t="s">
        <v>97</v>
      </c>
      <c r="B110" s="0">
        <v>0</v>
      </c>
      <c r="E110" s="0">
        <v>0</v>
      </c>
      <c r="G110" s="11">
        <f>'Annual and Quarterly'!J110</f>
        <v>0.356293</v>
      </c>
      <c r="H110" s="11">
        <f>'Annual and Quarterly'!K110</f>
        <v>0.356297</v>
      </c>
      <c r="I110" s="0">
        <v>0</v>
      </c>
      <c r="J110" s="11">
        <f>'Quarterly YTD'!J110</f>
        <v>0</v>
      </c>
      <c r="K110" s="11">
        <f>'Annual and Quarterly'!N110</f>
        <v>0</v>
      </c>
      <c r="L110" s="11">
        <f>'Annual and Quarterly'!O110</f>
        <v>0</v>
      </c>
      <c r="M110" s="0">
        <v>0</v>
      </c>
      <c r="N110" s="11">
        <f>'Quarterly YTD'!N110</f>
        <v>0</v>
      </c>
      <c r="O110" s="11">
        <f>'Annual and Quarterly'!R110</f>
        <v>0</v>
      </c>
    </row>
    <row customHeight="1" ht="15">
      <c r="A111" s="9" t="s">
        <v>118</v>
      </c>
      <c r="B111" s="0">
        <v>5.008999</v>
      </c>
      <c r="E111" s="0">
        <v>8.711839</v>
      </c>
      <c r="G111" s="11">
        <f>'Annual and Quarterly'!J111</f>
        <v>5.092315</v>
      </c>
      <c r="H111" s="11">
        <f>'Annual and Quarterly'!K111</f>
        <v>3.945797</v>
      </c>
      <c r="I111" s="0">
        <v>3.994316</v>
      </c>
      <c r="J111" s="11">
        <f>'Quarterly YTD'!J111</f>
        <v>3.007941</v>
      </c>
      <c r="K111" s="11">
        <f>'Annual and Quarterly'!N111</f>
        <v>3.296766</v>
      </c>
      <c r="L111" s="11">
        <f>'Annual and Quarterly'!O111</f>
        <v>3.378874</v>
      </c>
      <c r="M111" s="0">
        <v>2.721913</v>
      </c>
      <c r="N111" s="11">
        <f>'Quarterly YTD'!N111</f>
        <v>3.109391</v>
      </c>
      <c r="O111" s="11">
        <f>'Annual and Quarterly'!R111</f>
        <v>3.273109</v>
      </c>
    </row>
    <row customHeight="1" ht="15">
      <c r="A112" s="9" t="s">
        <v>74</v>
      </c>
      <c r="B112" s="0">
        <v>26.504855</v>
      </c>
      <c r="E112" s="0">
        <v>31.520558</v>
      </c>
      <c r="G112" s="11">
        <f>'Annual and Quarterly'!J112</f>
        <v>41.001499</v>
      </c>
      <c r="H112" s="11">
        <f>'Annual and Quarterly'!K112</f>
        <v>34.710443</v>
      </c>
      <c r="I112" s="0">
        <v>44.909836</v>
      </c>
      <c r="J112" s="11">
        <f>'Quarterly YTD'!J112</f>
        <v>57.255092</v>
      </c>
      <c r="K112" s="11">
        <f>'Annual and Quarterly'!N112</f>
        <v>52.064241</v>
      </c>
      <c r="L112" s="11">
        <f>'Annual and Quarterly'!O112</f>
        <v>48.600933</v>
      </c>
      <c r="M112" s="0">
        <v>36.072733</v>
      </c>
      <c r="N112" s="11">
        <f>'Quarterly YTD'!N112</f>
        <v>35.985972</v>
      </c>
      <c r="O112" s="11">
        <f>'Annual and Quarterly'!R112</f>
        <v>42.110862</v>
      </c>
    </row>
    <row customHeight="1" ht="15">
      <c r="A113" s="9" t="s">
        <v>119</v>
      </c>
      <c r="B113" s="0">
        <v>1.849877</v>
      </c>
      <c r="E113" s="0">
        <v>1.732034</v>
      </c>
      <c r="G113" s="11">
        <f>'Annual and Quarterly'!J113</f>
        <v>2.565419</v>
      </c>
      <c r="H113" s="11">
        <f>'Annual and Quarterly'!K113</f>
        <v>2.361934</v>
      </c>
      <c r="I113" s="0">
        <v>1.372195</v>
      </c>
      <c r="J113" s="11">
        <f>'Quarterly YTD'!J113</f>
        <v>1.275084</v>
      </c>
      <c r="K113" s="11">
        <f>'Annual and Quarterly'!N113</f>
        <v>1.220784</v>
      </c>
      <c r="L113" s="11">
        <f>'Annual and Quarterly'!O113</f>
        <v>2.2552</v>
      </c>
      <c r="M113" s="0">
        <v>1.551668</v>
      </c>
      <c r="N113" s="11">
        <f>'Quarterly YTD'!N113</f>
        <v>1.749126</v>
      </c>
      <c r="O113" s="11">
        <f>'Annual and Quarterly'!R113</f>
        <v>1.515745</v>
      </c>
    </row>
    <row customHeight="1" ht="15">
      <c r="A114" s="9" t="s">
        <v>120</v>
      </c>
      <c r="B114" s="0">
        <v>9.130196</v>
      </c>
      <c r="E114" s="0">
        <v>11.172111</v>
      </c>
      <c r="G114" s="11">
        <f>'Annual and Quarterly'!J114</f>
        <v>12.31978</v>
      </c>
      <c r="H114" s="11">
        <f>'Annual and Quarterly'!K114</f>
        <v>11.007746</v>
      </c>
      <c r="I114" s="0">
        <v>12.244475</v>
      </c>
      <c r="J114" s="11">
        <f>'Quarterly YTD'!J114</f>
        <v>11.851068</v>
      </c>
      <c r="K114" s="11">
        <f>'Annual and Quarterly'!N114</f>
        <v>13.665945</v>
      </c>
      <c r="L114" s="11">
        <f>'Annual and Quarterly'!O114</f>
        <v>14.832315</v>
      </c>
      <c r="M114" s="0">
        <v>13.280304</v>
      </c>
      <c r="N114" s="11">
        <f>'Quarterly YTD'!N114</f>
        <v>14.24382</v>
      </c>
      <c r="O114" s="11">
        <f>'Annual and Quarterly'!R114</f>
        <v>11.655281</v>
      </c>
    </row>
    <row customHeight="1" ht="15">
      <c r="A115" s="9" t="s">
        <v>121</v>
      </c>
      <c r="B115" s="0">
        <v>24.929057</v>
      </c>
      <c r="E115" s="0">
        <v>33.308627</v>
      </c>
      <c r="G115" s="11">
        <f>'Annual and Quarterly'!J115</f>
        <v>23.241426</v>
      </c>
      <c r="H115" s="11">
        <f>'Annual and Quarterly'!K115</f>
        <v>16.538026</v>
      </c>
      <c r="I115" s="0">
        <v>44.057919</v>
      </c>
      <c r="J115" s="11">
        <f>'Quarterly YTD'!J115</f>
        <v>38.454304</v>
      </c>
      <c r="K115" s="11">
        <f>'Annual and Quarterly'!N115</f>
        <v>26.67968</v>
      </c>
      <c r="L115" s="11">
        <f>'Annual and Quarterly'!O115</f>
        <v>38.970909</v>
      </c>
      <c r="M115" s="0">
        <v>24.969687</v>
      </c>
      <c r="N115" s="11">
        <f>'Quarterly YTD'!N115</f>
        <v>66.672997</v>
      </c>
      <c r="O115" s="11">
        <f>'Annual and Quarterly'!R115</f>
        <v>35.369198</v>
      </c>
    </row>
    <row customHeight="1" ht="15">
      <c r="A116" s="4" t="s">
        <v>122</v>
      </c>
      <c r="B116" s="7">
        <f>B109+SUM(B111:B115)</f>
        <v>89.153388</v>
      </c>
      <c r="E116" s="7">
        <f t="shared" si="10" ref="E116:M116">SUM(E111:E115)</f>
        <v>86.445169</v>
      </c>
      <c r="G116" s="7">
        <f>'Annual and Quarterly'!J116</f>
        <v>84.576732</v>
      </c>
      <c r="H116" s="7">
        <f>'Annual and Quarterly'!K116</f>
        <v>68.920243</v>
      </c>
      <c r="I116" s="7">
        <f t="shared" si="10"/>
        <v>106.578741</v>
      </c>
      <c r="J116" s="7">
        <f>'Quarterly YTD'!J116</f>
        <v>111.843489</v>
      </c>
      <c r="K116" s="7">
        <f>'Annual and Quarterly'!N116</f>
        <v>96.927416</v>
      </c>
      <c r="L116" s="7">
        <f>'Annual and Quarterly'!O116</f>
        <v>108.038231</v>
      </c>
      <c r="M116" s="7">
        <f t="shared" si="10"/>
        <v>78.596305</v>
      </c>
      <c r="N116" s="7">
        <f>'Quarterly YTD'!N116</f>
        <v>121.761306</v>
      </c>
      <c r="O116" s="7">
        <f>'Annual and Quarterly'!R116</f>
        <v>93.924195</v>
      </c>
    </row>
    <row customHeight="1" ht="15">
      <c r="A117" s="4" t="s">
        <v>123</v>
      </c>
      <c r="B117" s="7">
        <f t="shared" si="11" ref="B117:M117">B108+B116</f>
        <v>577.641711</v>
      </c>
      <c r="E117" s="7">
        <f t="shared" si="11"/>
        <v>574.067671</v>
      </c>
      <c r="G117" s="7">
        <f>'Annual and Quarterly'!J117</f>
        <v>555.77309</v>
      </c>
      <c r="H117" s="7">
        <f>'Annual and Quarterly'!K117</f>
        <v>523.195872</v>
      </c>
      <c r="I117" s="7">
        <f t="shared" si="11"/>
        <v>573.752646</v>
      </c>
      <c r="J117" s="7">
        <f>'Quarterly YTD'!J117</f>
        <v>569.0833</v>
      </c>
      <c r="K117" s="7">
        <f>'Annual and Quarterly'!N117</f>
        <v>548.602452</v>
      </c>
      <c r="L117" s="7">
        <f>'Annual and Quarterly'!O117</f>
        <v>575.507459</v>
      </c>
      <c r="M117" s="7">
        <f t="shared" si="11"/>
        <v>583.583039</v>
      </c>
      <c r="N117" s="7">
        <f>'Quarterly YTD'!N117</f>
        <v>639.721987</v>
      </c>
      <c r="O117" s="7">
        <f>'Annual and Quarterly'!R117</f>
        <v>626.506195</v>
      </c>
    </row>
    <row customHeight="1" ht="15">
      <c r="A118" s="9" t="s">
        <v>124</v>
      </c>
      <c r="B118" s="0">
        <v>10</v>
      </c>
      <c r="E118" s="0">
        <v>10</v>
      </c>
      <c r="G118" s="11">
        <f>'Annual and Quarterly'!J118</f>
        <v>10</v>
      </c>
      <c r="H118" s="11">
        <f>'Annual and Quarterly'!K118</f>
        <v>10</v>
      </c>
      <c r="I118" s="0">
        <v>10</v>
      </c>
      <c r="J118" s="11">
        <f>'Quarterly YTD'!J118</f>
        <v>10</v>
      </c>
      <c r="K118" s="11">
        <f>'Annual and Quarterly'!N118</f>
        <v>10</v>
      </c>
      <c r="L118" s="11">
        <f>'Annual and Quarterly'!O118</f>
        <v>10</v>
      </c>
      <c r="M118" s="0">
        <v>10</v>
      </c>
      <c r="N118" s="11">
        <f>'Quarterly YTD'!N118</f>
        <v>10</v>
      </c>
      <c r="O118" s="11">
        <f>'Annual and Quarterly'!R118</f>
        <v>10</v>
      </c>
    </row>
    <row customHeight="1" ht="15">
      <c r="A119" s="9" t="s">
        <v>125</v>
      </c>
      <c r="B119" s="0">
        <v>1.08499</v>
      </c>
      <c r="E119" s="0">
        <v>1.101905</v>
      </c>
      <c r="G119" s="11">
        <f>'Annual and Quarterly'!J119</f>
        <v>1.101905</v>
      </c>
      <c r="H119" s="11">
        <f>'Annual and Quarterly'!K119</f>
        <v>1.101905</v>
      </c>
      <c r="I119" s="0">
        <v>1.180202</v>
      </c>
      <c r="J119" s="11">
        <f>'Quarterly YTD'!J119</f>
        <v>1.180202</v>
      </c>
      <c r="K119" s="11">
        <f>'Annual and Quarterly'!N119</f>
        <v>1.180202</v>
      </c>
      <c r="L119" s="11">
        <f>'Annual and Quarterly'!O119</f>
        <v>1.180202</v>
      </c>
      <c r="M119" s="0">
        <v>1.915172</v>
      </c>
      <c r="N119" s="11">
        <f>'Quarterly YTD'!N119</f>
        <v>1.915172</v>
      </c>
      <c r="O119" s="11">
        <f>'Annual and Quarterly'!R119</f>
        <v>1.915172</v>
      </c>
    </row>
    <row customHeight="1" ht="15">
      <c r="A120" s="9" t="s">
        <v>126</v>
      </c>
      <c r="B120" s="0">
        <v>0.006667</v>
      </c>
      <c r="E120" s="0">
        <v>0.006667</v>
      </c>
      <c r="G120" s="11">
        <f>'Annual and Quarterly'!J120</f>
        <v>0.006667</v>
      </c>
      <c r="H120" s="11">
        <f>'Annual and Quarterly'!K120</f>
        <v>0.006667</v>
      </c>
      <c r="I120" s="0">
        <v>0.006667</v>
      </c>
      <c r="J120" s="11">
        <f>'Quarterly YTD'!J120</f>
        <v>0.006667</v>
      </c>
      <c r="K120" s="11">
        <f>'Annual and Quarterly'!N120</f>
        <v>0.006667</v>
      </c>
      <c r="L120" s="11">
        <f>'Annual and Quarterly'!O120</f>
        <v>0.006667</v>
      </c>
      <c r="M120" s="0">
        <v>0.006667</v>
      </c>
      <c r="N120" s="11">
        <f>'Quarterly YTD'!N120</f>
        <v>0.006667</v>
      </c>
      <c r="O120" s="11">
        <f>'Annual and Quarterly'!R120</f>
        <v>0.006667</v>
      </c>
    </row>
    <row customHeight="1" ht="15">
      <c r="A121" s="9" t="s">
        <v>127</v>
      </c>
      <c r="B121" s="0">
        <v>-104.065575</v>
      </c>
      <c r="E121" s="0">
        <v>-51.578114</v>
      </c>
      <c r="G121" s="11">
        <f>'Annual and Quarterly'!J121</f>
        <v>-40.063298</v>
      </c>
      <c r="H121" s="11">
        <f>'Annual and Quarterly'!K121</f>
        <v>-41.509465</v>
      </c>
      <c r="I121" s="0">
        <v>-40.499685</v>
      </c>
      <c r="J121" s="11">
        <f>'Quarterly YTD'!J121</f>
        <v>-39.744429</v>
      </c>
      <c r="K121" s="11">
        <f>'Annual and Quarterly'!N121</f>
        <v>-39.758261</v>
      </c>
      <c r="L121" s="11">
        <f>'Annual and Quarterly'!O121</f>
        <v>-47.95383</v>
      </c>
      <c r="M121" s="0">
        <v>-61.504335</v>
      </c>
      <c r="N121" s="11">
        <f>'Quarterly YTD'!N121</f>
        <v>-52.346398</v>
      </c>
      <c r="O121" s="11">
        <f>'Annual and Quarterly'!R121</f>
        <v>-53.069463</v>
      </c>
    </row>
    <row customHeight="1" ht="15">
      <c r="A122" s="9" t="s">
        <v>128</v>
      </c>
      <c r="B122" s="0">
        <v>47.544593</v>
      </c>
      <c r="E122" s="0">
        <v>-67.92356</v>
      </c>
      <c r="G122" s="11">
        <f>'Annual and Quarterly'!J122</f>
        <v>-106.501159</v>
      </c>
      <c r="H122" s="11">
        <f>'Annual and Quarterly'!K122</f>
        <v>-134.170614</v>
      </c>
      <c r="I122" s="0">
        <v>-171.682302</v>
      </c>
      <c r="J122" s="11">
        <f>'Quarterly YTD'!J122</f>
        <v>-182.5475</v>
      </c>
      <c r="K122" s="11">
        <f>'Annual and Quarterly'!N122</f>
        <v>-195.04648</v>
      </c>
      <c r="L122" s="11">
        <f>'Annual and Quarterly'!O122</f>
        <v>-171.548614</v>
      </c>
      <c r="M122" s="0">
        <v>-141.264493</v>
      </c>
      <c r="N122" s="11">
        <f>'Quarterly YTD'!N122</f>
        <v>-154.979134</v>
      </c>
      <c r="O122" s="11">
        <f>'Annual and Quarterly'!R122</f>
        <v>-160.576444</v>
      </c>
    </row>
    <row customHeight="1" ht="15">
      <c r="A123" s="9" t="s">
        <v>129</v>
      </c>
      <c r="B123" s="11">
        <f t="shared" si="12" ref="B123:O193">SUM(B118:B122)</f>
        <v>-45.429325</v>
      </c>
      <c r="E123" s="11">
        <f t="shared" si="12"/>
        <v>-108.393102</v>
      </c>
      <c r="G123" s="11">
        <f>'Annual and Quarterly'!J123</f>
        <v>-135.455885</v>
      </c>
      <c r="H123" s="11">
        <f>'Annual and Quarterly'!K123</f>
        <v>-164.571507</v>
      </c>
      <c r="I123" s="11">
        <f t="shared" si="12"/>
        <v>-200.995118</v>
      </c>
      <c r="J123" s="11">
        <f>'Quarterly YTD'!J123</f>
        <v>-211.10506</v>
      </c>
      <c r="K123" s="11">
        <f>'Annual and Quarterly'!N123</f>
        <v>-223.617872</v>
      </c>
      <c r="L123" s="11">
        <f>'Annual and Quarterly'!O123</f>
        <v>-208.315575</v>
      </c>
      <c r="M123" s="11">
        <f t="shared" si="12"/>
        <v>-190.846989</v>
      </c>
      <c r="N123" s="11">
        <f>'Quarterly YTD'!N123</f>
        <v>-195.403693</v>
      </c>
      <c r="O123" s="11">
        <f>'Annual and Quarterly'!R123</f>
        <v>-201.724068</v>
      </c>
    </row>
    <row customHeight="1" ht="15">
      <c r="A124" s="9" t="s">
        <v>45</v>
      </c>
      <c r="B124" s="0">
        <v>-3.510631</v>
      </c>
      <c r="E124" s="0">
        <v>-3.46674</v>
      </c>
      <c r="G124" s="11">
        <f>'Annual and Quarterly'!J124</f>
        <v>-3.516355</v>
      </c>
      <c r="H124" s="11">
        <f>'Annual and Quarterly'!K124</f>
        <v>-3.527525</v>
      </c>
      <c r="I124" s="0">
        <v>-3.533177</v>
      </c>
      <c r="J124" s="11">
        <f>'Quarterly YTD'!J124</f>
        <v>-3.546509</v>
      </c>
      <c r="K124" s="11">
        <f>'Annual and Quarterly'!N124</f>
        <v>-3.593431</v>
      </c>
      <c r="L124" s="11">
        <f>'Annual and Quarterly'!O124</f>
        <v>-3.671098</v>
      </c>
      <c r="M124" s="0">
        <v>-3.578152</v>
      </c>
      <c r="N124" s="11">
        <f>'Quarterly YTD'!N124</f>
        <v>-3.488666</v>
      </c>
      <c r="O124" s="11">
        <f>'Annual and Quarterly'!R124</f>
        <v>-3.561812</v>
      </c>
    </row>
    <row customHeight="1" ht="15">
      <c r="A125" s="4" t="s">
        <v>130</v>
      </c>
      <c r="B125" s="7">
        <f t="shared" si="2"/>
        <v>-48.939956</v>
      </c>
      <c r="E125" s="7">
        <f t="shared" si="2"/>
        <v>-111.859842</v>
      </c>
      <c r="G125" s="7">
        <f>'Annual and Quarterly'!J125</f>
        <v>-138.97224</v>
      </c>
      <c r="H125" s="7">
        <f>'Annual and Quarterly'!K125</f>
        <v>-168.099032</v>
      </c>
      <c r="I125" s="7">
        <f t="shared" si="2"/>
        <v>-204.528295</v>
      </c>
      <c r="J125" s="7">
        <f>'Quarterly YTD'!J125</f>
        <v>-214.651569</v>
      </c>
      <c r="K125" s="7">
        <f>'Annual and Quarterly'!N125</f>
        <v>-227.211303</v>
      </c>
      <c r="L125" s="7">
        <f>'Annual and Quarterly'!O125</f>
        <v>-211.986673</v>
      </c>
      <c r="M125" s="7">
        <f t="shared" si="2"/>
        <v>-194.425141</v>
      </c>
      <c r="N125" s="7">
        <f>'Quarterly YTD'!N125</f>
        <v>-198.892359</v>
      </c>
      <c r="O125" s="7">
        <f>'Annual and Quarterly'!R125</f>
        <v>-205.28588</v>
      </c>
    </row>
    <row customHeight="1" ht="15">
      <c r="A126" s="9" t="s">
        <v>131</v>
      </c>
      <c r="B126" s="0">
        <v>2.09078</v>
      </c>
      <c r="E126" s="0">
        <v>7.207006</v>
      </c>
      <c r="G126" s="11">
        <f>'Annual and Quarterly'!J126</f>
        <v>7.755778</v>
      </c>
      <c r="H126" s="11">
        <f>'Annual and Quarterly'!K126</f>
        <v>7.273408</v>
      </c>
      <c r="I126" s="0">
        <v>13.00988</v>
      </c>
      <c r="J126" s="11">
        <f>'Quarterly YTD'!J126</f>
        <v>13.189459</v>
      </c>
      <c r="K126" s="11">
        <f>'Annual and Quarterly'!N126</f>
        <v>12.9446</v>
      </c>
      <c r="L126" s="11">
        <f>'Annual and Quarterly'!O126</f>
        <v>11.421267</v>
      </c>
      <c r="M126" s="0">
        <v>11.038669</v>
      </c>
      <c r="N126" s="11">
        <f>'Quarterly YTD'!N126</f>
        <v>11.752926</v>
      </c>
      <c r="O126" s="11">
        <f>'Annual and Quarterly'!R126</f>
        <v>11.712991</v>
      </c>
    </row>
    <row customHeight="1" ht="15">
      <c r="A127" s="9" t="s">
        <v>132</v>
      </c>
      <c r="B127" s="0">
        <v>12.445668</v>
      </c>
      <c r="E127" s="0">
        <v>8.455179</v>
      </c>
      <c r="G127" s="11">
        <f>'Annual and Quarterly'!J127</f>
        <v>8.759279</v>
      </c>
      <c r="H127" s="11">
        <f>'Annual and Quarterly'!K127</f>
        <v>8.568663</v>
      </c>
      <c r="I127" s="0">
        <v>10.869566</v>
      </c>
      <c r="J127" s="11">
        <f>'Quarterly YTD'!J127</f>
        <v>11.054325</v>
      </c>
      <c r="K127" s="11">
        <f>'Annual and Quarterly'!N127</f>
        <v>10.576061</v>
      </c>
      <c r="L127" s="11">
        <f>'Annual and Quarterly'!O127</f>
        <v>11.455138</v>
      </c>
      <c r="M127" s="0">
        <v>11.073739</v>
      </c>
      <c r="N127" s="11">
        <f>'Quarterly YTD'!N127</f>
        <v>11.226006</v>
      </c>
      <c r="O127" s="11">
        <f>'Annual and Quarterly'!R127</f>
        <v>11.629339</v>
      </c>
    </row>
    <row customHeight="1" ht="15">
      <c r="A128" s="9" t="s">
        <v>133</v>
      </c>
      <c r="B128" s="0">
        <v>14.47218</v>
      </c>
      <c r="E128" s="0">
        <v>11.435248</v>
      </c>
      <c r="G128" s="11">
        <f>'Annual and Quarterly'!J128</f>
        <v>12.65524</v>
      </c>
      <c r="H128" s="11">
        <f>'Annual and Quarterly'!K128</f>
        <v>8.094857</v>
      </c>
      <c r="I128" s="0">
        <v>8.936963</v>
      </c>
      <c r="J128" s="11">
        <f>'Quarterly YTD'!J128</f>
        <v>9.547316</v>
      </c>
      <c r="K128" s="11">
        <f>'Annual and Quarterly'!N128</f>
        <v>10.10654</v>
      </c>
      <c r="L128" s="11">
        <f>'Annual and Quarterly'!O128</f>
        <v>10.784527</v>
      </c>
      <c r="M128" s="0">
        <v>11.531037</v>
      </c>
      <c r="N128" s="11">
        <f>'Quarterly YTD'!N128</f>
        <v>12.316782</v>
      </c>
      <c r="O128" s="11">
        <f>'Annual and Quarterly'!R128</f>
        <v>13.156133</v>
      </c>
    </row>
    <row customHeight="1" ht="15">
      <c r="A129" s="9" t="s">
        <v>134</v>
      </c>
      <c r="B129" s="0">
        <v>0</v>
      </c>
      <c r="E129" s="0">
        <v>180.972286</v>
      </c>
      <c r="G129" s="11">
        <f>'Annual and Quarterly'!J129</f>
        <v>153.350562</v>
      </c>
      <c r="H129" s="11">
        <f>'Annual and Quarterly'!K129</f>
        <v>138.669433</v>
      </c>
      <c r="I129" s="0">
        <v>0.86771</v>
      </c>
      <c r="J129" s="11">
        <f>'Quarterly YTD'!J129</f>
        <v>0.257279</v>
      </c>
      <c r="K129" s="11">
        <f>'Annual and Quarterly'!N129</f>
        <v>0.20275</v>
      </c>
      <c r="L129" s="11">
        <f>'Annual and Quarterly'!O129</f>
        <v>1.027616</v>
      </c>
      <c r="M129" s="0">
        <v>6.455915</v>
      </c>
      <c r="N129" s="11">
        <f>'Quarterly YTD'!N129</f>
        <v>7.209799</v>
      </c>
      <c r="O129" s="11">
        <f>'Annual and Quarterly'!R129</f>
        <v>7.46783</v>
      </c>
    </row>
    <row customHeight="1" ht="15">
      <c r="A130" s="9" t="s">
        <v>135</v>
      </c>
      <c r="B130" s="0">
        <v>181.997108</v>
      </c>
      <c r="E130" s="0">
        <v>173.51927</v>
      </c>
      <c r="G130" s="11">
        <f>'Annual and Quarterly'!J130</f>
        <v>164.417439</v>
      </c>
      <c r="H130" s="11">
        <f>'Annual and Quarterly'!K130</f>
        <v>158.87668</v>
      </c>
      <c r="I130" s="0">
        <v>154.204661</v>
      </c>
      <c r="J130" s="11">
        <f>'Quarterly YTD'!J130</f>
        <v>152.366729</v>
      </c>
      <c r="K130" s="11">
        <f>'Annual and Quarterly'!N130</f>
        <v>152.595408</v>
      </c>
      <c r="L130" s="11">
        <f>'Annual and Quarterly'!O130</f>
        <v>149.102699</v>
      </c>
      <c r="M130" s="0">
        <v>145.034019</v>
      </c>
      <c r="N130" s="11">
        <f>'Quarterly YTD'!N130</f>
        <v>141.600421</v>
      </c>
      <c r="O130" s="11">
        <f>'Annual and Quarterly'!R130</f>
        <v>138.525401</v>
      </c>
    </row>
    <row customHeight="1" ht="15">
      <c r="A131" s="9" t="s">
        <v>136</v>
      </c>
      <c r="B131" s="0">
        <v>0</v>
      </c>
      <c r="E131" s="0">
        <v>0</v>
      </c>
      <c r="G131" s="11">
        <f>'Annual and Quarterly'!J131</f>
        <v>0</v>
      </c>
      <c r="H131" s="11">
        <f>'Annual and Quarterly'!K131</f>
        <v>0</v>
      </c>
      <c r="I131" s="0">
        <v>300</v>
      </c>
      <c r="J131" s="11">
        <f>'Quarterly YTD'!J131</f>
        <v>300</v>
      </c>
      <c r="K131" s="11">
        <f>'Annual and Quarterly'!N131</f>
        <v>300</v>
      </c>
      <c r="L131" s="11">
        <f>'Annual and Quarterly'!O131</f>
        <v>300</v>
      </c>
      <c r="M131" s="0">
        <v>300</v>
      </c>
      <c r="N131" s="11">
        <f>'Quarterly YTD'!N131</f>
        <v>346.785488</v>
      </c>
      <c r="O131" s="11">
        <f>'Annual and Quarterly'!R131</f>
        <v>347.491419</v>
      </c>
    </row>
    <row customHeight="1" ht="15">
      <c r="A132" s="9" t="s">
        <v>137</v>
      </c>
      <c r="B132" s="0">
        <v>0</v>
      </c>
      <c r="E132" s="0">
        <v>0</v>
      </c>
      <c r="G132" s="11">
        <f>'Annual and Quarterly'!J132</f>
        <v>0</v>
      </c>
      <c r="H132" s="11">
        <f>'Annual and Quarterly'!K132</f>
        <v>0</v>
      </c>
      <c r="I132" s="0">
        <v>10.080508</v>
      </c>
      <c r="J132" s="11">
        <f>'Quarterly YTD'!J132</f>
        <v>9.216275</v>
      </c>
      <c r="K132" s="11">
        <f>'Annual and Quarterly'!N132</f>
        <v>8.352044</v>
      </c>
      <c r="L132" s="11">
        <f>'Annual and Quarterly'!O132</f>
        <v>11.050898</v>
      </c>
      <c r="M132" s="0">
        <v>10.474928</v>
      </c>
      <c r="N132" s="11">
        <f>'Quarterly YTD'!N132</f>
        <v>10.125607</v>
      </c>
      <c r="O132" s="11">
        <f>'Annual and Quarterly'!R132</f>
        <v>8.360865</v>
      </c>
    </row>
    <row customHeight="1" ht="15">
      <c r="A133" s="4" t="s">
        <v>138</v>
      </c>
      <c r="B133" s="7">
        <f>SUM(B126:B130)</f>
        <v>211.005736</v>
      </c>
      <c r="E133" s="7">
        <f t="shared" si="9"/>
        <v>381.588989</v>
      </c>
      <c r="G133" s="7">
        <f>'Annual and Quarterly'!J133</f>
        <v>346.938298</v>
      </c>
      <c r="H133" s="7">
        <f>'Annual and Quarterly'!K133</f>
        <v>321.483041</v>
      </c>
      <c r="I133" s="7">
        <f t="shared" si="9"/>
        <v>497.969288</v>
      </c>
      <c r="J133" s="7">
        <f>'Quarterly YTD'!J133</f>
        <v>495.631383</v>
      </c>
      <c r="K133" s="7">
        <f>'Annual and Quarterly'!N133</f>
        <v>494.777403</v>
      </c>
      <c r="L133" s="7">
        <f>'Annual and Quarterly'!O133</f>
        <v>494.842145</v>
      </c>
      <c r="M133" s="7">
        <f t="shared" si="9"/>
        <v>495.608307</v>
      </c>
      <c r="N133" s="7">
        <f>'Quarterly YTD'!N133</f>
        <v>541.017029</v>
      </c>
      <c r="O133" s="7">
        <f>'Annual and Quarterly'!R133</f>
        <v>538.343978</v>
      </c>
    </row>
    <row customHeight="1" ht="15">
      <c r="A134" s="9" t="s">
        <v>139</v>
      </c>
      <c r="B134" s="0">
        <v>0</v>
      </c>
      <c r="E134" s="0">
        <v>0</v>
      </c>
      <c r="G134" s="11">
        <f>'Annual and Quarterly'!J134</f>
        <v>0</v>
      </c>
      <c r="H134" s="11">
        <f>'Annual and Quarterly'!K134</f>
        <v>0</v>
      </c>
      <c r="I134" s="0">
        <v>0</v>
      </c>
      <c r="J134" s="11">
        <f>'Quarterly YTD'!J134</f>
        <v>0</v>
      </c>
      <c r="K134" s="11">
        <f>'Annual and Quarterly'!N134</f>
        <v>0</v>
      </c>
      <c r="L134" s="11">
        <f>'Annual and Quarterly'!O134</f>
        <v>0</v>
      </c>
      <c r="M134" s="0">
        <v>0</v>
      </c>
      <c r="N134" s="11">
        <f>'Quarterly YTD'!N134</f>
        <v>14.84</v>
      </c>
      <c r="O134" s="11">
        <f>'Annual and Quarterly'!R134</f>
        <v>7.035</v>
      </c>
    </row>
    <row customHeight="1" ht="15">
      <c r="A135" s="9" t="s">
        <v>140</v>
      </c>
      <c r="B135" s="0">
        <v>0.031716</v>
      </c>
      <c r="E135" s="0">
        <v>0.023853</v>
      </c>
      <c r="G135" s="11">
        <f>'Annual and Quarterly'!J135</f>
        <v>0.256291</v>
      </c>
      <c r="H135" s="11">
        <f>'Annual and Quarterly'!K135</f>
        <v>0.348154</v>
      </c>
      <c r="I135" s="0">
        <v>0.28025</v>
      </c>
      <c r="J135" s="11">
        <f>'Quarterly YTD'!J135</f>
        <v>0.022655</v>
      </c>
      <c r="K135" s="11">
        <f>'Annual and Quarterly'!N135</f>
        <v>0.015379</v>
      </c>
      <c r="L135" s="11">
        <f>'Annual and Quarterly'!O135</f>
        <v>1.019847</v>
      </c>
      <c r="M135" s="0">
        <v>0.098498</v>
      </c>
      <c r="N135" s="11">
        <f>'Quarterly YTD'!N135</f>
        <v>0</v>
      </c>
      <c r="O135" s="11">
        <f>'Annual and Quarterly'!R135</f>
        <v>0.0228</v>
      </c>
    </row>
    <row customHeight="1" ht="15">
      <c r="A136" s="9" t="s">
        <v>134</v>
      </c>
      <c r="B136" s="0">
        <v>200.518254</v>
      </c>
      <c r="E136" s="0">
        <v>39.499741</v>
      </c>
      <c r="G136" s="11">
        <f>'Annual and Quarterly'!J136</f>
        <v>58.429283</v>
      </c>
      <c r="H136" s="11">
        <f>'Annual and Quarterly'!K136</f>
        <v>55.59659</v>
      </c>
      <c r="I136" s="0">
        <v>3.587496</v>
      </c>
      <c r="J136" s="11">
        <f>'Quarterly YTD'!J136</f>
        <v>3.289722</v>
      </c>
      <c r="K136" s="11">
        <f>'Annual and Quarterly'!N136</f>
        <v>2.721252</v>
      </c>
      <c r="L136" s="11">
        <f>'Annual and Quarterly'!O136</f>
        <v>4.565033</v>
      </c>
      <c r="M136" s="0">
        <v>8.214021</v>
      </c>
      <c r="N136" s="11">
        <f>'Quarterly YTD'!N136</f>
        <v>8.781742</v>
      </c>
      <c r="O136" s="11">
        <f>'Annual and Quarterly'!R136</f>
        <v>8.244014</v>
      </c>
    </row>
    <row customHeight="1" ht="15">
      <c r="A137" s="9" t="s">
        <v>141</v>
      </c>
      <c r="B137" s="0">
        <v>26.130051</v>
      </c>
      <c r="E137" s="0">
        <v>31.016973</v>
      </c>
      <c r="G137" s="11">
        <f>'Annual and Quarterly'!J137</f>
        <v>38.364085</v>
      </c>
      <c r="H137" s="11">
        <f>'Annual and Quarterly'!K137</f>
        <v>40.723239</v>
      </c>
      <c r="I137" s="0">
        <v>44.339334</v>
      </c>
      <c r="J137" s="11">
        <f>'Quarterly YTD'!J137</f>
        <v>44.447684</v>
      </c>
      <c r="K137" s="11">
        <f>'Annual and Quarterly'!N137</f>
        <v>40.700651</v>
      </c>
      <c r="L137" s="11">
        <f>'Annual and Quarterly'!O137</f>
        <v>41.810996</v>
      </c>
      <c r="M137" s="0">
        <v>55.870229</v>
      </c>
      <c r="N137" s="11">
        <f>'Quarterly YTD'!N137</f>
        <v>54.015149</v>
      </c>
      <c r="O137" s="11">
        <f>'Annual and Quarterly'!R137</f>
        <v>57.350883</v>
      </c>
    </row>
    <row customHeight="1" ht="15">
      <c r="A138" s="9" t="s">
        <v>142</v>
      </c>
      <c r="B138" s="0">
        <v>38.443334</v>
      </c>
      <c r="E138" s="0">
        <v>35.314107</v>
      </c>
      <c r="G138" s="11">
        <f>'Annual and Quarterly'!J138</f>
        <v>32.585393</v>
      </c>
      <c r="H138" s="11">
        <f>'Annual and Quarterly'!K138</f>
        <v>33.207101</v>
      </c>
      <c r="I138" s="0">
        <v>28.075483</v>
      </c>
      <c r="J138" s="11">
        <f>'Quarterly YTD'!J138</f>
        <v>24.212051</v>
      </c>
      <c r="K138" s="11">
        <f>'Annual and Quarterly'!N138</f>
        <v>30.538192</v>
      </c>
      <c r="L138" s="11">
        <f>'Annual and Quarterly'!O138</f>
        <v>30.40722</v>
      </c>
      <c r="M138" s="0">
        <v>33.534141</v>
      </c>
      <c r="N138" s="11">
        <f>'Quarterly YTD'!N138</f>
        <v>34.136152</v>
      </c>
      <c r="O138" s="11">
        <f>'Annual and Quarterly'!R138</f>
        <v>34.277247</v>
      </c>
    </row>
    <row customHeight="1" ht="15">
      <c r="A139" s="9" t="s">
        <v>80</v>
      </c>
      <c r="B139" s="0">
        <v>19.991299</v>
      </c>
      <c r="E139" s="0">
        <v>17.221944</v>
      </c>
      <c r="G139" s="11">
        <f>'Annual and Quarterly'!J139</f>
        <v>17.736078</v>
      </c>
      <c r="H139" s="11">
        <f>'Annual and Quarterly'!K139</f>
        <v>16.378285</v>
      </c>
      <c r="I139" s="0">
        <v>17.179145</v>
      </c>
      <c r="J139" s="11">
        <f>'Quarterly YTD'!J139</f>
        <v>17.288158</v>
      </c>
      <c r="K139" s="11">
        <f>'Annual and Quarterly'!N139</f>
        <v>17.010273</v>
      </c>
      <c r="L139" s="11">
        <f>'Annual and Quarterly'!O139</f>
        <v>17.018956</v>
      </c>
      <c r="M139" s="0">
        <v>19.961891</v>
      </c>
      <c r="N139" s="11">
        <f>'Quarterly YTD'!N139</f>
        <v>21.233917</v>
      </c>
      <c r="O139" s="11">
        <f>'Annual and Quarterly'!R139</f>
        <v>18.836492</v>
      </c>
    </row>
    <row customHeight="1" ht="15">
      <c r="A140" s="9" t="s">
        <v>143</v>
      </c>
      <c r="B140" s="0">
        <v>0</v>
      </c>
      <c r="E140" s="0">
        <v>0</v>
      </c>
      <c r="G140" s="11">
        <f>'Annual and Quarterly'!J140</f>
        <v>0</v>
      </c>
      <c r="H140" s="11">
        <f>'Annual and Quarterly'!K140</f>
        <v>0</v>
      </c>
      <c r="I140" s="0">
        <v>4.396616</v>
      </c>
      <c r="J140" s="11">
        <f>'Quarterly YTD'!J140</f>
        <v>4.690446</v>
      </c>
      <c r="K140" s="11">
        <f>'Annual and Quarterly'!N140</f>
        <v>3.165562</v>
      </c>
      <c r="L140" s="11">
        <f>'Annual and Quarterly'!O140</f>
        <v>0</v>
      </c>
      <c r="M140" s="0">
        <v>0</v>
      </c>
      <c r="N140" s="11">
        <f>'Quarterly YTD'!N140</f>
        <v>0</v>
      </c>
      <c r="O140" s="11">
        <f>'Annual and Quarterly'!R140</f>
        <v>0</v>
      </c>
    </row>
    <row customHeight="1" ht="15">
      <c r="A141" s="9" t="s">
        <v>144</v>
      </c>
      <c r="B141" s="0">
        <v>41.303953</v>
      </c>
      <c r="E141" s="0">
        <v>33.592938</v>
      </c>
      <c r="G141" s="11">
        <f>'Annual and Quarterly'!J141</f>
        <v>49.752487</v>
      </c>
      <c r="H141" s="11">
        <f>'Annual and Quarterly'!K141</f>
        <v>50.340132</v>
      </c>
      <c r="I141" s="0">
        <v>45.13479</v>
      </c>
      <c r="J141" s="11">
        <f>'Quarterly YTD'!J141</f>
        <v>67.292748</v>
      </c>
      <c r="K141" s="11">
        <f>'Annual and Quarterly'!N141</f>
        <v>60.564796</v>
      </c>
      <c r="L141" s="11">
        <f>'Annual and Quarterly'!O141</f>
        <v>58.536907</v>
      </c>
      <c r="M141" s="0">
        <v>42.017393</v>
      </c>
      <c r="N141" s="11">
        <f>'Quarterly YTD'!N141</f>
        <v>46.994832</v>
      </c>
      <c r="O141" s="11">
        <f>'Annual and Quarterly'!R141</f>
        <v>40.553972</v>
      </c>
    </row>
    <row customHeight="1" ht="15">
      <c r="A142" s="9" t="s">
        <v>145</v>
      </c>
      <c r="B142" s="0">
        <v>0</v>
      </c>
      <c r="E142" s="0">
        <v>0</v>
      </c>
      <c r="G142" s="11">
        <f>'Annual and Quarterly'!J142</f>
        <v>0</v>
      </c>
      <c r="H142" s="11">
        <f>'Annual and Quarterly'!K142</f>
        <v>0</v>
      </c>
      <c r="I142" s="0">
        <v>6.156163</v>
      </c>
      <c r="J142" s="11">
        <f>'Quarterly YTD'!J142</f>
        <v>0</v>
      </c>
      <c r="K142" s="11">
        <f>'Annual and Quarterly'!N142</f>
        <v>0</v>
      </c>
      <c r="L142" s="11">
        <f>'Annual and Quarterly'!O142</f>
        <v>3.774761</v>
      </c>
      <c r="M142" s="0">
        <v>8.593818</v>
      </c>
      <c r="N142" s="11">
        <f>'Quarterly YTD'!N142</f>
        <v>4.465711</v>
      </c>
      <c r="O142" s="11">
        <f>'Annual and Quarterly'!R142</f>
        <v>9.806962</v>
      </c>
    </row>
    <row customHeight="1" ht="15">
      <c r="A143" s="9" t="s">
        <v>146</v>
      </c>
      <c r="B143" s="0">
        <v>62.836584</v>
      </c>
      <c r="E143" s="0">
        <v>128.619643</v>
      </c>
      <c r="G143" s="11">
        <f>'Annual and Quarterly'!J143</f>
        <v>122.047102</v>
      </c>
      <c r="H143" s="11">
        <f>'Annual and Quarterly'!K143</f>
        <v>139.863453</v>
      </c>
      <c r="I143" s="0">
        <v>110.878416</v>
      </c>
      <c r="J143" s="11">
        <f>'Quarterly YTD'!J143</f>
        <v>103.911353</v>
      </c>
      <c r="K143" s="11">
        <f>'Annual and Quarterly'!N143</f>
        <v>102.499901</v>
      </c>
      <c r="L143" s="11">
        <f>'Annual and Quarterly'!O143</f>
        <v>114.107524</v>
      </c>
      <c r="M143" s="0">
        <v>89.320931</v>
      </c>
      <c r="N143" s="11">
        <f>'Quarterly YTD'!N143</f>
        <v>85.433503</v>
      </c>
      <c r="O143" s="11">
        <f>'Annual and Quarterly'!R143</f>
        <v>87.645064</v>
      </c>
    </row>
    <row customHeight="1" ht="15">
      <c r="A144" s="9" t="s">
        <v>147</v>
      </c>
      <c r="B144" s="0">
        <v>26.32074</v>
      </c>
      <c r="E144" s="0">
        <v>19.049325</v>
      </c>
      <c r="G144" s="11">
        <f>'Annual and Quarterly'!J144</f>
        <v>28.636313</v>
      </c>
      <c r="H144" s="11">
        <f>'Annual and Quarterly'!K144</f>
        <v>33.354909</v>
      </c>
      <c r="I144" s="0">
        <v>20.28396</v>
      </c>
      <c r="J144" s="11">
        <f>'Quarterly YTD'!J144</f>
        <v>22.948669</v>
      </c>
      <c r="K144" s="11">
        <f>'Annual and Quarterly'!N144</f>
        <v>23.820346</v>
      </c>
      <c r="L144" s="11">
        <f>'Annual and Quarterly'!O144</f>
        <v>21.410743</v>
      </c>
      <c r="M144" s="0">
        <v>24.788951</v>
      </c>
      <c r="N144" s="11">
        <f>'Quarterly YTD'!N144</f>
        <v>27.696311</v>
      </c>
      <c r="O144" s="11">
        <f>'Annual and Quarterly'!R144</f>
        <v>29.675663</v>
      </c>
    </row>
    <row customHeight="1" ht="15">
      <c r="A145" s="4" t="s">
        <v>148</v>
      </c>
      <c r="B145" s="7">
        <f>SUM(B135:B139)+B141+SUM(B143:B144)</f>
        <v>415.575931</v>
      </c>
      <c r="E145" s="7">
        <f>SUM(E135:E141)+SUM(E143:E144)</f>
        <v>304.338524</v>
      </c>
      <c r="G145" s="7">
        <f>'Annual and Quarterly'!J145</f>
        <v>347.807032</v>
      </c>
      <c r="H145" s="7">
        <f>'Annual and Quarterly'!K145</f>
        <v>369.811863</v>
      </c>
      <c r="I145" s="7">
        <f>SUM(I135:I144)</f>
        <v>280.311653</v>
      </c>
      <c r="J145" s="7">
        <f>'Quarterly YTD'!J145</f>
        <v>288.103486</v>
      </c>
      <c r="K145" s="7">
        <f>'Annual and Quarterly'!N145</f>
        <v>281.036352</v>
      </c>
      <c r="L145" s="7">
        <f>'Annual and Quarterly'!O145</f>
        <v>292.651987</v>
      </c>
      <c r="M145" s="7">
        <f>SUM(M134:M139)+SUM(M141:M144)</f>
        <v>282.399873</v>
      </c>
      <c r="N145" s="7">
        <f>'Quarterly YTD'!N145</f>
        <v>297.597317</v>
      </c>
      <c r="O145" s="7">
        <f>'Annual and Quarterly'!R145</f>
        <v>293.448097</v>
      </c>
    </row>
    <row customHeight="1" ht="15">
      <c r="A146" s="4" t="s">
        <v>149</v>
      </c>
      <c r="B146" s="7">
        <f t="shared" si="13" ref="B146:M146">B133+B145</f>
        <v>626.581667</v>
      </c>
      <c r="E146" s="7">
        <f t="shared" si="13"/>
        <v>685.927513</v>
      </c>
      <c r="G146" s="7">
        <f>'Annual and Quarterly'!J146</f>
        <v>694.74533</v>
      </c>
      <c r="H146" s="7">
        <f>'Annual and Quarterly'!K146</f>
        <v>691.294904</v>
      </c>
      <c r="I146" s="7">
        <f t="shared" si="13"/>
        <v>778.280941</v>
      </c>
      <c r="J146" s="7">
        <f>'Quarterly YTD'!J146</f>
        <v>783.734869</v>
      </c>
      <c r="K146" s="7">
        <f>'Annual and Quarterly'!N146</f>
        <v>775.813755</v>
      </c>
      <c r="L146" s="7">
        <f>'Annual and Quarterly'!O146</f>
        <v>787.494132</v>
      </c>
      <c r="M146" s="7">
        <f t="shared" si="13"/>
        <v>778.00818</v>
      </c>
      <c r="N146" s="7">
        <f>'Quarterly YTD'!N146</f>
        <v>838.614346</v>
      </c>
      <c r="O146" s="7">
        <f>'Annual and Quarterly'!R146</f>
        <v>831.792075</v>
      </c>
    </row>
    <row customHeight="1" ht="15">
      <c r="A147" s="4" t="s">
        <v>150</v>
      </c>
      <c r="B147" s="7">
        <f t="shared" si="14" ref="B147:M147">B125+B146</f>
        <v>577.641711</v>
      </c>
      <c r="E147" s="7">
        <f t="shared" si="14"/>
        <v>574.067671</v>
      </c>
      <c r="G147" s="7">
        <f>'Annual and Quarterly'!J147</f>
        <v>555.77309</v>
      </c>
      <c r="H147" s="7">
        <f>'Annual and Quarterly'!K147</f>
        <v>523.195872</v>
      </c>
      <c r="I147" s="7">
        <f t="shared" si="14"/>
        <v>573.752646</v>
      </c>
      <c r="J147" s="7">
        <f>'Quarterly YTD'!J147</f>
        <v>569.0833</v>
      </c>
      <c r="K147" s="7">
        <f>'Annual and Quarterly'!N147</f>
        <v>548.602452</v>
      </c>
      <c r="L147" s="7">
        <f>'Annual and Quarterly'!O147</f>
        <v>575.507459</v>
      </c>
      <c r="M147" s="7">
        <f t="shared" si="14"/>
        <v>583.583039</v>
      </c>
      <c r="N147" s="7">
        <f>'Quarterly YTD'!N147</f>
        <v>639.721987</v>
      </c>
      <c r="O147" s="7">
        <f>'Annual and Quarterly'!R147</f>
        <v>626.506195</v>
      </c>
    </row>
    <row customHeight="1" ht="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</row>
    <row customHeight="1" ht="15">
      <c r="A149" s="2" t="s">
        <v>151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customHeight="1" ht="15">
      <c r="A150" s="9" t="s">
        <v>152</v>
      </c>
      <c r="B150" s="0">
        <v>90.954301</v>
      </c>
      <c r="E150" s="0">
        <v>81.818184</v>
      </c>
      <c r="G150" s="11">
        <f>'Annual and Quarterly'!J150</f>
        <v>80.863639</v>
      </c>
      <c r="H150" s="11">
        <f>'Annual and Quarterly'!K150</f>
        <v>70.129872</v>
      </c>
    </row>
    <row customHeight="1" ht="15">
      <c r="A151" s="9" t="s">
        <v>153</v>
      </c>
      <c r="B151" s="0">
        <v>101.85</v>
      </c>
      <c r="E151" s="0">
        <v>98.7</v>
      </c>
      <c r="G151" s="11">
        <f>'Annual and Quarterly'!J151</f>
        <v>93.885366</v>
      </c>
      <c r="H151" s="11">
        <f>'Annual and Quarterly'!K151</f>
        <v>89.070731</v>
      </c>
    </row>
    <row customHeight="1" ht="15">
      <c r="A152" s="9" t="s">
        <v>154</v>
      </c>
      <c r="B152" s="0">
        <v>0</v>
      </c>
      <c r="E152" s="0">
        <v>41.447836</v>
      </c>
      <c r="G152" s="11">
        <f>'Annual and Quarterly'!J152</f>
        <v>38.935846</v>
      </c>
      <c r="H152" s="11">
        <f>'Annual and Quarterly'!K152</f>
        <v>37.679851</v>
      </c>
    </row>
    <row customHeight="1" ht="15">
      <c r="A153" s="9" t="s">
        <v>155</v>
      </c>
      <c r="B153" s="0">
        <v>0</v>
      </c>
      <c r="E153" s="0">
        <v>0.031467</v>
      </c>
      <c r="G153" s="11">
        <f>'Annual and Quarterly'!J153</f>
        <v>0.073772</v>
      </c>
      <c r="H153" s="11">
        <f>'Annual and Quarterly'!K153</f>
        <v>0.054039</v>
      </c>
    </row>
    <row customHeight="1" ht="15">
      <c r="A154" s="9" t="s">
        <v>156</v>
      </c>
      <c r="B154" s="0">
        <v>0</v>
      </c>
      <c r="E154" s="0">
        <v>1.261631</v>
      </c>
      <c r="G154" s="11">
        <f>'Annual and Quarterly'!J154</f>
        <v>0.647232</v>
      </c>
      <c r="H154" s="11">
        <f>'Annual and Quarterly'!K154</f>
        <v>0.319026</v>
      </c>
    </row>
    <row customHeight="1" ht="15">
      <c r="A155" s="9" t="s">
        <v>157</v>
      </c>
      <c r="B155" s="0">
        <v>10</v>
      </c>
      <c r="E155" s="0">
        <v>7.499998</v>
      </c>
      <c r="G155" s="11">
        <f>'Annual and Quarterly'!J155</f>
        <v>5.833403</v>
      </c>
      <c r="H155" s="11">
        <f>'Annual and Quarterly'!K155</f>
        <v>5.000069</v>
      </c>
    </row>
    <row customHeight="1" ht="15">
      <c r="A156" s="9" t="s">
        <v>158</v>
      </c>
      <c r="B156" s="0">
        <v>0</v>
      </c>
      <c r="E156" s="0">
        <v>0</v>
      </c>
      <c r="G156" s="11">
        <f>'Annual and Quarterly'!J156</f>
        <v>0.647961</v>
      </c>
      <c r="H156" s="11">
        <f>'Annual and Quarterly'!K156</f>
        <v>0.590563</v>
      </c>
    </row>
    <row customHeight="1" ht="15">
      <c r="A157" s="9" t="s">
        <v>147</v>
      </c>
      <c r="B157" s="0">
        <v>26.32074</v>
      </c>
      <c r="E157" s="0">
        <v>19.049325</v>
      </c>
      <c r="G157" s="11">
        <f>'Annual and Quarterly'!J157</f>
        <v>28.636313</v>
      </c>
      <c r="H157" s="11">
        <f>'Annual and Quarterly'!K157</f>
        <v>33.354909</v>
      </c>
    </row>
    <row customHeight="1" ht="15">
      <c r="A158" s="9" t="s">
        <v>159</v>
      </c>
      <c r="B158" s="11">
        <f t="shared" si="15" ref="B158:H158">B130+B137</f>
        <v>208.127159</v>
      </c>
      <c r="E158" s="11">
        <f t="shared" si="15"/>
        <v>204.536243</v>
      </c>
      <c r="G158" s="11">
        <f t="shared" si="15"/>
        <v>202.781524</v>
      </c>
      <c r="H158" s="11">
        <f t="shared" si="15"/>
        <v>199.599919</v>
      </c>
    </row>
    <row customHeight="1" ht="15">
      <c r="A159" s="9" t="s">
        <v>160</v>
      </c>
      <c r="B159" s="11">
        <f t="shared" si="16" ref="B159:H159">SUM(B150:B158)</f>
        <v>437.2522</v>
      </c>
      <c r="E159" s="11">
        <f t="shared" si="16"/>
        <v>454.344684</v>
      </c>
      <c r="G159" s="11">
        <f t="shared" si="16"/>
        <v>452.305056</v>
      </c>
      <c r="H159" s="11">
        <f t="shared" si="16"/>
        <v>435.798979</v>
      </c>
      <c r="I159" s="11">
        <f>SUM(I129:I131)+(I136+I140+I144)+I137</f>
        <v>527.679777</v>
      </c>
      <c r="J159" s="11">
        <f>SUM(J129:J131)+('Quarterly YTD'!J136+'Quarterly YTD'!J140+'Quarterly YTD'!J144)+J137</f>
        <v>528.000529</v>
      </c>
      <c r="K159" s="11">
        <f>SUM(K129:K131)+('Annual and Quarterly'!N136+'Annual and Quarterly'!N140+'Annual and Quarterly'!N144)+K137</f>
        <v>523.205969</v>
      </c>
      <c r="L159" s="11">
        <f>SUM(L129:L131)+('Annual and Quarterly'!O136+'Annual and Quarterly'!O140+'Annual and Quarterly'!O144)+L137</f>
        <v>517.917087</v>
      </c>
      <c r="M159" s="11">
        <f>SUM(M129:M131)+(M134+M136+M144)+M137</f>
        <v>540.363135</v>
      </c>
      <c r="N159" s="11">
        <f>SUM(N129:N131)+('Quarterly YTD'!N134+'Quarterly YTD'!N136+'Quarterly YTD'!N144)+N137</f>
        <v>600.92891</v>
      </c>
      <c r="O159" s="11">
        <f>SUM(O129:O131)+('Annual and Quarterly'!R134+'Annual and Quarterly'!R136+'Annual and Quarterly'!R144)+O137</f>
        <v>595.79021</v>
      </c>
    </row>
    <row customHeight="1" ht="15">
      <c r="A160" s="9" t="s">
        <v>161</v>
      </c>
      <c r="B160" s="15">
        <f t="shared" si="17" ref="B160:O160">IF(B167&lt;=0,"NM",B159/B167)</f>
        <v>6.19266835942942</v>
      </c>
      <c r="E160" s="15">
        <f t="shared" si="17"/>
        <v>3.97376877847464</v>
      </c>
      <c r="G160" s="15">
        <f t="shared" si="17"/>
        <v>4.17818628152626</v>
      </c>
      <c r="H160" s="15">
        <f t="shared" si="17"/>
        <v>4.25538185252712</v>
      </c>
      <c r="I160" s="15">
        <f t="shared" si="17"/>
        <v>6.63667062915948</v>
      </c>
      <c r="J160" s="15">
        <f t="shared" si="17"/>
        <v>6.41710695207645</v>
      </c>
      <c r="K160" s="15">
        <f t="shared" si="17"/>
        <v>5.82351497164987</v>
      </c>
      <c r="L160" s="15">
        <f t="shared" si="17"/>
        <v>4.35009358146096</v>
      </c>
      <c r="M160" s="15">
        <f t="shared" si="17"/>
        <v>3.89788190776105</v>
      </c>
      <c r="N160" s="15">
        <f t="shared" si="17"/>
        <v>4.06739496088967</v>
      </c>
      <c r="O160" s="15">
        <f t="shared" si="17"/>
        <v>3.75292534408696</v>
      </c>
    </row>
    <row customHeight="1" ht="15">
      <c r="A161" s="9" t="s">
        <v>162</v>
      </c>
      <c r="B161" s="15">
        <f t="shared" si="18" ref="B161:O161">IF(B176&lt;=0,"NM",B159/B176)</f>
        <v>6.19266835942942</v>
      </c>
      <c r="E161" s="15">
        <f t="shared" si="18"/>
        <v>3.97376877847464</v>
      </c>
      <c r="G161" s="15">
        <f t="shared" si="18"/>
        <v>4.18136450552104</v>
      </c>
      <c r="H161" s="15">
        <f t="shared" si="18"/>
        <v>4.25720900884977</v>
      </c>
      <c r="I161" s="15">
        <f t="shared" si="18"/>
        <v>6.63667062915948</v>
      </c>
      <c r="J161" s="15">
        <f t="shared" si="18"/>
        <v>6.41889000847888</v>
      </c>
      <c r="K161" s="15">
        <f t="shared" si="18"/>
        <v>5.8197763845401</v>
      </c>
      <c r="L161" s="15">
        <f t="shared" si="18"/>
        <v>4.33760817218284</v>
      </c>
      <c r="M161" s="15">
        <f t="shared" si="18"/>
        <v>3.89788190776105</v>
      </c>
      <c r="N161" s="15">
        <f t="shared" si="18"/>
        <v>4.06210429511071</v>
      </c>
      <c r="O161" s="15">
        <f t="shared" si="18"/>
        <v>3.74606450060729</v>
      </c>
    </row>
    <row customHeight="1" ht="15">
      <c r="A162" s="9" t="s">
        <v>163</v>
      </c>
      <c r="B162" s="11">
        <f t="shared" si="19" ref="B162:O162">B159-B115</f>
        <v>412.323143</v>
      </c>
      <c r="E162" s="11">
        <f t="shared" si="19"/>
        <v>421.036057</v>
      </c>
      <c r="G162" s="11">
        <f t="shared" si="19"/>
        <v>429.06363</v>
      </c>
      <c r="H162" s="11">
        <f t="shared" si="19"/>
        <v>419.260953</v>
      </c>
      <c r="I162" s="11">
        <f t="shared" si="19"/>
        <v>483.621858</v>
      </c>
      <c r="J162" s="11">
        <f t="shared" si="19"/>
        <v>489.546225</v>
      </c>
      <c r="K162" s="11">
        <f t="shared" si="19"/>
        <v>496.526289</v>
      </c>
      <c r="L162" s="11">
        <f t="shared" si="19"/>
        <v>478.946178</v>
      </c>
      <c r="M162" s="11">
        <f t="shared" si="19"/>
        <v>515.393448</v>
      </c>
      <c r="N162" s="11">
        <f t="shared" si="19"/>
        <v>534.255913</v>
      </c>
      <c r="O162" s="11">
        <f t="shared" si="19"/>
        <v>560.421012</v>
      </c>
    </row>
    <row customHeight="1" ht="15">
      <c r="A163" s="4" t="s">
        <v>164</v>
      </c>
      <c r="B163" s="17">
        <f t="shared" si="20" ref="B163:O163">IF(B167&lt;=0,"NM",B162/B167)</f>
        <v>5.83960579618945</v>
      </c>
      <c r="E163" s="17">
        <f t="shared" si="20"/>
        <v>3.68244638231239</v>
      </c>
      <c r="G163" s="17">
        <f t="shared" si="20"/>
        <v>3.96349266714334</v>
      </c>
      <c r="H163" s="17">
        <f t="shared" si="20"/>
        <v>4.09389543537555</v>
      </c>
      <c r="I163" s="17">
        <f t="shared" si="20"/>
        <v>6.08255066899814</v>
      </c>
      <c r="J163" s="17">
        <f t="shared" si="20"/>
        <v>5.94974874316893</v>
      </c>
      <c r="K163" s="17">
        <f t="shared" si="20"/>
        <v>5.52655827557894</v>
      </c>
      <c r="L163" s="17">
        <f t="shared" si="20"/>
        <v>4.02276879268719</v>
      </c>
      <c r="M163" s="17">
        <f t="shared" si="20"/>
        <v>3.71776434441218</v>
      </c>
      <c r="N163" s="17">
        <f t="shared" si="20"/>
        <v>3.61611793375311</v>
      </c>
      <c r="O163" s="17">
        <f t="shared" si="20"/>
        <v>3.53013222438425</v>
      </c>
    </row>
    <row customHeight="1" ht="15">
      <c r="A164" s="9" t="s">
        <v>165</v>
      </c>
      <c r="B164" s="15">
        <f t="shared" si="21" ref="B164:O164">IF(B176&lt;=0,"NM",B162/B176)</f>
        <v>5.83960579618945</v>
      </c>
      <c r="E164" s="15">
        <f t="shared" si="21"/>
        <v>3.68244638231239</v>
      </c>
      <c r="G164" s="15">
        <f t="shared" si="21"/>
        <v>3.96650757999047</v>
      </c>
      <c r="H164" s="15">
        <f t="shared" si="21"/>
        <v>4.09565325340182</v>
      </c>
      <c r="I164" s="15">
        <f t="shared" si="21"/>
        <v>6.08255066899814</v>
      </c>
      <c r="J164" s="15">
        <f t="shared" si="21"/>
        <v>5.95140193948756</v>
      </c>
      <c r="K164" s="15">
        <f t="shared" si="21"/>
        <v>5.52301032908424</v>
      </c>
      <c r="L164" s="15">
        <f t="shared" si="21"/>
        <v>4.01122285376257</v>
      </c>
      <c r="M164" s="15">
        <f t="shared" si="21"/>
        <v>3.71776434441218</v>
      </c>
      <c r="N164" s="15">
        <f t="shared" si="21"/>
        <v>3.61141426676508</v>
      </c>
      <c r="O164" s="15">
        <f t="shared" si="21"/>
        <v>3.5236786761696</v>
      </c>
    </row>
    <row customHeight="1" ht="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customHeight="1" ht="15">
      <c r="A166" s="2" t="s">
        <v>166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customHeight="1" ht="15">
      <c r="A167" s="9" t="s">
        <v>167</v>
      </c>
      <c r="B167" s="11">
        <f t="shared" si="22" ref="B167:O167">B13+B222+B223</f>
        <v>70.608044</v>
      </c>
      <c r="E167" s="11">
        <f t="shared" si="22"/>
        <v>114.335964</v>
      </c>
      <c r="G167" s="11">
        <f t="shared" si="22"/>
        <v>108.253923</v>
      </c>
      <c r="H167" s="11">
        <f t="shared" si="22"/>
        <v>102.411251</v>
      </c>
      <c r="I167" s="11">
        <f t="shared" si="22"/>
        <v>79.509713</v>
      </c>
      <c r="J167" s="11">
        <f t="shared" si="22"/>
        <v>82.280151</v>
      </c>
      <c r="K167" s="11">
        <f t="shared" si="22"/>
        <v>89.843672</v>
      </c>
      <c r="L167" s="11">
        <f t="shared" si="22"/>
        <v>119.058838</v>
      </c>
      <c r="M167" s="11">
        <f t="shared" si="22"/>
        <v>138.62994</v>
      </c>
      <c r="N167" s="11">
        <f t="shared" si="22"/>
        <v>147.742945</v>
      </c>
      <c r="O167" s="11">
        <f t="shared" si="22"/>
        <v>158.753547</v>
      </c>
    </row>
    <row customHeight="1" ht="15">
      <c r="A168" s="9" t="s">
        <v>168</v>
      </c>
      <c r="B168" s="0">
        <v>-61.29357</v>
      </c>
      <c r="E168" s="0">
        <v>-104.033368</v>
      </c>
      <c r="G168" s="11">
        <f>E168+'Quarterly YTD'!G168-'Quarterly YTD'!C168</f>
        <v>-76.171013</v>
      </c>
      <c r="H168" s="11">
        <f>E168+'Quarterly YTD'!H168-'Quarterly YTD'!D168</f>
        <v>-95.335087</v>
      </c>
      <c r="I168" s="0">
        <v>-97.036347</v>
      </c>
      <c r="J168" s="11">
        <f>I168+'Quarterly YTD'!J168-'Quarterly YTD'!F168</f>
        <v>-92.945858</v>
      </c>
      <c r="K168" s="11">
        <f>I168+'Quarterly YTD'!K168-'Quarterly YTD'!G168</f>
        <v>-82.654437</v>
      </c>
      <c r="L168" s="11">
        <f>I168+'Quarterly YTD'!L168-'Quarterly YTD'!H168</f>
        <v>-30.508831</v>
      </c>
      <c r="M168" s="0">
        <v>36.387585</v>
      </c>
      <c r="N168" s="11">
        <f>M168+'Quarterly YTD'!N168-'Quarterly YTD'!J168</f>
        <v>35.240666</v>
      </c>
      <c r="O168" s="11">
        <f>M168+'Quarterly YTD'!O168-'Quarterly YTD'!K168</f>
        <v>44.361632</v>
      </c>
    </row>
    <row customHeight="1" ht="15">
      <c r="A169" s="9" t="s">
        <v>36</v>
      </c>
      <c r="B169" s="0">
        <v>55.213244</v>
      </c>
      <c r="E169" s="0">
        <v>64.737849</v>
      </c>
      <c r="G169" s="11">
        <f>E169+'Quarterly YTD'!G169-'Quarterly YTD'!C169</f>
        <v>60.917214</v>
      </c>
      <c r="H169" s="11">
        <f>E169+'Quarterly YTD'!H169-'Quarterly YTD'!D169</f>
        <v>62.858629</v>
      </c>
      <c r="I169" s="0">
        <v>74.276529</v>
      </c>
      <c r="J169" s="11">
        <f>I169+'Quarterly YTD'!J169-'Quarterly YTD'!F169</f>
        <v>75.992035</v>
      </c>
      <c r="K169" s="11">
        <f>I169+'Quarterly YTD'!K169-'Quarterly YTD'!G169</f>
        <v>77.766373</v>
      </c>
      <c r="L169" s="11">
        <f>I169+'Quarterly YTD'!L169-'Quarterly YTD'!H169</f>
        <v>79.875363</v>
      </c>
      <c r="M169" s="0">
        <v>71.039195</v>
      </c>
      <c r="N169" s="11">
        <f>M169+'Quarterly YTD'!N169-'Quarterly YTD'!J169</f>
        <v>74.247913</v>
      </c>
      <c r="O169" s="11">
        <f>M169+'Quarterly YTD'!O169-'Quarterly YTD'!K169</f>
        <v>77.784129</v>
      </c>
    </row>
    <row customHeight="1" ht="15">
      <c r="A170" s="9" t="s">
        <v>34</v>
      </c>
      <c r="B170" s="0">
        <v>-1.932958</v>
      </c>
      <c r="E170" s="0">
        <v>-2.126254</v>
      </c>
      <c r="G170" s="11">
        <f>E170+'Quarterly YTD'!G170-'Quarterly YTD'!C170</f>
        <v>-2.232567</v>
      </c>
      <c r="H170" s="11">
        <f>E170+'Quarterly YTD'!H170-'Quarterly YTD'!D170</f>
        <v>-2.285723</v>
      </c>
      <c r="I170" s="0">
        <v>-2.33888</v>
      </c>
      <c r="J170" s="11">
        <f>I170+'Quarterly YTD'!J170-'Quarterly YTD'!F170</f>
        <v>-2.397349</v>
      </c>
      <c r="K170" s="11">
        <f>I170+'Quarterly YTD'!K170-'Quarterly YTD'!G170</f>
        <v>-2.455824</v>
      </c>
      <c r="L170" s="11">
        <f>I170+'Quarterly YTD'!L170-'Quarterly YTD'!H170</f>
        <v>-2.514296</v>
      </c>
      <c r="M170" s="0">
        <v>-2.572767</v>
      </c>
      <c r="N170" s="11">
        <f>M170+'Quarterly YTD'!N170-'Quarterly YTD'!J170</f>
        <v>-2.637089</v>
      </c>
      <c r="O170" s="11">
        <f>M170+'Quarterly YTD'!O170-'Quarterly YTD'!K170</f>
        <v>-2.701405</v>
      </c>
    </row>
    <row customHeight="1" ht="15">
      <c r="A171" s="9" t="s">
        <v>35</v>
      </c>
      <c r="B171" s="0">
        <v>-0.187722</v>
      </c>
      <c r="E171" s="0">
        <v>-0.156096</v>
      </c>
      <c r="G171" s="11">
        <f>E171+'Quarterly YTD'!G171-'Quarterly YTD'!C171</f>
        <v>-0.158819</v>
      </c>
      <c r="H171" s="11">
        <f>E171+'Quarterly YTD'!H171-'Quarterly YTD'!D171</f>
        <v>-0.157212</v>
      </c>
      <c r="I171" s="0">
        <v>-0.329062</v>
      </c>
      <c r="J171" s="11">
        <f>I171+'Quarterly YTD'!J171-'Quarterly YTD'!F171</f>
        <v>-0.3978</v>
      </c>
      <c r="K171" s="11">
        <f>I171+'Quarterly YTD'!K171-'Quarterly YTD'!G171</f>
        <v>-0.407202</v>
      </c>
      <c r="L171" s="11">
        <f>I171+'Quarterly YTD'!L171-'Quarterly YTD'!H171</f>
        <v>-0.442984</v>
      </c>
      <c r="M171" s="0">
        <v>-0.269998</v>
      </c>
      <c r="N171" s="11">
        <f>M171+'Quarterly YTD'!N171-'Quarterly YTD'!J171</f>
        <v>-0.397375</v>
      </c>
      <c r="O171" s="11">
        <f>M171+'Quarterly YTD'!O171-'Quarterly YTD'!K171</f>
        <v>-0.501385</v>
      </c>
    </row>
    <row customHeight="1" ht="15">
      <c r="A172" s="9" t="s">
        <v>169</v>
      </c>
      <c r="B172" s="0">
        <v>42.745142</v>
      </c>
      <c r="E172" s="0">
        <v>47.380285</v>
      </c>
      <c r="G172" s="11">
        <f>E172+'Quarterly YTD'!G172-'Quarterly YTD'!C172</f>
        <v>47.839564</v>
      </c>
      <c r="H172" s="11">
        <f>E172+'Quarterly YTD'!H172-'Quarterly YTD'!D172</f>
        <v>47.689041</v>
      </c>
      <c r="I172" s="0">
        <v>48.614609</v>
      </c>
      <c r="J172" s="11">
        <f>I172+'Quarterly YTD'!J172-'Quarterly YTD'!F172</f>
        <v>48.676557</v>
      </c>
      <c r="K172" s="11">
        <f>I172+'Quarterly YTD'!K172-'Quarterly YTD'!G172</f>
        <v>47.417432</v>
      </c>
      <c r="L172" s="11">
        <f>I172+'Quarterly YTD'!L172-'Quarterly YTD'!H172</f>
        <v>50.358214</v>
      </c>
      <c r="M172" s="0">
        <v>50.741037</v>
      </c>
      <c r="N172" s="11">
        <f>M172+'Quarterly YTD'!N172-'Quarterly YTD'!J172</f>
        <v>53.461583</v>
      </c>
      <c r="O172" s="11">
        <f>M172+'Quarterly YTD'!O172-'Quarterly YTD'!K172</f>
        <v>56.226568</v>
      </c>
    </row>
    <row customHeight="1" ht="15">
      <c r="A173" s="9" t="s">
        <v>25</v>
      </c>
      <c r="B173" s="0">
        <v>11.955373</v>
      </c>
      <c r="E173" s="0">
        <v>15.925177</v>
      </c>
      <c r="G173" s="11">
        <f>E173+'Quarterly YTD'!G173-'Quarterly YTD'!C173</f>
        <v>19.416151</v>
      </c>
      <c r="H173" s="11">
        <f>E173+'Quarterly YTD'!H173-'Quarterly YTD'!D173</f>
        <v>20.365667</v>
      </c>
      <c r="I173" s="0">
        <v>20.609792</v>
      </c>
      <c r="J173" s="11">
        <f>I173+'Quarterly YTD'!J173-'Quarterly YTD'!F173</f>
        <v>20.498581</v>
      </c>
      <c r="K173" s="11">
        <f>I173+'Quarterly YTD'!K173-'Quarterly YTD'!G173</f>
        <v>20.29944</v>
      </c>
      <c r="L173" s="11">
        <f>I173+'Quarterly YTD'!L173-'Quarterly YTD'!H173</f>
        <v>20.345079</v>
      </c>
      <c r="M173" s="0">
        <v>19.385894</v>
      </c>
      <c r="N173" s="11">
        <f>M173+'Quarterly YTD'!N173-'Quarterly YTD'!J173</f>
        <v>19.271249</v>
      </c>
      <c r="O173" s="11">
        <f>M173+'Quarterly YTD'!O173-'Quarterly YTD'!K173</f>
        <v>18.961141</v>
      </c>
    </row>
    <row customHeight="1" ht="15">
      <c r="A174" s="9" t="s">
        <v>37</v>
      </c>
      <c r="B174" s="0">
        <v>24.108535</v>
      </c>
      <c r="E174" s="0">
        <v>114.151736</v>
      </c>
      <c r="G174" s="11">
        <f>E174+'Quarterly YTD'!G174-'Quarterly YTD'!C174</f>
        <v>51.710745</v>
      </c>
      <c r="H174" s="11">
        <f>E174+'Quarterly YTD'!H174-'Quarterly YTD'!D174</f>
        <v>64.181368</v>
      </c>
      <c r="I174" s="0">
        <v>39.271284</v>
      </c>
      <c r="J174" s="11">
        <f>I174+'Quarterly YTD'!J174-'Quarterly YTD'!F174</f>
        <v>32.460065</v>
      </c>
      <c r="K174" s="11">
        <f>I174+'Quarterly YTD'!K174-'Quarterly YTD'!G174</f>
        <v>29.292779</v>
      </c>
      <c r="L174" s="11">
        <f>I174+'Quarterly YTD'!L174-'Quarterly YTD'!H174</f>
        <v>3.553722</v>
      </c>
      <c r="M174" s="0">
        <v>-37.680522</v>
      </c>
      <c r="N174" s="11">
        <f>M174+'Quarterly YTD'!N174-'Quarterly YTD'!J174</f>
        <v>-29.847942</v>
      </c>
      <c r="O174" s="11">
        <f>M174+'Quarterly YTD'!O174-'Quarterly YTD'!K174</f>
        <v>-33.66656</v>
      </c>
    </row>
    <row customHeight="1" ht="15">
      <c r="A175" s="9" t="s">
        <v>170</v>
      </c>
      <c r="B175" s="0">
        <v>0</v>
      </c>
      <c r="E175" s="0">
        <v>-21.543365</v>
      </c>
      <c r="G175" s="11">
        <f>E175+'Quarterly YTD'!G175-'Quarterly YTD'!C175</f>
        <v>6.850365</v>
      </c>
      <c r="H175" s="11">
        <f>E175+'Quarterly YTD'!H175-'Quarterly YTD'!D175</f>
        <v>5.050614</v>
      </c>
      <c r="I175" s="0">
        <v>-3.558212</v>
      </c>
      <c r="J175" s="11">
        <f>I175+'Quarterly YTD'!J175-'Quarterly YTD'!F175</f>
        <v>0.371064</v>
      </c>
      <c r="K175" s="11">
        <f>I175+'Quarterly YTD'!K175-'Quarterly YTD'!G175</f>
        <v>0.642826</v>
      </c>
      <c r="L175" s="11">
        <f>I175+'Quarterly YTD'!L175-'Quarterly YTD'!H175</f>
        <v>-1.264729</v>
      </c>
      <c r="M175" s="0">
        <v>1.599516</v>
      </c>
      <c r="N175" s="11">
        <f>M175+'Quarterly YTD'!N175-'Quarterly YTD'!J175</f>
        <v>-1.403633</v>
      </c>
      <c r="O175" s="11">
        <f>M175+'Quarterly YTD'!O175-'Quarterly YTD'!K175</f>
        <v>-1.419819</v>
      </c>
    </row>
    <row customHeight="1" ht="15">
      <c r="A176" s="4" t="s">
        <v>171</v>
      </c>
      <c r="B176" s="7">
        <f t="shared" si="23" ref="B176:M176">SUM(B168:B175)</f>
        <v>70.608044</v>
      </c>
      <c r="E176" s="7">
        <f t="shared" si="23"/>
        <v>114.335964</v>
      </c>
      <c r="G176" s="7">
        <f>E176+'Quarterly YTD'!G176-'Quarterly YTD'!C176</f>
        <v>108.17164</v>
      </c>
      <c r="H176" s="7">
        <f>E176+'Quarterly YTD'!H176-'Quarterly YTD'!D176</f>
        <v>102.367297</v>
      </c>
      <c r="I176" s="7">
        <f t="shared" si="23"/>
        <v>79.509713</v>
      </c>
      <c r="J176" s="7">
        <f>I176+'Quarterly YTD'!J176-'Quarterly YTD'!F176</f>
        <v>82.257295</v>
      </c>
      <c r="K176" s="7">
        <f>I176+'Quarterly YTD'!K176-'Quarterly YTD'!G176</f>
        <v>89.901387</v>
      </c>
      <c r="L176" s="7">
        <f>I176+'Quarterly YTD'!L176-'Quarterly YTD'!H176</f>
        <v>119.401538</v>
      </c>
      <c r="M176" s="7">
        <f t="shared" si="23"/>
        <v>138.62994</v>
      </c>
      <c r="N176" s="7">
        <f>M176+'Quarterly YTD'!N176-'Quarterly YTD'!J176</f>
        <v>147.935372</v>
      </c>
      <c r="O176" s="7">
        <f>M176+'Quarterly YTD'!O176-'Quarterly YTD'!K176</f>
        <v>159.044301</v>
      </c>
    </row>
    <row customHeight="1" ht="15">
      <c r="A177" s="9" t="s">
        <v>172</v>
      </c>
      <c r="B177" s="11">
        <f t="shared" si="24" ref="B177:O177">B176-B167</f>
        <v>0</v>
      </c>
      <c r="E177" s="11">
        <f t="shared" si="24"/>
        <v>0</v>
      </c>
      <c r="G177" s="11">
        <f t="shared" si="24"/>
        <v>-0.0822830000000039</v>
      </c>
      <c r="H177" s="11">
        <f t="shared" si="24"/>
        <v>-0.0439539999999994</v>
      </c>
      <c r="I177" s="11">
        <f t="shared" si="24"/>
        <v>0</v>
      </c>
      <c r="J177" s="11">
        <f t="shared" si="24"/>
        <v>-0.0228560000000044</v>
      </c>
      <c r="K177" s="11">
        <f t="shared" si="24"/>
        <v>0.0577150000000017</v>
      </c>
      <c r="L177" s="11">
        <f t="shared" si="24"/>
        <v>0.342700000000008</v>
      </c>
      <c r="M177" s="11">
        <f t="shared" si="24"/>
        <v>0</v>
      </c>
      <c r="N177" s="11">
        <f t="shared" si="24"/>
        <v>0.192427000000009</v>
      </c>
      <c r="O177" s="11">
        <f t="shared" si="24"/>
        <v>0.290753999999993</v>
      </c>
    </row>
    <row customHeight="1" ht="15">
      <c r="A178" s="9" t="s">
        <v>173</v>
      </c>
      <c r="B178" s="19">
        <f t="shared" si="25" ref="B178:O178">IF(B177=0,0,IF(B167&lt;=0,"NM",B177/B167))</f>
        <v>0</v>
      </c>
      <c r="E178" s="19">
        <f t="shared" si="25"/>
        <v>0</v>
      </c>
      <c r="G178" s="19">
        <f t="shared" si="25"/>
        <v>-0.000760092546484471</v>
      </c>
      <c r="H178" s="19">
        <f t="shared" si="25"/>
        <v>-0.00042919112471343</v>
      </c>
      <c r="I178" s="19">
        <f t="shared" si="25"/>
        <v>0</v>
      </c>
      <c r="J178" s="19">
        <f t="shared" si="25"/>
        <v>-0.00027778266960162</v>
      </c>
      <c r="K178" s="19">
        <f t="shared" si="25"/>
        <v>0.000642393601187646</v>
      </c>
      <c r="L178" s="19">
        <f t="shared" si="25"/>
        <v>0.00287840874106304</v>
      </c>
      <c r="M178" s="19">
        <f t="shared" si="25"/>
        <v>0</v>
      </c>
      <c r="N178" s="19">
        <f t="shared" si="25"/>
        <v>0.00130244459388575</v>
      </c>
      <c r="O178" s="19">
        <f t="shared" si="25"/>
        <v>0.00183148033851485</v>
      </c>
    </row>
    <row customHeight="1" ht="15">
      <c r="A179" s="9" t="s">
        <v>174</v>
      </c>
      <c r="B179" s="19">
        <f t="shared" si="26" ref="B179:O179">IF(OR(B176=0,B176="NM",B167="NM"),"NM",B167/B176)</f>
        <v>1</v>
      </c>
      <c r="E179" s="19">
        <f t="shared" si="26"/>
        <v>1</v>
      </c>
      <c r="G179" s="19">
        <f t="shared" si="26"/>
        <v>1.00076067072663</v>
      </c>
      <c r="H179" s="19">
        <f t="shared" si="26"/>
        <v>1.00042937540883</v>
      </c>
      <c r="I179" s="19">
        <f t="shared" si="26"/>
        <v>1</v>
      </c>
      <c r="J179" s="19">
        <f t="shared" si="26"/>
        <v>1.00027785985425</v>
      </c>
      <c r="K179" s="19">
        <f t="shared" si="26"/>
        <v>0.999358018803425</v>
      </c>
      <c r="L179" s="19">
        <f t="shared" si="26"/>
        <v>0.997129852715967</v>
      </c>
      <c r="M179" s="19">
        <f t="shared" si="26"/>
        <v>1</v>
      </c>
      <c r="N179" s="19">
        <f t="shared" si="26"/>
        <v>0.998699249561491</v>
      </c>
      <c r="O179" s="19">
        <f t="shared" si="26"/>
        <v>0.998171867849575</v>
      </c>
    </row>
    <row customHeight="1" ht="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</row>
    <row customHeight="1" ht="15">
      <c r="A181" s="2" t="s">
        <v>175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customHeight="1" ht="15">
      <c r="A182" s="9" t="s">
        <v>176</v>
      </c>
      <c r="B182" s="0">
        <v>98.015201</v>
      </c>
      <c r="E182" s="0">
        <v>89.311099</v>
      </c>
      <c r="G182" s="11">
        <f>E182+'Quarterly YTD'!G182-'Quarterly YTD'!C182</f>
        <v>93.426632</v>
      </c>
      <c r="H182" s="11">
        <f>E182+'Quarterly YTD'!H182-'Quarterly YTD'!D182</f>
        <v>97.536472</v>
      </c>
      <c r="I182" s="0">
        <v>100.898089</v>
      </c>
      <c r="J182" s="11">
        <f>I182+'Quarterly YTD'!J182-'Quarterly YTD'!F182</f>
        <v>103.083065</v>
      </c>
      <c r="K182" s="11">
        <f>I182+'Quarterly YTD'!K182-'Quarterly YTD'!G182</f>
        <v>106.156782</v>
      </c>
      <c r="L182" s="11">
        <f>I182+'Quarterly YTD'!L182-'Quarterly YTD'!H182</f>
        <v>109.379491</v>
      </c>
      <c r="M182" s="0">
        <v>111.011911</v>
      </c>
      <c r="N182" s="11">
        <f>M182+'Quarterly YTD'!N182-'Quarterly YTD'!J182</f>
        <v>112.615884</v>
      </c>
      <c r="O182" s="11">
        <f>M182+'Quarterly YTD'!O182-'Quarterly YTD'!K182</f>
        <v>112.068061</v>
      </c>
    </row>
    <row customHeight="1" ht="15">
      <c r="A183" s="9" t="s">
        <v>177</v>
      </c>
      <c r="B183" s="0">
        <v>82.621126</v>
      </c>
      <c r="E183" s="0">
        <v>95.859657</v>
      </c>
      <c r="G183" s="11">
        <f>E183+'Quarterly YTD'!G183-'Quarterly YTD'!C183</f>
        <v>84.454083</v>
      </c>
      <c r="H183" s="11">
        <f>E183+'Quarterly YTD'!H183-'Quarterly YTD'!D183</f>
        <v>97.25049</v>
      </c>
      <c r="I183" s="0">
        <v>101.778751</v>
      </c>
      <c r="J183" s="11">
        <f>I183+'Quarterly YTD'!J183-'Quarterly YTD'!F183</f>
        <v>105.842913</v>
      </c>
      <c r="K183" s="11">
        <f>I183+'Quarterly YTD'!K183-'Quarterly YTD'!G183</f>
        <v>108.974994</v>
      </c>
      <c r="L183" s="11">
        <f>I183+'Quarterly YTD'!L183-'Quarterly YTD'!H183</f>
        <v>111.992475</v>
      </c>
      <c r="M183" s="0">
        <v>114.787009</v>
      </c>
      <c r="N183" s="11">
        <f>M183+'Quarterly YTD'!N183-'Quarterly YTD'!J183</f>
        <v>118.978565</v>
      </c>
      <c r="O183" s="11">
        <f>M183+'Quarterly YTD'!O183-'Quarterly YTD'!K183</f>
        <v>122.189745</v>
      </c>
    </row>
    <row customHeight="1" ht="15">
      <c r="A184" s="9" t="s">
        <v>178</v>
      </c>
      <c r="B184" s="0">
        <v>88.298047</v>
      </c>
      <c r="E184" s="0">
        <v>87.951983</v>
      </c>
      <c r="G184" s="11">
        <f>E184+'Quarterly YTD'!G184-'Quarterly YTD'!C184</f>
        <v>83.06418</v>
      </c>
      <c r="H184" s="11">
        <f>E184+'Quarterly YTD'!H184-'Quarterly YTD'!D184</f>
        <v>79.957337</v>
      </c>
      <c r="I184" s="0">
        <v>77.48074</v>
      </c>
      <c r="J184" s="11">
        <f>I184+'Quarterly YTD'!J184-'Quarterly YTD'!F184</f>
        <v>74.856623</v>
      </c>
      <c r="K184" s="11">
        <f>I184+'Quarterly YTD'!K184-'Quarterly YTD'!G184</f>
        <v>73.044202</v>
      </c>
      <c r="L184" s="11">
        <f>I184+'Quarterly YTD'!L184-'Quarterly YTD'!H184</f>
        <v>72.478976</v>
      </c>
      <c r="M184" s="0">
        <v>69.958371</v>
      </c>
      <c r="N184" s="11">
        <f>M184+'Quarterly YTD'!N184-'Quarterly YTD'!J184</f>
        <v>69.762786</v>
      </c>
      <c r="O184" s="11">
        <f>M184+'Quarterly YTD'!O184-'Quarterly YTD'!K184</f>
        <v>71.201757</v>
      </c>
    </row>
    <row customHeight="1" ht="15">
      <c r="A185" s="9" t="s">
        <v>179</v>
      </c>
      <c r="B185" s="0">
        <v>39.174387</v>
      </c>
      <c r="E185" s="0">
        <v>83.074342</v>
      </c>
      <c r="G185" s="11">
        <f>E185+'Quarterly YTD'!G185-'Quarterly YTD'!C185</f>
        <v>76.976594</v>
      </c>
      <c r="H185" s="11">
        <f>E185+'Quarterly YTD'!H185-'Quarterly YTD'!D185</f>
        <v>80.018938</v>
      </c>
      <c r="I185" s="0">
        <v>75.836102</v>
      </c>
      <c r="J185" s="11">
        <f>I185+'Quarterly YTD'!J185-'Quarterly YTD'!F185</f>
        <v>79.904846</v>
      </c>
      <c r="K185" s="11">
        <f>I185+'Quarterly YTD'!K185-'Quarterly YTD'!G185</f>
        <v>87.025378</v>
      </c>
      <c r="L185" s="11">
        <f>I185+'Quarterly YTD'!L185-'Quarterly YTD'!H185</f>
        <v>100.049738</v>
      </c>
      <c r="M185" s="0">
        <v>112.891481</v>
      </c>
      <c r="N185" s="11">
        <f>M185+'Quarterly YTD'!N185-'Quarterly YTD'!J185</f>
        <v>128.134754</v>
      </c>
      <c r="O185" s="11">
        <f>M185+'Quarterly YTD'!O185-'Quarterly YTD'!K185</f>
        <v>140.135814</v>
      </c>
    </row>
    <row customHeight="1" ht="15">
      <c r="A186" s="9" t="s">
        <v>180</v>
      </c>
      <c r="B186" s="0">
        <v>0</v>
      </c>
      <c r="E186" s="0">
        <v>0</v>
      </c>
      <c r="G186" s="11">
        <f>E186+'Quarterly YTD'!G186-'Quarterly YTD'!C186</f>
        <v>-0.041509</v>
      </c>
      <c r="H186" s="11">
        <f>E186+'Quarterly YTD'!H186-'Quarterly YTD'!D186</f>
        <v>0</v>
      </c>
      <c r="I186" s="0">
        <v>0</v>
      </c>
      <c r="J186" s="11">
        <f>I186+'Quarterly YTD'!J186-'Quarterly YTD'!F186</f>
        <v>0</v>
      </c>
      <c r="K186" s="11">
        <f>I186+'Quarterly YTD'!K186-'Quarterly YTD'!G186</f>
        <v>0</v>
      </c>
      <c r="L186" s="11">
        <f>I186+'Quarterly YTD'!L186-'Quarterly YTD'!H186</f>
        <v>0</v>
      </c>
      <c r="M186" s="0">
        <v>0</v>
      </c>
      <c r="N186" s="11">
        <f>M186+'Quarterly YTD'!N186-'Quarterly YTD'!J186</f>
        <v>0</v>
      </c>
      <c r="O186" s="11">
        <f>M186+'Quarterly YTD'!O186-'Quarterly YTD'!K186</f>
        <v>0.076394</v>
      </c>
    </row>
    <row customHeight="1" ht="15">
      <c r="A187" s="4" t="s">
        <v>181</v>
      </c>
      <c r="B187" s="7">
        <f t="shared" si="12"/>
        <v>308.108761</v>
      </c>
      <c r="E187" s="7">
        <f t="shared" si="12"/>
        <v>356.197081</v>
      </c>
      <c r="G187" s="7">
        <f t="shared" si="12"/>
        <v>337.87998</v>
      </c>
      <c r="H187" s="7">
        <f t="shared" si="12"/>
        <v>354.763237</v>
      </c>
      <c r="I187" s="7">
        <f t="shared" si="12"/>
        <v>355.993682</v>
      </c>
      <c r="J187" s="7">
        <f t="shared" si="12"/>
        <v>363.687447</v>
      </c>
      <c r="K187" s="7">
        <f t="shared" si="12"/>
        <v>375.201356</v>
      </c>
      <c r="L187" s="7">
        <f t="shared" si="12"/>
        <v>393.90068</v>
      </c>
      <c r="M187" s="7">
        <f t="shared" si="12"/>
        <v>408.648772</v>
      </c>
      <c r="N187" s="7">
        <f t="shared" si="12"/>
        <v>429.491989</v>
      </c>
      <c r="O187" s="7">
        <f t="shared" si="12"/>
        <v>445.671771</v>
      </c>
    </row>
    <row customHeight="1" ht="15">
      <c r="A188" s="9" t="s">
        <v>176</v>
      </c>
      <c r="B188" s="0">
        <v>31.279321</v>
      </c>
      <c r="E188" s="0">
        <v>22.263972</v>
      </c>
      <c r="G188" s="11">
        <f>E188+'Quarterly YTD'!G188-'Quarterly YTD'!C188</f>
        <v>24.556558</v>
      </c>
      <c r="H188" s="11">
        <f>E188+'Quarterly YTD'!H188-'Quarterly YTD'!D188</f>
        <v>22.73856</v>
      </c>
      <c r="I188" s="0">
        <v>25.767847</v>
      </c>
      <c r="J188" s="11">
        <f>I188+'Quarterly YTD'!J188-'Quarterly YTD'!F188</f>
        <v>27.227749</v>
      </c>
      <c r="K188" s="11">
        <f>I188+'Quarterly YTD'!K188-'Quarterly YTD'!G188</f>
        <v>29.683077</v>
      </c>
      <c r="L188" s="11">
        <f>I188+'Quarterly YTD'!L188-'Quarterly YTD'!H188</f>
        <v>39.192635</v>
      </c>
      <c r="M188" s="0">
        <v>43.01146</v>
      </c>
      <c r="N188" s="11">
        <f>M188+'Quarterly YTD'!N188-'Quarterly YTD'!J188</f>
        <v>43.114221</v>
      </c>
      <c r="O188" s="11">
        <f>M188+'Quarterly YTD'!O188-'Quarterly YTD'!K188</f>
        <v>44.164154</v>
      </c>
    </row>
    <row customHeight="1" ht="15">
      <c r="A189" s="9" t="s">
        <v>177</v>
      </c>
      <c r="B189" s="0">
        <v>25.506025</v>
      </c>
      <c r="E189" s="0">
        <v>35.844187</v>
      </c>
      <c r="G189" s="11">
        <f>E189+'Quarterly YTD'!G189-'Quarterly YTD'!C189</f>
        <v>33.009289</v>
      </c>
      <c r="H189" s="11">
        <f>E189+'Quarterly YTD'!H189-'Quarterly YTD'!D189</f>
        <v>37.545159</v>
      </c>
      <c r="I189" s="0">
        <v>36.87485</v>
      </c>
      <c r="J189" s="11">
        <f>I189+'Quarterly YTD'!J189-'Quarterly YTD'!F189</f>
        <v>40.131765</v>
      </c>
      <c r="K189" s="11">
        <f>I189+'Quarterly YTD'!K189-'Quarterly YTD'!G189</f>
        <v>43.438713</v>
      </c>
      <c r="L189" s="11">
        <f>I189+'Quarterly YTD'!L189-'Quarterly YTD'!H189</f>
        <v>47.069806</v>
      </c>
      <c r="M189" s="0">
        <v>51.119945</v>
      </c>
      <c r="N189" s="11">
        <f>M189+'Quarterly YTD'!N189-'Quarterly YTD'!J189</f>
        <v>53.23703</v>
      </c>
      <c r="O189" s="11">
        <f>M189+'Quarterly YTD'!O189-'Quarterly YTD'!K189</f>
        <v>55.210797</v>
      </c>
    </row>
    <row customHeight="1" ht="15">
      <c r="A190" s="9" t="s">
        <v>178</v>
      </c>
      <c r="B190" s="0">
        <v>53.465117</v>
      </c>
      <c r="E190" s="0">
        <v>56.703016</v>
      </c>
      <c r="G190" s="11">
        <f>E190+'Quarterly YTD'!G190-'Quarterly YTD'!C190</f>
        <v>53.53397</v>
      </c>
      <c r="H190" s="11">
        <f>E190+'Quarterly YTD'!H190-'Quarterly YTD'!D190</f>
        <v>49.696374</v>
      </c>
      <c r="I190" s="0">
        <v>43.043145</v>
      </c>
      <c r="J190" s="11">
        <f>I190+'Quarterly YTD'!J190-'Quarterly YTD'!F190</f>
        <v>39.80733</v>
      </c>
      <c r="K190" s="11">
        <f>I190+'Quarterly YTD'!K190-'Quarterly YTD'!G190</f>
        <v>36.813264</v>
      </c>
      <c r="L190" s="11">
        <f>I190+'Quarterly YTD'!L190-'Quarterly YTD'!H190</f>
        <v>37.513891</v>
      </c>
      <c r="M190" s="0">
        <v>35.655524</v>
      </c>
      <c r="N190" s="11">
        <f>M190+'Quarterly YTD'!N190-'Quarterly YTD'!J190</f>
        <v>34.418043</v>
      </c>
      <c r="O190" s="11">
        <f>M190+'Quarterly YTD'!O190-'Quarterly YTD'!K190</f>
        <v>35.924656</v>
      </c>
    </row>
    <row customHeight="1" ht="15">
      <c r="A191" s="9" t="s">
        <v>179</v>
      </c>
      <c r="B191" s="0">
        <v>-19.220695</v>
      </c>
      <c r="E191" s="0">
        <v>3.46258</v>
      </c>
      <c r="G191" s="11">
        <f>E191+'Quarterly YTD'!G191-'Quarterly YTD'!C191</f>
        <v>1.280254</v>
      </c>
      <c r="H191" s="11">
        <f>E191+'Quarterly YTD'!H191-'Quarterly YTD'!D191</f>
        <v>0.860539</v>
      </c>
      <c r="I191" s="0">
        <v>2.814099</v>
      </c>
      <c r="J191" s="11">
        <f>I191+'Quarterly YTD'!J191-'Quarterly YTD'!F191</f>
        <v>4.936645</v>
      </c>
      <c r="K191" s="11">
        <f>I191+'Quarterly YTD'!K191-'Quarterly YTD'!G191</f>
        <v>12.283415</v>
      </c>
      <c r="L191" s="11">
        <f>I191+'Quarterly YTD'!L191-'Quarterly YTD'!H191</f>
        <v>26.013611</v>
      </c>
      <c r="M191" s="0">
        <v>38.367739</v>
      </c>
      <c r="N191" s="11">
        <f>M191+'Quarterly YTD'!N191-'Quarterly YTD'!J191</f>
        <v>49.820119</v>
      </c>
      <c r="O191" s="11">
        <f>M191+'Quarterly YTD'!O191-'Quarterly YTD'!K191</f>
        <v>59.128915</v>
      </c>
    </row>
    <row customHeight="1" ht="15">
      <c r="A192" s="9" t="s">
        <v>180</v>
      </c>
      <c r="B192" s="0">
        <v>-20.421724</v>
      </c>
      <c r="E192" s="0">
        <v>-3.937791</v>
      </c>
      <c r="G192" s="11">
        <f>E192+'Quarterly YTD'!G192-'Quarterly YTD'!C192</f>
        <v>-4.208431</v>
      </c>
      <c r="H192" s="11">
        <f>E192+'Quarterly YTD'!H192-'Quarterly YTD'!D192</f>
        <v>-8.473335</v>
      </c>
      <c r="I192" s="0">
        <v>-28.990228</v>
      </c>
      <c r="J192" s="11">
        <f>I192+'Quarterly YTD'!J192-'Quarterly YTD'!F192</f>
        <v>-29.846194</v>
      </c>
      <c r="K192" s="11">
        <f>I192+'Quarterly YTD'!K192-'Quarterly YTD'!G192</f>
        <v>-32.317082</v>
      </c>
      <c r="L192" s="11">
        <f>I192+'Quarterly YTD'!L192-'Quarterly YTD'!H192</f>
        <v>-30.388405</v>
      </c>
      <c r="M192" s="0">
        <v>-29.524728</v>
      </c>
      <c r="N192" s="11">
        <f>M192+'Quarterly YTD'!N192-'Quarterly YTD'!J192</f>
        <v>-32.654041</v>
      </c>
      <c r="O192" s="11">
        <f>M192+'Quarterly YTD'!O192-'Quarterly YTD'!K192</f>
        <v>-35.384221</v>
      </c>
    </row>
    <row customHeight="1" ht="15">
      <c r="A193" s="4" t="s">
        <v>182</v>
      </c>
      <c r="B193" s="7">
        <f t="shared" si="12"/>
        <v>70.608044</v>
      </c>
      <c r="E193" s="7">
        <f t="shared" si="12"/>
        <v>114.335964</v>
      </c>
      <c r="G193" s="7">
        <f t="shared" si="12"/>
        <v>108.17164</v>
      </c>
      <c r="H193" s="7">
        <f t="shared" si="12"/>
        <v>102.367297</v>
      </c>
      <c r="I193" s="7">
        <f t="shared" si="12"/>
        <v>79.509713</v>
      </c>
      <c r="J193" s="7">
        <f t="shared" si="12"/>
        <v>82.257295</v>
      </c>
      <c r="K193" s="7">
        <f t="shared" si="12"/>
        <v>89.901387</v>
      </c>
      <c r="L193" s="7">
        <f t="shared" si="12"/>
        <v>119.401538</v>
      </c>
      <c r="M193" s="7">
        <f t="shared" si="12"/>
        <v>138.62994</v>
      </c>
      <c r="N193" s="7">
        <f t="shared" si="12"/>
        <v>147.935372</v>
      </c>
      <c r="O193" s="7">
        <f t="shared" si="12"/>
        <v>159.044301</v>
      </c>
    </row>
    <row customHeight="1" ht="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customHeight="1" ht="15">
      <c r="A195" s="2" t="s">
        <v>183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customHeight="1" ht="15">
      <c r="A196" s="9" t="s">
        <v>184</v>
      </c>
      <c r="B196" s="0">
        <v>511.239</v>
      </c>
      <c r="E196" s="0">
        <v>833.577</v>
      </c>
      <c r="G196" s="11">
        <f>E196+'Quarterly YTD'!G196-'Quarterly YTD'!C196</f>
        <v>1003.997</v>
      </c>
      <c r="H196" s="11">
        <f>E196+'Quarterly YTD'!H196-'Quarterly YTD'!D196</f>
        <v>1071.278</v>
      </c>
      <c r="I196" s="0">
        <v>966.369</v>
      </c>
      <c r="J196" s="11">
        <f>I196+'Quarterly YTD'!J196-'Quarterly YTD'!F196</f>
        <v>1013.712</v>
      </c>
      <c r="K196" s="11">
        <f>I196+'Quarterly YTD'!K196-'Quarterly YTD'!G196</f>
        <v>1117.927</v>
      </c>
      <c r="L196" s="11">
        <f>I196+'Quarterly YTD'!L196-'Quarterly YTD'!H196</f>
        <v>1259.655</v>
      </c>
      <c r="M196" s="0">
        <v>1425.603</v>
      </c>
      <c r="N196" s="11">
        <f>M196+'Quarterly YTD'!N196-'Quarterly YTD'!J196</f>
        <v>1581.014</v>
      </c>
      <c r="O196" s="11">
        <f>M196+'Quarterly YTD'!O196-'Quarterly YTD'!K196</f>
        <v>1662.922</v>
      </c>
    </row>
    <row customHeight="1" ht="15">
      <c r="A197" s="9" t="s">
        <v>185</v>
      </c>
      <c r="B197" s="0">
        <v>334.977</v>
      </c>
      <c r="E197" s="0">
        <v>347.305</v>
      </c>
      <c r="G197" s="11">
        <f>E197+'Quarterly YTD'!G197-'Quarterly YTD'!C197</f>
        <v>327.811</v>
      </c>
      <c r="H197" s="11">
        <f>E197+'Quarterly YTD'!H197-'Quarterly YTD'!D197</f>
        <v>359.13</v>
      </c>
      <c r="I197" s="0">
        <v>373.537</v>
      </c>
      <c r="J197" s="11">
        <f>I197+'Quarterly YTD'!J197-'Quarterly YTD'!F197</f>
        <v>382.857</v>
      </c>
      <c r="K197" s="11">
        <f>I197+'Quarterly YTD'!K197-'Quarterly YTD'!G197</f>
        <v>387.854</v>
      </c>
      <c r="L197" s="11">
        <f>I197+'Quarterly YTD'!L197-'Quarterly YTD'!H197</f>
        <v>391.991</v>
      </c>
      <c r="M197" s="0">
        <v>944.463</v>
      </c>
      <c r="N197" s="11">
        <f>M197+'Quarterly YTD'!N197-'Quarterly YTD'!J197</f>
        <v>1102.261</v>
      </c>
      <c r="O197" s="11">
        <f>M197+'Quarterly YTD'!O197-'Quarterly YTD'!K197</f>
        <v>1252.879</v>
      </c>
    </row>
    <row customHeight="1" ht="15">
      <c r="A198" s="9" t="s">
        <v>186</v>
      </c>
      <c r="B198" s="0">
        <v>169.902</v>
      </c>
      <c r="E198" s="0">
        <v>252.857</v>
      </c>
      <c r="G198" s="11">
        <f>E198+'Quarterly YTD'!G198-'Quarterly YTD'!C198</f>
        <v>246.418</v>
      </c>
      <c r="H198" s="11">
        <f>E198+'Quarterly YTD'!H198-'Quarterly YTD'!D198</f>
        <v>274.422</v>
      </c>
      <c r="I198" s="0">
        <v>325.84</v>
      </c>
      <c r="J198" s="11">
        <f>I198+'Quarterly YTD'!J198-'Quarterly YTD'!F198</f>
        <v>361.65</v>
      </c>
      <c r="K198" s="11">
        <f>I198+'Quarterly YTD'!K198-'Quarterly YTD'!G198</f>
        <v>332.228</v>
      </c>
      <c r="L198" s="11">
        <f>I198+'Quarterly YTD'!L198-'Quarterly YTD'!H198</f>
        <v>387.659</v>
      </c>
      <c r="M198" s="0">
        <v>384.664</v>
      </c>
      <c r="N198" s="11">
        <f>M198+'Quarterly YTD'!N198-'Quarterly YTD'!J198</f>
        <v>395.642</v>
      </c>
      <c r="O198" s="11">
        <f>M198+'Quarterly YTD'!O198-'Quarterly YTD'!K198</f>
        <v>441.908</v>
      </c>
    </row>
    <row customHeight="1" ht="15">
      <c r="A199" s="9" t="s">
        <v>187</v>
      </c>
      <c r="B199" s="0">
        <v>111.505</v>
      </c>
      <c r="E199" s="0">
        <v>80.179</v>
      </c>
      <c r="G199" s="11">
        <f>E199+'Quarterly YTD'!G199-'Quarterly YTD'!C199</f>
        <v>52.707</v>
      </c>
      <c r="H199" s="11">
        <f>E199+'Quarterly YTD'!H199-'Quarterly YTD'!D199</f>
        <v>41.326</v>
      </c>
      <c r="I199" s="0">
        <v>38.309</v>
      </c>
      <c r="J199" s="11">
        <f>I199+'Quarterly YTD'!J199-'Quarterly YTD'!F199</f>
        <v>35.152</v>
      </c>
      <c r="K199" s="11">
        <f>I199+'Quarterly YTD'!K199-'Quarterly YTD'!G199</f>
        <v>30.384</v>
      </c>
      <c r="L199" s="11">
        <f>I199+'Quarterly YTD'!L199-'Quarterly YTD'!H199</f>
        <v>50.844</v>
      </c>
      <c r="M199" s="0">
        <v>51.239</v>
      </c>
      <c r="N199" s="11">
        <f>M199+'Quarterly YTD'!N199-'Quarterly YTD'!J199</f>
        <v>51.229</v>
      </c>
      <c r="O199" s="11">
        <f>M199+'Quarterly YTD'!O199-'Quarterly YTD'!K199</f>
        <v>52.586</v>
      </c>
    </row>
    <row customHeight="1" ht="15">
      <c r="A200" s="9" t="s">
        <v>188</v>
      </c>
      <c r="B200" s="0">
        <v>34.51</v>
      </c>
      <c r="E200" s="0">
        <v>33.103</v>
      </c>
      <c r="G200" s="11">
        <f>E200+'Quarterly YTD'!G200-'Quarterly YTD'!C200</f>
        <v>32.215</v>
      </c>
      <c r="H200" s="11">
        <f>E200+'Quarterly YTD'!H200-'Quarterly YTD'!D200</f>
        <v>31.19</v>
      </c>
      <c r="I200" s="0">
        <v>31.197</v>
      </c>
      <c r="J200" s="11">
        <f>I200+'Quarterly YTD'!J200-'Quarterly YTD'!F200</f>
        <v>32.069</v>
      </c>
      <c r="K200" s="11">
        <f>I200+'Quarterly YTD'!K200-'Quarterly YTD'!G200</f>
        <v>32.68</v>
      </c>
      <c r="L200" s="11">
        <f>I200+'Quarterly YTD'!L200-'Quarterly YTD'!H200</f>
        <v>33.589</v>
      </c>
      <c r="M200" s="0">
        <v>34.298</v>
      </c>
      <c r="N200" s="11">
        <f>M200+'Quarterly YTD'!N200-'Quarterly YTD'!J200</f>
        <v>34.714</v>
      </c>
      <c r="O200" s="11">
        <f>M200+'Quarterly YTD'!O200-'Quarterly YTD'!K200</f>
        <v>35.634</v>
      </c>
    </row>
    <row customHeight="1" ht="15">
      <c r="A201" s="9" t="s">
        <v>189</v>
      </c>
      <c r="B201" s="0">
        <v>1162.133</v>
      </c>
      <c r="E201" s="0">
        <v>1547.021</v>
      </c>
      <c r="G201" s="11">
        <f>E201+'Quarterly YTD'!G201-'Quarterly YTD'!C201</f>
        <v>1663.148</v>
      </c>
      <c r="H201" s="11">
        <f>E201+'Quarterly YTD'!H201-'Quarterly YTD'!D201</f>
        <v>1777.346</v>
      </c>
      <c r="I201" s="0">
        <v>1735.252</v>
      </c>
      <c r="J201" s="11">
        <f>I201+'Quarterly YTD'!J201-'Quarterly YTD'!F201</f>
        <v>1825.44</v>
      </c>
      <c r="K201" s="11">
        <f>I201+'Quarterly YTD'!K201-'Quarterly YTD'!G201</f>
        <v>1901.073</v>
      </c>
      <c r="L201" s="11">
        <f>I201+'Quarterly YTD'!L201-'Quarterly YTD'!H201</f>
        <v>2123.738</v>
      </c>
      <c r="M201" s="0">
        <v>2840.267</v>
      </c>
      <c r="N201" s="11">
        <f>M201+'Quarterly YTD'!N201-'Quarterly YTD'!J201</f>
        <v>3164.86</v>
      </c>
      <c r="O201" s="11">
        <f>M201+'Quarterly YTD'!O201-'Quarterly YTD'!K201</f>
        <v>3445.929</v>
      </c>
    </row>
    <row customHeight="1" ht="15">
      <c r="A202" s="9" t="s">
        <v>190</v>
      </c>
      <c r="B202" s="0">
        <v>114151.944</v>
      </c>
      <c r="E202" s="0">
        <v>159899.404</v>
      </c>
      <c r="G202" s="11">
        <f>E202+'Quarterly YTD'!G202-'Quarterly YTD'!C202</f>
        <v>161387.198</v>
      </c>
      <c r="H202" s="11">
        <f>E202+'Quarterly YTD'!H202-'Quarterly YTD'!D202</f>
        <v>172918.633</v>
      </c>
      <c r="I202" s="0">
        <v>179559.898</v>
      </c>
      <c r="J202" s="11">
        <f>I202+'Quarterly YTD'!J202-'Quarterly YTD'!F202</f>
        <v>189888.557</v>
      </c>
      <c r="K202" s="11">
        <f>I202+'Quarterly YTD'!K202-'Quarterly YTD'!G202</f>
        <v>202697.059</v>
      </c>
      <c r="L202" s="11">
        <f>I202+'Quarterly YTD'!L202-'Quarterly YTD'!H202</f>
        <v>219636.614</v>
      </c>
      <c r="M202" s="0">
        <v>233173.859</v>
      </c>
      <c r="N202" s="11">
        <f>M202+'Quarterly YTD'!N202-'Quarterly YTD'!J202</f>
        <v>250987.682</v>
      </c>
      <c r="O202" s="11">
        <f>M202+'Quarterly YTD'!O202-'Quarterly YTD'!K202</f>
        <v>267779.211</v>
      </c>
    </row>
    <row customHeight="1" ht="15">
      <c r="A203" s="9" t="s">
        <v>191</v>
      </c>
      <c r="B203" s="0">
        <v>143845.273</v>
      </c>
      <c r="E203" s="0">
        <v>150352.408</v>
      </c>
      <c r="G203" s="11">
        <f>E203+'Quarterly YTD'!G203-'Quarterly YTD'!C203</f>
        <v>133730.94</v>
      </c>
      <c r="H203" s="11">
        <f>E203+'Quarterly YTD'!H203-'Quarterly YTD'!D203</f>
        <v>136718.534</v>
      </c>
      <c r="I203" s="0">
        <v>130207.892</v>
      </c>
      <c r="J203" s="11">
        <f>I203+'Quarterly YTD'!J203-'Quarterly YTD'!F203</f>
        <v>127576.617</v>
      </c>
      <c r="K203" s="11">
        <f>I203+'Quarterly YTD'!K203-'Quarterly YTD'!G203</f>
        <v>126856.254</v>
      </c>
      <c r="L203" s="11">
        <f>I203+'Quarterly YTD'!L203-'Quarterly YTD'!H203</f>
        <v>128748.619</v>
      </c>
      <c r="M203" s="0">
        <v>129327.85</v>
      </c>
      <c r="N203" s="11">
        <f>M203+'Quarterly YTD'!N203-'Quarterly YTD'!J203</f>
        <v>133228.307</v>
      </c>
      <c r="O203" s="11">
        <f>M203+'Quarterly YTD'!O203-'Quarterly YTD'!K203</f>
        <v>133465.455</v>
      </c>
    </row>
    <row customHeight="1" ht="15">
      <c r="A204" s="9" t="s">
        <v>192</v>
      </c>
      <c r="B204" s="0">
        <v>3763.982</v>
      </c>
      <c r="E204" s="0">
        <v>2613.056</v>
      </c>
      <c r="G204" s="11">
        <f>E204+'Quarterly YTD'!G204-'Quarterly YTD'!C204</f>
        <v>2369.208</v>
      </c>
      <c r="H204" s="11">
        <f>E204+'Quarterly YTD'!H204-'Quarterly YTD'!D204</f>
        <v>2394.888</v>
      </c>
      <c r="I204" s="0">
        <v>2192.05</v>
      </c>
      <c r="J204" s="11">
        <f>I204+'Quarterly YTD'!J204-'Quarterly YTD'!F204</f>
        <v>2152.978</v>
      </c>
      <c r="K204" s="11">
        <f>I204+'Quarterly YTD'!K204-'Quarterly YTD'!G204</f>
        <v>2181.484</v>
      </c>
      <c r="L204" s="11">
        <f>I204+'Quarterly YTD'!L204-'Quarterly YTD'!H204</f>
        <v>2383.082</v>
      </c>
      <c r="M204" s="0">
        <v>2487.409</v>
      </c>
      <c r="N204" s="11">
        <f>M204+'Quarterly YTD'!N204-'Quarterly YTD'!J204</f>
        <v>2656.404</v>
      </c>
      <c r="O204" s="11">
        <f>M204+'Quarterly YTD'!O204-'Quarterly YTD'!K204</f>
        <v>2775.76</v>
      </c>
    </row>
    <row customHeight="1" ht="15">
      <c r="A205" s="9" t="s">
        <v>193</v>
      </c>
      <c r="B205" s="0">
        <v>10930.857</v>
      </c>
      <c r="E205" s="0">
        <v>9520.155</v>
      </c>
      <c r="G205" s="11">
        <f>E205+'Quarterly YTD'!G205-'Quarterly YTD'!C205</f>
        <v>8505.979</v>
      </c>
      <c r="H205" s="11">
        <f>E205+'Quarterly YTD'!H205-'Quarterly YTD'!D205</f>
        <v>9315.244</v>
      </c>
      <c r="I205" s="0">
        <v>10309.611</v>
      </c>
      <c r="J205" s="11">
        <f>I205+'Quarterly YTD'!J205-'Quarterly YTD'!F205</f>
        <v>11250.441</v>
      </c>
      <c r="K205" s="11">
        <f>I205+'Quarterly YTD'!K205-'Quarterly YTD'!G205</f>
        <v>12000.664</v>
      </c>
      <c r="L205" s="11">
        <f>I205+'Quarterly YTD'!L205-'Quarterly YTD'!H205</f>
        <v>11825.688</v>
      </c>
      <c r="M205" s="0">
        <v>11492.48</v>
      </c>
      <c r="N205" s="11">
        <f>M205+'Quarterly YTD'!N205-'Quarterly YTD'!J205</f>
        <v>11207.516</v>
      </c>
      <c r="O205" s="11">
        <f>M205+'Quarterly YTD'!O205-'Quarterly YTD'!K205</f>
        <v>11197.722</v>
      </c>
    </row>
    <row customHeight="1" ht="15">
      <c r="A206" s="9" t="s">
        <v>194</v>
      </c>
      <c r="B206" s="0">
        <v>91.514</v>
      </c>
      <c r="E206" s="0">
        <v>79.839</v>
      </c>
      <c r="G206" s="11">
        <f>E206+'Quarterly YTD'!G206-'Quarterly YTD'!C206</f>
        <v>76.205</v>
      </c>
      <c r="H206" s="11">
        <f>E206+'Quarterly YTD'!H206-'Quarterly YTD'!D206</f>
        <v>78.797</v>
      </c>
      <c r="I206" s="0">
        <v>78.336</v>
      </c>
      <c r="J206" s="11">
        <f>I206+'Quarterly YTD'!J206-'Quarterly YTD'!F206</f>
        <v>79.19</v>
      </c>
      <c r="K206" s="11">
        <f>I206+'Quarterly YTD'!K206-'Quarterly YTD'!G206</f>
        <v>77.622</v>
      </c>
      <c r="L206" s="11">
        <f>I206+'Quarterly YTD'!L206-'Quarterly YTD'!H206</f>
        <v>74.811</v>
      </c>
      <c r="M206" s="0">
        <v>75.105</v>
      </c>
      <c r="N206" s="11">
        <f>M206+'Quarterly YTD'!N206-'Quarterly YTD'!J206</f>
        <v>75.459</v>
      </c>
      <c r="O206" s="11">
        <f>M206+'Quarterly YTD'!O206-'Quarterly YTD'!K206</f>
        <v>72.406</v>
      </c>
    </row>
    <row customHeight="1" ht="15">
      <c r="A207" s="9" t="s">
        <v>195</v>
      </c>
      <c r="B207" s="0">
        <v>272783.57</v>
      </c>
      <c r="E207" s="0">
        <v>322464.862</v>
      </c>
      <c r="G207" s="11">
        <f>E207+'Quarterly YTD'!G207-'Quarterly YTD'!C207</f>
        <v>306069.53</v>
      </c>
      <c r="H207" s="11">
        <f>E207+'Quarterly YTD'!H207-'Quarterly YTD'!D207</f>
        <v>321426.096</v>
      </c>
      <c r="I207" s="0">
        <v>322347.787</v>
      </c>
      <c r="J207" s="11">
        <f>I207+'Quarterly YTD'!J207-'Quarterly YTD'!F207</f>
        <v>330947.783</v>
      </c>
      <c r="K207" s="11">
        <f>I207+'Quarterly YTD'!K207-'Quarterly YTD'!G207</f>
        <v>343813.083</v>
      </c>
      <c r="L207" s="11">
        <f>I207+'Quarterly YTD'!L207-'Quarterly YTD'!H207</f>
        <v>362668.814</v>
      </c>
      <c r="M207" s="0">
        <v>376556.703</v>
      </c>
      <c r="N207" s="11">
        <f>M207+'Quarterly YTD'!N207-'Quarterly YTD'!J207</f>
        <v>398155.368</v>
      </c>
      <c r="O207" s="11">
        <f>M207+'Quarterly YTD'!O207-'Quarterly YTD'!K207</f>
        <v>415290.554</v>
      </c>
    </row>
    <row customHeight="1" ht="15">
      <c r="A208" s="9" t="s">
        <v>196</v>
      </c>
      <c r="B208" s="0">
        <v>23009.799</v>
      </c>
      <c r="E208" s="0">
        <v>21416.649</v>
      </c>
      <c r="G208" s="11">
        <f>E208+'Quarterly YTD'!G208-'Quarterly YTD'!C208</f>
        <v>17027.061</v>
      </c>
      <c r="H208" s="11">
        <f>E208+'Quarterly YTD'!H208-'Quarterly YTD'!D208</f>
        <v>17114.972</v>
      </c>
      <c r="I208" s="0">
        <v>17016.435</v>
      </c>
      <c r="J208" s="11">
        <f>I208+'Quarterly YTD'!J208-'Quarterly YTD'!F208</f>
        <v>16175.486</v>
      </c>
      <c r="K208" s="11">
        <f>I208+'Quarterly YTD'!K208-'Quarterly YTD'!G208</f>
        <v>14767.762</v>
      </c>
      <c r="L208" s="11">
        <f>I208+'Quarterly YTD'!L208-'Quarterly YTD'!H208</f>
        <v>13504.365</v>
      </c>
      <c r="M208" s="0">
        <v>12033.526</v>
      </c>
      <c r="N208" s="11">
        <f>M208+'Quarterly YTD'!N208-'Quarterly YTD'!J208</f>
        <v>10849.161</v>
      </c>
      <c r="O208" s="11">
        <f>M208+'Quarterly YTD'!O208-'Quarterly YTD'!K208</f>
        <v>10093.105</v>
      </c>
    </row>
    <row customHeight="1" ht="15">
      <c r="A209" s="9" t="s">
        <v>197</v>
      </c>
      <c r="B209" s="0">
        <v>3984.193</v>
      </c>
      <c r="E209" s="0">
        <v>4275.814</v>
      </c>
      <c r="G209" s="11">
        <f>E209+'Quarterly YTD'!G209-'Quarterly YTD'!C209</f>
        <v>4215.888</v>
      </c>
      <c r="H209" s="11">
        <f>E209+'Quarterly YTD'!H209-'Quarterly YTD'!D209</f>
        <v>4495.393</v>
      </c>
      <c r="I209" s="0">
        <v>4856.813</v>
      </c>
      <c r="J209" s="11">
        <f>I209+'Quarterly YTD'!J209-'Quarterly YTD'!F209</f>
        <v>5025.825</v>
      </c>
      <c r="K209" s="11">
        <f>I209+'Quarterly YTD'!K209-'Quarterly YTD'!G209</f>
        <v>5200.137</v>
      </c>
      <c r="L209" s="11">
        <f>I209+'Quarterly YTD'!L209-'Quarterly YTD'!H209</f>
        <v>5510.863</v>
      </c>
      <c r="M209" s="0">
        <v>5652.77</v>
      </c>
      <c r="N209" s="11">
        <f>M209+'Quarterly YTD'!N209-'Quarterly YTD'!J209</f>
        <v>5970.363</v>
      </c>
      <c r="O209" s="11">
        <f>M209+'Quarterly YTD'!O209-'Quarterly YTD'!K209</f>
        <v>5952.323</v>
      </c>
    </row>
    <row customHeight="1" ht="15">
      <c r="A210" s="9" t="s">
        <v>198</v>
      </c>
      <c r="B210" s="0">
        <v>2351.565</v>
      </c>
      <c r="E210" s="0">
        <v>2922.069</v>
      </c>
      <c r="G210" s="11">
        <f>E210+'Quarterly YTD'!G210-'Quarterly YTD'!C210</f>
        <v>3487.349</v>
      </c>
      <c r="H210" s="11">
        <f>E210+'Quarterly YTD'!H210-'Quarterly YTD'!D210</f>
        <v>3797.426</v>
      </c>
      <c r="I210" s="0">
        <v>3559.522</v>
      </c>
      <c r="J210" s="11">
        <f>I210+'Quarterly YTD'!J210-'Quarterly YTD'!F210</f>
        <v>3492.241</v>
      </c>
      <c r="K210" s="11">
        <f>I210+'Quarterly YTD'!K210-'Quarterly YTD'!G210</f>
        <v>3704.853</v>
      </c>
      <c r="L210" s="11">
        <f>I210+'Quarterly YTD'!L210-'Quarterly YTD'!H210</f>
        <v>4185.157</v>
      </c>
      <c r="M210" s="0">
        <v>4366.628</v>
      </c>
      <c r="N210" s="11">
        <f>M210+'Quarterly YTD'!N210-'Quarterly YTD'!J210</f>
        <v>4339.669</v>
      </c>
      <c r="O210" s="11">
        <f>M210+'Quarterly YTD'!O210-'Quarterly YTD'!K210</f>
        <v>4484.41</v>
      </c>
    </row>
    <row customHeight="1" ht="15">
      <c r="A211" s="9" t="s">
        <v>199</v>
      </c>
      <c r="B211" s="0">
        <v>2965.761</v>
      </c>
      <c r="E211" s="0">
        <v>1768.483</v>
      </c>
      <c r="G211" s="11">
        <f>E211+'Quarterly YTD'!G211-'Quarterly YTD'!C211</f>
        <v>3355.176</v>
      </c>
      <c r="H211" s="11">
        <f>E211+'Quarterly YTD'!H211-'Quarterly YTD'!D211</f>
        <v>3778.779</v>
      </c>
      <c r="I211" s="0">
        <v>3583.159</v>
      </c>
      <c r="J211" s="11">
        <f>I211+'Quarterly YTD'!J211-'Quarterly YTD'!F211</f>
        <v>2977.381</v>
      </c>
      <c r="K211" s="11">
        <f>I211+'Quarterly YTD'!K211-'Quarterly YTD'!G211</f>
        <v>2133.03</v>
      </c>
      <c r="L211" s="11">
        <f>I211+'Quarterly YTD'!L211-'Quarterly YTD'!H211</f>
        <v>1729.077</v>
      </c>
      <c r="M211" s="0">
        <v>1536.299</v>
      </c>
      <c r="N211" s="11">
        <f>M211+'Quarterly YTD'!N211-'Quarterly YTD'!J211</f>
        <v>1673.652</v>
      </c>
      <c r="O211" s="11">
        <f>M211+'Quarterly YTD'!O211-'Quarterly YTD'!K211</f>
        <v>1495.229</v>
      </c>
    </row>
    <row customHeight="1" ht="15">
      <c r="A212" s="9" t="s">
        <v>200</v>
      </c>
      <c r="B212" s="0">
        <v>372.629</v>
      </c>
      <c r="E212" s="0">
        <v>242.617</v>
      </c>
      <c r="G212" s="11">
        <f>E212+'Quarterly YTD'!G212-'Quarterly YTD'!C212</f>
        <v>189.767</v>
      </c>
      <c r="H212" s="11">
        <f>E212+'Quarterly YTD'!H212-'Quarterly YTD'!D212</f>
        <v>202.429</v>
      </c>
      <c r="I212" s="0">
        <v>176.406</v>
      </c>
      <c r="J212" s="11">
        <f>I212+'Quarterly YTD'!J212-'Quarterly YTD'!F212</f>
        <v>151.221</v>
      </c>
      <c r="K212" s="11">
        <f>I212+'Quarterly YTD'!K212-'Quarterly YTD'!G212</f>
        <v>122.713</v>
      </c>
      <c r="L212" s="11">
        <f>I212+'Quarterly YTD'!L212-'Quarterly YTD'!H212</f>
        <v>96.922</v>
      </c>
      <c r="M212" s="0">
        <v>104.313</v>
      </c>
      <c r="N212" s="11">
        <f>M212+'Quarterly YTD'!N212-'Quarterly YTD'!J212</f>
        <v>105.933</v>
      </c>
      <c r="O212" s="11">
        <f>M212+'Quarterly YTD'!O212-'Quarterly YTD'!K212</f>
        <v>107.999</v>
      </c>
    </row>
    <row customHeight="1" ht="15">
      <c r="A213" s="9" t="s">
        <v>201</v>
      </c>
      <c r="B213" s="0">
        <v>1479.111</v>
      </c>
      <c r="E213" s="0">
        <v>1559.566</v>
      </c>
      <c r="G213" s="11">
        <f>E213+'Quarterly YTD'!G213-'Quarterly YTD'!C213</f>
        <v>1872.061</v>
      </c>
      <c r="H213" s="11">
        <f>E213+'Quarterly YTD'!H213-'Quarterly YTD'!D213</f>
        <v>2170.796</v>
      </c>
      <c r="I213" s="0">
        <v>2718.308</v>
      </c>
      <c r="J213" s="11">
        <f>I213+'Quarterly YTD'!J213-'Quarterly YTD'!F213</f>
        <v>3092.07</v>
      </c>
      <c r="K213" s="11">
        <f>I213+'Quarterly YTD'!K213-'Quarterly YTD'!G213</f>
        <v>3558.705</v>
      </c>
      <c r="L213" s="11">
        <f>I213+'Quarterly YTD'!L213-'Quarterly YTD'!H213</f>
        <v>4081.744</v>
      </c>
      <c r="M213" s="0">
        <v>5558.266</v>
      </c>
      <c r="N213" s="11">
        <f>M213+'Quarterly YTD'!N213-'Quarterly YTD'!J213</f>
        <v>5232.983</v>
      </c>
      <c r="O213" s="11">
        <f>M213+'Quarterly YTD'!O213-'Quarterly YTD'!K213</f>
        <v>4802.222</v>
      </c>
    </row>
    <row customHeight="1" ht="15">
      <c r="A214" s="9" t="s">
        <v>202</v>
      </c>
      <c r="B214" s="0">
        <v>34163.058</v>
      </c>
      <c r="E214" s="0">
        <v>32185.198</v>
      </c>
      <c r="G214" s="11">
        <f>E214+'Quarterly YTD'!G214-'Quarterly YTD'!C214</f>
        <v>30147.302</v>
      </c>
      <c r="H214" s="11">
        <f>E214+'Quarterly YTD'!H214-'Quarterly YTD'!D214</f>
        <v>31559.795</v>
      </c>
      <c r="I214" s="0">
        <v>31910.643</v>
      </c>
      <c r="J214" s="11">
        <f>I214+'Quarterly YTD'!J214-'Quarterly YTD'!F214</f>
        <v>30914.224</v>
      </c>
      <c r="K214" s="11">
        <f>I214+'Quarterly YTD'!K214-'Quarterly YTD'!G214</f>
        <v>29487.2</v>
      </c>
      <c r="L214" s="11">
        <f>I214+'Quarterly YTD'!L214-'Quarterly YTD'!H214</f>
        <v>29108.128</v>
      </c>
      <c r="M214" s="0">
        <v>29251.802</v>
      </c>
      <c r="N214" s="11">
        <f>M214+'Quarterly YTD'!N214-'Quarterly YTD'!J214</f>
        <v>28171.761</v>
      </c>
      <c r="O214" s="11">
        <f>M214+'Quarterly YTD'!O214-'Quarterly YTD'!K214</f>
        <v>26935.288</v>
      </c>
    </row>
    <row customHeight="1" ht="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</row>
    <row customHeight="1" ht="15">
      <c r="A216" s="2" t="s">
        <v>203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customHeight="1" ht="15">
      <c r="A217" s="9" t="s">
        <v>204</v>
      </c>
      <c r="B217" s="19">
        <f t="shared" si="27" ref="B217:O217">IF(B3&lt;0.05,"NM",B167/B3)</f>
        <v>0.229165972985754</v>
      </c>
      <c r="E217" s="19">
        <f t="shared" si="27"/>
        <v>0.320990738270536</v>
      </c>
      <c r="G217" s="19">
        <f t="shared" si="27"/>
        <v>0.320391646169743</v>
      </c>
      <c r="H217" s="19">
        <f t="shared" si="27"/>
        <v>0.288674925468672</v>
      </c>
      <c r="I217" s="19">
        <f t="shared" si="27"/>
        <v>0.223345854210974</v>
      </c>
      <c r="J217" s="19">
        <f t="shared" si="27"/>
        <v>0.226238633416457</v>
      </c>
      <c r="K217" s="19">
        <f t="shared" si="27"/>
        <v>0.239454550372147</v>
      </c>
      <c r="L217" s="19">
        <f t="shared" si="27"/>
        <v>0.302255984935086</v>
      </c>
      <c r="M217" s="19">
        <f t="shared" si="27"/>
        <v>0.339239830139512</v>
      </c>
      <c r="N217" s="19">
        <f t="shared" si="27"/>
        <v>0.3439946466615</v>
      </c>
      <c r="O217" s="19">
        <f t="shared" si="27"/>
        <v>0.356211807276436</v>
      </c>
    </row>
    <row customHeight="1" ht="15">
      <c r="A218" s="9" t="s">
        <v>205</v>
      </c>
      <c r="B218" s="19">
        <f t="shared" si="28" ref="B218:O218">IF(B3&lt;0.05,"NM",B176/B3)</f>
        <v>0.229165972985754</v>
      </c>
      <c r="E218" s="19">
        <f t="shared" si="28"/>
        <v>0.320990738270536</v>
      </c>
      <c r="G218" s="19">
        <f t="shared" si="28"/>
        <v>0.320148118867534</v>
      </c>
      <c r="H218" s="19">
        <f t="shared" si="28"/>
        <v>0.288551028752734</v>
      </c>
      <c r="I218" s="19">
        <f t="shared" si="28"/>
        <v>0.223345854210974</v>
      </c>
      <c r="J218" s="19">
        <f t="shared" si="28"/>
        <v>0.226175788244899</v>
      </c>
      <c r="K218" s="19">
        <f t="shared" si="28"/>
        <v>0.239608374443082</v>
      </c>
      <c r="L218" s="19">
        <f t="shared" si="28"/>
        <v>0.303126001204161</v>
      </c>
      <c r="M218" s="19">
        <f t="shared" si="28"/>
        <v>0.339239830139512</v>
      </c>
      <c r="N218" s="19">
        <f t="shared" si="28"/>
        <v>0.34444268062937</v>
      </c>
      <c r="O218" s="19">
        <f t="shared" si="28"/>
        <v>0.35686420219781</v>
      </c>
    </row>
    <row customHeight="1" ht="15">
      <c r="A219" s="9" t="s">
        <v>206</v>
      </c>
      <c r="B219" s="19">
        <f t="shared" si="29" ref="B219:O219">IF(B3&lt;0.05,"NM",B13/B3)</f>
        <v>0.0516295899810522</v>
      </c>
      <c r="E219" s="19">
        <f t="shared" si="29"/>
        <v>0.143264795592191</v>
      </c>
      <c r="G219" s="19">
        <f t="shared" si="29"/>
        <v>0.121096032384044</v>
      </c>
      <c r="H219" s="19">
        <f t="shared" si="29"/>
        <v>0.0967196863185686</v>
      </c>
      <c r="I219" s="19">
        <f t="shared" si="29"/>
        <v>0.0288918385916748</v>
      </c>
      <c r="J219" s="19">
        <f t="shared" si="29"/>
        <v>0.0359708785879541</v>
      </c>
      <c r="K219" s="19">
        <f t="shared" si="29"/>
        <v>0.0591269584857257</v>
      </c>
      <c r="L219" s="19">
        <f t="shared" si="29"/>
        <v>0.123630771594504</v>
      </c>
      <c r="M219" s="19">
        <f t="shared" si="29"/>
        <v>0.167632974068989</v>
      </c>
      <c r="N219" s="19">
        <f t="shared" si="29"/>
        <v>0.175096490565741</v>
      </c>
      <c r="O219" s="19">
        <f t="shared" si="29"/>
        <v>0.188157737277913</v>
      </c>
    </row>
    <row customHeight="1" ht="15">
      <c r="A220" s="9" t="s">
        <v>207</v>
      </c>
      <c r="B220" s="19">
        <f t="shared" si="30" ref="B220:O220">IF(B3&lt;0.05,"NM",B20/B3)</f>
        <v>-0.198934849502705</v>
      </c>
      <c r="E220" s="19">
        <f t="shared" si="30"/>
        <v>-0.292066874068516</v>
      </c>
      <c r="G220" s="19">
        <f t="shared" si="30"/>
        <v>-0.225438077153905</v>
      </c>
      <c r="H220" s="19">
        <f t="shared" si="30"/>
        <v>-0.268728766278565</v>
      </c>
      <c r="I220" s="19">
        <f t="shared" si="30"/>
        <v>-0.272578845935811</v>
      </c>
      <c r="J220" s="19">
        <f t="shared" si="30"/>
        <v>-0.255565207891269</v>
      </c>
      <c r="K220" s="19">
        <f t="shared" si="30"/>
        <v>-0.220293545527591</v>
      </c>
      <c r="L220" s="19">
        <f t="shared" si="30"/>
        <v>-0.0774531056915159</v>
      </c>
      <c r="M220" s="19">
        <f t="shared" si="30"/>
        <v>0.0890436665743853</v>
      </c>
      <c r="N220" s="19">
        <f t="shared" si="30"/>
        <v>0.0820519751300879</v>
      </c>
      <c r="O220" s="19">
        <f t="shared" si="30"/>
        <v>0.099538797129693</v>
      </c>
    </row>
    <row customHeight="1" ht="15">
      <c r="A221" s="9" t="s">
        <v>208</v>
      </c>
      <c r="B221" s="19">
        <f t="shared" si="31" ref="B221:O221">IF(B3&lt;0.05,"NM",B24/B3)</f>
        <v>-0.200536813037913</v>
      </c>
      <c r="E221" s="19">
        <f t="shared" si="31"/>
        <v>-0.324219282414614</v>
      </c>
      <c r="G221" s="19">
        <f t="shared" si="31"/>
        <v>-0.239245950588727</v>
      </c>
      <c r="H221" s="19">
        <f t="shared" si="31"/>
        <v>-0.297100891544746</v>
      </c>
      <c r="I221" s="19">
        <f t="shared" si="31"/>
        <v>-0.291384443727291</v>
      </c>
      <c r="J221" s="19">
        <f t="shared" si="31"/>
        <v>-0.272366802365879</v>
      </c>
      <c r="K221" s="19">
        <f t="shared" si="31"/>
        <v>-0.235423418885512</v>
      </c>
      <c r="L221" s="19">
        <f t="shared" si="31"/>
        <v>-0.0947475922103003</v>
      </c>
      <c r="M221" s="19">
        <f t="shared" si="31"/>
        <v>0.074446730504307</v>
      </c>
      <c r="N221" s="19">
        <f t="shared" si="31"/>
        <v>0.0641458669907811</v>
      </c>
      <c r="O221" s="19">
        <f t="shared" si="31"/>
        <v>0.0772477555012117</v>
      </c>
    </row>
    <row customHeight="1" ht="15">
      <c r="A222" s="9" t="s">
        <v>209</v>
      </c>
      <c r="B222" s="11">
        <f t="shared" si="32" ref="B222:M222">B37+B38</f>
        <v>54.700515</v>
      </c>
      <c r="E222" s="11">
        <f t="shared" si="32"/>
        <v>63.305462</v>
      </c>
      <c r="G222" s="11">
        <f>(E37+E38)+('Quarterly YTD'!G37+'Quarterly YTD'!G38)-('Quarterly YTD'!C37+'Quarterly YTD'!C38)</f>
        <v>67.255715</v>
      </c>
      <c r="H222" s="11">
        <f>(E37+E38)+('Quarterly YTD'!H37+'Quarterly YTD'!H38)-('Quarterly YTD'!D37+'Quarterly YTD'!D38)</f>
        <v>68.054708</v>
      </c>
      <c r="I222" s="11">
        <f t="shared" si="32"/>
        <v>69.224401</v>
      </c>
      <c r="J222" s="11">
        <f>(I37+I38)+('Quarterly YTD'!J37+'Quarterly YTD'!J38)-('Quarterly YTD'!F37+'Quarterly YTD'!F38)</f>
        <v>69.175138</v>
      </c>
      <c r="K222" s="11">
        <f>(I37+I38)+('Quarterly YTD'!K37+'Quarterly YTD'!K38)-('Quarterly YTD'!G37+'Quarterly YTD'!G38)</f>
        <v>67.716872</v>
      </c>
      <c r="L222" s="11">
        <f>(I37+I38)+('Quarterly YTD'!L37+'Quarterly YTD'!L38)-('Quarterly YTD'!H37+'Quarterly YTD'!H38)</f>
        <v>70.703293</v>
      </c>
      <c r="M222" s="11">
        <f t="shared" si="32"/>
        <v>70.126931</v>
      </c>
      <c r="N222" s="11">
        <f>(M37+M38)+('Quarterly YTD'!N37+'Quarterly YTD'!N38)-('Quarterly YTD'!J37+'Quarterly YTD'!J38)</f>
        <v>72.732832</v>
      </c>
      <c r="O222" s="11">
        <f>(M37+M38)+('Quarterly YTD'!O37+'Quarterly YTD'!O38)-('Quarterly YTD'!K37+'Quarterly YTD'!K38)</f>
        <v>75.187709</v>
      </c>
    </row>
    <row customHeight="1" ht="15">
      <c r="A223" s="9" t="s">
        <v>210</v>
      </c>
      <c r="B223" s="11">
        <f t="shared" si="33" ref="B223:O223">B39+SUM(B42:B43)+B50</f>
        <v>0</v>
      </c>
      <c r="E223" s="11">
        <f t="shared" si="33"/>
        <v>0</v>
      </c>
      <c r="G223" s="11">
        <f t="shared" si="33"/>
        <v>0.082283</v>
      </c>
      <c r="H223" s="11">
        <f t="shared" si="33"/>
        <v>0.043954</v>
      </c>
      <c r="I223" s="11">
        <f t="shared" si="33"/>
        <v>0</v>
      </c>
      <c r="J223" s="11">
        <f t="shared" si="33"/>
        <v>0.022856</v>
      </c>
      <c r="K223" s="11">
        <f t="shared" si="33"/>
        <v>-0.057715</v>
      </c>
      <c r="L223" s="11">
        <f t="shared" si="33"/>
        <v>-0.3427</v>
      </c>
      <c r="M223" s="11">
        <f t="shared" si="33"/>
        <v>0</v>
      </c>
      <c r="N223" s="11">
        <f t="shared" si="33"/>
        <v>-0.192427</v>
      </c>
      <c r="O223" s="11">
        <f t="shared" si="33"/>
        <v>-0.290754</v>
      </c>
    </row>
    <row customHeight="1" ht="15">
      <c r="A224" s="9" t="s">
        <v>211</v>
      </c>
      <c r="E224" s="19">
        <f>E37/(((B103+B104)+(E103+E104))/2)</f>
        <v>0.136821571481476</v>
      </c>
      <c r="I224" s="19">
        <f t="shared" si="34" ref="I224:M224">I37/(((E103+E104)+(I103+I104))/2)</f>
        <v>0.160840271272475</v>
      </c>
      <c r="K224" s="19">
        <f>K37/((('Quarterly YTD'!G103+'Quarterly YTD'!G104)+(K103+K104))/2)</f>
        <v>0.162188824918259</v>
      </c>
      <c r="L224" s="19">
        <f>L37/((('Annual and Quarterly'!K103+'Annual and Quarterly'!K104)+(L103+L104))/2)</f>
        <v>0.173944246404452</v>
      </c>
      <c r="M224" s="19">
        <f t="shared" si="34"/>
        <v>0.170395248938904</v>
      </c>
      <c r="N224" s="19">
        <f>N37/((('Quarterly YTD'!J103+'Quarterly YTD'!J104)+(N103+N104))/2)</f>
        <v>0.18378300099964</v>
      </c>
      <c r="O224" s="19">
        <f>O37/((('Quarterly YTD'!K103+'Quarterly YTD'!K104)+(O103+O104))/2)</f>
        <v>0.19133328980119</v>
      </c>
    </row>
    <row customHeight="1" ht="15">
      <c r="A225" s="9" t="s">
        <v>212</v>
      </c>
      <c r="E225" s="19">
        <f>E38/((B102+E102)/2)</f>
        <v>0.211524956250517</v>
      </c>
      <c r="I225" s="19">
        <f t="shared" si="35" ref="I225:M225">I38/((E102+I102)/2)</f>
        <v>0.262244093195977</v>
      </c>
      <c r="K225" s="19">
        <f>K38/(('Quarterly YTD'!G102+K102)/2)</f>
        <v>0.290559566604853</v>
      </c>
      <c r="L225" s="19">
        <f>L38/(('Annual and Quarterly'!K102+L102)/2)</f>
        <v>0.287724829574999</v>
      </c>
      <c r="M225" s="19">
        <f t="shared" si="35"/>
        <v>0.249809862998592</v>
      </c>
      <c r="N225" s="19">
        <f>N38/(('Quarterly YTD'!J102+N102)/2)</f>
        <v>0.255076634144562</v>
      </c>
      <c r="O225" s="19">
        <f>O38/(('Quarterly YTD'!K102+O102)/2)</f>
        <v>0.258529453653309</v>
      </c>
    </row>
    <row customHeight="1" ht="15">
      <c r="A226" s="9" t="s">
        <v>213</v>
      </c>
      <c r="B226" s="11">
        <f t="shared" si="36" ref="B226:O226">SUM(B79:B80)</f>
        <v>-99.419831</v>
      </c>
      <c r="E226" s="11">
        <f t="shared" si="36"/>
        <v>-98.738157</v>
      </c>
      <c r="G226" s="11">
        <f t="shared" si="36"/>
        <v>-93.010222</v>
      </c>
      <c r="H226" s="11">
        <f t="shared" si="36"/>
        <v>-73.659879</v>
      </c>
      <c r="I226" s="11">
        <f t="shared" si="36"/>
        <v>-49.725539</v>
      </c>
      <c r="J226" s="11">
        <f t="shared" si="36"/>
        <v>-41.885489</v>
      </c>
      <c r="K226" s="11">
        <f t="shared" si="36"/>
        <v>-51.724853</v>
      </c>
      <c r="L226" s="11">
        <f t="shared" si="36"/>
        <v>-52.279152</v>
      </c>
      <c r="M226" s="11">
        <f t="shared" si="36"/>
        <v>-55.827939</v>
      </c>
      <c r="N226" s="11">
        <f t="shared" si="36"/>
        <v>-66.707261</v>
      </c>
      <c r="O226" s="11">
        <f t="shared" si="36"/>
        <v>-68.02989</v>
      </c>
    </row>
    <row customHeight="1" ht="15">
      <c r="A227" s="9" t="s">
        <v>214</v>
      </c>
      <c r="B227" s="11">
        <f t="shared" si="37" ref="B227:O227">SUM(B79:B80)+B84</f>
        <v>-89.073432</v>
      </c>
      <c r="E227" s="11">
        <f t="shared" si="37"/>
        <v>-98.700425</v>
      </c>
      <c r="G227" s="11">
        <f t="shared" si="37"/>
        <v>-92.96345</v>
      </c>
      <c r="H227" s="11">
        <f t="shared" si="37"/>
        <v>-73.57246</v>
      </c>
      <c r="I227" s="11">
        <f t="shared" si="37"/>
        <v>-49.664209</v>
      </c>
      <c r="J227" s="11">
        <f t="shared" si="37"/>
        <v>-41.881696</v>
      </c>
      <c r="K227" s="11">
        <f t="shared" si="37"/>
        <v>-51.557991</v>
      </c>
      <c r="L227" s="11">
        <f t="shared" si="37"/>
        <v>-52.095615</v>
      </c>
      <c r="M227" s="11">
        <f t="shared" si="37"/>
        <v>-55.574807</v>
      </c>
      <c r="N227" s="11">
        <f t="shared" si="37"/>
        <v>-66.470754</v>
      </c>
      <c r="O227" s="11">
        <f t="shared" si="37"/>
        <v>-67.930462</v>
      </c>
    </row>
    <row customHeight="1" ht="15">
      <c r="A228" s="9" t="s">
        <v>215</v>
      </c>
      <c r="B228" s="19">
        <f t="shared" si="38" ref="B228:O228">IF(B3=0,"NM",-B226/B3)</f>
        <v>0.322677715094249</v>
      </c>
      <c r="E228" s="19">
        <f t="shared" si="38"/>
        <v>0.277200915635802</v>
      </c>
      <c r="G228" s="19">
        <f t="shared" si="38"/>
        <v>0.275275918981645</v>
      </c>
      <c r="H228" s="19">
        <f t="shared" si="38"/>
        <v>0.20763109397381</v>
      </c>
      <c r="I228" s="19">
        <f t="shared" si="38"/>
        <v>0.139680959281744</v>
      </c>
      <c r="J228" s="19">
        <f t="shared" si="38"/>
        <v>0.11516891590707</v>
      </c>
      <c r="K228" s="19">
        <f t="shared" si="38"/>
        <v>0.137858918079177</v>
      </c>
      <c r="L228" s="19">
        <f t="shared" si="38"/>
        <v>0.13272165968335</v>
      </c>
      <c r="M228" s="19">
        <f t="shared" si="38"/>
        <v>0.136615947055874</v>
      </c>
      <c r="N228" s="19">
        <f t="shared" si="38"/>
        <v>0.155316659468589</v>
      </c>
      <c r="O228" s="19">
        <f t="shared" si="38"/>
        <v>0.152645723661955</v>
      </c>
    </row>
    <row customHeight="1" ht="15">
      <c r="A229" s="9" t="s">
        <v>216</v>
      </c>
      <c r="E229" s="19">
        <f>IF(B103=0,"NM",-(E79+E84)/B103)</f>
        <v>0.372754757113259</v>
      </c>
      <c r="I229" s="19">
        <f t="shared" si="39" ref="I229:M229">IF(E103=0,"NM",-(I79+I84)/E103)</f>
        <v>0.146456461288696</v>
      </c>
      <c r="K229" s="19">
        <f>IF('Annual and Quarterly'!J103=0,"NM",-(K79+K84)/'Annual and Quarterly'!J103)</f>
        <v>0.174871163472498</v>
      </c>
      <c r="L229" s="19">
        <f>IF('Annual and Quarterly'!K103=0,"NM",-(L79+L84)/'Annual and Quarterly'!K103)</f>
        <v>0.18527783003122</v>
      </c>
      <c r="M229" s="19">
        <f t="shared" si="39"/>
        <v>0.251226280526641</v>
      </c>
      <c r="N229" s="19">
        <f>IF('Quarterly YTD'!J103=0,"NM",-(N79+N84)/'Quarterly YTD'!J103)</f>
        <v>0.309163714189763</v>
      </c>
      <c r="O229" s="19">
        <f>IF('Annual and Quarterly'!N103=0,"NM",-(O79+O84)/'Annual and Quarterly'!N103)</f>
        <v>0.322435556827907</v>
      </c>
    </row>
    <row customHeight="1" ht="15">
      <c r="A230" s="9" t="s">
        <v>217</v>
      </c>
      <c r="B230" s="19">
        <f t="shared" si="40" ref="B230:O230">IF(B222=0,"NM",-B226/B222)</f>
        <v>1.81753007261449</v>
      </c>
      <c r="E230" s="19">
        <f t="shared" si="40"/>
        <v>1.55970991886924</v>
      </c>
      <c r="G230" s="19">
        <f t="shared" si="40"/>
        <v>1.382934104559</v>
      </c>
      <c r="H230" s="19">
        <f t="shared" si="40"/>
        <v>1.08236272206179</v>
      </c>
      <c r="I230" s="19">
        <f t="shared" si="40"/>
        <v>0.718323860974976</v>
      </c>
      <c r="J230" s="19">
        <f t="shared" si="40"/>
        <v>0.605499175151627</v>
      </c>
      <c r="K230" s="19">
        <f t="shared" si="40"/>
        <v>0.763839962956352</v>
      </c>
      <c r="L230" s="19">
        <f t="shared" si="40"/>
        <v>0.73941608349133</v>
      </c>
      <c r="M230" s="19">
        <f t="shared" si="40"/>
        <v>0.796098420448486</v>
      </c>
      <c r="N230" s="19">
        <f t="shared" si="40"/>
        <v>0.917154731442329</v>
      </c>
      <c r="O230" s="19">
        <f t="shared" si="40"/>
        <v>0.904800676929789</v>
      </c>
    </row>
    <row customHeight="1" ht="15">
      <c r="A231" s="9" t="s">
        <v>218</v>
      </c>
      <c r="E231" s="19">
        <f>-E80/B102</f>
        <v>0.335211300396149</v>
      </c>
      <c r="I231" s="19">
        <f t="shared" si="41" ref="I231:M231">-I80/E102</f>
        <v>0.264437647048795</v>
      </c>
      <c r="K231" s="19">
        <f>-K80/'Annual and Quarterly'!J102</f>
        <v>0.237241449668242</v>
      </c>
      <c r="L231" s="19">
        <f>-L80/'Annual and Quarterly'!K102</f>
        <v>0.252262576076531</v>
      </c>
      <c r="M231" s="19">
        <f t="shared" si="41"/>
        <v>0.104516288658941</v>
      </c>
      <c r="N231" s="19">
        <f>-N80/'Quarterly YTD'!J102</f>
        <v>0.142892429885963</v>
      </c>
      <c r="O231" s="19">
        <f>-O80/'Annual and Quarterly'!N102</f>
        <v>0.121028314213661</v>
      </c>
    </row>
    <row customHeight="1" ht="15">
      <c r="A232" s="9" t="s">
        <v>219</v>
      </c>
      <c r="B232" s="11">
        <f t="shared" si="42" ref="B232:E232">B78-(B59+B61+B62+B66+B68+B69)+B91</f>
        <v>62.446946</v>
      </c>
      <c r="E232" s="11">
        <f t="shared" si="42"/>
        <v>97.694284</v>
      </c>
      <c r="G232" s="11">
        <f>G78-((E59+E61+E62+E66+E68+E69)+('Quarterly YTD'!G59+'Quarterly YTD'!G61+'Quarterly YTD'!G62+'Quarterly YTD'!G66+'Quarterly YTD'!G68+'Quarterly YTD'!G69)-('Quarterly YTD'!C59+'Quarterly YTD'!C61+'Quarterly YTD'!C62+'Quarterly YTD'!C66+'Quarterly YTD'!C68+'Quarterly YTD'!C69))+G91</f>
        <v>103.725292</v>
      </c>
      <c r="H232" s="11">
        <f>H78-((E59+E61+E62+E66+E68+E69)+('Quarterly YTD'!H59+'Quarterly YTD'!H61+'Quarterly YTD'!H62+SUM('Quarterly YTD'!H66:H68))-('Quarterly YTD'!D59+'Quarterly YTD'!D61+'Quarterly YTD'!D62+'Quarterly YTD'!D66+'Quarterly YTD'!D68+'Quarterly YTD'!D69))+H91</f>
        <v>102.797523</v>
      </c>
      <c r="I232" s="11">
        <f>I78-(I59+I61+I63+I69+I72)+I91</f>
        <v>48.025952</v>
      </c>
      <c r="J232" s="11">
        <f>J78-((I59+I61+I63+I69+I72)+('Quarterly YTD'!J59+'Quarterly YTD'!J61+'Quarterly YTD'!J63+'Quarterly YTD'!J66+'Quarterly YTD'!J69+'Quarterly YTD'!J72)-('Quarterly YTD'!F59+'Quarterly YTD'!F61+'Quarterly YTD'!F62+'Quarterly YTD'!F66+'Quarterly YTD'!F68+'Quarterly YTD'!F69))+J91</f>
        <v>33.642459</v>
      </c>
      <c r="K232" s="11">
        <f>K78-((I59+I61+I63+I69+I72)+('Quarterly YTD'!K60+'Quarterly YTD'!K61+'Quarterly YTD'!K63+'Quarterly YTD'!K66+'Quarterly YTD'!K69+'Quarterly YTD'!K72)-('Quarterly YTD'!G59+'Quarterly YTD'!G61+'Quarterly YTD'!G62+'Quarterly YTD'!G66+'Quarterly YTD'!G68+'Quarterly YTD'!G69))+K91</f>
        <v>55.397341</v>
      </c>
      <c r="L232" s="11">
        <f>L78-((I59+I61+I63+I69+I72)+('Quarterly YTD'!L59+'Quarterly YTD'!L61+'Quarterly YTD'!L62+SUM('Quarterly YTD'!L66:L68))-('Quarterly YTD'!H59+'Quarterly YTD'!H61+'Quarterly YTD'!H62+SUM('Quarterly YTD'!H66:H68)))+L91</f>
        <v>92.455032</v>
      </c>
      <c r="M232" s="11">
        <f>M78-(M59+M61+M63+M64+M69+M72)+M91</f>
        <v>88.296253</v>
      </c>
      <c r="N232" s="11">
        <f>N78-((M59+M61+M63+M64+M69+M72)+('Quarterly YTD'!N59+'Quarterly YTD'!N61+'Quarterly YTD'!N63+'Quarterly YTD'!N66+'Quarterly YTD'!N69+'Quarterly YTD'!N72)-('Quarterly YTD'!J59+'Quarterly YTD'!J61+'Quarterly YTD'!J63+'Quarterly YTD'!J66+'Quarterly YTD'!J69+'Quarterly YTD'!J72))+N91</f>
        <v>94.607342</v>
      </c>
      <c r="O232" s="11">
        <f>O78-((M59+M61+M63+M64+M69+M72)+('Quarterly YTD'!O60+'Quarterly YTD'!O61+'Quarterly YTD'!O63+'Quarterly YTD'!O66+'Quarterly YTD'!O69+'Quarterly YTD'!O72)-('Quarterly YTD'!K60+'Quarterly YTD'!K61+'Quarterly YTD'!K63+'Quarterly YTD'!K66+'Quarterly YTD'!K69+'Quarterly YTD'!K72))+O91</f>
        <v>101.168727</v>
      </c>
    </row>
    <row customHeight="1" ht="15">
      <c r="A233" s="4" t="s">
        <v>220</v>
      </c>
      <c r="B233" s="7">
        <f t="shared" si="43" ref="B233:O233">B78+B226+B91+B90</f>
        <v>-12.251704</v>
      </c>
      <c r="E233" s="7">
        <f t="shared" si="43"/>
        <v>10.495122</v>
      </c>
      <c r="G233" s="7">
        <f t="shared" si="43"/>
        <v>2.519388</v>
      </c>
      <c r="H233" s="7">
        <f t="shared" si="43"/>
        <v>1.161041</v>
      </c>
      <c r="I233" s="7">
        <f t="shared" si="43"/>
        <v>-33.942682</v>
      </c>
      <c r="J233" s="7">
        <f t="shared" si="43"/>
        <v>-52.311075</v>
      </c>
      <c r="K233" s="7">
        <f t="shared" si="43"/>
        <v>-37.848068</v>
      </c>
      <c r="L233" s="7">
        <f t="shared" si="43"/>
        <v>-41.394556</v>
      </c>
      <c r="M233" s="7">
        <f t="shared" si="43"/>
        <v>-38.794985</v>
      </c>
      <c r="N233" s="7">
        <f t="shared" si="43"/>
        <v>-60.112202</v>
      </c>
      <c r="O233" s="7">
        <f t="shared" si="43"/>
        <v>-62.469604</v>
      </c>
    </row>
    <row customHeight="1" ht="15">
      <c r="A234" s="9" t="s">
        <v>221</v>
      </c>
      <c r="B234" s="11">
        <f t="shared" si="44" ref="B234:O234">B233-B243-B90</f>
        <v>17.431701</v>
      </c>
      <c r="E234" s="11">
        <f t="shared" si="44"/>
        <v>40.444873</v>
      </c>
      <c r="G234" s="11">
        <f t="shared" si="44"/>
        <v>32.777445</v>
      </c>
      <c r="H234" s="11">
        <f t="shared" si="44"/>
        <v>34.432399</v>
      </c>
      <c r="I234" s="11">
        <f t="shared" si="44"/>
        <v>6.006694</v>
      </c>
      <c r="J234" s="11">
        <f t="shared" si="44"/>
        <v>-13.052688</v>
      </c>
      <c r="K234" s="11">
        <f t="shared" si="44"/>
        <v>7.304067</v>
      </c>
      <c r="L234" s="11">
        <f t="shared" si="44"/>
        <v>-9.005647</v>
      </c>
      <c r="M234" s="11">
        <f t="shared" si="44"/>
        <v>38.060046</v>
      </c>
      <c r="N234" s="11">
        <f t="shared" si="44"/>
        <v>24.932195</v>
      </c>
      <c r="O234" s="11">
        <f t="shared" si="44"/>
        <v>25.350879</v>
      </c>
    </row>
    <row customHeight="1" ht="15">
      <c r="A235" s="9" t="s">
        <v>222</v>
      </c>
      <c r="B235" s="19">
        <f t="shared" si="45" ref="B235:O235">IF(B162&lt;=0,"NM",B232/B162)</f>
        <v>0.151451469703218</v>
      </c>
      <c r="E235" s="19">
        <f t="shared" si="45"/>
        <v>0.232033058394331</v>
      </c>
      <c r="G235" s="19">
        <f t="shared" si="45"/>
        <v>0.241748040960731</v>
      </c>
      <c r="H235" s="19">
        <f t="shared" si="45"/>
        <v>0.245187447732582</v>
      </c>
      <c r="I235" s="19">
        <f t="shared" si="45"/>
        <v>0.0993047588845746</v>
      </c>
      <c r="J235" s="19">
        <f t="shared" si="45"/>
        <v>0.0687217208140048</v>
      </c>
      <c r="K235" s="19">
        <f t="shared" si="45"/>
        <v>0.111569804514419</v>
      </c>
      <c r="L235" s="19">
        <f t="shared" si="45"/>
        <v>0.193038458697127</v>
      </c>
      <c r="M235" s="19">
        <f t="shared" si="45"/>
        <v>0.171318151875303</v>
      </c>
      <c r="N235" s="19">
        <f t="shared" si="45"/>
        <v>0.177082442511029</v>
      </c>
      <c r="O235" s="19">
        <f t="shared" si="45"/>
        <v>0.18052272279898</v>
      </c>
    </row>
    <row customHeight="1" ht="15">
      <c r="A236" s="9" t="s">
        <v>223</v>
      </c>
      <c r="B236" s="19">
        <f t="shared" si="46" ref="B236:O236">IF(B162&lt;=0,"NM",B233/B162)</f>
        <v>-0.0297138402439855</v>
      </c>
      <c r="E236" s="19">
        <f t="shared" si="46"/>
        <v>0.024926895987913</v>
      </c>
      <c r="G236" s="19">
        <f t="shared" si="46"/>
        <v>0.00587182838125898</v>
      </c>
      <c r="H236" s="19">
        <f t="shared" si="46"/>
        <v>0.00276925621547209</v>
      </c>
      <c r="I236" s="19">
        <f t="shared" si="46"/>
        <v>-0.0701843422469958</v>
      </c>
      <c r="J236" s="19">
        <f t="shared" si="46"/>
        <v>-0.106856252440717</v>
      </c>
      <c r="K236" s="19">
        <f t="shared" si="46"/>
        <v>-0.0762257081618492</v>
      </c>
      <c r="L236" s="19">
        <f t="shared" si="46"/>
        <v>-0.0864284086634887</v>
      </c>
      <c r="M236" s="19">
        <f t="shared" si="46"/>
        <v>-0.0752725614781195</v>
      </c>
      <c r="N236" s="19">
        <f t="shared" si="46"/>
        <v>-0.112515744865514</v>
      </c>
      <c r="O236" s="19">
        <f t="shared" si="46"/>
        <v>-0.11146906104941</v>
      </c>
    </row>
    <row customHeight="1" ht="15">
      <c r="A237" s="9" t="s">
        <v>224</v>
      </c>
      <c r="B237" s="19">
        <f t="shared" si="47" ref="B237:O237">IF(B162&lt;=0,"NM",B234/B162)</f>
        <v>0.0422767950233635</v>
      </c>
      <c r="E237" s="19">
        <f t="shared" si="47"/>
        <v>0.0960603547548423</v>
      </c>
      <c r="G237" s="19">
        <f t="shared" si="47"/>
        <v>0.0763929699657834</v>
      </c>
      <c r="H237" s="19">
        <f t="shared" si="47"/>
        <v>0.0821264149537913</v>
      </c>
      <c r="I237" s="19">
        <f t="shared" si="47"/>
        <v>0.0124202285331777</v>
      </c>
      <c r="J237" s="19">
        <f t="shared" si="47"/>
        <v>-0.026662830461005</v>
      </c>
      <c r="K237" s="19">
        <f t="shared" si="47"/>
        <v>0.0147103328903497</v>
      </c>
      <c r="L237" s="19">
        <f t="shared" si="47"/>
        <v>-0.0188030459656367</v>
      </c>
      <c r="M237" s="19">
        <f t="shared" si="47"/>
        <v>0.0738465848716028</v>
      </c>
      <c r="N237" s="19">
        <f t="shared" si="47"/>
        <v>0.0466671390869566</v>
      </c>
      <c r="O237" s="19">
        <f t="shared" si="47"/>
        <v>0.0452354184749946</v>
      </c>
    </row>
    <row customHeight="1" ht="15">
      <c r="A238" s="9" t="s">
        <v>225</v>
      </c>
      <c r="B238" s="21">
        <v>365</v>
      </c>
      <c r="C238" s="21">
        <v>365</v>
      </c>
      <c r="D238" s="21">
        <v>365</v>
      </c>
      <c r="E238" s="21">
        <v>365</v>
      </c>
      <c r="F238" s="21">
        <v>366</v>
      </c>
      <c r="G238" s="21">
        <v>366</v>
      </c>
      <c r="H238" s="21">
        <v>366</v>
      </c>
      <c r="I238" s="21">
        <v>366</v>
      </c>
      <c r="J238" s="21">
        <v>365</v>
      </c>
      <c r="K238" s="21">
        <v>365</v>
      </c>
      <c r="L238" s="21">
        <v>365</v>
      </c>
      <c r="M238" s="21">
        <v>364</v>
      </c>
      <c r="N238" s="21">
        <v>365</v>
      </c>
      <c r="O238" s="21">
        <v>365</v>
      </c>
    </row>
    <row customHeight="1" ht="15">
      <c r="A239" s="9" t="s">
        <v>226</v>
      </c>
      <c r="E239" s="24">
        <f>IF(E3&lt;0.05,"NM",((B109+B110+B114)+(E109+E110+E114))/2/E3*E238)</f>
        <v>21.5357457056196</v>
      </c>
      <c r="I239" s="24">
        <f t="shared" si="48" ref="I239:M239">IF(I3&lt;0.05,"NM",((E109+E110+E114)+(I109+I110+I114))/2/I3*I238)</f>
        <v>12.0373912647135</v>
      </c>
      <c r="K239" s="24">
        <f>IF(K3&lt;0.05,"NM",(('Annual and Quarterly'!J109+'Annual and Quarterly'!J110+'Annual and Quarterly'!J114)+(K109+K110+K114))/2/K3*K238)</f>
        <v>12.8129022140314</v>
      </c>
      <c r="L239" s="24">
        <f>IF(L3&lt;0.05,"NM",(('Annual and Quarterly'!K109+'Annual and Quarterly'!K110+'Annual and Quarterly'!K114)+(L109+L110+L114))/2/L3*L238)</f>
        <v>12.1371593849495</v>
      </c>
      <c r="M239" s="24">
        <f t="shared" si="48"/>
        <v>11.367976845407</v>
      </c>
      <c r="N239" s="24">
        <f>IF(N3&lt;0.05,"NM",(('Quarterly YTD'!J109+'Quarterly YTD'!J110+'Quarterly YTD'!J114)+(N109+N110+N114))/2/N3*N238)</f>
        <v>11.0882558510306</v>
      </c>
      <c r="O239" s="24">
        <f>IF(O3&lt;0.05,"NM",(('Annual and Quarterly'!N109+'Annual and Quarterly'!N110+'Annual and Quarterly'!N114)+(O109+O110+O114))/2/O3*O238)</f>
        <v>10.3688948811613</v>
      </c>
    </row>
    <row customHeight="1" ht="15">
      <c r="A240" s="9" t="s">
        <v>227</v>
      </c>
      <c r="E240" s="24">
        <f>IF((E3-E167+(E9+E10+E12))&lt;0.05,"NM",((B135+B143)+(E135+E143))/2/(E3-E167+(E9+E10+E12))*E238)</f>
        <v>137.098295923182</v>
      </c>
      <c r="I240" s="24">
        <f t="shared" si="49" ref="I240:M240">IF((I3-I167+(I9+I10+I12))&lt;0.05,"NM",((E135+E143)+(I135+I143))/2/(I3-I167+(I9+I10+I12))*I238)</f>
        <v>158.485391377423</v>
      </c>
      <c r="K240" s="24">
        <f>IF((K3-K167+(K9+K10+K12))&lt;0.05,"NM",(('Annual and Quarterly'!J135+'Annual and Quarterly'!J143)+(K135+K143))/2/(K3-K167+(K9+K10+K12))*K238)</f>
        <v>143.372012988119</v>
      </c>
      <c r="L240" s="24">
        <f>IF((L3-L167+(L9+L10+L12))&lt;0.05,"NM",(('Annual and Quarterly'!K135+'Annual and Quarterly'!K143)+(L135+L143))/2/(L3-L167+(L9+L10+L12))*L238)</f>
        <v>169.117508561818</v>
      </c>
      <c r="M240" s="24">
        <f t="shared" si="49"/>
        <v>133.099538271813</v>
      </c>
      <c r="N240" s="24">
        <f>IF((N3-N167+(N9+N10+N12))&lt;0.05,"NM",(('Quarterly YTD'!J135+'Quarterly YTD'!J143)+(N135+N143))/2/(N3-N167+(N9+N10+N12))*N238)</f>
        <v>121.136914337237</v>
      </c>
      <c r="O240" s="24">
        <f>IF((O3-O167+(O9+O10+O12))&lt;0.05,"NM",(('Annual and Quarterly'!N135+'Annual and Quarterly'!N143)+(O135+O143))/2/(O3-O167+(O9+O10+O12))*O238)</f>
        <v>118.826134212124</v>
      </c>
    </row>
    <row customHeight="1" ht="15">
      <c r="A241" s="9" t="s">
        <v>228</v>
      </c>
      <c r="B241" s="11">
        <f t="shared" si="50" ref="B241:O241">(B109+B110+B114)+B111-(B135+B143)</f>
        <v>-26.998701</v>
      </c>
      <c r="E241" s="11">
        <f t="shared" si="50"/>
        <v>-108.759546</v>
      </c>
      <c r="G241" s="11">
        <f t="shared" si="50"/>
        <v>-104.535005</v>
      </c>
      <c r="H241" s="11">
        <f t="shared" si="50"/>
        <v>-124.901767</v>
      </c>
      <c r="I241" s="11">
        <f t="shared" si="50"/>
        <v>-94.919875</v>
      </c>
      <c r="J241" s="11">
        <f t="shared" si="50"/>
        <v>-89.074999</v>
      </c>
      <c r="K241" s="11">
        <f t="shared" si="50"/>
        <v>-85.552569</v>
      </c>
      <c r="L241" s="11">
        <f t="shared" si="50"/>
        <v>-96.916182</v>
      </c>
      <c r="M241" s="11">
        <f t="shared" si="50"/>
        <v>-73.417212</v>
      </c>
      <c r="N241" s="11">
        <f t="shared" si="50"/>
        <v>-68.080292</v>
      </c>
      <c r="O241" s="11">
        <f t="shared" si="50"/>
        <v>-72.739474</v>
      </c>
    </row>
    <row customHeight="1" ht="15">
      <c r="A242" s="9" t="s">
        <v>229</v>
      </c>
      <c r="B242" s="11">
        <f t="shared" si="51" ref="B242:O242">SUM(B59:B61)+SUM(B63:B64)+B66+B69</f>
        <v>-0.807336000000001</v>
      </c>
      <c r="E242" s="11">
        <f t="shared" si="51"/>
        <v>59.963008</v>
      </c>
      <c r="G242" s="11">
        <f t="shared" si="51"/>
        <v>25.466096</v>
      </c>
      <c r="H242" s="11">
        <f t="shared" si="51"/>
        <v>16.288141</v>
      </c>
      <c r="I242" s="11">
        <f t="shared" si="51"/>
        <v>-8.311572</v>
      </c>
      <c r="J242" s="11">
        <f t="shared" si="51"/>
        <v>-24.499291</v>
      </c>
      <c r="K242" s="11">
        <f t="shared" si="51"/>
        <v>-19.384577</v>
      </c>
      <c r="L242" s="11">
        <f t="shared" si="51"/>
        <v>-53.646969</v>
      </c>
      <c r="M242" s="11">
        <f t="shared" si="51"/>
        <v>-42.657673</v>
      </c>
      <c r="N242" s="11">
        <f t="shared" si="51"/>
        <v>-54.598622</v>
      </c>
      <c r="O242" s="11">
        <f t="shared" si="51"/>
        <v>-59.318156</v>
      </c>
    </row>
    <row customHeight="1" ht="15">
      <c r="A243" s="9" t="s">
        <v>230</v>
      </c>
      <c r="B243" s="11">
        <f t="shared" si="52" ref="B243:O243">B73+B74+B91</f>
        <v>-4.325272</v>
      </c>
      <c r="E243" s="11">
        <f t="shared" si="52"/>
        <v>-7.035281</v>
      </c>
      <c r="G243" s="11">
        <f t="shared" si="52"/>
        <v>3.098078</v>
      </c>
      <c r="H243" s="11">
        <f t="shared" si="52"/>
        <v>5.909432</v>
      </c>
      <c r="I243" s="11">
        <f t="shared" si="52"/>
        <v>-16.005968</v>
      </c>
      <c r="J243" s="11">
        <f t="shared" si="52"/>
        <v>-15.785944</v>
      </c>
      <c r="K243" s="11">
        <f t="shared" si="52"/>
        <v>-17.780655</v>
      </c>
      <c r="L243" s="11">
        <f t="shared" si="52"/>
        <v>-11.055171</v>
      </c>
      <c r="M243" s="11">
        <f t="shared" si="52"/>
        <v>-45.015545</v>
      </c>
      <c r="N243" s="11">
        <f t="shared" si="52"/>
        <v>-46.787681</v>
      </c>
      <c r="O243" s="11">
        <f t="shared" si="52"/>
        <v>-49.238525</v>
      </c>
    </row>
    <row customHeight="1" ht="15">
      <c r="A244" s="9" t="s">
        <v>231</v>
      </c>
      <c r="E244" s="25">
        <f>IF((B159+E159)=0,"NM",-E243/((B159+E159)/2))</f>
        <v>0.0157813045923566</v>
      </c>
      <c r="I244" s="25">
        <f t="shared" si="53" ref="I244:M244">IF((E159+I159)=0,"NM",-I243/((E159+I159)/2))</f>
        <v>0.0325979008378285</v>
      </c>
      <c r="K244" s="25">
        <f>IF(('Annual and Quarterly'!J159+K159)=0,"NM",-K243/(('Annual and Quarterly'!J159+K159)/2))</f>
        <v>0.036454031875242</v>
      </c>
      <c r="L244" s="25">
        <f>IF(('Annual and Quarterly'!K159+L159)=0,"NM",-L243/(('Annual and Quarterly'!K159+L159)/2))</f>
        <v>0.023183359060662</v>
      </c>
      <c r="M244" s="25">
        <f t="shared" si="53"/>
        <v>0.0842953864385554</v>
      </c>
      <c r="N244" s="25">
        <f>IF(('Quarterly YTD'!J159+N159)=0,"NM",-N243/(('Quarterly YTD'!J159+N159)/2))</f>
        <v>0.0828885834378529</v>
      </c>
      <c r="O244" s="25">
        <f>IF(('Annual and Quarterly'!N159+O159)=0,"NM",-O243/(('Annual and Quarterly'!N159+O159)/2))</f>
        <v>0.0880048134641575</v>
      </c>
    </row>
    <row customHeight="1" ht="15">
      <c r="A245" s="9" t="s">
        <v>232</v>
      </c>
      <c r="B245" s="15">
        <f t="shared" si="54" ref="B245:O245">IF(OR(B167&lt;=0,B243=0),"NM",-B167/B243)</f>
        <v>16.3245326536689</v>
      </c>
      <c r="E245" s="15">
        <f t="shared" si="54"/>
        <v>16.251797760459</v>
      </c>
      <c r="G245" s="15">
        <f t="shared" si="54"/>
        <v>-34.9422845389948</v>
      </c>
      <c r="H245" s="15">
        <f t="shared" si="54"/>
        <v>-17.3301344359323</v>
      </c>
      <c r="I245" s="15">
        <f t="shared" si="54"/>
        <v>4.96750418343958</v>
      </c>
      <c r="J245" s="15">
        <f t="shared" si="54"/>
        <v>5.21224140919289</v>
      </c>
      <c r="K245" s="15">
        <f t="shared" si="54"/>
        <v>5.05288877153288</v>
      </c>
      <c r="L245" s="15">
        <f t="shared" si="54"/>
        <v>10.7695157315975</v>
      </c>
      <c r="M245" s="15">
        <f t="shared" si="54"/>
        <v>3.07960150210333</v>
      </c>
      <c r="N245" s="15">
        <f t="shared" si="54"/>
        <v>3.15773173284652</v>
      </c>
      <c r="O245" s="15">
        <f t="shared" si="54"/>
        <v>3.22417349016852</v>
      </c>
    </row>
    <row customHeight="1" ht="15">
      <c r="A246" s="9" t="s">
        <v>233</v>
      </c>
      <c r="B246" s="15">
        <f t="shared" si="55" ref="B246:O246">IF(OR(B176&lt;=0,B243=0),"NM",-B176/B243)</f>
        <v>16.3245326536689</v>
      </c>
      <c r="E246" s="15">
        <f t="shared" si="55"/>
        <v>16.251797760459</v>
      </c>
      <c r="G246" s="15">
        <f t="shared" si="55"/>
        <v>-34.9157251689596</v>
      </c>
      <c r="H246" s="15">
        <f t="shared" si="55"/>
        <v>-17.3226964960423</v>
      </c>
      <c r="I246" s="15">
        <f t="shared" si="55"/>
        <v>4.96750418343958</v>
      </c>
      <c r="J246" s="15">
        <f t="shared" si="55"/>
        <v>5.21079353885963</v>
      </c>
      <c r="K246" s="15">
        <f t="shared" si="55"/>
        <v>5.05613471494723</v>
      </c>
      <c r="L246" s="15">
        <f t="shared" si="55"/>
        <v>10.8005147998163</v>
      </c>
      <c r="M246" s="15">
        <f t="shared" si="55"/>
        <v>3.07960150210333</v>
      </c>
      <c r="N246" s="15">
        <f t="shared" si="55"/>
        <v>3.1618445034709</v>
      </c>
      <c r="O246" s="15">
        <f t="shared" si="55"/>
        <v>3.23007850052373</v>
      </c>
    </row>
    <row customHeight="1" ht="15">
      <c r="A247" s="9" t="s">
        <v>234</v>
      </c>
      <c r="B247" s="11">
        <f t="shared" si="56" ref="B247:O247">B76</f>
        <v>-3.350279</v>
      </c>
      <c r="E247" s="11">
        <f t="shared" si="56"/>
        <v>-5.782459</v>
      </c>
      <c r="G247" s="11">
        <f t="shared" si="56"/>
        <v>-6.10929</v>
      </c>
      <c r="H247" s="11">
        <f t="shared" si="56"/>
        <v>-5.983349</v>
      </c>
      <c r="I247" s="11">
        <f t="shared" si="56"/>
        <v>-7.184522</v>
      </c>
      <c r="J247" s="11">
        <f t="shared" si="56"/>
        <v>-6.343042</v>
      </c>
      <c r="K247" s="11">
        <f t="shared" si="56"/>
        <v>-6.286628</v>
      </c>
      <c r="L247" s="11">
        <f t="shared" si="56"/>
        <v>-6.503236</v>
      </c>
      <c r="M247" s="11">
        <f t="shared" si="56"/>
        <v>-6.091108</v>
      </c>
      <c r="N247" s="11">
        <f t="shared" si="56"/>
        <v>-6.191594</v>
      </c>
      <c r="O247" s="11">
        <f t="shared" si="56"/>
        <v>-6.512825</v>
      </c>
    </row>
    <row customHeight="1" ht="15">
      <c r="A248" s="9" t="s">
        <v>235</v>
      </c>
      <c r="B248" s="11">
        <f t="shared" si="57" ref="B248:O248">B243+B247+B226-(0.1*B159)</f>
        <v>-150.820602</v>
      </c>
      <c r="E248" s="11">
        <f t="shared" si="57"/>
        <v>-156.9903654</v>
      </c>
      <c r="G248" s="11">
        <f t="shared" si="57"/>
        <v>-141.2519396</v>
      </c>
      <c r="H248" s="11">
        <f t="shared" si="57"/>
        <v>-117.3136939</v>
      </c>
      <c r="I248" s="11">
        <f t="shared" si="57"/>
        <v>-125.6840067</v>
      </c>
      <c r="J248" s="11">
        <f t="shared" si="57"/>
        <v>-116.8145279</v>
      </c>
      <c r="K248" s="11">
        <f t="shared" si="57"/>
        <v>-128.1127329</v>
      </c>
      <c r="L248" s="11">
        <f t="shared" si="57"/>
        <v>-121.6292677</v>
      </c>
      <c r="M248" s="11">
        <f t="shared" si="57"/>
        <v>-160.9709055</v>
      </c>
      <c r="N248" s="11">
        <f t="shared" si="57"/>
        <v>-179.779427</v>
      </c>
      <c r="O248" s="11">
        <f t="shared" si="57"/>
        <v>-183.360261</v>
      </c>
    </row>
    <row customHeight="1" ht="15">
      <c r="A249" s="9" t="s">
        <v>236</v>
      </c>
      <c r="B249" s="15">
        <f t="shared" si="58" ref="B249:O249">IF(OR(B167&lt;=0,B248=0),"NM",-B167/B248)</f>
        <v>0.468159144464892</v>
      </c>
      <c r="E249" s="15">
        <f t="shared" si="58"/>
        <v>0.728299241222099</v>
      </c>
      <c r="G249" s="15">
        <f t="shared" si="58"/>
        <v>0.766388931058615</v>
      </c>
      <c r="H249" s="15">
        <f t="shared" si="58"/>
        <v>0.872969280869264</v>
      </c>
      <c r="I249" s="15">
        <f t="shared" si="58"/>
        <v>0.632615995365145</v>
      </c>
      <c r="J249" s="15">
        <f t="shared" si="58"/>
        <v>0.704365736686764</v>
      </c>
      <c r="K249" s="15">
        <f t="shared" si="58"/>
        <v>0.701286046798554</v>
      </c>
      <c r="L249" s="15">
        <f t="shared" si="58"/>
        <v>0.978866684404119</v>
      </c>
      <c r="M249" s="15">
        <f t="shared" si="58"/>
        <v>0.861211158435088</v>
      </c>
      <c r="N249" s="15">
        <f t="shared" si="58"/>
        <v>0.82180117861873</v>
      </c>
      <c r="O249" s="15">
        <f t="shared" si="58"/>
        <v>0.865801270865338</v>
      </c>
    </row>
    <row customHeight="1" ht="15">
      <c r="A250" s="9" t="s">
        <v>237</v>
      </c>
      <c r="B250" s="15">
        <f t="shared" si="59" ref="B250:O250">IF(OR(B176&lt;=0,B248=0),"NM",-B176/B248)</f>
        <v>0.468159144464892</v>
      </c>
      <c r="E250" s="15">
        <f t="shared" si="59"/>
        <v>0.728299241222099</v>
      </c>
      <c r="G250" s="15">
        <f t="shared" si="59"/>
        <v>0.765806404544409</v>
      </c>
      <c r="H250" s="15">
        <f t="shared" si="59"/>
        <v>0.872594610201768</v>
      </c>
      <c r="I250" s="15">
        <f t="shared" si="59"/>
        <v>0.632615995365145</v>
      </c>
      <c r="J250" s="15">
        <f t="shared" si="59"/>
        <v>0.704170076092051</v>
      </c>
      <c r="K250" s="15">
        <f t="shared" si="59"/>
        <v>0.701736548467619</v>
      </c>
      <c r="L250" s="15">
        <f t="shared" si="59"/>
        <v>0.981684262824843</v>
      </c>
      <c r="M250" s="15">
        <f t="shared" si="59"/>
        <v>0.861211158435088</v>
      </c>
      <c r="N250" s="15">
        <f t="shared" si="59"/>
        <v>0.822871529121071</v>
      </c>
      <c r="O250" s="15">
        <f t="shared" si="59"/>
        <v>0.867386968869989</v>
      </c>
    </row>
    <row customHeight="1" ht="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</row>
    <row customHeight="1" ht="15">
      <c r="A252" s="2" t="s">
        <v>238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customHeight="1" ht="15">
      <c r="A253" s="9" t="s">
        <v>239</v>
      </c>
      <c r="E253" s="19">
        <f>IF(AND(E3=0,B3=0),0,IF(OR(B3=0,B3="NM",E3="NM"),"NM",IF(B3&lt;0,-(E3/B3-1),E3/B3-1)))</f>
        <v>0.156075795585702</v>
      </c>
      <c r="I253" s="19">
        <f t="shared" si="60" ref="I253:O253">IF(AND(I3=0,E3=0),0,IF(OR(E3=0,E3="NM",I3="NM"),"NM",IF(E3&lt;0,-(I3/E3-1),I3/E3-1)))</f>
        <v>-0.000571029384713095</v>
      </c>
      <c r="K253" s="19">
        <f t="shared" si="60"/>
        <v>0.110457494403782</v>
      </c>
      <c r="L253" s="19">
        <f t="shared" si="60"/>
        <v>0.110319894842994</v>
      </c>
      <c r="M253" s="19">
        <f t="shared" si="60"/>
        <v>0.147910181170013</v>
      </c>
      <c r="N253" s="19">
        <f t="shared" si="60"/>
        <v>0.180937072595744</v>
      </c>
      <c r="O253" s="19">
        <f t="shared" si="60"/>
        <v>0.187820256705042</v>
      </c>
    </row>
    <row customHeight="1" ht="15">
      <c r="A254" s="9" t="s">
        <v>240</v>
      </c>
      <c r="E254" s="19">
        <f>IF(AND(E167=0,B167=0),0,IF(OR(B167=0,B167="NM",E167="NM"),"NM",IF(B167&lt;0,-(E167/B167-1),E167/B167-1)))</f>
        <v>0.61930507521211</v>
      </c>
      <c r="I254" s="19">
        <f t="shared" si="61" ref="I254:O254">IF(AND(I167=0,E167=0),0,IF(OR(E167=0,E167="NM",I167="NM"),"NM",IF(E167&lt;0,-(I167/E167-1),I167/E167-1)))</f>
        <v>-0.304595770058842</v>
      </c>
      <c r="K254" s="19">
        <f t="shared" si="61"/>
        <v>-0.170065439568412</v>
      </c>
      <c r="L254" s="19">
        <f t="shared" si="61"/>
        <v>0.162556231248459</v>
      </c>
      <c r="M254" s="19">
        <f t="shared" si="61"/>
        <v>0.743559808850021</v>
      </c>
      <c r="N254" s="19">
        <f t="shared" si="61"/>
        <v>0.795608578793201</v>
      </c>
      <c r="O254" s="19">
        <f t="shared" si="61"/>
        <v>0.766997535452469</v>
      </c>
    </row>
    <row customHeight="1" ht="15">
      <c r="A255" s="9" t="s">
        <v>241</v>
      </c>
      <c r="E255" s="19">
        <f>IF(AND(E176=0,B176=0),0,IF(OR(B176=0,B176="NM",E176="NM"),"NM",IF(B176&lt;0,-(E176/B176-1),E176/B176-1)))</f>
        <v>0.61930507521211</v>
      </c>
      <c r="I255" s="19">
        <f t="shared" si="62" ref="I255:O255">IF(AND(I176=0,E176=0),0,IF(OR(E176=0,E176="NM",I176="NM"),"NM",IF(E176&lt;0,-(I176/E176-1),I176/E176-1)))</f>
        <v>-0.304595770058842</v>
      </c>
      <c r="K255" s="19">
        <f t="shared" si="62"/>
        <v>-0.168900582444715</v>
      </c>
      <c r="L255" s="19">
        <f t="shared" si="62"/>
        <v>0.166403153147631</v>
      </c>
      <c r="M255" s="19">
        <f t="shared" si="62"/>
        <v>0.743559808850021</v>
      </c>
      <c r="N255" s="19">
        <f t="shared" si="62"/>
        <v>0.79844683684286</v>
      </c>
      <c r="O255" s="19">
        <f t="shared" si="62"/>
        <v>0.769097299911513</v>
      </c>
    </row>
    <row customHeight="1" ht="15">
      <c r="A256" s="9" t="s">
        <v>242</v>
      </c>
      <c r="E256" s="19">
        <f>IF(AND(E13=0,B13=0),0,IF(OR(B13=0,B13="NM",E13="NM"),"NM",IF(B13&lt;0,-(E13/B13-1),E13/B13-1)))</f>
        <v>2.20794650130765</v>
      </c>
      <c r="I256" s="19">
        <f t="shared" si="63" ref="I256:O256">IF(AND(I13=0,E13=0),0,IF(OR(E13=0,E13="NM",I13="NM"),"NM",IF(E13&lt;0,-(I13/E13-1),I13/E13-1)))</f>
        <v>-0.798447759733972</v>
      </c>
      <c r="K256" s="19">
        <f t="shared" si="63"/>
        <v>-0.457802432671387</v>
      </c>
      <c r="L256" s="19">
        <f t="shared" si="63"/>
        <v>0.419253003613338</v>
      </c>
      <c r="M256" s="19">
        <f t="shared" si="63"/>
        <v>5.66027525465441</v>
      </c>
      <c r="N256" s="19">
        <f t="shared" si="63"/>
        <v>4.7484816915131</v>
      </c>
      <c r="O256" s="19">
        <f t="shared" si="63"/>
        <v>2.7799605715969</v>
      </c>
    </row>
    <row customHeight="1" ht="15">
      <c r="A257" s="9" t="s">
        <v>243</v>
      </c>
      <c r="E257" s="19">
        <f>IF(AND(E20=0,B20=0),0,IF(OR(B20=0,B20="NM",E20="NM"),"NM",IF(B20&lt;0,-(E20/B20-1),E20/B20-1)))</f>
        <v>-0.697296600605904</v>
      </c>
      <c r="I257" s="19">
        <f t="shared" si="64" ref="I257:O257">IF(AND(I20=0,E20=0),0,IF(OR(E20=0,E20="NM",I20="NM"),"NM",IF(E20&lt;0,-(I20/E20-1),I20/E20-1)))</f>
        <v>0.0672574687767485</v>
      </c>
      <c r="K257" s="19">
        <f t="shared" si="64"/>
        <v>-0.0851166834291675</v>
      </c>
      <c r="L257" s="19">
        <f t="shared" si="64"/>
        <v>0.679983183945697</v>
      </c>
      <c r="M257" s="19">
        <f t="shared" si="64"/>
        <v>1.37498922955127</v>
      </c>
      <c r="N257" s="19">
        <f t="shared" si="64"/>
        <v>1.37915262453115</v>
      </c>
      <c r="O257" s="19">
        <f t="shared" si="64"/>
        <v>1.53671204608169</v>
      </c>
    </row>
    <row customHeight="1" ht="15">
      <c r="A258" s="9" t="s">
        <v>244</v>
      </c>
      <c r="E258" s="19">
        <f>IF(AND(E24=0,B24=0),0,IF(OR(B24=0,B24="NM",E24="NM"),"NM",IF(B24&lt;0,-(E24/B24-1),E24/B24-1)))</f>
        <v>-0.869093555360517</v>
      </c>
      <c r="I258" s="19">
        <f t="shared" si="65" ref="I258:O258">IF(AND(I24=0,E24=0),0,IF(OR(E24=0,E24="NM",I24="NM"),"NM",IF(E24&lt;0,-(I24/E24-1),I24/E24-1)))</f>
        <v>0.101786752228812</v>
      </c>
      <c r="K258" s="19">
        <f t="shared" si="65"/>
        <v>-0.0927152548089805</v>
      </c>
      <c r="L258" s="19">
        <f t="shared" si="65"/>
        <v>0.645911070570707</v>
      </c>
      <c r="M258" s="19">
        <f t="shared" si="65"/>
        <v>1.29328319249841</v>
      </c>
      <c r="N258" s="19">
        <f t="shared" si="65"/>
        <v>1.27812579112137</v>
      </c>
      <c r="O258" s="19">
        <f t="shared" si="65"/>
        <v>1.38975072744976</v>
      </c>
    </row>
    <row customHeight="1" ht="15">
      <c r="A259" s="9" t="s">
        <v>245</v>
      </c>
      <c r="E259" s="19">
        <f>IF(AND(E78=0,B78=0),0,IF(OR(B78=0,B78="NM",E78="NM"),"NM",IF(B78&lt;0,-(E78/B78-1),E78/B78-1)))</f>
        <v>0.174372533131378</v>
      </c>
      <c r="I259" s="19">
        <f t="shared" si="66" ref="I259:O259">IF(AND(I78=0,E78=0),0,IF(OR(E78=0,E78="NM",I78="NM"),"NM",IF(E78&lt;0,-(I78/E78-1),I78/E78-1)))</f>
        <v>-0.699379934197744</v>
      </c>
      <c r="K259" s="19">
        <f t="shared" si="66"/>
        <v>-0.584651888298256</v>
      </c>
      <c r="L259" s="19">
        <f t="shared" si="66"/>
        <v>-0.54883930529255</v>
      </c>
      <c r="M259" s="19">
        <f t="shared" si="66"/>
        <v>0.230229924711019</v>
      </c>
      <c r="N259" s="19">
        <f t="shared" si="66"/>
        <v>2.43774558117714</v>
      </c>
      <c r="O259" s="19">
        <f t="shared" si="66"/>
        <v>0.0701600176395296</v>
      </c>
    </row>
    <row customHeight="1" ht="15">
      <c r="A260" s="9" t="s">
        <v>246</v>
      </c>
      <c r="E260" s="19">
        <f>IF(AND(E226=0,B226=0),0,IF(OR(B226=0,B226="NM",E226="NM"),"NM",IF(B226&lt;0,(E226/B226-1),-(E226/B226-1))))</f>
        <v>-0.00685651940003806</v>
      </c>
      <c r="I260" s="19">
        <f t="shared" si="67" ref="I260:O260">IF(AND(I226=0,E226=0),0,IF(OR(E226=0,E226="NM",I226="NM"),"NM",IF(E226&lt;0,(I226/E226-1),-(I226/E226-1))))</f>
        <v>-0.496389840454486</v>
      </c>
      <c r="K260" s="19">
        <f t="shared" si="67"/>
        <v>-0.443879910317814</v>
      </c>
      <c r="L260" s="19">
        <f t="shared" si="67"/>
        <v>-0.290262858020714</v>
      </c>
      <c r="M260" s="19">
        <f t="shared" si="67"/>
        <v>0.122721646114283</v>
      </c>
      <c r="N260" s="19">
        <f t="shared" si="67"/>
        <v>0.592610295178839</v>
      </c>
      <c r="O260" s="19">
        <f t="shared" si="67"/>
        <v>0.315226357434017</v>
      </c>
    </row>
    <row customHeight="1" ht="15">
      <c r="A261" s="9" t="s">
        <v>247</v>
      </c>
      <c r="E261" s="19">
        <f t="shared" si="69" ref="E261:E263">IF(AND(E232=0,B232=0),0,IF(OR(B232=0,B232="NM",E232="NM"),"NM",IF(B232&lt;0,-(E232/B232-1),E232/B232-1)))</f>
        <v>0.564436537857272</v>
      </c>
      <c r="I261" s="19">
        <f t="shared" si="68" ref="I261:O263">IF(AND(I232=0,E232=0),0,IF(OR(E232=0,E232="NM",I232="NM"),"NM",IF(E232&lt;0,-(I232/E232-1),I232/E232-1)))</f>
        <v>-0.508405711842875</v>
      </c>
      <c r="K261" s="19">
        <f t="shared" si="68"/>
        <v>-0.465922535074666</v>
      </c>
      <c r="L261" s="19">
        <f t="shared" si="68"/>
        <v>-0.100610313343834</v>
      </c>
      <c r="M261" s="19">
        <f t="shared" si="68"/>
        <v>0.838511249084662</v>
      </c>
      <c r="N261" s="19">
        <f t="shared" si="68"/>
        <v>1.81214111013704</v>
      </c>
      <c r="O261" s="19">
        <f t="shared" si="68"/>
        <v>0.826237959688354</v>
      </c>
    </row>
    <row customHeight="1" ht="15">
      <c r="A262" s="9" t="s">
        <v>248</v>
      </c>
      <c r="E262" s="19">
        <f t="shared" si="69"/>
        <v>1.8566254947067</v>
      </c>
      <c r="I262" s="19">
        <f t="shared" si="68"/>
        <v>-4.23413886946717</v>
      </c>
      <c r="K262" s="19">
        <f t="shared" si="68"/>
        <v>-16.0227229787552</v>
      </c>
      <c r="L262" s="19">
        <f t="shared" si="68"/>
        <v>-36.6529666049692</v>
      </c>
      <c r="M262" s="19">
        <f t="shared" si="68"/>
        <v>-0.142955792356067</v>
      </c>
      <c r="N262" s="19">
        <f t="shared" si="68"/>
        <v>-0.149129548570738</v>
      </c>
      <c r="O262" s="19">
        <f t="shared" si="68"/>
        <v>-0.65053613833076</v>
      </c>
    </row>
    <row customHeight="1" ht="15">
      <c r="A263" s="9" t="s">
        <v>249</v>
      </c>
      <c r="E263" s="19">
        <f t="shared" si="69"/>
        <v>1.32019084081353</v>
      </c>
      <c r="I263" s="19">
        <f t="shared" si="68"/>
        <v>-0.851484414353335</v>
      </c>
      <c r="K263" s="19">
        <f t="shared" si="68"/>
        <v>-0.777161795252803</v>
      </c>
      <c r="L263" s="19">
        <f t="shared" si="68"/>
        <v>-1.2615457319718</v>
      </c>
      <c r="M263" s="19">
        <f t="shared" si="68"/>
        <v>5.33627183272529</v>
      </c>
      <c r="N263" s="19">
        <f t="shared" si="68"/>
        <v>2.91011958609598</v>
      </c>
      <c r="O263" s="19">
        <f t="shared" si="68"/>
        <v>2.47078949303176</v>
      </c>
    </row>
    <row customHeight="1" ht="15">
      <c r="A264" s="9" t="s">
        <v>250</v>
      </c>
      <c r="E264" s="19">
        <f>IF(AND((E95+E96)=0,(B95+B96)=0),0,IF(OR((B95+B96)=0,(B95+B96)="NM",(E95+E96)="NM"),"NM",IF((B95+B96)&lt;0,-((E95+E96)/(B95+B96)-1),(E95+E96)/(B95+B96)-1)))</f>
        <v>1.16852098373355</v>
      </c>
      <c r="I264" s="19">
        <f t="shared" si="70" ref="I264:M264">IF(AND((I95+I96)=0,(E95+E96)=0),0,IF(OR((E95+E96)=0,(E95+E96)="NM",(I95+I96)="NM"),"NM",IF((E95+E96)&lt;0,-((I95+I96)/(E95+E96)-1),(I95+I96)/(E95+E96)-1)))</f>
        <v>2.38360484503064</v>
      </c>
      <c r="K264" s="19">
        <f>IF(AND(((I95+I96)+('Quarterly YTD'!K95+'Quarterly YTD'!K96)-('Quarterly YTD'!G95+'Quarterly YTD'!G96))=0,((E95+E96)+('Quarterly YTD'!G95+'Quarterly YTD'!G96)-('Quarterly YTD'!C95+'Quarterly YTD'!C96))=0),0,IF(OR(((E95+E96)+('Quarterly YTD'!G95+'Quarterly YTD'!G96)-('Quarterly YTD'!C95+'Quarterly YTD'!C96))=0,((E95+E96)+('Quarterly YTD'!G95+'Quarterly YTD'!G96)-('Quarterly YTD'!C95+'Quarterly YTD'!C96))="NM",((I95+I96)+('Quarterly YTD'!K95+'Quarterly YTD'!K96)-('Quarterly YTD'!G95+'Quarterly YTD'!G96))="NM"),"NM",IF(((E95+E96)+('Quarterly YTD'!G95+'Quarterly YTD'!G96)-('Quarterly YTD'!C95+'Quarterly YTD'!C96))&lt;0,-(((I95+I96)+('Quarterly YTD'!K95+'Quarterly YTD'!K96)-('Quarterly YTD'!G95+'Quarterly YTD'!G96))/((E95+E96)+('Quarterly YTD'!G95+'Quarterly YTD'!G96)-('Quarterly YTD'!C95+'Quarterly YTD'!C96))-1),((I95+I96)+('Quarterly YTD'!K95+'Quarterly YTD'!K96)-('Quarterly YTD'!G95+'Quarterly YTD'!G96))/((E95+E96)+('Quarterly YTD'!G95+'Quarterly YTD'!G96)-('Quarterly YTD'!C95+'Quarterly YTD'!C96))-1)))</f>
        <v>1.25287295301675</v>
      </c>
      <c r="L264" s="19">
        <f>IF(AND(((I95+I96)+('Quarterly YTD'!L95+'Quarterly YTD'!L96)-('Quarterly YTD'!H95+'Quarterly YTD'!H96))=0,((E95+E96)+('Quarterly YTD'!H95+'Quarterly YTD'!H96)-('Quarterly YTD'!D95+'Quarterly YTD'!D96))=0),0,IF(OR(((E95+E96)+('Quarterly YTD'!H95+'Quarterly YTD'!H96)-('Quarterly YTD'!D95+'Quarterly YTD'!D96))=0,((E95+E96)+('Quarterly YTD'!H95+'Quarterly YTD'!H96)-('Quarterly YTD'!D95+'Quarterly YTD'!D96))="NM",((I95+I96)+('Quarterly YTD'!L95+'Quarterly YTD'!L96)-('Quarterly YTD'!H95+'Quarterly YTD'!H96))="NM"),"NM",IF(((E95+E96)+('Quarterly YTD'!H95+'Quarterly YTD'!H96)-('Quarterly YTD'!D95+'Quarterly YTD'!D96))&lt;0,-(((I95+I96)+('Quarterly YTD'!L95+'Quarterly YTD'!L96)-('Quarterly YTD'!H95+'Quarterly YTD'!H96))/((E95+E96)+('Quarterly YTD'!H95+'Quarterly YTD'!H96)-('Quarterly YTD'!D95+'Quarterly YTD'!D96))-1),((I95+I96)+('Quarterly YTD'!L95+'Quarterly YTD'!L96)-('Quarterly YTD'!H95+'Quarterly YTD'!H96))/((E95+E96)+('Quarterly YTD'!H95+'Quarterly YTD'!H96)-('Quarterly YTD'!D95+'Quarterly YTD'!D96))-1)))</f>
        <v>2.32846973328814</v>
      </c>
      <c r="M264" s="19">
        <f t="shared" si="70"/>
        <v>-2.12587832447342</v>
      </c>
      <c r="N264" s="19">
        <f>IF(AND(((M95+M96)+('Quarterly YTD'!N95+'Quarterly YTD'!N96)-('Quarterly YTD'!J95+'Quarterly YTD'!J96))=0,((I95+I96)+('Quarterly YTD'!J95+'Quarterly YTD'!J96)-('Quarterly YTD'!F95+'Quarterly YTD'!F96))=0),0,IF(OR(((I95+I96)+('Quarterly YTD'!J95+'Quarterly YTD'!J96)-('Quarterly YTD'!F95+'Quarterly YTD'!F96))=0,((I95+I96)+('Quarterly YTD'!J95+'Quarterly YTD'!J96)-('Quarterly YTD'!F95+'Quarterly YTD'!F96))="NM",((M95+M96)+('Quarterly YTD'!N95+'Quarterly YTD'!N96)-('Quarterly YTD'!J95+'Quarterly YTD'!J96))="NM"),"NM",IF(((I95+I96)+('Quarterly YTD'!J95+'Quarterly YTD'!J96)-('Quarterly YTD'!F95+'Quarterly YTD'!F96))&lt;0,-(((M95+M96)+('Quarterly YTD'!N95+'Quarterly YTD'!N96)-('Quarterly YTD'!J95+'Quarterly YTD'!J96))/((I95+I96)+('Quarterly YTD'!J95+'Quarterly YTD'!J96)-('Quarterly YTD'!F95+'Quarterly YTD'!F96))-1),((M95+M96)+('Quarterly YTD'!N95+'Quarterly YTD'!N96)-('Quarterly YTD'!J95+'Quarterly YTD'!J96))/((I95+I96)+('Quarterly YTD'!J95+'Quarterly YTD'!J96)-('Quarterly YTD'!F95+'Quarterly YTD'!F96))-1)))</f>
        <v>1.96936750957618</v>
      </c>
      <c r="O264" s="19">
        <f>IF(AND(((M95+M96)+('Quarterly YTD'!O95+'Quarterly YTD'!O96)-('Quarterly YTD'!K95+'Quarterly YTD'!K96))=0,((I95+I96)+('Quarterly YTD'!K95+'Quarterly YTD'!K96)-('Quarterly YTD'!G95+'Quarterly YTD'!G96))=0),0,IF(OR(((I95+I96)+('Quarterly YTD'!K95+'Quarterly YTD'!K96)-('Quarterly YTD'!G95+'Quarterly YTD'!G96))=0,((I95+I96)+('Quarterly YTD'!K95+'Quarterly YTD'!K96)-('Quarterly YTD'!G95+'Quarterly YTD'!G96))="NM",((M95+M96)+('Quarterly YTD'!O95+'Quarterly YTD'!O96)-('Quarterly YTD'!K95+'Quarterly YTD'!K96))="NM"),"NM",IF(((I95+I96)+('Quarterly YTD'!K95+'Quarterly YTD'!K96)-('Quarterly YTD'!G95+'Quarterly YTD'!G96))&lt;0,-(((M95+M96)+('Quarterly YTD'!O95+'Quarterly YTD'!O96)-('Quarterly YTD'!K95+'Quarterly YTD'!K96))/((I95+I96)+('Quarterly YTD'!K95+'Quarterly YTD'!K96)-('Quarterly YTD'!G95+'Quarterly YTD'!G96))-1),((M95+M96)+('Quarterly YTD'!O95+'Quarterly YTD'!O96)-('Quarterly YTD'!K95+'Quarterly YTD'!K96))/((I95+I96)+('Quarterly YTD'!K95+'Quarterly YTD'!K96)-('Quarterly YTD'!G95+'Quarterly YTD'!G96))-1)))</f>
        <v>-1.08190771008347</v>
      </c>
    </row>
    <row customHeight="1" ht="15">
      <c r="A265" s="9" t="s">
        <v>251</v>
      </c>
      <c r="E265" s="19">
        <f t="shared" si="74" ref="E265:E268">IF(AND(E159=0,B159=0),0,IF(OR(B159=0,B159="NM",E159="NM"),"NM",IF(B159&lt;0,-(E159/B159-1),E159/B159-1)))</f>
        <v>0.0390906758159248</v>
      </c>
      <c r="I265" s="19">
        <f t="shared" si="71" ref="I265:O268">IF(AND(I159=0,E159=0),0,IF(OR(E159=0,E159="NM",I159="NM"),"NM",IF(E159&lt;0,-(I159/E159-1),I159/E159-1)))</f>
        <v>0.161408497958788</v>
      </c>
      <c r="K265" s="19">
        <f t="shared" si="71"/>
        <v>0.156754632873262</v>
      </c>
      <c r="L265" s="19">
        <f t="shared" si="71"/>
        <v>0.188431161973879</v>
      </c>
      <c r="M265" s="19">
        <f t="shared" si="71"/>
        <v>0.0240360888418132</v>
      </c>
      <c r="N265" s="19">
        <f t="shared" si="71"/>
        <v>0.138121795328731</v>
      </c>
      <c r="O265" s="19">
        <f t="shared" si="71"/>
        <v>0.13872976475924</v>
      </c>
    </row>
    <row customHeight="1" ht="15">
      <c r="A266" s="9" t="s">
        <v>252</v>
      </c>
      <c r="E266" s="15">
        <f t="shared" si="73" ref="E266:E270">IF(OR(B160=0,B160="NM",E160="NM"),"NM",E160-B160)</f>
        <v>-2.21889958095478</v>
      </c>
      <c r="I266" s="15">
        <f t="shared" si="72" ref="I266:O270">IF(OR(E160=0,E160="NM",I160="NM"),"NM",I160-E160)</f>
        <v>2.66290185068484</v>
      </c>
      <c r="K266" s="15">
        <f t="shared" si="72"/>
        <v>1.64532869012361</v>
      </c>
      <c r="L266" s="15">
        <f t="shared" si="72"/>
        <v>0.0947117289338397</v>
      </c>
      <c r="M266" s="15">
        <f t="shared" si="72"/>
        <v>-2.73878872139843</v>
      </c>
      <c r="N266" s="15">
        <f t="shared" si="72"/>
        <v>-2.34971199118678</v>
      </c>
      <c r="O266" s="15">
        <f t="shared" si="72"/>
        <v>-2.07058962756291</v>
      </c>
    </row>
    <row customHeight="1" ht="15">
      <c r="A267" s="9" t="s">
        <v>253</v>
      </c>
      <c r="E267" s="15">
        <f t="shared" si="73"/>
        <v>-2.21889958095478</v>
      </c>
      <c r="I267" s="15">
        <f t="shared" si="72"/>
        <v>2.66290185068484</v>
      </c>
      <c r="K267" s="15">
        <f t="shared" si="72"/>
        <v>1.63841187901906</v>
      </c>
      <c r="L267" s="15">
        <f t="shared" si="72"/>
        <v>0.0803991633330696</v>
      </c>
      <c r="M267" s="15">
        <f t="shared" si="72"/>
        <v>-2.73878872139843</v>
      </c>
      <c r="N267" s="15">
        <f t="shared" si="72"/>
        <v>-2.35678571336817</v>
      </c>
      <c r="O267" s="15">
        <f t="shared" si="72"/>
        <v>-2.07371188393281</v>
      </c>
    </row>
    <row customHeight="1" ht="15">
      <c r="A268" s="9" t="s">
        <v>254</v>
      </c>
      <c r="E268" s="19">
        <f t="shared" si="74"/>
        <v>0.0211312756703546</v>
      </c>
      <c r="I268" s="19">
        <f t="shared" si="71"/>
        <v>0.148647128813483</v>
      </c>
      <c r="K268" s="19">
        <f t="shared" si="71"/>
        <v>0.15723229442682</v>
      </c>
      <c r="L268" s="19">
        <f t="shared" si="71"/>
        <v>0.142358177104082</v>
      </c>
      <c r="M268" s="19">
        <f t="shared" si="71"/>
        <v>0.0656951076020225</v>
      </c>
      <c r="N268" s="19">
        <f t="shared" si="71"/>
        <v>0.0913288382521997</v>
      </c>
      <c r="O268" s="19">
        <f t="shared" si="71"/>
        <v>0.12868346433113</v>
      </c>
    </row>
    <row customHeight="1" ht="15">
      <c r="A269" s="9" t="s">
        <v>255</v>
      </c>
      <c r="E269" s="15">
        <f t="shared" si="73"/>
        <v>-2.15715941387706</v>
      </c>
      <c r="I269" s="15">
        <f t="shared" si="72"/>
        <v>2.40010428668575</v>
      </c>
      <c r="K269" s="15">
        <f t="shared" si="72"/>
        <v>1.5630656084356</v>
      </c>
      <c r="L269" s="15">
        <f t="shared" si="72"/>
        <v>-0.0711266426883599</v>
      </c>
      <c r="M269" s="15">
        <f t="shared" si="72"/>
        <v>-2.36478632458596</v>
      </c>
      <c r="N269" s="15">
        <f t="shared" si="72"/>
        <v>-2.33363080941582</v>
      </c>
      <c r="O269" s="15">
        <f t="shared" si="72"/>
        <v>-1.99642605119469</v>
      </c>
    </row>
    <row customHeight="1" ht="15">
      <c r="A270" s="9" t="s">
        <v>256</v>
      </c>
      <c r="E270" s="15">
        <f t="shared" si="73"/>
        <v>-2.15715941387706</v>
      </c>
      <c r="I270" s="15">
        <f t="shared" si="72"/>
        <v>2.40010428668575</v>
      </c>
      <c r="K270" s="15">
        <f t="shared" si="72"/>
        <v>1.55650274909377</v>
      </c>
      <c r="L270" s="15">
        <f t="shared" si="72"/>
        <v>-0.0844303996392499</v>
      </c>
      <c r="M270" s="15">
        <f t="shared" si="72"/>
        <v>-2.36478632458596</v>
      </c>
      <c r="N270" s="15">
        <f t="shared" si="72"/>
        <v>-2.33998767272248</v>
      </c>
      <c r="O270" s="15">
        <f t="shared" si="72"/>
        <v>-1.99933165291464</v>
      </c>
    </row>
    <row customHeight="1" ht="15">
      <c r="A271" s="9" t="s">
        <v>257</v>
      </c>
      <c r="E271" s="28">
        <f t="shared" si="76" ref="E271:E273">IF(OR(B217=0,B217="NM",E217="NM"),"NM",10000*(E217-B217))</f>
        <v>918.24765284782</v>
      </c>
      <c r="I271" s="28">
        <f t="shared" si="75" ref="I271:O273">IF(OR(E217=0,E217="NM",I217="NM"),"NM",10000*(I217-E217))</f>
        <v>-976.44884059562</v>
      </c>
      <c r="K271" s="28">
        <f t="shared" si="75"/>
        <v>-809.37095797596</v>
      </c>
      <c r="L271" s="28">
        <f t="shared" si="75"/>
        <v>135.81059466414</v>
      </c>
      <c r="M271" s="28">
        <f t="shared" si="75"/>
        <v>1158.93975928538</v>
      </c>
      <c r="N271" s="28">
        <f t="shared" si="75"/>
        <v>1177.56013245043</v>
      </c>
      <c r="O271" s="28">
        <f t="shared" si="75"/>
        <v>1167.57256904289</v>
      </c>
    </row>
    <row customHeight="1" ht="15">
      <c r="A272" s="9" t="s">
        <v>258</v>
      </c>
      <c r="E272" s="28">
        <f t="shared" si="76"/>
        <v>918.24765284782</v>
      </c>
      <c r="I272" s="28">
        <f t="shared" si="75"/>
        <v>-976.44884059562</v>
      </c>
      <c r="K272" s="28">
        <f t="shared" si="75"/>
        <v>-805.39744424452</v>
      </c>
      <c r="L272" s="28">
        <f t="shared" si="75"/>
        <v>145.74972451427</v>
      </c>
      <c r="M272" s="28">
        <f t="shared" si="75"/>
        <v>1158.93975928538</v>
      </c>
      <c r="N272" s="28">
        <f t="shared" si="75"/>
        <v>1182.66892384471</v>
      </c>
      <c r="O272" s="28">
        <f t="shared" si="75"/>
        <v>1172.55827754728</v>
      </c>
    </row>
    <row customHeight="1" ht="15">
      <c r="A273" s="9" t="s">
        <v>259</v>
      </c>
      <c r="E273" s="28">
        <f t="shared" si="76"/>
        <v>916.352056111388</v>
      </c>
      <c r="I273" s="28">
        <f t="shared" si="75"/>
        <v>-1143.72957000516</v>
      </c>
      <c r="K273" s="28">
        <f t="shared" si="75"/>
        <v>-619.690738983183</v>
      </c>
      <c r="L273" s="28">
        <f t="shared" si="75"/>
        <v>269.110852759354</v>
      </c>
      <c r="M273" s="28">
        <f t="shared" si="75"/>
        <v>1387.41135477314</v>
      </c>
      <c r="N273" s="28">
        <f t="shared" si="75"/>
        <v>1391.25611977787</v>
      </c>
      <c r="O273" s="28">
        <f t="shared" si="75"/>
        <v>1290.30778792187</v>
      </c>
    </row>
    <row customHeight="1" ht="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</row>
    <row r="277" customHeight="1" ht="30">
      <c r="A277" s="9"/>
    </row>
    <row customHeight="1" ht="54">
      <c r="A278" s="29" t="s">
        <v>260</v>
      </c>
    </row>
    <row r="282" customHeight="1" ht="15">
      <c r="A282" s="29" t="s">
        <v>261</v>
      </c>
    </row>
    <row customHeight="1" ht="15">
      <c r="A283" s="30" t="s">
        <v>262</v>
      </c>
    </row>
  </sheetData>
  <hyperlinks>
    <hyperlink ref="A283" r:id="rId1" tooltip="Source location" xr:uid="{C9733A8C-E858-970D-A9B2-B18B0A9C429D}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