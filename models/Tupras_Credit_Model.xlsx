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Tüpraş (Turkish Petroleum)</t>
        </is>
      </c>
    </row>
    <row r="3">
      <c r="B3" s="2" t="inlineStr">
        <is>
          <t>CEMBI CEEMEA Institutional Credit Assessment | Country: Turkey (Turkey) | Sector: Energy | Benchmark: TUPRAS 6.95%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TUPRAS 6.95% 2027</t>
        </is>
      </c>
      <c r="C6" s="5" t="inlineStr">
        <is>
          <t>7.20% (+315 bp)</t>
        </is>
      </c>
      <c r="D6" s="4" t="inlineStr">
        <is>
          <t>BB / BB- | Tier-1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$76.00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Koç Group refining powerhouse; 4 complex refineries commanding resilient Mediterranean crack spreads.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Tüpraş (Turkish Petroleum)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12580</v>
      </c>
      <c r="D7" s="13" t="n">
        <v>15170</v>
      </c>
      <c r="E7" s="13" t="n">
        <v>17020</v>
      </c>
      <c r="F7" s="13" t="n">
        <v>18500</v>
      </c>
      <c r="G7" s="14" t="n">
        <v>19980</v>
      </c>
      <c r="H7" s="14" t="n">
        <v>21275</v>
      </c>
      <c r="I7" s="14" t="n">
        <v>22200</v>
      </c>
    </row>
    <row r="8">
      <c r="B8" s="12" t="inlineStr">
        <is>
          <t>EBITDA</t>
        </is>
      </c>
      <c r="C8" s="13" t="n">
        <v>1170</v>
      </c>
      <c r="D8" s="13" t="n">
        <v>1440</v>
      </c>
      <c r="E8" s="13" t="n">
        <v>1620</v>
      </c>
      <c r="F8" s="13" t="n">
        <v>1800</v>
      </c>
      <c r="G8" s="14" t="n">
        <v>1980</v>
      </c>
      <c r="H8" s="14" t="n">
        <v>2124</v>
      </c>
      <c r="I8" s="14" t="n">
        <v>2232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144</v>
      </c>
      <c r="D10" s="17" t="n">
        <v>180</v>
      </c>
      <c r="E10" s="17" t="n">
        <v>216</v>
      </c>
      <c r="F10" s="17" t="n">
        <v>240</v>
      </c>
      <c r="G10" s="18" t="n">
        <v>230.4</v>
      </c>
      <c r="H10" s="18" t="n">
        <v>220.8</v>
      </c>
      <c r="I10" s="18" t="n">
        <v>211.2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948.6</v>
      </c>
      <c r="D12" s="13" t="n">
        <v>1193.4</v>
      </c>
      <c r="E12" s="13" t="n">
        <v>1346.4</v>
      </c>
      <c r="F12" s="13" t="n">
        <v>1530</v>
      </c>
      <c r="G12" s="14" t="n">
        <v>1683</v>
      </c>
      <c r="H12" s="14" t="n">
        <v>1805.4</v>
      </c>
      <c r="I12" s="14" t="n">
        <v>1912.5</v>
      </c>
    </row>
    <row r="13">
      <c r="B13" s="5" t="inlineStr">
        <is>
          <t>Capital Expenditures (Capex)</t>
        </is>
      </c>
      <c r="C13" s="17" t="n">
        <v>441</v>
      </c>
      <c r="D13" s="17" t="n">
        <v>535.5</v>
      </c>
      <c r="E13" s="17" t="n">
        <v>598.5</v>
      </c>
      <c r="F13" s="17" t="n">
        <v>630</v>
      </c>
      <c r="G13" s="18" t="n">
        <v>661.5</v>
      </c>
      <c r="H13" s="18" t="n">
        <v>642.6</v>
      </c>
      <c r="I13" s="18" t="n">
        <v>617.4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742.5</v>
      </c>
      <c r="D16" s="13" t="n">
        <v>945</v>
      </c>
      <c r="E16" s="13" t="n">
        <v>1147.5</v>
      </c>
      <c r="F16" s="13" t="n">
        <v>1350</v>
      </c>
      <c r="G16" s="14" t="n">
        <v>1593</v>
      </c>
      <c r="H16" s="14" t="n">
        <v>1822.5</v>
      </c>
      <c r="I16" s="14" t="n">
        <v>2025</v>
      </c>
    </row>
    <row r="17">
      <c r="B17" s="12" t="inlineStr">
        <is>
          <t>Gross Total Debt</t>
        </is>
      </c>
      <c r="C17" s="13" t="n">
        <v>2295</v>
      </c>
      <c r="D17" s="13" t="n">
        <v>2484</v>
      </c>
      <c r="E17" s="13" t="n">
        <v>2646</v>
      </c>
      <c r="F17" s="13" t="n">
        <v>2700</v>
      </c>
      <c r="G17" s="14" t="n">
        <v>2646</v>
      </c>
      <c r="H17" s="14" t="n">
        <v>2565</v>
      </c>
      <c r="I17" s="14" t="n">
        <v>2430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Tüpraş (Turkish Petroleum)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7.20%</t>
        </is>
      </c>
      <c r="F6" s="21" t="inlineStr">
        <is>
          <t>2028 / 2029</t>
        </is>
      </c>
      <c r="G6" s="17" t="n">
        <v>1215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675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405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270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135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1147.5</v>
      </c>
    </row>
    <row r="15">
      <c r="B15" t="inlineStr">
        <is>
          <t>Committed Undrawn RCF Capacity</t>
        </is>
      </c>
      <c r="C15" s="22" t="n">
        <v>720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564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Tüpraş (Turkish Petroleum)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1800</v>
      </c>
      <c r="D6" s="17" t="n">
        <v>1530</v>
      </c>
      <c r="E6" s="25" t="n">
        <v>1170</v>
      </c>
    </row>
    <row r="7">
      <c r="B7" s="5" t="inlineStr">
        <is>
          <t>Free Cash Flow ($M)</t>
        </is>
      </c>
      <c r="C7" s="17" t="n">
        <v>900</v>
      </c>
      <c r="D7" s="17" t="n">
        <v>540</v>
      </c>
      <c r="E7" s="25" t="n">
        <v>135</v>
      </c>
    </row>
    <row r="8">
      <c r="B8" s="12" t="inlineStr">
        <is>
          <t>Net Leverage Ratio (x)</t>
        </is>
      </c>
      <c r="C8" s="26" t="n">
        <v>0.75</v>
      </c>
      <c r="D8" s="26" t="n">
        <v>0.9399999999999999</v>
      </c>
      <c r="E8" s="27" t="n">
        <v>1.39</v>
      </c>
    </row>
    <row r="9">
      <c r="B9" s="5" t="inlineStr">
        <is>
          <t>Interest Coverage Ratio (x)</t>
        </is>
      </c>
      <c r="C9" s="26" t="n">
        <v>7.5</v>
      </c>
      <c r="D9" s="26" t="n">
        <v>5.85</v>
      </c>
      <c r="E9" s="27" t="n">
        <v>3.38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$88.00</t>
        </is>
      </c>
      <c r="E10" s="28" t="inlineStr">
        <is>
          <t>$76.00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