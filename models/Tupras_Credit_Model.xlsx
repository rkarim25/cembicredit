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(+$17.5M)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(+$79.2M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(+$89.1M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(+$99.0M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(+$29.7M)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(+$31.9M)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(+$33.5M)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(+$17.5M)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(+$79.2M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(+$89.1M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(+$99.0M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(+$29.7M)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(+$31.9M)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(+$33.5M)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(TUPRAS) — Institutional Credit Model</t>
        </is>
      </c>
    </row>
    <row r="3">
      <c r="B3" s="2" t="inlineStr">
        <is>
          <t>Sector: Energy | Country: Turkey | Rating: BB / BB- | Benchmark: TUPRAS 6.95% 2027 @ $99.50 (7.20% YTM / +315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Koç Group refining powerhouse; 4 complex refineries commanding resilient Mediterranean crack spreads.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TUPRAS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1215</v>
      </c>
      <c r="F26" s="7" t="inlineStr">
        <is>
          <t>7.20%</t>
        </is>
      </c>
      <c r="G26" s="7" t="inlineStr">
        <is>
          <t>$99.50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TUPRAS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810</v>
      </c>
      <c r="F27" s="7" t="inlineStr">
        <is>
          <t>6.45%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675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6541.6</v>
      </c>
      <c r="D16" s="8" t="n">
        <v>7888.4</v>
      </c>
      <c r="E16" s="8" t="n">
        <v>8850.4</v>
      </c>
      <c r="F16" s="8" t="n">
        <v>9620</v>
      </c>
      <c r="G16" s="8" t="n">
        <v>10389.6</v>
      </c>
      <c r="H16" s="8" t="n">
        <v>11063</v>
      </c>
      <c r="I16" s="8" t="n">
        <v>11544</v>
      </c>
    </row>
    <row r="17">
      <c r="B17" s="7" t="inlineStr">
        <is>
          <t>Downstream Refining &amp; Fuel Marketing</t>
        </is>
      </c>
      <c r="C17" s="8" t="n">
        <v>4151.4</v>
      </c>
      <c r="D17" s="8" t="n">
        <v>5006.1</v>
      </c>
      <c r="E17" s="8" t="n">
        <v>5616.6</v>
      </c>
      <c r="F17" s="8" t="n">
        <v>6105</v>
      </c>
      <c r="G17" s="8" t="n">
        <v>6593.4</v>
      </c>
      <c r="H17" s="8" t="n">
        <v>7020.8</v>
      </c>
      <c r="I17" s="8" t="n">
        <v>7326</v>
      </c>
    </row>
    <row r="18">
      <c r="B18" s="7" t="inlineStr">
        <is>
          <t>Petrochemicals &amp; Gas Processing</t>
        </is>
      </c>
      <c r="C18" s="8" t="n">
        <v>1887</v>
      </c>
      <c r="D18" s="8" t="n">
        <v>2275.5</v>
      </c>
      <c r="E18" s="8" t="n">
        <v>2553</v>
      </c>
      <c r="F18" s="8" t="n">
        <v>2775</v>
      </c>
      <c r="G18" s="8" t="n">
        <v>2997</v>
      </c>
      <c r="H18" s="8" t="n">
        <v>3191.2</v>
      </c>
      <c r="I18" s="8" t="n">
        <v>3330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17.5</v>
      </c>
      <c r="D35" s="23" t="n">
        <v>79.2</v>
      </c>
      <c r="E35" s="23" t="n">
        <v>89.09999999999999</v>
      </c>
      <c r="F35" s="23" t="n">
        <v>99</v>
      </c>
      <c r="G35" s="23" t="n">
        <v>29.7</v>
      </c>
      <c r="H35" s="23" t="n">
        <v>31.9</v>
      </c>
      <c r="I35" s="23" t="n">
        <v>33.5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(+$17.5M) of Calculated EBITDA with zero aggressive management add-backs.</t>
        </is>
      </c>
    </row>
    <row r="43">
      <c r="B43" s="25" t="inlineStr">
        <is>
          <t>[2022A] Hyperinflation Accounting (IAS 29 / TMS 29): Reported EBITDA restated under inflation accounting with monetary gain adjustments (+$79.2M / +5.5%); Standardized Calculated EBITDA reflects nominal operating cash receipts minus direct cash expenses.</t>
        </is>
      </c>
    </row>
    <row r="44">
      <c r="B44" s="25" t="inlineStr">
        <is>
          <t>[2023A] Hyperinflation Accounting (IAS 29 / TMS 29): Reported EBITDA restated under inflation accounting with monetary gain adjustments (+$89.1M / +5.5%); Standardized Calculated EBITDA reflects nominal operating cash receipts minus direct cash expenses.</t>
        </is>
      </c>
    </row>
    <row r="45">
      <c r="B45" s="25" t="inlineStr">
        <is>
          <t>[2024A] Hyperinflation Accounting (IAS 29 / TMS 29): Reported EBITDA restated under inflation accounting with monetary gain adjustments (+$99.0M / +5.5%); Standardized Calculated EBITDA reflects nominal operating cash receipts minus direct cash expenses.</t>
        </is>
      </c>
    </row>
    <row r="46">
      <c r="B46" s="25" t="inlineStr">
        <is>
          <t>[2025E] Fully Reconciled: Standard IFRS definition (Operating Profit + D&amp;A) aligns within 1.5% (+$29.7M)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(+$31.9M)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(+$33.5M)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18870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4403</v>
      </c>
      <c r="D36" s="8" t="n">
        <v>4403</v>
      </c>
      <c r="E36" s="8" t="n">
        <v>4403</v>
      </c>
      <c r="F36" s="8" t="n">
        <v>4403</v>
      </c>
      <c r="G36" s="8" t="n">
        <v>4403</v>
      </c>
      <c r="H36" s="8" t="n">
        <v>4403</v>
      </c>
      <c r="I36" s="8" t="n">
        <v>4403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-500.2</v>
      </c>
      <c r="D16" s="8" t="n">
        <v>-874.8</v>
      </c>
      <c r="E16" s="8" t="n">
        <v>-984.2</v>
      </c>
      <c r="F16" s="8" t="n">
        <v>-931.5</v>
      </c>
      <c r="G16" s="8" t="n">
        <v>-846.4</v>
      </c>
      <c r="H16" s="8" t="n">
        <v>-908</v>
      </c>
      <c r="I16" s="8" t="n">
        <v>-954.2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742.5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441.8</v>
      </c>
      <c r="D32" s="8" t="n">
        <v>958.8</v>
      </c>
      <c r="E32" s="8" t="n">
        <v>1077.9</v>
      </c>
      <c r="F32" s="8" t="n">
        <v>655</v>
      </c>
      <c r="G32" s="8" t="n">
        <v>703.7</v>
      </c>
      <c r="H32" s="8" t="n">
        <v>745.8</v>
      </c>
      <c r="I32" s="8" t="n">
        <v>775.5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TUPRAS Benchmark Eurobond Notes</t>
        </is>
      </c>
    </row>
    <row r="7">
      <c r="B7" s="7" t="inlineStr">
        <is>
          <t xml:space="preserve">  Beginning Principal Balance</t>
        </is>
      </c>
      <c r="C7" s="8" t="n">
        <v>1032.8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344.2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229.5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0.0720</f>
        <v/>
      </c>
      <c r="D11" s="8">
        <f>D10 * 0.0720</f>
        <v/>
      </c>
      <c r="E11" s="8">
        <f>E10 * 0.0720</f>
        <v/>
      </c>
      <c r="F11" s="8">
        <f>F10 * 0.0720</f>
        <v/>
      </c>
      <c r="G11" s="8">
        <f>G10 * 0.0720</f>
        <v/>
      </c>
      <c r="H11" s="8">
        <f>H10 * 0.0720</f>
        <v/>
      </c>
      <c r="I11" s="8">
        <f>I10 * 0.0720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1262.2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324</v>
      </c>
      <c r="C32" s="8" t="n">
        <v>594</v>
      </c>
      <c r="D32" s="8" t="n">
        <v>756</v>
      </c>
      <c r="E32" s="8" t="n">
        <v>486</v>
      </c>
      <c r="F32" s="8" t="n">
        <v>324</v>
      </c>
      <c r="G32" s="8" t="n">
        <v>216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TUPRAS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1215</v>
      </c>
      <c r="F37" s="29" t="inlineStr">
        <is>
          <t>7.200%</t>
        </is>
      </c>
      <c r="G37" s="30" t="n">
        <v>99.5</v>
      </c>
      <c r="H37" s="31" t="n">
        <v>7.2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TUPRAS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810</v>
      </c>
      <c r="F38" s="29" t="inlineStr">
        <is>
          <t>6.550%</t>
        </is>
      </c>
      <c r="G38" s="30" t="n">
        <v>101.5</v>
      </c>
      <c r="H38" s="31" t="n">
        <v>6.55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405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270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TUPRAS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756</v>
      </c>
    </row>
    <row r="45">
      <c r="B45" s="7" t="inlineStr">
        <is>
          <t>Drawn Amount ($M)</t>
        </is>
      </c>
      <c r="C45" s="8" t="n">
        <v>270</v>
      </c>
    </row>
    <row r="46">
      <c r="B46" s="18" t="inlineStr">
        <is>
          <t>AVAILABLE UNDRAWN HEADROOM ($M)</t>
        </is>
      </c>
      <c r="C46" s="19" t="n">
        <v>486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0.75x</t>
        </is>
      </c>
      <c r="E55" s="32" t="inlineStr">
        <is>
          <t>3.00x leverage buffer ($5400.0M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7.50x</t>
        </is>
      </c>
      <c r="E56" s="32" t="inlineStr">
        <is>
          <t>+5.00x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1.2% of Assets</t>
        </is>
      </c>
      <c r="E57" s="32" t="inlineStr">
        <is>
          <t>$4070.0M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7.20%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+1.5%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9.20%</t>
        </is>
      </c>
      <c r="F7" s="29" t="inlineStr">
        <is>
          <t>3.2x</t>
        </is>
      </c>
      <c r="G7" s="29" t="inlineStr">
        <is>
          <t>$88.50</t>
        </is>
      </c>
      <c r="H7" s="29" t="inlineStr">
        <is>
          <t>-11.1%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$76.00</t>
        </is>
      </c>
      <c r="H8" s="29" t="inlineStr">
        <is>
          <t>-23.6%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5.70%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+5.5%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675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TUPRAS Senior Unsecured Eurobonds</t>
        </is>
      </c>
      <c r="C15" s="8" t="n">
        <v>2025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76.0%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405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1080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Tüpraş (Turkish Petroleum) (TUPRAS) — Earnings Presentation &amp; Management Guidance</t>
        </is>
      </c>
    </row>
    <row r="3">
      <c r="B3" s="2" t="inlineStr">
        <is>
          <t>Source: Tüpraş (Turkish Petroleum)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$19980.0M (+8.0% YoY growth)</t>
        </is>
      </c>
      <c r="D7" s="35" t="inlineStr">
        <is>
          <t>$19702.5M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$19980.0M (+8.0% YoY growth). With current run-rate at $19702.5M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$1980.0M (9.9% margin)</t>
        </is>
      </c>
      <c r="D8" s="35" t="inlineStr">
        <is>
          <t>$1944.0M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$1980.0M (9.9%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0.75x</t>
        </is>
      </c>
      <c r="E9" s="32" t="inlineStr">
        <is>
          <t>Ahead of Target</t>
        </is>
      </c>
      <c r="F9" s="37" t="inlineStr">
        <is>
          <t>Deleveraging on track with 3.00x buffer below covenant limit.
[QUESTION TO CFO TO VERIFY]: You previously committed to a Net Leverage ceiling of &lt; 3.25x Net Debt / EBITDA. Current actual leverage stands at 0.75x.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$661.5M (Maximum growth and sustaining envelope)</t>
        </is>
      </c>
      <c r="D10" s="35" t="inlineStr">
        <is>
          <t>$608.6M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$661.5M (Maximum growth and sustaining envelope). Current commitments stand at $608.6M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$630.0M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$1350.0M in liquid bank deposits</t>
        </is>
      </c>
    </row>
    <row r="35">
      <c r="B35" s="9" t="inlineStr">
        <is>
          <t>Undrawn Committed Credit Lines</t>
        </is>
      </c>
      <c r="C35" s="37" t="inlineStr">
        <is>
          <t>$945.0M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https://www.google.com/finance/quote/TUPRAS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2026-10-25T05:17:24Z</dcterms:created>
  <dcterms:modified xmlns:dcterms="http://purl.org/dc/terms/" xmlns:xsi="http://www.w3.org/2001/XMLSchema-instance" xsi:type="dcterms:W3CDTF">2026-10-25T05:17:24Z</dcterms:modified>
</cp:coreProperties>
</file>