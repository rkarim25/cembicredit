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1.6% (+$0.8M)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(+$3.4M / +5.4%);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(+$3.9M / +5.6%);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(+$4.3M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1.6% (+$1.5M)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1.6% (+$0.8M)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(+$3.4M / +5.4%);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(+$3.9M / +5.6%);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(+$4.3M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1.6% (+$1.5M)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(SAMPA) — Institutional Credit Model</t>
        </is>
      </c>
    </row>
    <row r="3">
      <c r="B3" s="2" t="inlineStr">
        <is>
          <t>Sector: Consumer | Country: Turkey | Rating: B / B2 Implied | Benchmark: SAMPA 10.40% 2027 @ $97.50 (10.40% YTM / +600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Commercial truck parts exporter; &gt;85% EUR/USD revenue; 40-50% price advantage over European OEMs.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SAMPA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80.37</v>
      </c>
      <c r="F26" s="7" t="inlineStr">
        <is>
          <t>10.40%</t>
        </is>
      </c>
      <c r="G26" s="7" t="inlineStr">
        <is>
          <t>$97.50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SAMPA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53.58</v>
      </c>
      <c r="F27" s="7" t="inlineStr">
        <is>
          <t>9.65%</t>
        </is>
      </c>
      <c r="G27" s="7" t="inlineStr">
        <is>
          <t>$100.00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44.65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127.2</v>
      </c>
      <c r="D15" s="8" t="n">
        <v>153.3</v>
      </c>
      <c r="E15" s="8" t="n">
        <v>172</v>
      </c>
      <c r="F15" s="8" t="n">
        <v>187</v>
      </c>
      <c r="G15" s="8" t="n">
        <v>202</v>
      </c>
      <c r="H15" s="8" t="n">
        <v>215.1</v>
      </c>
      <c r="I15" s="8" t="n">
        <v>224.4</v>
      </c>
    </row>
    <row r="16">
      <c r="B16" s="7" t="inlineStr">
        <is>
          <t>Retail Shopping Malls &amp; Commercial Real Estate</t>
        </is>
      </c>
      <c r="C16" s="8" t="n">
        <v>64.7</v>
      </c>
      <c r="D16" s="8" t="n">
        <v>78.09999999999999</v>
      </c>
      <c r="E16" s="8" t="n">
        <v>87.59999999999999</v>
      </c>
      <c r="F16" s="8" t="n">
        <v>95.2</v>
      </c>
      <c r="G16" s="8" t="n">
        <v>102.8</v>
      </c>
      <c r="H16" s="8" t="n">
        <v>109.5</v>
      </c>
      <c r="I16" s="8" t="n">
        <v>114.2</v>
      </c>
    </row>
    <row r="17">
      <c r="B17" s="7" t="inlineStr">
        <is>
          <t>Wholesale Distribution &amp; Franchises</t>
        </is>
      </c>
      <c r="C17" s="8" t="n">
        <v>39.3</v>
      </c>
      <c r="D17" s="8" t="n">
        <v>47.4</v>
      </c>
      <c r="E17" s="8" t="n">
        <v>53.2</v>
      </c>
      <c r="F17" s="8" t="n">
        <v>57.8</v>
      </c>
      <c r="G17" s="8" t="n">
        <v>62.4</v>
      </c>
      <c r="H17" s="8" t="n">
        <v>66.5</v>
      </c>
      <c r="I17" s="8" t="n">
        <v>69.40000000000001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0.8</v>
      </c>
      <c r="D35" s="24" t="n">
        <v>3.4</v>
      </c>
      <c r="E35" s="24" t="n">
        <v>3.9</v>
      </c>
      <c r="F35" s="24" t="n">
        <v>4.3</v>
      </c>
      <c r="G35" s="24" t="n">
        <v>1.3</v>
      </c>
      <c r="H35" s="24" t="n">
        <v>1.4</v>
      </c>
      <c r="I35" s="24" t="n">
        <v>1.5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1.6% (+$0.8M)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(+$3.4M / +5.4%);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(+$3.9M / +5.6%);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(+$4.3M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(+$1.3M)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1.6% (+$1.5M)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346.8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80.90000000000001</v>
      </c>
      <c r="D36" s="8" t="n">
        <v>80.90000000000001</v>
      </c>
      <c r="E36" s="8" t="n">
        <v>80.90000000000001</v>
      </c>
      <c r="F36" s="8" t="n">
        <v>80.90000000000001</v>
      </c>
      <c r="G36" s="8" t="n">
        <v>80.90000000000001</v>
      </c>
      <c r="H36" s="8" t="n">
        <v>80.90000000000001</v>
      </c>
      <c r="I36" s="8" t="n">
        <v>80.90000000000001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-16.9</v>
      </c>
      <c r="D16" s="8" t="n">
        <v>-29.5</v>
      </c>
      <c r="E16" s="8" t="n">
        <v>-33.2</v>
      </c>
      <c r="F16" s="8" t="n">
        <v>-31.4</v>
      </c>
      <c r="G16" s="8" t="n">
        <v>-28.5</v>
      </c>
      <c r="H16" s="8" t="n">
        <v>-30.6</v>
      </c>
      <c r="I16" s="8" t="n">
        <v>-32.2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32.2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9.4</v>
      </c>
      <c r="D32" s="8" t="n">
        <v>17.4</v>
      </c>
      <c r="E32" s="8" t="n">
        <v>19.7</v>
      </c>
      <c r="F32" s="8" t="n">
        <v>14.4</v>
      </c>
      <c r="G32" s="8" t="n">
        <v>15.3</v>
      </c>
      <c r="H32" s="8" t="n">
        <v>16</v>
      </c>
      <c r="I32" s="8" t="n">
        <v>16.5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SAMPA Benchmark Eurobond Notes</t>
        </is>
      </c>
    </row>
    <row r="7">
      <c r="B7" s="7" t="inlineStr">
        <is>
          <t xml:space="preserve">  Beginning Principal Balance</t>
        </is>
      </c>
      <c r="C7" s="8" t="n">
        <v>68.3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22.8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15.2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0.1040</f>
        <v/>
      </c>
      <c r="D11" s="8">
        <f>D10 * 0.1040</f>
        <v/>
      </c>
      <c r="E11" s="8">
        <f>E10 * 0.1040</f>
        <v/>
      </c>
      <c r="F11" s="8">
        <f>F10 * 0.1040</f>
        <v/>
      </c>
      <c r="G11" s="8">
        <f>G10 * 0.1040</f>
        <v/>
      </c>
      <c r="H11" s="8">
        <f>H10 * 0.1040</f>
        <v/>
      </c>
      <c r="I11" s="8">
        <f>I10 * 0.1040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83.5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21.4</v>
      </c>
      <c r="C32" s="8" t="n">
        <v>39.3</v>
      </c>
      <c r="D32" s="8" t="n">
        <v>50</v>
      </c>
      <c r="E32" s="8" t="n">
        <v>32.1</v>
      </c>
      <c r="F32" s="8" t="n">
        <v>21.4</v>
      </c>
      <c r="G32" s="8" t="n">
        <v>14.3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SAMPA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80.40000000000001</v>
      </c>
      <c r="F37" s="30" t="inlineStr">
        <is>
          <t>10.400%</t>
        </is>
      </c>
      <c r="G37" s="31" t="n">
        <v>97.5</v>
      </c>
      <c r="H37" s="32" t="n">
        <v>10.4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SAMPA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53.6</v>
      </c>
      <c r="F38" s="30" t="inlineStr">
        <is>
          <t>9.750%</t>
        </is>
      </c>
      <c r="G38" s="31" t="n">
        <v>99.5</v>
      </c>
      <c r="H38" s="32" t="n">
        <v>9.75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26.8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17.8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SAMPA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17.8</v>
      </c>
    </row>
    <row r="46">
      <c r="B46" s="19" t="inlineStr">
        <is>
          <t>AVAILABLE UNDRAWN HEADROOM ($M)</t>
        </is>
      </c>
      <c r="C46" s="20" t="n">
        <v>132.2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1.54x</t>
        </is>
      </c>
      <c r="E55" s="33" t="inlineStr">
        <is>
          <t>2.21x leverage buffer ($172.4M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4.33x</t>
        </is>
      </c>
      <c r="E56" s="33" t="inlineStr">
        <is>
          <t>+1.83x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4.4% of Assets</t>
        </is>
      </c>
      <c r="E57" s="33" t="inlineStr">
        <is>
          <t>$74.8M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10.40%</t>
        </is>
      </c>
      <c r="F6" s="35" t="inlineStr">
        <is>
          <t>4.2x</t>
        </is>
      </c>
      <c r="G6" s="35" t="inlineStr">
        <is>
          <t>$98.00</t>
        </is>
      </c>
      <c r="H6" s="35" t="inlineStr">
        <is>
          <t>+0.5%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12.40%</t>
        </is>
      </c>
      <c r="F7" s="30" t="inlineStr">
        <is>
          <t>3.2x</t>
        </is>
      </c>
      <c r="G7" s="30" t="inlineStr">
        <is>
          <t>$81.00</t>
        </is>
      </c>
      <c r="H7" s="30" t="inlineStr">
        <is>
          <t>-16.9%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$64.00</t>
        </is>
      </c>
      <c r="H8" s="30" t="inlineStr">
        <is>
          <t>-34.4%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8.90%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44.6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SAMPA Senior Unsecured Eurobonds</t>
        </is>
      </c>
      <c r="C15" s="8" t="n">
        <v>133.9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64.0%</t>
        </is>
      </c>
      <c r="G15" s="30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26.8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71.40000000000001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(SAMPA) — Earnings Presentation &amp; Management Guidance</t>
        </is>
      </c>
    </row>
    <row r="3">
      <c r="B3" s="2" t="inlineStr">
        <is>
          <t>Source: Sampa Otomotiv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$367.2M (+8.0% YoY growth)</t>
        </is>
      </c>
      <c r="D7" s="36" t="inlineStr">
        <is>
          <t>$362.1M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$367.2M (+8.0% YoY growth). With current run-rate at $362.1M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$85.8M (23.4% margin)</t>
        </is>
      </c>
      <c r="D8" s="36" t="inlineStr">
        <is>
          <t>$84.2M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$85.8M (23.4%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1.54x</t>
        </is>
      </c>
      <c r="E9" s="33" t="inlineStr">
        <is>
          <t>Ahead of Target</t>
        </is>
      </c>
      <c r="F9" s="38" t="inlineStr">
        <is>
          <t>Deleveraging on track with 2.21x buffer below covenant limit.
[QUESTION TO CFO TO VERIFY]: You previously committed to a Net Leverage ceiling of &lt; 3.25x Net Debt / EBITDA. Current actual leverage stands at 1.54x.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$28.7M (Maximum growth and sustaining envelope)</t>
        </is>
      </c>
      <c r="D10" s="36" t="inlineStr">
        <is>
          <t>$26.4M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$28.7M (Maximum growth and sustaining envelope). Current commitments stand at $26.4M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$68.2M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$221.0M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$58.5M</t>
        </is>
      </c>
    </row>
    <row r="32">
      <c r="B32" s="9" t="inlineStr">
        <is>
          <t>Undrawn Committed Bank Rcfs</t>
        </is>
      </c>
      <c r="C32" s="38" t="inlineStr">
        <is>
          <t>$62.5M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https://www.google.com/finance/quote/SAMPA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2026-10-23T04:16:45Z</dcterms:created>
  <dcterms:modified xmlns:dcterms="http://purl.org/dc/terms/" xmlns:xsi="http://www.w3.org/2001/XMLSchema-instance" xsi:type="dcterms:W3CDTF">2026-10-23T04:16:45Z</dcterms:modified>
</cp:coreProperties>
</file>