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Sampa Otomotiv</t>
        </is>
      </c>
    </row>
    <row r="3">
      <c r="B3" s="2" t="inlineStr">
        <is>
          <t>CEMBI CEEMEA Institutional Credit Assessment | Country: Turkey (CEEMEA) | Sector: Consumer | Benchmark: SAMPA 10.40%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SAMPA 10.40% 2027</t>
        </is>
      </c>
      <c r="C6" s="5" t="inlineStr">
        <is>
          <t>10.40% (+600 bp)</t>
        </is>
      </c>
      <c r="D6" s="4" t="inlineStr">
        <is>
          <t>B / B2 Implied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$64.00</t>
        </is>
      </c>
      <c r="D7" s="4" t="inlineStr">
        <is>
          <t>Base Case Fair Value</t>
        </is>
      </c>
      <c r="E7" s="5" t="inlineStr">
        <is>
          <t>$98.00</t>
        </is>
      </c>
    </row>
    <row r="9">
      <c r="B9" s="6" t="inlineStr">
        <is>
          <t>INSTITUTIONAL INVESTMENT THESIS</t>
        </is>
      </c>
    </row>
    <row r="10">
      <c r="B10" s="7" t="inlineStr">
        <is>
          <t>Commercial truck parts exporter; &gt;85% EUR/USD revenue; 40-50% price advantage over European OEMs.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Sampa Otomotiv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231.2</v>
      </c>
      <c r="D7" s="13" t="n">
        <v>278.8</v>
      </c>
      <c r="E7" s="13" t="n">
        <v>312.8</v>
      </c>
      <c r="F7" s="13" t="n">
        <v>340</v>
      </c>
      <c r="G7" s="14" t="n">
        <v>367.2</v>
      </c>
      <c r="H7" s="14" t="n">
        <v>391</v>
      </c>
      <c r="I7" s="14" t="n">
        <v>408</v>
      </c>
    </row>
    <row r="8">
      <c r="B8" s="12" t="inlineStr">
        <is>
          <t>EBITDA</t>
        </is>
      </c>
      <c r="C8" s="13" t="n">
        <v>50.7</v>
      </c>
      <c r="D8" s="13" t="n">
        <v>62.4</v>
      </c>
      <c r="E8" s="13" t="n">
        <v>70.2</v>
      </c>
      <c r="F8" s="13" t="n">
        <v>78</v>
      </c>
      <c r="G8" s="14" t="n">
        <v>85.8</v>
      </c>
      <c r="H8" s="14" t="n">
        <v>92</v>
      </c>
      <c r="I8" s="14" t="n">
        <v>96.7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10.8</v>
      </c>
      <c r="D10" s="17" t="n">
        <v>13.5</v>
      </c>
      <c r="E10" s="17" t="n">
        <v>16.2</v>
      </c>
      <c r="F10" s="17" t="n">
        <v>18</v>
      </c>
      <c r="G10" s="18" t="n">
        <v>17.3</v>
      </c>
      <c r="H10" s="18" t="n">
        <v>16.6</v>
      </c>
      <c r="I10" s="18" t="n">
        <v>15.9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41.1</v>
      </c>
      <c r="D12" s="13" t="n">
        <v>51.7</v>
      </c>
      <c r="E12" s="13" t="n">
        <v>58.3</v>
      </c>
      <c r="F12" s="13" t="n">
        <v>66.3</v>
      </c>
      <c r="G12" s="14" t="n">
        <v>72.90000000000001</v>
      </c>
      <c r="H12" s="14" t="n">
        <v>78.2</v>
      </c>
      <c r="I12" s="14" t="n">
        <v>82.90000000000001</v>
      </c>
    </row>
    <row r="13">
      <c r="B13" s="5" t="inlineStr">
        <is>
          <t>Capital Expenditures (Capex)</t>
        </is>
      </c>
      <c r="C13" s="17" t="n">
        <v>19.1</v>
      </c>
      <c r="D13" s="17" t="n">
        <v>23.2</v>
      </c>
      <c r="E13" s="17" t="n">
        <v>25.9</v>
      </c>
      <c r="F13" s="17" t="n">
        <v>27.3</v>
      </c>
      <c r="G13" s="18" t="n">
        <v>28.7</v>
      </c>
      <c r="H13" s="18" t="n">
        <v>27.8</v>
      </c>
      <c r="I13" s="18" t="n">
        <v>26.8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32.2</v>
      </c>
      <c r="D16" s="13" t="n">
        <v>40.9</v>
      </c>
      <c r="E16" s="13" t="n">
        <v>49.7</v>
      </c>
      <c r="F16" s="13" t="n">
        <v>58.5</v>
      </c>
      <c r="G16" s="14" t="n">
        <v>69</v>
      </c>
      <c r="H16" s="14" t="n">
        <v>79</v>
      </c>
      <c r="I16" s="14" t="n">
        <v>87.8</v>
      </c>
    </row>
    <row r="17">
      <c r="B17" s="12" t="inlineStr">
        <is>
          <t>Gross Total Debt</t>
        </is>
      </c>
      <c r="C17" s="13" t="n">
        <v>151.8</v>
      </c>
      <c r="D17" s="13" t="n">
        <v>164.3</v>
      </c>
      <c r="E17" s="13" t="n">
        <v>175</v>
      </c>
      <c r="F17" s="13" t="n">
        <v>178.6</v>
      </c>
      <c r="G17" s="14" t="n">
        <v>175</v>
      </c>
      <c r="H17" s="14" t="n">
        <v>169.7</v>
      </c>
      <c r="I17" s="14" t="n">
        <v>160.8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Sampa Otomotiv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10.40%</t>
        </is>
      </c>
      <c r="F6" s="21" t="inlineStr">
        <is>
          <t>2028 / 2029</t>
        </is>
      </c>
      <c r="G6" s="17" t="n">
        <v>80.40000000000001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44.7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26.8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17.9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8.9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49.7</v>
      </c>
    </row>
    <row r="15">
      <c r="B15" t="inlineStr">
        <is>
          <t>Committed Undrawn RCF Capacity</t>
        </is>
      </c>
      <c r="C15" s="22" t="n">
        <v>31.2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39.4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Sampa Otomotiv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78</v>
      </c>
      <c r="D6" s="17" t="n">
        <v>66.3</v>
      </c>
      <c r="E6" s="25" t="n">
        <v>50.7</v>
      </c>
    </row>
    <row r="7">
      <c r="B7" s="5" t="inlineStr">
        <is>
          <t>Free Cash Flow ($M)</t>
        </is>
      </c>
      <c r="C7" s="17" t="n">
        <v>39</v>
      </c>
      <c r="D7" s="17" t="n">
        <v>23.4</v>
      </c>
      <c r="E7" s="25" t="n">
        <v>5.8</v>
      </c>
    </row>
    <row r="8">
      <c r="B8" s="12" t="inlineStr">
        <is>
          <t>Net Leverage Ratio (x)</t>
        </is>
      </c>
      <c r="C8" s="26" t="n">
        <v>1.54</v>
      </c>
      <c r="D8" s="26" t="n">
        <v>1.93</v>
      </c>
      <c r="E8" s="27" t="n">
        <v>2.85</v>
      </c>
    </row>
    <row r="9">
      <c r="B9" s="5" t="inlineStr">
        <is>
          <t>Interest Coverage Ratio (x)</t>
        </is>
      </c>
      <c r="C9" s="26" t="n">
        <v>4.33</v>
      </c>
      <c r="D9" s="26" t="n">
        <v>3.38</v>
      </c>
      <c r="E9" s="27" t="n">
        <v>1.95</v>
      </c>
    </row>
    <row r="10">
      <c r="B10" s="12" t="inlineStr">
        <is>
          <t>Implied Senior Paper Trading / Recovery ($)</t>
        </is>
      </c>
      <c r="C10" s="12" t="inlineStr">
        <is>
          <t>$98.00</t>
        </is>
      </c>
      <c r="D10" s="12" t="inlineStr">
        <is>
          <t>$76.00</t>
        </is>
      </c>
      <c r="E10" s="28" t="inlineStr">
        <is>
          <t>$64.00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