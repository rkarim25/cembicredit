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dit Summary &amp; Memo" sheetId="1" state="visible" r:id="rId1"/>
    <sheet xmlns:r="http://schemas.openxmlformats.org/officeDocument/2006/relationships" name="Loan Portfolio &amp; Quality" sheetId="2" state="visible" r:id="rId2"/>
    <sheet xmlns:r="http://schemas.openxmlformats.org/officeDocument/2006/relationships" name="Bank Income Statement (P&amp;L)" sheetId="3" state="visible" r:id="rId3"/>
    <sheet xmlns:r="http://schemas.openxmlformats.org/officeDocument/2006/relationships" name="Balance Sheet &amp; Funding" sheetId="4" state="visible" r:id="rId4"/>
    <sheet xmlns:r="http://schemas.openxmlformats.org/officeDocument/2006/relationships" name="Capital &amp; Liquidity Schedule" sheetId="5" state="visible" r:id="rId5"/>
    <sheet xmlns:r="http://schemas.openxmlformats.org/officeDocument/2006/relationships" name="Regulatory Stress &amp; Bail-in" sheetId="6" state="visible" r:id="rId6"/>
    <sheet xmlns:r="http://schemas.openxmlformats.org/officeDocument/2006/relationships" name="Earnings Deck &amp; Guidance" sheetId="7" state="visible" r:id="rId7"/>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
  </numFmts>
  <fonts count="8">
    <font>
      <name val="Calibri"/>
      <family val="2"/>
      <color theme="1"/>
      <sz val="11"/>
      <scheme val="minor"/>
    </font>
    <font>
      <name val="Calibri"/>
      <b val="1"/>
      <color rgb="00FFFFFF"/>
      <sz val="14"/>
    </font>
    <font>
      <name val="Calibri"/>
      <i val="1"/>
      <color rgb="0094A3B8"/>
      <sz val="9"/>
    </font>
    <font>
      <name val="Calibri"/>
      <b val="1"/>
      <color rgb="00F59E0B"/>
      <sz val="11"/>
    </font>
    <font>
      <name val="Calibri"/>
      <color rgb="00000000"/>
      <sz val="10"/>
    </font>
    <font>
      <name val="Calibri"/>
      <b val="1"/>
      <color rgb="00FFFFFF"/>
      <sz val="10"/>
    </font>
    <font>
      <name val="Calibri"/>
      <b val="1"/>
      <color rgb="00000000"/>
      <sz val="10"/>
    </font>
    <font>
      <name val="Calibri"/>
      <color rgb="0064748B"/>
      <sz val="9"/>
    </font>
  </fonts>
  <fills count="6">
    <fill>
      <patternFill/>
    </fill>
    <fill>
      <patternFill patternType="gray125"/>
    </fill>
    <fill>
      <patternFill patternType="solid">
        <fgColor rgb="001E293B"/>
        <bgColor rgb="001E293B"/>
      </patternFill>
    </fill>
    <fill>
      <patternFill patternType="solid">
        <fgColor rgb="000F172A"/>
        <bgColor rgb="000F172A"/>
      </patternFill>
    </fill>
    <fill>
      <patternFill patternType="solid">
        <fgColor rgb="00F1F5F9"/>
        <bgColor rgb="00F1F5F9"/>
      </patternFill>
    </fill>
    <fill>
      <patternFill patternType="solid">
        <fgColor rgb="00FEF3C7"/>
        <b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32">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left" vertical="center"/>
    </xf>
    <xf numFmtId="0" fontId="4" fillId="0" borderId="1" applyAlignment="1" pivotButton="0" quotePrefix="0" xfId="0">
      <alignment vertical="top" wrapText="1"/>
    </xf>
    <xf numFmtId="0" fontId="5" fillId="2" borderId="1" applyAlignment="1" pivotButton="0" quotePrefix="0" xfId="0">
      <alignment horizontal="left" vertical="center"/>
    </xf>
    <xf numFmtId="0" fontId="5" fillId="2" borderId="1" applyAlignment="1" pivotButton="0" quotePrefix="0" xfId="0">
      <alignment horizontal="right" vertical="center"/>
    </xf>
    <xf numFmtId="0" fontId="4" fillId="0" borderId="1" applyAlignment="1" pivotButton="0" quotePrefix="0" xfId="0">
      <alignment horizontal="left" vertical="center"/>
    </xf>
    <xf numFmtId="164" fontId="4" fillId="0" borderId="1" applyAlignment="1" pivotButton="0" quotePrefix="0" xfId="0">
      <alignment horizontal="right" vertical="center"/>
    </xf>
    <xf numFmtId="0" fontId="6" fillId="0" borderId="1" applyAlignment="1" pivotButton="0" quotePrefix="0" xfId="0">
      <alignment horizontal="left" vertical="center"/>
    </xf>
    <xf numFmtId="164" fontId="6" fillId="0" borderId="1" applyAlignment="1" pivotButton="0" quotePrefix="0" xfId="0">
      <alignment horizontal="right" vertical="center"/>
    </xf>
    <xf numFmtId="10" fontId="4" fillId="0" borderId="1" applyAlignment="1" pivotButton="0" quotePrefix="0" xfId="0">
      <alignment horizontal="right" vertical="center"/>
    </xf>
    <xf numFmtId="165" fontId="4" fillId="0" borderId="1" applyAlignment="1" pivotButton="0" quotePrefix="0" xfId="0">
      <alignment horizontal="right" vertical="center"/>
    </xf>
    <xf numFmtId="165" fontId="6" fillId="0" borderId="1" applyAlignment="1" pivotButton="0" quotePrefix="0" xfId="0">
      <alignment horizontal="right" vertical="center"/>
    </xf>
    <xf numFmtId="0" fontId="6" fillId="4" borderId="1" applyAlignment="1" pivotButton="0" quotePrefix="0" xfId="0">
      <alignment horizontal="left" vertical="center"/>
    </xf>
    <xf numFmtId="164" fontId="6" fillId="4" borderId="1" applyAlignment="1" pivotButton="0" quotePrefix="0" xfId="0">
      <alignment horizontal="right" vertical="center"/>
    </xf>
    <xf numFmtId="0" fontId="6" fillId="5" borderId="1" applyAlignment="1" pivotButton="0" quotePrefix="0" xfId="0">
      <alignment horizontal="left" vertical="center"/>
    </xf>
    <xf numFmtId="164" fontId="6" fillId="5" borderId="1" applyAlignment="1" pivotButton="0" quotePrefix="0" xfId="0">
      <alignment horizontal="right" vertical="center"/>
    </xf>
    <xf numFmtId="166" fontId="5" fillId="2" borderId="1" applyAlignment="1" pivotButton="0" quotePrefix="0" xfId="0">
      <alignment horizontal="right" vertical="center"/>
    </xf>
    <xf numFmtId="165" fontId="6" fillId="5" borderId="1" applyAlignment="1" pivotButton="0" quotePrefix="0" xfId="0">
      <alignment horizontal="right" vertical="center"/>
    </xf>
    <xf numFmtId="0" fontId="4" fillId="0" borderId="1" applyAlignment="1" pivotButton="0" quotePrefix="0" xfId="0">
      <alignment horizontal="center" vertical="center"/>
    </xf>
    <xf numFmtId="0" fontId="4" fillId="0" borderId="1" applyAlignment="1" pivotButton="0" quotePrefix="0" xfId="0">
      <alignment horizontal="right" vertical="center"/>
    </xf>
    <xf numFmtId="166" fontId="4" fillId="0" borderId="1" applyAlignment="1" pivotButton="0" quotePrefix="0" xfId="0">
      <alignment horizontal="right" vertical="center"/>
    </xf>
    <xf numFmtId="0" fontId="7" fillId="0" borderId="1" applyAlignment="1" pivotButton="0" quotePrefix="0" xfId="0">
      <alignment horizontal="left" vertical="center"/>
    </xf>
    <xf numFmtId="0" fontId="6" fillId="0" borderId="1" applyAlignment="1" pivotButton="0" quotePrefix="0" xfId="0">
      <alignment horizontal="center" vertical="center"/>
    </xf>
    <xf numFmtId="0" fontId="6" fillId="5" borderId="1" applyAlignment="1" pivotButton="0" quotePrefix="0" xfId="0">
      <alignment horizontal="center" vertical="center"/>
    </xf>
    <xf numFmtId="0" fontId="5" fillId="2" borderId="1" applyAlignment="1" pivotButton="0" quotePrefix="0" xfId="0">
      <alignment horizontal="center" vertical="center"/>
    </xf>
    <xf numFmtId="0" fontId="6" fillId="0" borderId="1" applyAlignment="1" pivotButton="0" quotePrefix="0" xfId="0">
      <alignment horizontal="right" vertical="center"/>
    </xf>
    <xf numFmtId="0" fontId="6" fillId="4" borderId="1" applyAlignment="1" pivotButton="0" quotePrefix="0" xfId="0">
      <alignment horizontal="center" vertical="center"/>
    </xf>
    <xf numFmtId="0" fontId="4" fillId="0" borderId="1" applyAlignment="1" pivotButton="0" quotePrefix="0" xfId="0">
      <alignment vertical="center" wrapText="1"/>
    </xf>
    <xf numFmtId="0" fontId="7" fillId="0" borderId="1" applyAlignment="1" pivotButton="0" quotePrefix="0" xfId="0">
      <alignment vertical="center" wrapText="1"/>
    </xf>
    <xf numFmtId="0" fontId="4" fillId="5"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2"/>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Al Rajhi Bank (RJHI) — Bank Credit &amp; Capital Model</t>
        </is>
      </c>
    </row>
    <row r="3">
      <c r="B3" s="2" t="inlineStr">
        <is>
          <t>Banking Sector | Country: Saudi Arabia | Rating: A1 / A- | Benchmark: RAJHI 4.75% 2029 @ $100.80 (4.75% YTM / +55 bp)</t>
        </is>
      </c>
    </row>
    <row r="4"/>
    <row r="5">
      <c r="B5" s="3" t="inlineStr">
        <is>
          <t>I. BANKING SECTOR CREDIT THESIS</t>
        </is>
      </c>
    </row>
    <row r="6">
      <c r="B6" s="4" t="inlineStr">
        <is>
          <t>World's largest Islamic retail bank; sub-1% cost of funds; 68% salary-assigned retail mortgages; ROE &gt;20%.</t>
        </is>
      </c>
    </row>
    <row r="7"/>
    <row r="8"/>
    <row r="9">
      <c r="B9" s="3" t="inlineStr">
        <is>
          <t>II. KEY BANKING METRICS (USD M / %)</t>
        </is>
      </c>
    </row>
    <row r="10">
      <c r="B10" s="5" t="inlineStr">
        <is>
          <t>Metric</t>
        </is>
      </c>
      <c r="C10" s="6" t="inlineStr">
        <is>
          <t>2021A</t>
        </is>
      </c>
      <c r="D10" s="6" t="inlineStr">
        <is>
          <t>2022A</t>
        </is>
      </c>
      <c r="E10" s="6" t="inlineStr">
        <is>
          <t>2023A</t>
        </is>
      </c>
      <c r="F10" s="6" t="inlineStr">
        <is>
          <t>2024A</t>
        </is>
      </c>
      <c r="G10" s="6" t="inlineStr">
        <is>
          <t>2025E</t>
        </is>
      </c>
      <c r="H10" s="6" t="inlineStr">
        <is>
          <t>2026E</t>
        </is>
      </c>
      <c r="I10" s="6" t="inlineStr">
        <is>
          <t>2027E</t>
        </is>
      </c>
    </row>
    <row r="11">
      <c r="B11" s="7" t="inlineStr">
        <is>
          <t>Total Consolidated Assets</t>
        </is>
      </c>
      <c r="C11" s="8">
        <f>'Balance Sheet &amp; Funding'!C13</f>
        <v/>
      </c>
      <c r="D11" s="8">
        <f>'Balance Sheet &amp; Funding'!D13</f>
        <v/>
      </c>
      <c r="E11" s="8">
        <f>'Balance Sheet &amp; Funding'!E13</f>
        <v/>
      </c>
      <c r="F11" s="8">
        <f>'Balance Sheet &amp; Funding'!F13</f>
        <v/>
      </c>
      <c r="G11" s="8">
        <f>'Balance Sheet &amp; Funding'!G13</f>
        <v/>
      </c>
      <c r="H11" s="8">
        <f>'Balance Sheet &amp; Funding'!H13</f>
        <v/>
      </c>
      <c r="I11" s="8">
        <f>'Balance Sheet &amp; Funding'!I13</f>
        <v/>
      </c>
    </row>
    <row r="12">
      <c r="B12" s="7" t="inlineStr">
        <is>
          <t>Gross Customer Loans</t>
        </is>
      </c>
      <c r="C12" s="8">
        <f>'Balance Sheet &amp; Funding'!C10</f>
        <v/>
      </c>
      <c r="D12" s="8">
        <f>'Balance Sheet &amp; Funding'!D10</f>
        <v/>
      </c>
      <c r="E12" s="8">
        <f>'Balance Sheet &amp; Funding'!E10</f>
        <v/>
      </c>
      <c r="F12" s="8">
        <f>'Balance Sheet &amp; Funding'!F10</f>
        <v/>
      </c>
      <c r="G12" s="8">
        <f>'Balance Sheet &amp; Funding'!G10</f>
        <v/>
      </c>
      <c r="H12" s="8">
        <f>'Balance Sheet &amp; Funding'!H10</f>
        <v/>
      </c>
      <c r="I12" s="8">
        <f>'Balance Sheet &amp; Funding'!I10</f>
        <v/>
      </c>
    </row>
    <row r="13">
      <c r="B13" s="7" t="inlineStr">
        <is>
          <t>Customer Deposits</t>
        </is>
      </c>
      <c r="C13" s="8">
        <f>'Balance Sheet &amp; Funding'!C16</f>
        <v/>
      </c>
      <c r="D13" s="8">
        <f>'Balance Sheet &amp; Funding'!D16</f>
        <v/>
      </c>
      <c r="E13" s="8">
        <f>'Balance Sheet &amp; Funding'!E16</f>
        <v/>
      </c>
      <c r="F13" s="8">
        <f>'Balance Sheet &amp; Funding'!F16</f>
        <v/>
      </c>
      <c r="G13" s="8">
        <f>'Balance Sheet &amp; Funding'!G16</f>
        <v/>
      </c>
      <c r="H13" s="8">
        <f>'Balance Sheet &amp; Funding'!H16</f>
        <v/>
      </c>
      <c r="I13" s="8">
        <f>'Balance Sheet &amp; Funding'!I16</f>
        <v/>
      </c>
    </row>
    <row r="14">
      <c r="B14" s="9" t="inlineStr">
        <is>
          <t>Net Interest Income (NII)</t>
        </is>
      </c>
      <c r="C14" s="10">
        <f>'Bank Income Statement (P&amp;L)'!C10</f>
        <v/>
      </c>
      <c r="D14" s="10">
        <f>'Bank Income Statement (P&amp;L)'!D10</f>
        <v/>
      </c>
      <c r="E14" s="10">
        <f>'Bank Income Statement (P&amp;L)'!E10</f>
        <v/>
      </c>
      <c r="F14" s="10">
        <f>'Bank Income Statement (P&amp;L)'!F10</f>
        <v/>
      </c>
      <c r="G14" s="10">
        <f>'Bank Income Statement (P&amp;L)'!G10</f>
        <v/>
      </c>
      <c r="H14" s="10">
        <f>'Bank Income Statement (P&amp;L)'!H10</f>
        <v/>
      </c>
      <c r="I14" s="10">
        <f>'Bank Income Statement (P&amp;L)'!I10</f>
        <v/>
      </c>
    </row>
    <row r="15">
      <c r="B15" s="7" t="inlineStr">
        <is>
          <t>Net Interest Margin (NIM %)</t>
        </is>
      </c>
      <c r="C15" s="11">
        <f>'Bank Income Statement (P&amp;L)'!C11</f>
        <v/>
      </c>
      <c r="D15" s="11">
        <f>'Bank Income Statement (P&amp;L)'!D11</f>
        <v/>
      </c>
      <c r="E15" s="11">
        <f>'Bank Income Statement (P&amp;L)'!E11</f>
        <v/>
      </c>
      <c r="F15" s="11">
        <f>'Bank Income Statement (P&amp;L)'!F11</f>
        <v/>
      </c>
      <c r="G15" s="11">
        <f>'Bank Income Statement (P&amp;L)'!G11</f>
        <v/>
      </c>
      <c r="H15" s="11">
        <f>'Bank Income Statement (P&amp;L)'!H11</f>
        <v/>
      </c>
      <c r="I15" s="11">
        <f>'Bank Income Statement (P&amp;L)'!I11</f>
        <v/>
      </c>
    </row>
    <row r="16">
      <c r="B16" s="7" t="inlineStr">
        <is>
          <t>Cost-to-Income Ratio (CIR %)</t>
        </is>
      </c>
      <c r="C16" s="12">
        <f>'Bank Income Statement (P&amp;L)'!C16</f>
        <v/>
      </c>
      <c r="D16" s="12">
        <f>'Bank Income Statement (P&amp;L)'!D16</f>
        <v/>
      </c>
      <c r="E16" s="12">
        <f>'Bank Income Statement (P&amp;L)'!E16</f>
        <v/>
      </c>
      <c r="F16" s="12">
        <f>'Bank Income Statement (P&amp;L)'!F16</f>
        <v/>
      </c>
      <c r="G16" s="12">
        <f>'Bank Income Statement (P&amp;L)'!G16</f>
        <v/>
      </c>
      <c r="H16" s="12">
        <f>'Bank Income Statement (P&amp;L)'!H16</f>
        <v/>
      </c>
      <c r="I16" s="12">
        <f>'Bank Income Statement (P&amp;L)'!I16</f>
        <v/>
      </c>
    </row>
    <row r="17">
      <c r="B17" s="7" t="inlineStr">
        <is>
          <t>Net Profit (Attributable)</t>
        </is>
      </c>
      <c r="C17" s="8">
        <f>'Bank Income Statement (P&amp;L)'!C21</f>
        <v/>
      </c>
      <c r="D17" s="8">
        <f>'Bank Income Statement (P&amp;L)'!D21</f>
        <v/>
      </c>
      <c r="E17" s="8">
        <f>'Bank Income Statement (P&amp;L)'!E21</f>
        <v/>
      </c>
      <c r="F17" s="8">
        <f>'Bank Income Statement (P&amp;L)'!F21</f>
        <v/>
      </c>
      <c r="G17" s="8">
        <f>'Bank Income Statement (P&amp;L)'!G21</f>
        <v/>
      </c>
      <c r="H17" s="8">
        <f>'Bank Income Statement (P&amp;L)'!H21</f>
        <v/>
      </c>
      <c r="I17" s="8">
        <f>'Bank Income Statement (P&amp;L)'!I21</f>
        <v/>
      </c>
    </row>
    <row r="18">
      <c r="B18" s="7" t="inlineStr">
        <is>
          <t>Return on Equity (ROE %)</t>
        </is>
      </c>
      <c r="C18" s="12">
        <f>'Bank Income Statement (P&amp;L)'!C22</f>
        <v/>
      </c>
      <c r="D18" s="12">
        <f>'Bank Income Statement (P&amp;L)'!D22</f>
        <v/>
      </c>
      <c r="E18" s="12">
        <f>'Bank Income Statement (P&amp;L)'!E22</f>
        <v/>
      </c>
      <c r="F18" s="12">
        <f>'Bank Income Statement (P&amp;L)'!F22</f>
        <v/>
      </c>
      <c r="G18" s="12">
        <f>'Bank Income Statement (P&amp;L)'!G22</f>
        <v/>
      </c>
      <c r="H18" s="12">
        <f>'Bank Income Statement (P&amp;L)'!H22</f>
        <v/>
      </c>
      <c r="I18" s="12">
        <f>'Bank Income Statement (P&amp;L)'!I22</f>
        <v/>
      </c>
    </row>
    <row r="19">
      <c r="B19" s="9" t="inlineStr">
        <is>
          <t>Non-Performing Loan (NPL) Ratio</t>
        </is>
      </c>
      <c r="C19" s="13">
        <f>'Loan Portfolio &amp; Quality'!C12</f>
        <v/>
      </c>
      <c r="D19" s="13">
        <f>'Loan Portfolio &amp; Quality'!D12</f>
        <v/>
      </c>
      <c r="E19" s="13">
        <f>'Loan Portfolio &amp; Quality'!E12</f>
        <v/>
      </c>
      <c r="F19" s="13">
        <f>'Loan Portfolio &amp; Quality'!F12</f>
        <v/>
      </c>
      <c r="G19" s="13">
        <f>'Loan Portfolio &amp; Quality'!G12</f>
        <v/>
      </c>
      <c r="H19" s="13">
        <f>'Loan Portfolio &amp; Quality'!H12</f>
        <v/>
      </c>
      <c r="I19" s="13">
        <f>'Loan Portfolio &amp; Quality'!I12</f>
        <v/>
      </c>
    </row>
    <row r="20">
      <c r="B20" s="7" t="inlineStr">
        <is>
          <t>Provision Coverage Ratio (%)</t>
        </is>
      </c>
      <c r="C20" s="12">
        <f>'Loan Portfolio &amp; Quality'!C14</f>
        <v/>
      </c>
      <c r="D20" s="12">
        <f>'Loan Portfolio &amp; Quality'!D14</f>
        <v/>
      </c>
      <c r="E20" s="12">
        <f>'Loan Portfolio &amp; Quality'!E14</f>
        <v/>
      </c>
      <c r="F20" s="12">
        <f>'Loan Portfolio &amp; Quality'!F14</f>
        <v/>
      </c>
      <c r="G20" s="12">
        <f>'Loan Portfolio &amp; Quality'!G14</f>
        <v/>
      </c>
      <c r="H20" s="12">
        <f>'Loan Portfolio &amp; Quality'!H14</f>
        <v/>
      </c>
      <c r="I20" s="12">
        <f>'Loan Portfolio &amp; Quality'!I14</f>
        <v/>
      </c>
    </row>
    <row r="21">
      <c r="B21" s="9" t="inlineStr">
        <is>
          <t>Capital Adequacy Ratio (CAR %)</t>
        </is>
      </c>
      <c r="C21" s="13">
        <f>'Capital &amp; Liquidity Schedule'!C10</f>
        <v/>
      </c>
      <c r="D21" s="13">
        <f>'Capital &amp; Liquidity Schedule'!D10</f>
        <v/>
      </c>
      <c r="E21" s="13">
        <f>'Capital &amp; Liquidity Schedule'!E10</f>
        <v/>
      </c>
      <c r="F21" s="13">
        <f>'Capital &amp; Liquidity Schedule'!F10</f>
        <v/>
      </c>
      <c r="G21" s="13">
        <f>'Capital &amp; Liquidity Schedule'!G10</f>
        <v/>
      </c>
      <c r="H21" s="13">
        <f>'Capital &amp; Liquidity Schedule'!H10</f>
        <v/>
      </c>
      <c r="I21" s="13">
        <f>'Capital &amp; Liquidity Schedule'!I10</f>
        <v/>
      </c>
    </row>
    <row r="22">
      <c r="B22" s="9" t="inlineStr">
        <is>
          <t>Common Equity Tier 1 (CET1 %)</t>
        </is>
      </c>
      <c r="C22" s="13">
        <f>'Capital &amp; Liquidity Schedule'!C7</f>
        <v/>
      </c>
      <c r="D22" s="13">
        <f>'Capital &amp; Liquidity Schedule'!D7</f>
        <v/>
      </c>
      <c r="E22" s="13">
        <f>'Capital &amp; Liquidity Schedule'!E7</f>
        <v/>
      </c>
      <c r="F22" s="13">
        <f>'Capital &amp; Liquidity Schedule'!F7</f>
        <v/>
      </c>
      <c r="G22" s="13">
        <f>'Capital &amp; Liquidity Schedule'!G7</f>
        <v/>
      </c>
      <c r="H22" s="13">
        <f>'Capital &amp; Liquidity Schedule'!H7</f>
        <v/>
      </c>
      <c r="I22" s="13">
        <f>'Capital &amp; Liquidity Schedule'!I7</f>
        <v/>
      </c>
    </row>
  </sheetData>
  <mergeCells count="3">
    <mergeCell ref="B3:I3"/>
    <mergeCell ref="B2:I2"/>
    <mergeCell ref="B6:I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5"/>
  <sheetViews>
    <sheetView showGridLines="1" workbookViewId="0">
      <selection activeCell="A1" sqref="A1"/>
    </sheetView>
  </sheetViews>
  <sheetFormatPr baseColWidth="8" defaultRowHeight="15"/>
  <cols>
    <col width="6" customWidth="1" min="1" max="1"/>
    <col width="38" customWidth="1" min="2" max="2"/>
    <col width="24" customWidth="1" min="3" max="3"/>
    <col width="24" customWidth="1" min="4" max="4"/>
    <col width="24" customWidth="1" min="5" max="5"/>
    <col width="24" customWidth="1" min="6" max="6"/>
    <col width="24" customWidth="1" min="7" max="7"/>
    <col width="24" customWidth="1" min="8" max="8"/>
    <col width="24" customWidth="1" min="9" max="9"/>
    <col width="14" customWidth="1" min="10" max="10"/>
    <col width="14" customWidth="1" min="11" max="11"/>
    <col width="14" customWidth="1" min="12" max="12"/>
  </cols>
  <sheetData>
    <row r="1"/>
    <row r="2">
      <c r="B2" s="1" t="inlineStr">
        <is>
          <t>Al Rajhi Bank — Loan Portfolio &amp; Asset Quality</t>
        </is>
      </c>
    </row>
    <row r="3"/>
    <row r="4">
      <c r="B4" s="5" t="inlineStr">
        <is>
          <t>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c r="B6" s="3" t="inlineStr">
        <is>
          <t>I. GROSS LOANS BY LENDING SEGMENT</t>
        </is>
      </c>
    </row>
    <row r="7">
      <c r="B7" s="7" t="inlineStr">
        <is>
          <t xml:space="preserve">  Corporate &amp; Institutional Banking</t>
        </is>
      </c>
      <c r="C7" s="8" t="n">
        <v>60830</v>
      </c>
      <c r="D7" s="8" t="n">
        <v>71258</v>
      </c>
      <c r="E7" s="8" t="n">
        <v>79948</v>
      </c>
      <c r="F7" s="8" t="n">
        <v>86900</v>
      </c>
      <c r="G7" s="8" t="n">
        <v>93852</v>
      </c>
      <c r="H7" s="8" t="n">
        <v>100804</v>
      </c>
      <c r="I7" s="8" t="n">
        <v>106887</v>
      </c>
    </row>
    <row r="8">
      <c r="B8" s="7" t="inlineStr">
        <is>
          <t xml:space="preserve">  Retail &amp; Consumer Mortgages</t>
        </is>
      </c>
      <c r="C8" s="8" t="n">
        <v>33180</v>
      </c>
      <c r="D8" s="8" t="n">
        <v>38868</v>
      </c>
      <c r="E8" s="8" t="n">
        <v>43608</v>
      </c>
      <c r="F8" s="8" t="n">
        <v>47400</v>
      </c>
      <c r="G8" s="8" t="n">
        <v>51192</v>
      </c>
      <c r="H8" s="8" t="n">
        <v>54984</v>
      </c>
      <c r="I8" s="8" t="n">
        <v>58302</v>
      </c>
    </row>
    <row r="9">
      <c r="B9" s="7" t="inlineStr">
        <is>
          <t xml:space="preserve">  SME &amp; Commercial Enterprise</t>
        </is>
      </c>
      <c r="C9" s="8" t="n">
        <v>16590</v>
      </c>
      <c r="D9" s="8" t="n">
        <v>19434</v>
      </c>
      <c r="E9" s="8" t="n">
        <v>21804</v>
      </c>
      <c r="F9" s="8" t="n">
        <v>23700</v>
      </c>
      <c r="G9" s="8" t="n">
        <v>25596</v>
      </c>
      <c r="H9" s="8" t="n">
        <v>27492</v>
      </c>
      <c r="I9" s="8" t="n">
        <v>29151</v>
      </c>
    </row>
    <row r="10">
      <c r="B10" s="14" t="inlineStr">
        <is>
          <t>Total Gross Loans (Feeds Balance Sheet)</t>
        </is>
      </c>
      <c r="C10" s="15">
        <f>SUM(C7:C9)</f>
        <v/>
      </c>
      <c r="D10" s="15">
        <f>SUM(D7:D9)</f>
        <v/>
      </c>
      <c r="E10" s="15">
        <f>SUM(E7:E9)</f>
        <v/>
      </c>
      <c r="F10" s="15">
        <f>SUM(F7:F9)</f>
        <v/>
      </c>
      <c r="G10" s="15">
        <f>SUM(G7:G9)</f>
        <v/>
      </c>
      <c r="H10" s="15">
        <f>SUM(H7:H9)</f>
        <v/>
      </c>
      <c r="I10" s="15">
        <f>SUM(I7:I9)</f>
        <v/>
      </c>
    </row>
    <row r="11">
      <c r="B11" s="3" t="inlineStr">
        <is>
          <t>II. ASSET QUALITY &amp; PROVISIONING METRICS</t>
        </is>
      </c>
    </row>
    <row r="12">
      <c r="B12" s="9" t="inlineStr">
        <is>
          <t>Non-Performing Loans (NPL Ratio %)</t>
        </is>
      </c>
      <c r="C12" s="13" t="n">
        <v>0.009000000000000001</v>
      </c>
      <c r="D12" s="13" t="n">
        <v>0.009000000000000001</v>
      </c>
      <c r="E12" s="13" t="n">
        <v>0.009000000000000001</v>
      </c>
      <c r="F12" s="13" t="n">
        <v>0.009000000000000001</v>
      </c>
      <c r="G12" s="13" t="n">
        <v>0.009000000000000001</v>
      </c>
      <c r="H12" s="13" t="n">
        <v>0.009000000000000001</v>
      </c>
      <c r="I12" s="13" t="n">
        <v>0.009000000000000001</v>
      </c>
    </row>
    <row r="13">
      <c r="B13" s="7" t="inlineStr">
        <is>
          <t>Total Impaired NPL Volume ($M)</t>
        </is>
      </c>
      <c r="C13" s="8">
        <f>C10 * C12</f>
        <v/>
      </c>
      <c r="D13" s="8">
        <f>D10 * D12</f>
        <v/>
      </c>
      <c r="E13" s="8">
        <f>E10 * E12</f>
        <v/>
      </c>
      <c r="F13" s="8">
        <f>F10 * F12</f>
        <v/>
      </c>
      <c r="G13" s="8">
        <f>G10 * G12</f>
        <v/>
      </c>
      <c r="H13" s="8">
        <f>H10 * H12</f>
        <v/>
      </c>
      <c r="I13" s="8">
        <f>I10 * I12</f>
        <v/>
      </c>
    </row>
    <row r="14">
      <c r="B14" s="9" t="inlineStr">
        <is>
          <t>Provision Coverage Ratio (%)</t>
        </is>
      </c>
      <c r="C14" s="13" t="n">
        <v>1.35</v>
      </c>
      <c r="D14" s="13" t="n">
        <v>1.35</v>
      </c>
      <c r="E14" s="13" t="n">
        <v>1.35</v>
      </c>
      <c r="F14" s="13" t="n">
        <v>1.35</v>
      </c>
      <c r="G14" s="13" t="n">
        <v>1.35</v>
      </c>
      <c r="H14" s="13" t="n">
        <v>1.35</v>
      </c>
      <c r="I14" s="13" t="n">
        <v>1.35</v>
      </c>
    </row>
    <row r="15">
      <c r="B15" s="7" t="inlineStr">
        <is>
          <t>Accumulated Allowance for Loan Losses ($M)</t>
        </is>
      </c>
      <c r="C15" s="8">
        <f>C13 * C14</f>
        <v/>
      </c>
      <c r="D15" s="8">
        <f>D13 * D14</f>
        <v/>
      </c>
      <c r="E15" s="8">
        <f>E13 * E14</f>
        <v/>
      </c>
      <c r="F15" s="8">
        <f>F13 * F14</f>
        <v/>
      </c>
      <c r="G15" s="8">
        <f>G13 * G14</f>
        <v/>
      </c>
      <c r="H15" s="8">
        <f>H13 * H14</f>
        <v/>
      </c>
      <c r="I15" s="8">
        <f>I13 * I14</f>
        <v/>
      </c>
    </row>
  </sheetData>
  <mergeCells count="1">
    <mergeCell ref="B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3"/>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Al Rajhi Bank — Audited &amp; Projected Bank P&amp;L</t>
        </is>
      </c>
    </row>
    <row r="3"/>
    <row r="4">
      <c r="B4" s="5" t="inlineStr">
        <is>
          <t>P&amp;L 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row r="7"/>
    <row r="8">
      <c r="B8" s="7" t="inlineStr">
        <is>
          <t>Gross Interest Income (Loans &amp; Securities)</t>
        </is>
      </c>
      <c r="C8" s="8">
        <f>'Balance Sheet &amp; Funding'!C13 * 0.078</f>
        <v/>
      </c>
      <c r="D8" s="8">
        <f>'Balance Sheet &amp; Funding'!D13 * 0.078</f>
        <v/>
      </c>
      <c r="E8" s="8">
        <f>'Balance Sheet &amp; Funding'!E13 * 0.078</f>
        <v/>
      </c>
      <c r="F8" s="8">
        <f>'Balance Sheet &amp; Funding'!F13 * 0.078</f>
        <v/>
      </c>
      <c r="G8" s="8">
        <f>'Balance Sheet &amp; Funding'!G13 * 0.078</f>
        <v/>
      </c>
      <c r="H8" s="8">
        <f>'Balance Sheet &amp; Funding'!H13 * 0.078</f>
        <v/>
      </c>
      <c r="I8" s="8">
        <f>'Balance Sheet &amp; Funding'!I13 * 0.078</f>
        <v/>
      </c>
    </row>
    <row r="9">
      <c r="B9" s="7" t="inlineStr">
        <is>
          <t>Less: Interest Expense (Deposits &amp; Borrowings)</t>
        </is>
      </c>
      <c r="C9" s="8">
        <f>'Balance Sheet &amp; Funding'!C16 * 0.038</f>
        <v/>
      </c>
      <c r="D9" s="8">
        <f>'Balance Sheet &amp; Funding'!D16 * 0.038</f>
        <v/>
      </c>
      <c r="E9" s="8">
        <f>'Balance Sheet &amp; Funding'!E16 * 0.038</f>
        <v/>
      </c>
      <c r="F9" s="8">
        <f>'Balance Sheet &amp; Funding'!F16 * 0.038</f>
        <v/>
      </c>
      <c r="G9" s="8">
        <f>'Balance Sheet &amp; Funding'!G16 * 0.038</f>
        <v/>
      </c>
      <c r="H9" s="8">
        <f>'Balance Sheet &amp; Funding'!H16 * 0.038</f>
        <v/>
      </c>
      <c r="I9" s="8">
        <f>'Balance Sheet &amp; Funding'!I16 * 0.038</f>
        <v/>
      </c>
    </row>
    <row r="10">
      <c r="B10" s="16" t="inlineStr">
        <is>
          <t>NET INTEREST INCOME (NII)</t>
        </is>
      </c>
      <c r="C10" s="17">
        <f>C8 - C9</f>
        <v/>
      </c>
      <c r="D10" s="17">
        <f>D8 - D9</f>
        <v/>
      </c>
      <c r="E10" s="17">
        <f>E8 - E9</f>
        <v/>
      </c>
      <c r="F10" s="17">
        <f>F8 - F9</f>
        <v/>
      </c>
      <c r="G10" s="17">
        <f>G8 - G9</f>
        <v/>
      </c>
      <c r="H10" s="17">
        <f>H8 - H9</f>
        <v/>
      </c>
      <c r="I10" s="17">
        <f>I8 - I9</f>
        <v/>
      </c>
    </row>
    <row r="11">
      <c r="B11" s="7" t="inlineStr">
        <is>
          <t>Net Interest Margin (NIM %)</t>
        </is>
      </c>
      <c r="C11" s="11">
        <f>C10 / 'Balance Sheet &amp; Funding'!C13</f>
        <v/>
      </c>
      <c r="D11" s="11">
        <f>D10 / 'Balance Sheet &amp; Funding'!D13</f>
        <v/>
      </c>
      <c r="E11" s="11">
        <f>E10 / 'Balance Sheet &amp; Funding'!E13</f>
        <v/>
      </c>
      <c r="F11" s="11">
        <f>F10 / 'Balance Sheet &amp; Funding'!F13</f>
        <v/>
      </c>
      <c r="G11" s="11">
        <f>G10 / 'Balance Sheet &amp; Funding'!G13</f>
        <v/>
      </c>
      <c r="H11" s="11">
        <f>H10 / 'Balance Sheet &amp; Funding'!H13</f>
        <v/>
      </c>
      <c r="I11" s="11">
        <f>I10 / 'Balance Sheet &amp; Funding'!I13</f>
        <v/>
      </c>
    </row>
    <row r="12">
      <c r="B12" s="7" t="inlineStr">
        <is>
          <t>Net Fee &amp; Commission Income</t>
        </is>
      </c>
      <c r="C12" s="8">
        <f>C10 * 0.28</f>
        <v/>
      </c>
      <c r="D12" s="8">
        <f>D10 * 0.28</f>
        <v/>
      </c>
      <c r="E12" s="8">
        <f>E10 * 0.28</f>
        <v/>
      </c>
      <c r="F12" s="8">
        <f>F10 * 0.28</f>
        <v/>
      </c>
      <c r="G12" s="8">
        <f>G10 * 0.28</f>
        <v/>
      </c>
      <c r="H12" s="8">
        <f>H10 * 0.28</f>
        <v/>
      </c>
      <c r="I12" s="8">
        <f>I10 * 0.28</f>
        <v/>
      </c>
    </row>
    <row r="13">
      <c r="B13" s="7" t="inlineStr">
        <is>
          <t>Trading &amp; Foreign Exchange Gains</t>
        </is>
      </c>
      <c r="C13" s="8">
        <f>C10 * 0.12</f>
        <v/>
      </c>
      <c r="D13" s="8">
        <f>D10 * 0.12</f>
        <v/>
      </c>
      <c r="E13" s="8">
        <f>E10 * 0.12</f>
        <v/>
      </c>
      <c r="F13" s="8">
        <f>F10 * 0.12</f>
        <v/>
      </c>
      <c r="G13" s="8">
        <f>G10 * 0.12</f>
        <v/>
      </c>
      <c r="H13" s="8">
        <f>H10 * 0.12</f>
        <v/>
      </c>
      <c r="I13" s="8">
        <f>I10 * 0.12</f>
        <v/>
      </c>
    </row>
    <row r="14">
      <c r="B14" s="7" t="inlineStr">
        <is>
          <t>Other Operating Income</t>
        </is>
      </c>
      <c r="C14" s="8">
        <f>C10 * 0.05</f>
        <v/>
      </c>
      <c r="D14" s="8">
        <f>D10 * 0.05</f>
        <v/>
      </c>
      <c r="E14" s="8">
        <f>E10 * 0.05</f>
        <v/>
      </c>
      <c r="F14" s="8">
        <f>F10 * 0.05</f>
        <v/>
      </c>
      <c r="G14" s="8">
        <f>G10 * 0.05</f>
        <v/>
      </c>
      <c r="H14" s="8">
        <f>H10 * 0.05</f>
        <v/>
      </c>
      <c r="I14" s="8">
        <f>I10 * 0.05</f>
        <v/>
      </c>
    </row>
    <row r="15">
      <c r="B15" s="16" t="inlineStr">
        <is>
          <t>TOTAL OPERATING INCOME</t>
        </is>
      </c>
      <c r="C15" s="17">
        <f>SUM(C10:C14)</f>
        <v/>
      </c>
      <c r="D15" s="17">
        <f>SUM(D10:D14)</f>
        <v/>
      </c>
      <c r="E15" s="17">
        <f>SUM(E10:E14)</f>
        <v/>
      </c>
      <c r="F15" s="17">
        <f>SUM(F10:F14)</f>
        <v/>
      </c>
      <c r="G15" s="17">
        <f>SUM(G10:G14)</f>
        <v/>
      </c>
      <c r="H15" s="17">
        <f>SUM(H10:H14)</f>
        <v/>
      </c>
      <c r="I15" s="17">
        <f>SUM(I10:I14)</f>
        <v/>
      </c>
    </row>
    <row r="16">
      <c r="B16" s="7" t="inlineStr">
        <is>
          <t>Cost-to-Income Ratio (CIR %)</t>
        </is>
      </c>
      <c r="C16" s="11">
        <f>C17 / C15</f>
        <v/>
      </c>
      <c r="D16" s="11">
        <f>D17 / D15</f>
        <v/>
      </c>
      <c r="E16" s="11">
        <f>E17 / E15</f>
        <v/>
      </c>
      <c r="F16" s="11">
        <f>F17 / F15</f>
        <v/>
      </c>
      <c r="G16" s="11">
        <f>G17 / G15</f>
        <v/>
      </c>
      <c r="H16" s="11">
        <f>H17 / H15</f>
        <v/>
      </c>
      <c r="I16" s="11">
        <f>I17 / I15</f>
        <v/>
      </c>
    </row>
    <row r="17">
      <c r="B17" s="7" t="inlineStr">
        <is>
          <t>Operating Overhead &amp; Staff Expenses</t>
        </is>
      </c>
      <c r="C17" s="8">
        <f>C15 * 0.36</f>
        <v/>
      </c>
      <c r="D17" s="8">
        <f>D15 * 0.36</f>
        <v/>
      </c>
      <c r="E17" s="8">
        <f>E15 * 0.36</f>
        <v/>
      </c>
      <c r="F17" s="8">
        <f>F15 * 0.36</f>
        <v/>
      </c>
      <c r="G17" s="8">
        <f>G15 * 0.36</f>
        <v/>
      </c>
      <c r="H17" s="8">
        <f>H15 * 0.36</f>
        <v/>
      </c>
      <c r="I17" s="8">
        <f>I15 * 0.36</f>
        <v/>
      </c>
    </row>
    <row r="18">
      <c r="B18" s="16" t="inlineStr">
        <is>
          <t>OPERATING PROFIT BEFORE PROVISIONS</t>
        </is>
      </c>
      <c r="C18" s="17">
        <f>C15 - C17</f>
        <v/>
      </c>
      <c r="D18" s="17">
        <f>D15 - D17</f>
        <v/>
      </c>
      <c r="E18" s="17">
        <f>E15 - E17</f>
        <v/>
      </c>
      <c r="F18" s="17">
        <f>F15 - F17</f>
        <v/>
      </c>
      <c r="G18" s="17">
        <f>G15 - G17</f>
        <v/>
      </c>
      <c r="H18" s="17">
        <f>H15 - H17</f>
        <v/>
      </c>
      <c r="I18" s="17">
        <f>I15 - I17</f>
        <v/>
      </c>
    </row>
    <row r="19">
      <c r="B19" s="7" t="inlineStr">
        <is>
          <t>Less: Credit Impairment Provisions</t>
        </is>
      </c>
      <c r="C19" s="8">
        <f>'Loan Portfolio &amp; Quality'!C10 * 0.008</f>
        <v/>
      </c>
      <c r="D19" s="8">
        <f>'Loan Portfolio &amp; Quality'!D10 * 0.008</f>
        <v/>
      </c>
      <c r="E19" s="8">
        <f>'Loan Portfolio &amp; Quality'!E10 * 0.008</f>
        <v/>
      </c>
      <c r="F19" s="8">
        <f>'Loan Portfolio &amp; Quality'!F10 * 0.008</f>
        <v/>
      </c>
      <c r="G19" s="8">
        <f>'Loan Portfolio &amp; Quality'!G10 * 0.008</f>
        <v/>
      </c>
      <c r="H19" s="8">
        <f>'Loan Portfolio &amp; Quality'!H10 * 0.008</f>
        <v/>
      </c>
      <c r="I19" s="8">
        <f>'Loan Portfolio &amp; Quality'!I10 * 0.008</f>
        <v/>
      </c>
    </row>
    <row r="20">
      <c r="B20" s="7" t="inlineStr">
        <is>
          <t>Profit Before Tax (PBT)</t>
        </is>
      </c>
      <c r="C20" s="8">
        <f>C18 - C19</f>
        <v/>
      </c>
      <c r="D20" s="8">
        <f>D18 - D19</f>
        <v/>
      </c>
      <c r="E20" s="8">
        <f>E18 - E19</f>
        <v/>
      </c>
      <c r="F20" s="8">
        <f>F18 - F19</f>
        <v/>
      </c>
      <c r="G20" s="8">
        <f>G18 - G19</f>
        <v/>
      </c>
      <c r="H20" s="8">
        <f>H18 - H19</f>
        <v/>
      </c>
      <c r="I20" s="8">
        <f>I18 - I19</f>
        <v/>
      </c>
    </row>
    <row r="21">
      <c r="B21" s="7" t="inlineStr">
        <is>
          <t>Income Tax Expense</t>
        </is>
      </c>
      <c r="C21" s="8">
        <f>IF(C20&gt;0, C20 * 0.15, 0)</f>
        <v/>
      </c>
      <c r="D21" s="8">
        <f>IF(D20&gt;0, D20 * 0.15, 0)</f>
        <v/>
      </c>
      <c r="E21" s="8">
        <f>IF(E20&gt;0, E20 * 0.15, 0)</f>
        <v/>
      </c>
      <c r="F21" s="8">
        <f>IF(F20&gt;0, F20 * 0.15, 0)</f>
        <v/>
      </c>
      <c r="G21" s="8">
        <f>IF(G20&gt;0, G20 * 0.15, 0)</f>
        <v/>
      </c>
      <c r="H21" s="8">
        <f>IF(H20&gt;0, H20 * 0.15, 0)</f>
        <v/>
      </c>
      <c r="I21" s="8">
        <f>IF(I20&gt;0, I20 * 0.15, 0)</f>
        <v/>
      </c>
    </row>
    <row r="22">
      <c r="B22" s="16" t="inlineStr">
        <is>
          <t>NET PROFIT (ATTRIBUTABLE)</t>
        </is>
      </c>
      <c r="C22" s="17">
        <f>C20 - C21</f>
        <v/>
      </c>
      <c r="D22" s="17">
        <f>D20 - D21</f>
        <v/>
      </c>
      <c r="E22" s="17">
        <f>E20 - E21</f>
        <v/>
      </c>
      <c r="F22" s="17">
        <f>F20 - F21</f>
        <v/>
      </c>
      <c r="G22" s="17">
        <f>G20 - G21</f>
        <v/>
      </c>
      <c r="H22" s="17">
        <f>H20 - H21</f>
        <v/>
      </c>
      <c r="I22" s="17">
        <f>I20 - I21</f>
        <v/>
      </c>
    </row>
    <row r="23">
      <c r="B23" s="7" t="inlineStr">
        <is>
          <t>Return on Equity (ROE %)</t>
        </is>
      </c>
      <c r="C23" s="11">
        <f>C22 / 'Balance Sheet &amp; Funding'!C22</f>
        <v/>
      </c>
      <c r="D23" s="11">
        <f>D22 / 'Balance Sheet &amp; Funding'!D22</f>
        <v/>
      </c>
      <c r="E23" s="11">
        <f>E22 / 'Balance Sheet &amp; Funding'!E22</f>
        <v/>
      </c>
      <c r="F23" s="11">
        <f>F22 / 'Balance Sheet &amp; Funding'!F22</f>
        <v/>
      </c>
      <c r="G23" s="11">
        <f>G22 / 'Balance Sheet &amp; Funding'!G22</f>
        <v/>
      </c>
      <c r="H23" s="11">
        <f>H22 / 'Balance Sheet &amp; Funding'!H22</f>
        <v/>
      </c>
      <c r="I23" s="11">
        <f>I22 / 'Balance Sheet &amp; Funding'!I22</f>
        <v/>
      </c>
    </row>
  </sheetData>
  <mergeCells count="1">
    <mergeCell ref="B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4"/>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Al Rajhi Bank — Bank Balance Sheet &amp; Capital</t>
        </is>
      </c>
    </row>
    <row r="3"/>
    <row r="4">
      <c r="B4" s="5" t="inlineStr">
        <is>
          <t>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c r="B6" s="3" t="inlineStr">
        <is>
          <t>I. ASSETS</t>
        </is>
      </c>
    </row>
    <row r="7">
      <c r="B7" s="7" t="inlineStr">
        <is>
          <t xml:space="preserve">  Cash &amp; Central Bank Balances</t>
        </is>
      </c>
      <c r="C7" s="8">
        <f>'Loan Portfolio &amp; Quality'!C10 * 0.12</f>
        <v/>
      </c>
      <c r="D7" s="8">
        <f>'Loan Portfolio &amp; Quality'!D10 * 0.12</f>
        <v/>
      </c>
      <c r="E7" s="8">
        <f>'Loan Portfolio &amp; Quality'!E10 * 0.12</f>
        <v/>
      </c>
      <c r="F7" s="8">
        <f>'Loan Portfolio &amp; Quality'!F10 * 0.12</f>
        <v/>
      </c>
      <c r="G7" s="8">
        <f>'Loan Portfolio &amp; Quality'!G10 * 0.12</f>
        <v/>
      </c>
      <c r="H7" s="8">
        <f>'Loan Portfolio &amp; Quality'!H10 * 0.12</f>
        <v/>
      </c>
      <c r="I7" s="8">
        <f>'Loan Portfolio &amp; Quality'!I10 * 0.12</f>
        <v/>
      </c>
    </row>
    <row r="8">
      <c r="B8" s="7" t="inlineStr">
        <is>
          <t xml:space="preserve">  Interbank Placements &amp; Repos</t>
        </is>
      </c>
      <c r="C8" s="8">
        <f>'Loan Portfolio &amp; Quality'!C10 * 0.08</f>
        <v/>
      </c>
      <c r="D8" s="8">
        <f>'Loan Portfolio &amp; Quality'!D10 * 0.08</f>
        <v/>
      </c>
      <c r="E8" s="8">
        <f>'Loan Portfolio &amp; Quality'!E10 * 0.08</f>
        <v/>
      </c>
      <c r="F8" s="8">
        <f>'Loan Portfolio &amp; Quality'!F10 * 0.08</f>
        <v/>
      </c>
      <c r="G8" s="8">
        <f>'Loan Portfolio &amp; Quality'!G10 * 0.08</f>
        <v/>
      </c>
      <c r="H8" s="8">
        <f>'Loan Portfolio &amp; Quality'!H10 * 0.08</f>
        <v/>
      </c>
      <c r="I8" s="8">
        <f>'Loan Portfolio &amp; Quality'!I10 * 0.08</f>
        <v/>
      </c>
    </row>
    <row r="9">
      <c r="B9" s="7" t="inlineStr">
        <is>
          <t xml:space="preserve">  Investment Securities (Sovereign &amp; Bonds)</t>
        </is>
      </c>
      <c r="C9" s="8">
        <f>'Loan Portfolio &amp; Quality'!C10 * 0.28</f>
        <v/>
      </c>
      <c r="D9" s="8">
        <f>'Loan Portfolio &amp; Quality'!D10 * 0.28</f>
        <v/>
      </c>
      <c r="E9" s="8">
        <f>'Loan Portfolio &amp; Quality'!E10 * 0.28</f>
        <v/>
      </c>
      <c r="F9" s="8">
        <f>'Loan Portfolio &amp; Quality'!F10 * 0.28</f>
        <v/>
      </c>
      <c r="G9" s="8">
        <f>'Loan Portfolio &amp; Quality'!G10 * 0.28</f>
        <v/>
      </c>
      <c r="H9" s="8">
        <f>'Loan Portfolio &amp; Quality'!H10 * 0.28</f>
        <v/>
      </c>
      <c r="I9" s="8">
        <f>'Loan Portfolio &amp; Quality'!I10 * 0.28</f>
        <v/>
      </c>
    </row>
    <row r="10">
      <c r="B10" s="7" t="inlineStr">
        <is>
          <t xml:space="preserve">  Gross Customer Loans</t>
        </is>
      </c>
      <c r="C10" s="8">
        <f>'Loan Portfolio &amp; Quality'!C10</f>
        <v/>
      </c>
      <c r="D10" s="8">
        <f>'Loan Portfolio &amp; Quality'!D10</f>
        <v/>
      </c>
      <c r="E10" s="8">
        <f>'Loan Portfolio &amp; Quality'!E10</f>
        <v/>
      </c>
      <c r="F10" s="8">
        <f>'Loan Portfolio &amp; Quality'!F10</f>
        <v/>
      </c>
      <c r="G10" s="8">
        <f>'Loan Portfolio &amp; Quality'!G10</f>
        <v/>
      </c>
      <c r="H10" s="8">
        <f>'Loan Portfolio &amp; Quality'!H10</f>
        <v/>
      </c>
      <c r="I10" s="8">
        <f>'Loan Portfolio &amp; Quality'!I10</f>
        <v/>
      </c>
    </row>
    <row r="11">
      <c r="B11" s="7" t="inlineStr">
        <is>
          <t xml:space="preserve">  Less: Allowance for Credit Losses</t>
        </is>
      </c>
      <c r="C11" s="8">
        <f>-'Loan Portfolio &amp; Quality'!C15</f>
        <v/>
      </c>
      <c r="D11" s="8">
        <f>-'Loan Portfolio &amp; Quality'!D15</f>
        <v/>
      </c>
      <c r="E11" s="8">
        <f>-'Loan Portfolio &amp; Quality'!E15</f>
        <v/>
      </c>
      <c r="F11" s="8">
        <f>-'Loan Portfolio &amp; Quality'!F15</f>
        <v/>
      </c>
      <c r="G11" s="8">
        <f>-'Loan Portfolio &amp; Quality'!G15</f>
        <v/>
      </c>
      <c r="H11" s="8">
        <f>-'Loan Portfolio &amp; Quality'!H15</f>
        <v/>
      </c>
      <c r="I11" s="8">
        <f>-'Loan Portfolio &amp; Quality'!I15</f>
        <v/>
      </c>
    </row>
    <row r="12">
      <c r="B12" s="9" t="inlineStr">
        <is>
          <t xml:space="preserve">  Net Customer Loans</t>
        </is>
      </c>
      <c r="C12" s="10">
        <f>C10 + C11</f>
        <v/>
      </c>
      <c r="D12" s="10">
        <f>D10 + D11</f>
        <v/>
      </c>
      <c r="E12" s="10">
        <f>E10 + E11</f>
        <v/>
      </c>
      <c r="F12" s="10">
        <f>F10 + F11</f>
        <v/>
      </c>
      <c r="G12" s="10">
        <f>G10 + G11</f>
        <v/>
      </c>
      <c r="H12" s="10">
        <f>H10 + H11</f>
        <v/>
      </c>
      <c r="I12" s="10">
        <f>I10 + I11</f>
        <v/>
      </c>
    </row>
    <row r="13">
      <c r="B13" s="16" t="inlineStr">
        <is>
          <t>TOTAL CONSOLIDATED ASSETS</t>
        </is>
      </c>
      <c r="C13" s="17">
        <f>SUM(C7:C9) + C12</f>
        <v/>
      </c>
      <c r="D13" s="17">
        <f>SUM(D7:D9) + D12</f>
        <v/>
      </c>
      <c r="E13" s="17">
        <f>SUM(E7:E9) + E12</f>
        <v/>
      </c>
      <c r="F13" s="17">
        <f>SUM(F7:F9) + F12</f>
        <v/>
      </c>
      <c r="G13" s="17">
        <f>SUM(G7:G9) + G12</f>
        <v/>
      </c>
      <c r="H13" s="17">
        <f>SUM(H7:H9) + H12</f>
        <v/>
      </c>
      <c r="I13" s="17">
        <f>SUM(I7:I9) + I12</f>
        <v/>
      </c>
    </row>
    <row r="14"/>
    <row r="15">
      <c r="B15" s="3" t="inlineStr">
        <is>
          <t>II. LIABILITIES &amp; FUNDING</t>
        </is>
      </c>
    </row>
    <row r="16">
      <c r="B16" s="7" t="inlineStr">
        <is>
          <t xml:space="preserve">  Customer Deposits (CASA &amp; Term)</t>
        </is>
      </c>
      <c r="C16" s="8">
        <f>C13 * 0.72</f>
        <v/>
      </c>
      <c r="D16" s="8">
        <f>D13 * 0.72</f>
        <v/>
      </c>
      <c r="E16" s="8">
        <f>E13 * 0.72</f>
        <v/>
      </c>
      <c r="F16" s="8">
        <f>F13 * 0.72</f>
        <v/>
      </c>
      <c r="G16" s="8">
        <f>G13 * 0.72</f>
        <v/>
      </c>
      <c r="H16" s="8">
        <f>H13 * 0.72</f>
        <v/>
      </c>
      <c r="I16" s="8">
        <f>I13 * 0.72</f>
        <v/>
      </c>
    </row>
    <row r="17">
      <c r="B17" s="7" t="inlineStr">
        <is>
          <t xml:space="preserve">  Interbank Borrowings &amp; Repos</t>
        </is>
      </c>
      <c r="C17" s="8">
        <f>C13 * 0.06</f>
        <v/>
      </c>
      <c r="D17" s="8">
        <f>D13 * 0.06</f>
        <v/>
      </c>
      <c r="E17" s="8">
        <f>E13 * 0.06</f>
        <v/>
      </c>
      <c r="F17" s="8">
        <f>F13 * 0.06</f>
        <v/>
      </c>
      <c r="G17" s="8">
        <f>G13 * 0.06</f>
        <v/>
      </c>
      <c r="H17" s="8">
        <f>H13 * 0.06</f>
        <v/>
      </c>
      <c r="I17" s="8">
        <f>I13 * 0.06</f>
        <v/>
      </c>
    </row>
    <row r="18">
      <c r="B18" s="7" t="inlineStr">
        <is>
          <t xml:space="preserve">  Senior Debt Securities in Issue (Eurobonds)</t>
        </is>
      </c>
      <c r="C18" s="8">
        <f>C13 * 0.07</f>
        <v/>
      </c>
      <c r="D18" s="8">
        <f>D13 * 0.07</f>
        <v/>
      </c>
      <c r="E18" s="8">
        <f>E13 * 0.07</f>
        <v/>
      </c>
      <c r="F18" s="8">
        <f>F13 * 0.07</f>
        <v/>
      </c>
      <c r="G18" s="8">
        <f>G13 * 0.07</f>
        <v/>
      </c>
      <c r="H18" s="8">
        <f>H13 * 0.07</f>
        <v/>
      </c>
      <c r="I18" s="8">
        <f>I13 * 0.07</f>
        <v/>
      </c>
    </row>
    <row r="19">
      <c r="B19" s="7" t="inlineStr">
        <is>
          <t xml:space="preserve">  Subordinated / Tier 2 Debt Notes</t>
        </is>
      </c>
      <c r="C19" s="8">
        <f>C13 * 0.02</f>
        <v/>
      </c>
      <c r="D19" s="8">
        <f>D13 * 0.02</f>
        <v/>
      </c>
      <c r="E19" s="8">
        <f>E13 * 0.02</f>
        <v/>
      </c>
      <c r="F19" s="8">
        <f>F13 * 0.02</f>
        <v/>
      </c>
      <c r="G19" s="8">
        <f>G13 * 0.02</f>
        <v/>
      </c>
      <c r="H19" s="8">
        <f>H13 * 0.02</f>
        <v/>
      </c>
      <c r="I19" s="8">
        <f>I13 * 0.02</f>
        <v/>
      </c>
    </row>
    <row r="20">
      <c r="B20" s="14" t="inlineStr">
        <is>
          <t>TOTAL LIABILITIES</t>
        </is>
      </c>
      <c r="C20" s="15">
        <f>SUM(C16:C19)</f>
        <v/>
      </c>
      <c r="D20" s="15">
        <f>SUM(D16:D19)</f>
        <v/>
      </c>
      <c r="E20" s="15">
        <f>SUM(E16:E19)</f>
        <v/>
      </c>
      <c r="F20" s="15">
        <f>SUM(F16:F19)</f>
        <v/>
      </c>
      <c r="G20" s="15">
        <f>SUM(G16:G19)</f>
        <v/>
      </c>
      <c r="H20" s="15">
        <f>SUM(H16:H19)</f>
        <v/>
      </c>
      <c r="I20" s="15">
        <f>SUM(I16:I19)</f>
        <v/>
      </c>
    </row>
    <row r="21">
      <c r="B21" s="3" t="inlineStr">
        <is>
          <t>III. EQUITY &amp; CAPITAL</t>
        </is>
      </c>
    </row>
    <row r="22">
      <c r="B22" s="9" t="inlineStr">
        <is>
          <t>TOTAL SHAREHOLDERS' EQUITY</t>
        </is>
      </c>
      <c r="C22" s="10">
        <f>C13 - C20</f>
        <v/>
      </c>
      <c r="D22" s="10">
        <f>D13 - D20</f>
        <v/>
      </c>
      <c r="E22" s="10">
        <f>E13 - E20</f>
        <v/>
      </c>
      <c r="F22" s="10">
        <f>F13 - F20</f>
        <v/>
      </c>
      <c r="G22" s="10">
        <f>G13 - G20</f>
        <v/>
      </c>
      <c r="H22" s="10">
        <f>H13 - H20</f>
        <v/>
      </c>
      <c r="I22" s="10">
        <f>I13 - I20</f>
        <v/>
      </c>
    </row>
    <row r="23">
      <c r="B23" s="16" t="inlineStr">
        <is>
          <t>TOTAL LIABILITIES &amp; EQUITY</t>
        </is>
      </c>
      <c r="C23" s="17">
        <f>C20 + C22</f>
        <v/>
      </c>
      <c r="D23" s="17">
        <f>D20 + D22</f>
        <v/>
      </c>
      <c r="E23" s="17">
        <f>E20 + E22</f>
        <v/>
      </c>
      <c r="F23" s="17">
        <f>F20 + F22</f>
        <v/>
      </c>
      <c r="G23" s="17">
        <f>G20 + G22</f>
        <v/>
      </c>
      <c r="H23" s="17">
        <f>H20 + H22</f>
        <v/>
      </c>
      <c r="I23" s="17">
        <f>I20 + I22</f>
        <v/>
      </c>
    </row>
    <row r="24">
      <c r="B24" s="5" t="inlineStr">
        <is>
          <t>BALANCE CHECK (ASSETS - LIAB - EQUITY)</t>
        </is>
      </c>
      <c r="C24" s="18">
        <f>C13 - C23</f>
        <v/>
      </c>
      <c r="D24" s="18">
        <f>D13 - D23</f>
        <v/>
      </c>
      <c r="E24" s="18">
        <f>E13 - E23</f>
        <v/>
      </c>
      <c r="F24" s="18">
        <f>F13 - F23</f>
        <v/>
      </c>
      <c r="G24" s="18">
        <f>G13 - G23</f>
        <v/>
      </c>
      <c r="H24" s="18">
        <f>H13 - H23</f>
        <v/>
      </c>
      <c r="I24" s="18">
        <f>I13 - I23</f>
        <v/>
      </c>
    </row>
  </sheetData>
  <mergeCells count="1">
    <mergeCell ref="B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0"/>
  <sheetViews>
    <sheetView showGridLines="1" workbookViewId="0">
      <selection activeCell="A1" sqref="A1"/>
    </sheetView>
  </sheetViews>
  <sheetFormatPr baseColWidth="8" defaultRowHeight="15"/>
  <cols>
    <col width="6" customWidth="1" min="1" max="1"/>
    <col width="38" customWidth="1" min="2" max="2"/>
    <col width="74" customWidth="1" min="3" max="3"/>
    <col width="28" customWidth="1" min="4" max="4"/>
    <col width="51" customWidth="1" min="5" max="5"/>
    <col width="64" customWidth="1" min="6" max="6"/>
    <col width="15" customWidth="1" min="7" max="7"/>
    <col width="14" customWidth="1" min="8" max="8"/>
    <col width="44" customWidth="1" min="9" max="9"/>
    <col width="24" customWidth="1" min="10" max="10"/>
    <col width="14" customWidth="1" min="11" max="11"/>
    <col width="14" customWidth="1" min="12" max="12"/>
  </cols>
  <sheetData>
    <row r="1"/>
    <row r="2">
      <c r="B2" s="1" t="inlineStr">
        <is>
          <t>Al Rajhi Bank — Capital Adequacy &amp; Basel III Ratios</t>
        </is>
      </c>
    </row>
    <row r="3"/>
    <row r="4">
      <c r="B4" s="5" t="inlineStr">
        <is>
          <t>Basel III Capital Metric</t>
        </is>
      </c>
      <c r="C4" s="6" t="inlineStr">
        <is>
          <t>2021A</t>
        </is>
      </c>
      <c r="D4" s="6" t="inlineStr">
        <is>
          <t>2022A</t>
        </is>
      </c>
      <c r="E4" s="6" t="inlineStr">
        <is>
          <t>2023A</t>
        </is>
      </c>
      <c r="F4" s="6" t="inlineStr">
        <is>
          <t>2024A</t>
        </is>
      </c>
      <c r="G4" s="6" t="inlineStr">
        <is>
          <t>2025E</t>
        </is>
      </c>
      <c r="H4" s="6" t="inlineStr">
        <is>
          <t>2026E</t>
        </is>
      </c>
      <c r="I4" s="6" t="inlineStr">
        <is>
          <t>2027E</t>
        </is>
      </c>
    </row>
    <row r="5">
      <c r="B5" s="7" t="inlineStr">
        <is>
          <t>Risk-Weighted Assets (RWA $M)</t>
        </is>
      </c>
      <c r="C5" s="8">
        <f>'Balance Sheet &amp; Funding'!C13 * 0.70</f>
        <v/>
      </c>
      <c r="D5" s="8">
        <f>'Balance Sheet &amp; Funding'!D13 * 0.70</f>
        <v/>
      </c>
      <c r="E5" s="8">
        <f>'Balance Sheet &amp; Funding'!E13 * 0.70</f>
        <v/>
      </c>
      <c r="F5" s="8">
        <f>'Balance Sheet &amp; Funding'!F13 * 0.70</f>
        <v/>
      </c>
      <c r="G5" s="8">
        <f>'Balance Sheet &amp; Funding'!G13 * 0.70</f>
        <v/>
      </c>
      <c r="H5" s="8">
        <f>'Balance Sheet &amp; Funding'!H13 * 0.70</f>
        <v/>
      </c>
      <c r="I5" s="8">
        <f>'Balance Sheet &amp; Funding'!I13 * 0.70</f>
        <v/>
      </c>
    </row>
    <row r="6">
      <c r="B6" s="16" t="inlineStr">
        <is>
          <t>Common Equity Tier 1 (CET1 Capital $M)</t>
        </is>
      </c>
      <c r="C6" s="17">
        <f>'Balance Sheet &amp; Funding'!C22 * 0.88</f>
        <v/>
      </c>
      <c r="D6" s="17">
        <f>'Balance Sheet &amp; Funding'!D22 * 0.88</f>
        <v/>
      </c>
      <c r="E6" s="17">
        <f>'Balance Sheet &amp; Funding'!E22 * 0.88</f>
        <v/>
      </c>
      <c r="F6" s="17">
        <f>'Balance Sheet &amp; Funding'!F22 * 0.88</f>
        <v/>
      </c>
      <c r="G6" s="17">
        <f>'Balance Sheet &amp; Funding'!G22 * 0.88</f>
        <v/>
      </c>
      <c r="H6" s="17">
        <f>'Balance Sheet &amp; Funding'!H22 * 0.88</f>
        <v/>
      </c>
      <c r="I6" s="17">
        <f>'Balance Sheet &amp; Funding'!I22 * 0.88</f>
        <v/>
      </c>
    </row>
    <row r="7">
      <c r="B7" s="16" t="inlineStr">
        <is>
          <t>COMMON EQUITY TIER 1 RATIO (CET1 %)</t>
        </is>
      </c>
      <c r="C7" s="19">
        <f>C6 / C5</f>
        <v/>
      </c>
      <c r="D7" s="19">
        <f>D6 / D5</f>
        <v/>
      </c>
      <c r="E7" s="19">
        <f>E6 / E5</f>
        <v/>
      </c>
      <c r="F7" s="19">
        <f>F6 / F5</f>
        <v/>
      </c>
      <c r="G7" s="19">
        <f>G6 / G5</f>
        <v/>
      </c>
      <c r="H7" s="19">
        <f>H6 / H5</f>
        <v/>
      </c>
      <c r="I7" s="19">
        <f>I6 / I5</f>
        <v/>
      </c>
    </row>
    <row r="8">
      <c r="B8" s="7" t="inlineStr">
        <is>
          <t>Tier 1 Capital Notes &amp; Hybrids ($M)</t>
        </is>
      </c>
      <c r="C8" s="8">
        <f>'Balance Sheet &amp; Funding'!C22 * 0.12</f>
        <v/>
      </c>
      <c r="D8" s="8">
        <f>'Balance Sheet &amp; Funding'!D22 * 0.12</f>
        <v/>
      </c>
      <c r="E8" s="8">
        <f>'Balance Sheet &amp; Funding'!E22 * 0.12</f>
        <v/>
      </c>
      <c r="F8" s="8">
        <f>'Balance Sheet &amp; Funding'!F22 * 0.12</f>
        <v/>
      </c>
      <c r="G8" s="8">
        <f>'Balance Sheet &amp; Funding'!G22 * 0.12</f>
        <v/>
      </c>
      <c r="H8" s="8">
        <f>'Balance Sheet &amp; Funding'!H22 * 0.12</f>
        <v/>
      </c>
      <c r="I8" s="8">
        <f>'Balance Sheet &amp; Funding'!I22 * 0.12</f>
        <v/>
      </c>
    </row>
    <row r="9">
      <c r="B9" s="7" t="inlineStr">
        <is>
          <t>Tier 2 Subordinated Capital ($M)</t>
        </is>
      </c>
      <c r="C9" s="8">
        <f>'Balance Sheet &amp; Funding'!C19</f>
        <v/>
      </c>
      <c r="D9" s="8">
        <f>'Balance Sheet &amp; Funding'!D19</f>
        <v/>
      </c>
      <c r="E9" s="8">
        <f>'Balance Sheet &amp; Funding'!E19</f>
        <v/>
      </c>
      <c r="F9" s="8">
        <f>'Balance Sheet &amp; Funding'!F19</f>
        <v/>
      </c>
      <c r="G9" s="8">
        <f>'Balance Sheet &amp; Funding'!G19</f>
        <v/>
      </c>
      <c r="H9" s="8">
        <f>'Balance Sheet &amp; Funding'!H19</f>
        <v/>
      </c>
      <c r="I9" s="8">
        <f>'Balance Sheet &amp; Funding'!I19</f>
        <v/>
      </c>
    </row>
    <row r="10">
      <c r="B10" s="16" t="inlineStr">
        <is>
          <t>TOTAL REGULATORY CAPITAL RATIO (CAR %)</t>
        </is>
      </c>
      <c r="C10" s="19">
        <f>(C6 + C8 + C9) / C5</f>
        <v/>
      </c>
      <c r="D10" s="19">
        <f>(D6 + D8 + D9) / D5</f>
        <v/>
      </c>
      <c r="E10" s="19">
        <f>(E6 + E8 + E9) / E5</f>
        <v/>
      </c>
      <c r="F10" s="19">
        <f>(F6 + F8 + F9) / F5</f>
        <v/>
      </c>
      <c r="G10" s="19">
        <f>(G6 + G8 + G9) / G5</f>
        <v/>
      </c>
      <c r="H10" s="19">
        <f>(H6 + H8 + H9) / H5</f>
        <v/>
      </c>
      <c r="I10" s="19">
        <f>(I6 + I8 + I9) / I5</f>
        <v/>
      </c>
    </row>
    <row r="11">
      <c r="B11" s="7" t="inlineStr">
        <is>
          <t>Liquidity Coverage Ratio (LCR %)</t>
        </is>
      </c>
      <c r="C11" s="12" t="inlineStr">
        <is>
          <t>1.65</t>
        </is>
      </c>
      <c r="D11" s="12" t="inlineStr">
        <is>
          <t>1.65</t>
        </is>
      </c>
      <c r="E11" s="12" t="inlineStr">
        <is>
          <t>1.65</t>
        </is>
      </c>
      <c r="F11" s="12" t="inlineStr">
        <is>
          <t>1.65</t>
        </is>
      </c>
      <c r="G11" s="12" t="inlineStr">
        <is>
          <t>1.65</t>
        </is>
      </c>
      <c r="H11" s="12" t="inlineStr">
        <is>
          <t>1.65</t>
        </is>
      </c>
      <c r="I11" s="12" t="inlineStr">
        <is>
          <t>1.65</t>
        </is>
      </c>
    </row>
    <row r="12">
      <c r="B12" s="7" t="inlineStr">
        <is>
          <t>Net Stable Funding Ratio (NSFR %)</t>
        </is>
      </c>
      <c r="C12" s="12" t="inlineStr">
        <is>
          <t>1.28</t>
        </is>
      </c>
      <c r="D12" s="12" t="inlineStr">
        <is>
          <t>1.28</t>
        </is>
      </c>
      <c r="E12" s="12" t="inlineStr">
        <is>
          <t>1.28</t>
        </is>
      </c>
      <c r="F12" s="12" t="inlineStr">
        <is>
          <t>1.28</t>
        </is>
      </c>
      <c r="G12" s="12" t="inlineStr">
        <is>
          <t>1.28</t>
        </is>
      </c>
      <c r="H12" s="12" t="inlineStr">
        <is>
          <t>1.28</t>
        </is>
      </c>
      <c r="I12" s="12" t="inlineStr">
        <is>
          <t>1.28</t>
        </is>
      </c>
    </row>
    <row r="13">
      <c r="B13" s="7" t="inlineStr">
        <is>
          <t>Loan-to-Deposit Ratio (LDR %)</t>
        </is>
      </c>
      <c r="C13" s="12">
        <f>'Balance Sheet &amp; Funding'!C10 / 'Balance Sheet &amp; Funding'!C16</f>
        <v/>
      </c>
      <c r="D13" s="12">
        <f>'Balance Sheet &amp; Funding'!D10 / 'Balance Sheet &amp; Funding'!D16</f>
        <v/>
      </c>
      <c r="E13" s="12">
        <f>'Balance Sheet &amp; Funding'!E10 / 'Balance Sheet &amp; Funding'!E16</f>
        <v/>
      </c>
      <c r="F13" s="12">
        <f>'Balance Sheet &amp; Funding'!F10 / 'Balance Sheet &amp; Funding'!F16</f>
        <v/>
      </c>
      <c r="G13" s="12">
        <f>'Balance Sheet &amp; Funding'!G10 / 'Balance Sheet &amp; Funding'!G16</f>
        <v/>
      </c>
      <c r="H13" s="12">
        <f>'Balance Sheet &amp; Funding'!H10 / 'Balance Sheet &amp; Funding'!H16</f>
        <v/>
      </c>
      <c r="I13" s="12">
        <f>'Balance Sheet &amp; Funding'!I10 / 'Balance Sheet &amp; Funding'!I16</f>
        <v/>
      </c>
    </row>
    <row r="14"/>
    <row r="15"/>
    <row r="16">
      <c r="B16" s="3" t="inlineStr">
        <is>
          <t>II. CAPITAL STRUCTURE &amp; REGULATORY CAPITAL TRANCHES</t>
        </is>
      </c>
    </row>
    <row r="17">
      <c r="B17" s="5" t="inlineStr">
        <is>
          <t>Tranche / Capital Instrument Name</t>
        </is>
      </c>
      <c r="C17" s="5" t="inlineStr">
        <is>
          <t>Instrument Type</t>
        </is>
      </c>
      <c r="D17" s="5" t="inlineStr">
        <is>
          <t>Ccy</t>
        </is>
      </c>
      <c r="E17" s="6" t="inlineStr">
        <is>
          <t>Outstanding ($M)</t>
        </is>
      </c>
      <c r="F17" s="6" t="inlineStr">
        <is>
          <t>Coupon / Spread</t>
        </is>
      </c>
      <c r="G17" s="6" t="inlineStr">
        <is>
          <t>Clean Price</t>
        </is>
      </c>
      <c r="H17" s="6" t="inlineStr">
        <is>
          <t>YTM (%)</t>
        </is>
      </c>
      <c r="I17" s="5" t="inlineStr">
        <is>
          <t>Regulatory Tier / Seniority</t>
        </is>
      </c>
      <c r="J17" s="5" t="inlineStr">
        <is>
          <t>Governing Law</t>
        </is>
      </c>
    </row>
    <row r="18">
      <c r="B18" s="9" t="inlineStr">
        <is>
          <t>RJHI Benchmark Senior Unsecured Notes</t>
        </is>
      </c>
      <c r="C18" s="7" t="inlineStr">
        <is>
          <t>Senior Unsecured RegS/144A</t>
        </is>
      </c>
      <c r="D18" s="20" t="inlineStr">
        <is>
          <t>USD</t>
        </is>
      </c>
      <c r="E18" s="10" t="n">
        <v>750</v>
      </c>
      <c r="F18" s="21" t="inlineStr">
        <is>
          <t>4.750%</t>
        </is>
      </c>
      <c r="G18" s="22" t="n">
        <v>100.8</v>
      </c>
      <c r="H18" s="11" t="n">
        <v>4.75</v>
      </c>
      <c r="I18" s="7" t="inlineStr">
        <is>
          <t>Senior Unsecured (Bail-in eligible)</t>
        </is>
      </c>
      <c r="J18" s="23" t="inlineStr">
        <is>
          <t>English Law</t>
        </is>
      </c>
    </row>
    <row r="19">
      <c r="B19" s="9" t="inlineStr">
        <is>
          <t>RJHI Tier 2 Subordinated Notes</t>
        </is>
      </c>
      <c r="C19" s="7" t="inlineStr">
        <is>
          <t>Subordinated Tier 2 Capital Note</t>
        </is>
      </c>
      <c r="D19" s="20" t="inlineStr">
        <is>
          <t>USD</t>
        </is>
      </c>
      <c r="E19" s="10" t="n">
        <v>500</v>
      </c>
      <c r="F19" s="21" t="inlineStr">
        <is>
          <t>6.250%</t>
        </is>
      </c>
      <c r="G19" s="22" t="n">
        <v>97.3</v>
      </c>
      <c r="H19" s="11" t="n">
        <v>6.25</v>
      </c>
      <c r="I19" s="7" t="inlineStr">
        <is>
          <t>Subordinated (Tier 2 Regulatory Capital)</t>
        </is>
      </c>
      <c r="J19" s="23" t="inlineStr">
        <is>
          <t>English Law</t>
        </is>
      </c>
    </row>
    <row r="20">
      <c r="B20" s="9" t="inlineStr">
        <is>
          <t>RJHI Additional Tier 1 (AT1) Perpetual</t>
        </is>
      </c>
      <c r="C20" s="7" t="inlineStr">
        <is>
          <t>Perpetual Subordinated Contingent Convertible</t>
        </is>
      </c>
      <c r="D20" s="20" t="inlineStr">
        <is>
          <t>USD</t>
        </is>
      </c>
      <c r="E20" s="10" t="n">
        <v>400</v>
      </c>
      <c r="F20" s="21" t="inlineStr">
        <is>
          <t>7.000%</t>
        </is>
      </c>
      <c r="G20" s="22" t="n">
        <v>95.8</v>
      </c>
      <c r="H20" s="11" t="n">
        <v>7</v>
      </c>
      <c r="I20" s="7" t="inlineStr">
        <is>
          <t>Junior Subordinated (Loss-Absorbing)</t>
        </is>
      </c>
      <c r="J20" s="23" t="inlineStr">
        <is>
          <t>English Law</t>
        </is>
      </c>
    </row>
    <row r="21">
      <c r="B21" s="9" t="inlineStr">
        <is>
          <t>Bilateral Interbank &amp; Central Bank Repos</t>
        </is>
      </c>
      <c r="C21" s="7" t="inlineStr">
        <is>
          <t>Secured Money Market Borrowing</t>
        </is>
      </c>
      <c r="D21" s="20" t="inlineStr">
        <is>
          <t>USD / Local</t>
        </is>
      </c>
      <c r="E21" s="10" t="n">
        <v>14000</v>
      </c>
      <c r="F21" s="21" t="inlineStr">
        <is>
          <t>SOFR + 65 bps</t>
        </is>
      </c>
      <c r="G21" s="22" t="n">
        <v>100</v>
      </c>
      <c r="H21" s="11" t="n">
        <v>5.45</v>
      </c>
      <c r="I21" s="7" t="inlineStr">
        <is>
          <t>Secured Interbank</t>
        </is>
      </c>
      <c r="J21" s="23" t="inlineStr">
        <is>
          <t>Domestic Banking Law</t>
        </is>
      </c>
    </row>
    <row r="22"/>
    <row r="23">
      <c r="B23" s="3" t="inlineStr">
        <is>
          <t>III. SYNDICATED REVOLVING &amp; SHORT-TERM BANK FACILITIES</t>
        </is>
      </c>
    </row>
    <row r="24">
      <c r="B24" s="7" t="inlineStr">
        <is>
          <t>Facility Designation</t>
        </is>
      </c>
      <c r="C24" s="7" t="inlineStr">
        <is>
          <t>Committed Syndicated Interbank Liquidity Facility</t>
        </is>
      </c>
    </row>
    <row r="25">
      <c r="B25" s="9" t="inlineStr">
        <is>
          <t>Total Committed Capacity ($M)</t>
        </is>
      </c>
      <c r="C25" s="10" t="n">
        <v>1200</v>
      </c>
    </row>
    <row r="26">
      <c r="B26" s="7" t="inlineStr">
        <is>
          <t>Drawn Amount ($M)</t>
        </is>
      </c>
      <c r="C26" s="8" t="n">
        <v>250</v>
      </c>
    </row>
    <row r="27">
      <c r="B27" s="16" t="inlineStr">
        <is>
          <t>AVAILABLE UNDRAWN HEADROOM ($M)</t>
        </is>
      </c>
      <c r="C27" s="17" t="n">
        <v>950</v>
      </c>
    </row>
    <row r="28">
      <c r="B28" s="7" t="inlineStr">
        <is>
          <t>Borrowing Spread / Margin</t>
        </is>
      </c>
      <c r="C28" s="7" t="inlineStr">
        <is>
          <t>SOFR + 110 bps</t>
        </is>
      </c>
    </row>
    <row r="29">
      <c r="B29" s="7" t="inlineStr">
        <is>
          <t>Undrawn Commitment Fee</t>
        </is>
      </c>
      <c r="C29" s="7" t="inlineStr">
        <is>
          <t>38.5 bps</t>
        </is>
      </c>
    </row>
    <row r="30">
      <c r="B30" s="7" t="inlineStr">
        <is>
          <t>Maturity Date &amp; Extension Options</t>
        </is>
      </c>
      <c r="C30" s="7" t="inlineStr">
        <is>
          <t>2027-09-30 (with 1-year extension option)</t>
        </is>
      </c>
    </row>
    <row r="31">
      <c r="B31" s="7" t="inlineStr">
        <is>
          <t>Syndicate Lenders / Arrangers</t>
        </is>
      </c>
      <c r="C31" s="7" t="inlineStr">
        <is>
          <t>Consortium of 14 international correspondent banks</t>
        </is>
      </c>
    </row>
    <row r="32">
      <c r="B32" s="7" t="inlineStr">
        <is>
          <t>Bank Liquidity Covenants</t>
        </is>
      </c>
      <c r="C32" s="7" t="inlineStr">
        <is>
          <t>Minimum CET1 of 10.5%, Minimum LCR of 115%</t>
        </is>
      </c>
    </row>
    <row r="33"/>
    <row r="34">
      <c r="B34" s="3" t="inlineStr">
        <is>
          <t>IV. REGULATORY COVENANTS &amp; PRUDENTIAL HEADROOM SCORECARD</t>
        </is>
      </c>
    </row>
    <row r="35">
      <c r="B35" s="5" t="inlineStr">
        <is>
          <t>Prudential Covenant / Ratio Test</t>
        </is>
      </c>
      <c r="C35" s="5" t="inlineStr">
        <is>
          <t>Regulatory Minimum / Limit</t>
        </is>
      </c>
      <c r="D35" s="5" t="inlineStr">
        <is>
          <t>Reported Actual Metric</t>
        </is>
      </c>
      <c r="E35" s="5" t="inlineStr">
        <is>
          <t>Headroom / Buffer</t>
        </is>
      </c>
      <c r="F35" s="5" t="inlineStr">
        <is>
          <t>Supervisory Framework &amp; Notes</t>
        </is>
      </c>
    </row>
    <row r="36">
      <c r="B36" s="9" t="inlineStr">
        <is>
          <t>Regulatory Minimum CAR Ratio</t>
        </is>
      </c>
      <c r="C36" s="20" t="inlineStr">
        <is>
          <t>12.0% (Pillar 1 + Pillar 2 + Conservation Buffer)</t>
        </is>
      </c>
      <c r="D36" s="24" t="inlineStr">
        <is>
          <t>20.5%</t>
        </is>
      </c>
      <c r="E36" s="25" t="inlineStr">
        <is>
          <t>+8.5% (+850 bps excess capital)</t>
        </is>
      </c>
      <c r="F36" s="23" t="inlineStr">
        <is>
          <t>Basel III Total Capital requirement including Pillar 2</t>
        </is>
      </c>
    </row>
    <row r="37">
      <c r="B37" s="9" t="inlineStr">
        <is>
          <t>Minimum Common Equity Tier 1 Ratio</t>
        </is>
      </c>
      <c r="C37" s="20" t="inlineStr">
        <is>
          <t>8.5% Regulatory Minimum</t>
        </is>
      </c>
      <c r="D37" s="24" t="inlineStr">
        <is>
          <t>16.8%</t>
        </is>
      </c>
      <c r="E37" s="25" t="inlineStr">
        <is>
          <t>+8.3% (+830 bps buffer)</t>
        </is>
      </c>
      <c r="F37" s="23" t="inlineStr">
        <is>
          <t>CET1 minimum including Capital Conservation Buffer (CCB)</t>
        </is>
      </c>
    </row>
    <row r="38">
      <c r="B38" s="9" t="inlineStr">
        <is>
          <t>Minimum Liquidity Coverage Ratio (LCR)</t>
        </is>
      </c>
      <c r="C38" s="20" t="inlineStr">
        <is>
          <t>100.0% Statutory Minimum</t>
        </is>
      </c>
      <c r="D38" s="24" t="inlineStr">
        <is>
          <t>178.5%</t>
        </is>
      </c>
      <c r="E38" s="25" t="inlineStr">
        <is>
          <t>+78.5% excess high-quality liquid assets (HQLA)</t>
        </is>
      </c>
      <c r="F38" s="23" t="inlineStr">
        <is>
          <t>High Quality Liquid Assets (HQLA) vs 30-day net cash outflow</t>
        </is>
      </c>
    </row>
    <row r="39">
      <c r="B39" s="9" t="inlineStr">
        <is>
          <t>Single Counterparty Group Exposure</t>
        </is>
      </c>
      <c r="C39" s="20" t="inlineStr">
        <is>
          <t>Max 25.0% of Total Regulatory Capital</t>
        </is>
      </c>
      <c r="D39" s="24" t="inlineStr">
        <is>
          <t>14.2% top group exposure</t>
        </is>
      </c>
      <c r="E39" s="25" t="inlineStr">
        <is>
          <t>10.8% headroom below regulatory cap</t>
        </is>
      </c>
      <c r="F39" s="23" t="inlineStr">
        <is>
          <t>Maximum exposure to any single non-bank client group</t>
        </is>
      </c>
    </row>
    <row r="40">
      <c r="B40" s="9" t="inlineStr">
        <is>
          <t>Cross-Default &amp; Resolution Clause</t>
        </is>
      </c>
      <c r="C40" s="20" t="inlineStr">
        <is>
          <t>$40.0M threshold triggering cross-default under Senior Eurobond terms.</t>
        </is>
      </c>
      <c r="D40" s="24" t="inlineStr">
        <is>
          <t>Zero Defaults</t>
        </is>
      </c>
      <c r="E40" s="25" t="inlineStr">
        <is>
          <t>Compliant</t>
        </is>
      </c>
      <c r="F40" s="23" t="inlineStr">
        <is>
          <t>Bail-in resolution powers and cross-acceleration safeguard</t>
        </is>
      </c>
    </row>
  </sheetData>
  <mergeCells count="15">
    <mergeCell ref="C31:F31"/>
    <mergeCell ref="F40:I40"/>
    <mergeCell ref="C27:F27"/>
    <mergeCell ref="B2:I2"/>
    <mergeCell ref="C26:F26"/>
    <mergeCell ref="F39:I39"/>
    <mergeCell ref="C29:F29"/>
    <mergeCell ref="C30:F30"/>
    <mergeCell ref="F38:I38"/>
    <mergeCell ref="F37:I37"/>
    <mergeCell ref="C25:F25"/>
    <mergeCell ref="C32:F32"/>
    <mergeCell ref="C24:F24"/>
    <mergeCell ref="C28:F28"/>
    <mergeCell ref="F36:I3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9"/>
  <sheetViews>
    <sheetView showGridLines="1" workbookViewId="0">
      <selection activeCell="A1" sqref="A1"/>
    </sheetView>
  </sheetViews>
  <sheetFormatPr baseColWidth="8" defaultRowHeight="15"/>
  <cols>
    <col width="6" customWidth="1" min="1" max="1"/>
    <col width="38" customWidth="1" min="2" max="2"/>
    <col width="23" customWidth="1" min="3" max="3"/>
    <col width="23" customWidth="1" min="4" max="4"/>
    <col width="17" customWidth="1" min="5" max="5"/>
    <col width="20" customWidth="1" min="6" max="6"/>
    <col width="18" customWidth="1" min="7" max="7"/>
    <col width="61" customWidth="1" min="8" max="8"/>
    <col width="14" customWidth="1" min="9" max="9"/>
    <col width="14" customWidth="1" min="10" max="10"/>
    <col width="14" customWidth="1" min="11" max="11"/>
    <col width="14" customWidth="1" min="12" max="12"/>
  </cols>
  <sheetData>
    <row r="1"/>
    <row r="2">
      <c r="B2" s="1" t="inlineStr">
        <is>
          <t>Al Rajhi Bank — Regulatory Stress Test &amp; Bail-in Buffer</t>
        </is>
      </c>
    </row>
    <row r="3"/>
    <row r="4">
      <c r="B4" s="3" t="inlineStr">
        <is>
          <t>I. MACRO REVERSE STRESS TEST SCENARIOS</t>
        </is>
      </c>
    </row>
    <row r="5">
      <c r="B5" s="26" t="inlineStr">
        <is>
          <t>Stress Scenario</t>
        </is>
      </c>
      <c r="C5" s="26" t="inlineStr">
        <is>
          <t>Simulated NPL Surge</t>
        </is>
      </c>
      <c r="D5" s="26" t="inlineStr">
        <is>
          <t>Provisioning Charge</t>
        </is>
      </c>
      <c r="E5" s="26" t="inlineStr">
        <is>
          <t>CET1 Drawdown</t>
        </is>
      </c>
      <c r="F5" s="26" t="inlineStr">
        <is>
          <t>Post-Stress CET1</t>
        </is>
      </c>
      <c r="G5" s="26" t="inlineStr">
        <is>
          <t>Minimum Buffer</t>
        </is>
      </c>
      <c r="H5" s="26" t="inlineStr">
        <is>
          <t>Bail-in Implication</t>
        </is>
      </c>
    </row>
    <row r="6">
      <c r="B6" s="7" t="inlineStr">
        <is>
          <t>Base Case (Macro Stability)</t>
        </is>
      </c>
      <c r="C6" s="20" t="inlineStr">
        <is>
          <t>+0 bp</t>
        </is>
      </c>
      <c r="D6" s="20" t="inlineStr">
        <is>
          <t>$180M</t>
        </is>
      </c>
      <c r="E6" s="20" t="inlineStr">
        <is>
          <t>0 bp</t>
        </is>
      </c>
      <c r="F6" s="20" t="inlineStr">
        <is>
          <t>14.8%</t>
        </is>
      </c>
      <c r="G6" s="20" t="inlineStr">
        <is>
          <t>+630 bp</t>
        </is>
      </c>
      <c r="H6" s="7" t="inlineStr">
        <is>
          <t>No bail-in risk; senior bonds trade par</t>
        </is>
      </c>
    </row>
    <row r="7">
      <c r="B7" s="7" t="inlineStr">
        <is>
          <t>Adverse Recession (Local Currency Shock)</t>
        </is>
      </c>
      <c r="C7" s="20" t="inlineStr">
        <is>
          <t>+250 bp</t>
        </is>
      </c>
      <c r="D7" s="20" t="inlineStr">
        <is>
          <t>$450M</t>
        </is>
      </c>
      <c r="E7" s="20" t="inlineStr">
        <is>
          <t>-180 bp</t>
        </is>
      </c>
      <c r="F7" s="20" t="inlineStr">
        <is>
          <t>13.0%</t>
        </is>
      </c>
      <c r="G7" s="20" t="inlineStr">
        <is>
          <t>+450 bp</t>
        </is>
      </c>
      <c r="H7" s="7" t="inlineStr">
        <is>
          <t>Tier 2 coupon preserved; no senior impairment</t>
        </is>
      </c>
    </row>
    <row r="8">
      <c r="B8" s="7" t="inlineStr">
        <is>
          <t>Severe Stagflation / Real Estate Shock</t>
        </is>
      </c>
      <c r="C8" s="20" t="inlineStr">
        <is>
          <t>+500 bp</t>
        </is>
      </c>
      <c r="D8" s="20" t="inlineStr">
        <is>
          <t>$850M</t>
        </is>
      </c>
      <c r="E8" s="20" t="inlineStr">
        <is>
          <t>-380 bp</t>
        </is>
      </c>
      <c r="F8" s="20" t="inlineStr">
        <is>
          <t>11.0%</t>
        </is>
      </c>
      <c r="G8" s="20" t="inlineStr">
        <is>
          <t>+250 bp</t>
        </is>
      </c>
      <c r="H8" s="7" t="inlineStr">
        <is>
          <t>Tier 1 hybrid coupon deferral risk; senior intact</t>
        </is>
      </c>
    </row>
    <row r="9">
      <c r="B9" s="7" t="inlineStr">
        <is>
          <t>Extreme Systemic Crisis (Resolution)</t>
        </is>
      </c>
      <c r="C9" s="20" t="inlineStr">
        <is>
          <t>+950 bp</t>
        </is>
      </c>
      <c r="D9" s="20" t="inlineStr">
        <is>
          <t>$1,600M</t>
        </is>
      </c>
      <c r="E9" s="20" t="inlineStr">
        <is>
          <t>-680 bp</t>
        </is>
      </c>
      <c r="F9" s="20" t="inlineStr">
        <is>
          <t>8.0%</t>
        </is>
      </c>
      <c r="G9" s="20" t="inlineStr">
        <is>
          <t>-50 bp</t>
        </is>
      </c>
      <c r="H9" s="7" t="inlineStr">
        <is>
          <t>Subordinated Tier 2 wiped; senior bonds protected by DSIB</t>
        </is>
      </c>
    </row>
  </sheetData>
  <mergeCells count="1">
    <mergeCell ref="B2:H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3"/>
  <sheetViews>
    <sheetView showGridLines="1" workbookViewId="0">
      <selection activeCell="A1" sqref="A1"/>
    </sheetView>
  </sheetViews>
  <sheetFormatPr baseColWidth="8" defaultRowHeight="15"/>
  <cols>
    <col width="6" customWidth="1" min="1" max="1"/>
    <col width="38" customWidth="1" min="2" max="2"/>
    <col width="204" customWidth="1" min="3" max="3"/>
    <col width="43" customWidth="1" min="4" max="4"/>
    <col width="19" customWidth="1" min="5" max="5"/>
    <col width="397" customWidth="1" min="6" max="6"/>
    <col width="14" customWidth="1" min="7" max="7"/>
    <col width="89" customWidth="1" min="8" max="8"/>
    <col width="14" customWidth="1" min="9" max="9"/>
    <col width="14" customWidth="1" min="10" max="10"/>
    <col width="14" customWidth="1" min="11" max="11"/>
    <col width="14" customWidth="1" min="12" max="12"/>
  </cols>
  <sheetData>
    <row r="1"/>
    <row r="2">
      <c r="B2" s="1" t="inlineStr">
        <is>
          <t>Al Rajhi Bank (RJHI) — Earnings Presentation &amp; Management Guidance</t>
        </is>
      </c>
    </row>
    <row r="3">
      <c r="B3" s="2" t="inlineStr">
        <is>
          <t>Source: Al Rajhi Bank Q4 / FY2024 &amp; Q1 2025 Investor Presentation &amp; Earnings Conference Call | Reporting Currency: USD / Local Currency Statutory</t>
        </is>
      </c>
    </row>
    <row r="4"/>
    <row r="5">
      <c r="B5" s="3" t="inlineStr">
        <is>
          <t>I. MANAGEMENT STRATEGIC GUIDANCE TRACKER &amp; VARIANCE ANALYSIS</t>
        </is>
      </c>
    </row>
    <row r="6">
      <c r="B6" s="5" t="inlineStr">
        <is>
          <t>Strategic Guidance Metric</t>
        </is>
      </c>
      <c r="C6" s="5" t="inlineStr">
        <is>
          <t>Company Target / Commitment</t>
        </is>
      </c>
      <c r="D6" s="5" t="inlineStr">
        <is>
          <t>Current Run-Rate</t>
        </is>
      </c>
      <c r="E6" s="5" t="inlineStr">
        <is>
          <t>Tracking Status</t>
        </is>
      </c>
      <c r="F6" s="5" t="inlineStr">
        <is>
          <t>Guidance Variance &amp; Verification Question to Ask CFO</t>
        </is>
      </c>
    </row>
    <row r="7">
      <c r="B7" s="9" t="inlineStr">
        <is>
          <t>2025E Gross Loan Book Growth</t>
        </is>
      </c>
      <c r="C7" s="9" t="inlineStr">
        <is>
          <t>+12.0% - 15.0% YoY organic lending expansion</t>
        </is>
      </c>
      <c r="D7" s="27" t="inlineStr">
        <is>
          <t>+13.8% YoY annualized loan disbursement</t>
        </is>
      </c>
      <c r="E7" s="28" t="inlineStr">
        <is>
          <t>On Track</t>
        </is>
      </c>
      <c r="F7" s="29" t="inlineStr">
        <is>
          <t>Corporate trade finance and residential mortgage origination performing strongly.
[QUESTION TO CFO TO VERIFY]: On your last call, management guided full-year revenue of +12.0% - 15.0% YoY organic lending expansion. With current run-rate at +13.8% YoY annualized loan disbursement, do you officially reaffirm this target for the full year, or are you seeing customer volume or pricing pressure?</t>
        </is>
      </c>
    </row>
    <row r="8">
      <c r="B8" s="9" t="inlineStr">
        <is>
          <t>Net Interest Margin (NIM)</t>
        </is>
      </c>
      <c r="C8" s="9" t="inlineStr">
        <is>
          <t>3.90% - 4.15%</t>
        </is>
      </c>
      <c r="D8" s="27" t="inlineStr">
        <is>
          <t>4.02%</t>
        </is>
      </c>
      <c r="E8" s="28" t="inlineStr">
        <is>
          <t>On Track</t>
        </is>
      </c>
      <c r="F8" s="29" t="inlineStr">
        <is>
          <t>Asset yield repricing outpacing deposit cost inflation; sticky CASA base.
[QUESTION TO CFO TO VERIFY]: Management committed to an EBITDA target of 3.90% - 4.15%. Given recent cost inflation and supply chain dynamics, what is your latest margin visibility, and does this target rely on any one-off adjustments or asset revaluations?</t>
        </is>
      </c>
    </row>
    <row r="9">
      <c r="B9" s="9" t="inlineStr">
        <is>
          <t>Cost-to-Income Ratio (CIR)</t>
        </is>
      </c>
      <c r="C9" s="9" t="inlineStr">
        <is>
          <t>&lt; 38.0%</t>
        </is>
      </c>
      <c r="D9" s="27" t="inlineStr">
        <is>
          <t>36.8%</t>
        </is>
      </c>
      <c r="E9" s="25" t="inlineStr">
        <is>
          <t>Ahead of Target</t>
        </is>
      </c>
      <c r="F9" s="29" t="inlineStr">
        <is>
          <t>Digital branch automation and back-office straight-through processing cutting overhead.
[QUESTION TO CFO TO VERIFY]: Management guided a target of &lt; 38.0% for Cost-to-Income Ratio (CIR). Can you confirm whether current execution at 36.8% remains strictly on track, and what key operational milestones remain for the next two quarters?</t>
        </is>
      </c>
    </row>
    <row r="10">
      <c r="B10" s="9" t="inlineStr">
        <is>
          <t>Cost of Risk (Credit Impairment)</t>
        </is>
      </c>
      <c r="C10" s="9" t="inlineStr">
        <is>
          <t>&lt; 75 - 90 bps of gross loans</t>
        </is>
      </c>
      <c r="D10" s="27" t="inlineStr">
        <is>
          <t>68 bps annualized credit cost</t>
        </is>
      </c>
      <c r="E10" s="25" t="inlineStr">
        <is>
          <t>Ahead of Target</t>
        </is>
      </c>
      <c r="F10" s="29" t="inlineStr">
        <is>
          <t>Conservative underwriting and robust commercial recoveries preserving asset quality.
[QUESTION TO CFO TO VERIFY]: Management guided a target of &lt; 75 - 90 bps of gross loans for Cost of Risk (Credit Impairment). Can you confirm whether current execution at 68 bps annualized credit cost remains strictly on track, and what key operational milestones remain for the next two quarters?</t>
        </is>
      </c>
    </row>
    <row r="11">
      <c r="B11" s="9" t="inlineStr">
        <is>
          <t>Dividend Payout Ratio</t>
        </is>
      </c>
      <c r="C11" s="9" t="inlineStr">
        <is>
          <t>40.0% of annual attributable net profit</t>
        </is>
      </c>
      <c r="D11" s="27" t="inlineStr">
        <is>
          <t>40.0% payout proposed</t>
        </is>
      </c>
      <c r="E11" s="28" t="inlineStr">
        <is>
          <t>On Track</t>
        </is>
      </c>
      <c r="F11" s="29" t="inlineStr">
        <is>
          <t>Internal capital generation (+160 bps) comfortably funds organic balance sheet growth.
[QUESTION TO CFO TO VERIFY]: Management guided a target of 40.0% of annual attributable net profit for Dividend Payout Ratio. Can you confirm whether current execution at 40.0% payout proposed remains strictly on track, and what key operational milestones remain for the next two quarters?</t>
        </is>
      </c>
    </row>
    <row r="12"/>
    <row r="13">
      <c r="B13" s="3" t="inlineStr">
        <is>
          <t>II. CAPITAL ADEQUACY &amp; REGULATORY TARGETS</t>
        </is>
      </c>
    </row>
    <row r="14">
      <c r="B14" s="5" t="inlineStr">
        <is>
          <t>Project / Capital Dimension</t>
        </is>
      </c>
      <c r="C14" s="5" t="inlineStr">
        <is>
          <t>Disclosure &amp; Execution Milestone</t>
        </is>
      </c>
    </row>
    <row r="15">
      <c r="B15" s="9" t="inlineStr">
        <is>
          <t>Cet1 Ratio Target</t>
        </is>
      </c>
      <c r="C15" s="29" t="inlineStr">
        <is>
          <t>&gt; 13.0% (Substantial buffer over Basel III minimum of 8.5%)</t>
        </is>
      </c>
    </row>
    <row r="16">
      <c r="B16" s="9" t="inlineStr">
        <is>
          <t>Total Car Target</t>
        </is>
      </c>
      <c r="C16" s="29" t="inlineStr">
        <is>
          <t>&gt; 20.5% Total Capital Adequacy Ratio</t>
        </is>
      </c>
    </row>
    <row r="17">
      <c r="B17" s="9" t="inlineStr">
        <is>
          <t>Internal Capital Generation</t>
        </is>
      </c>
      <c r="C17" s="29" t="inlineStr">
        <is>
          <t>+140 - 180 bps annually from retained earnings</t>
        </is>
      </c>
    </row>
    <row r="18">
      <c r="B18" s="9" t="inlineStr">
        <is>
          <t>Regulatory Stress Test Buffer</t>
        </is>
      </c>
      <c r="C18" s="29" t="inlineStr">
        <is>
          <t>Over 350 bps excess capital buffer above regulatory threshold</t>
        </is>
      </c>
    </row>
    <row r="19"/>
    <row r="20">
      <c r="B20" s="3" t="inlineStr">
        <is>
          <t>III. FUNDING &amp; LIQUIDITY PROFILE</t>
        </is>
      </c>
    </row>
    <row r="21">
      <c r="B21" s="5" t="inlineStr">
        <is>
          <t>Exposure Category</t>
        </is>
      </c>
      <c r="C21" s="5" t="inlineStr">
        <is>
          <t>Contractual / Balance Sheet Profile</t>
        </is>
      </c>
    </row>
    <row r="22">
      <c r="B22" s="9" t="inlineStr">
        <is>
          <t>Casa Deposit Ratio</t>
        </is>
      </c>
      <c r="C22" s="29" t="inlineStr">
        <is>
          <t>54.5% of total customer deposits (Sticky low-cost current &amp; savings accounts)</t>
        </is>
      </c>
    </row>
    <row r="23">
      <c r="B23" s="9" t="inlineStr">
        <is>
          <t>Liquidity Coverage Ratio</t>
        </is>
      </c>
      <c r="C23" s="29" t="inlineStr">
        <is>
          <t>178.5% (Well in excess of 100% regulatory minimum)</t>
        </is>
      </c>
    </row>
    <row r="24">
      <c r="B24" s="9" t="inlineStr">
        <is>
          <t>Net Stable Funding Ratio</t>
        </is>
      </c>
      <c r="C24" s="29" t="inlineStr">
        <is>
          <t>128.0%</t>
        </is>
      </c>
    </row>
    <row r="25">
      <c r="B25" s="9" t="inlineStr">
        <is>
          <t>Loan To Deposit Ratio</t>
        </is>
      </c>
      <c r="C25" s="29" t="inlineStr">
        <is>
          <t>90.3% (Disciplined commercial liquidity profile)</t>
        </is>
      </c>
    </row>
    <row r="26">
      <c r="B26" s="9" t="inlineStr">
        <is>
          <t>Foreign Currency Liquidity Buffer</t>
        </is>
      </c>
      <c r="C26" s="29" t="inlineStr">
        <is>
          <t>$300.0M in high-quality liquid assets and central bank placements</t>
        </is>
      </c>
    </row>
    <row r="27"/>
    <row r="28">
      <c r="B28" s="3" t="inlineStr">
        <is>
          <t>IV. ASSET QUALITY &amp; PROVISIONING TARGETS</t>
        </is>
      </c>
    </row>
    <row r="29">
      <c r="B29" s="5" t="inlineStr">
        <is>
          <t>Dimension</t>
        </is>
      </c>
      <c r="C29" s="5" t="inlineStr">
        <is>
          <t>Commercial / Asset Metrics</t>
        </is>
      </c>
    </row>
    <row r="30">
      <c r="B30" s="9" t="inlineStr">
        <is>
          <t>Npl Ratio Target</t>
        </is>
      </c>
      <c r="C30" s="29" t="inlineStr">
        <is>
          <t>&lt; 0.9% across lending portfolio</t>
        </is>
      </c>
    </row>
    <row r="31">
      <c r="B31" s="9" t="inlineStr">
        <is>
          <t>Provision Coverage Ratio</t>
        </is>
      </c>
      <c r="C31" s="29" t="inlineStr">
        <is>
          <t>138.5% total allowance coverage on Stage 3 impaired loans</t>
        </is>
      </c>
    </row>
    <row r="32">
      <c r="B32" s="9" t="inlineStr">
        <is>
          <t>Stage 2 Underperforming Loans</t>
        </is>
      </c>
      <c r="C32" s="29" t="inlineStr">
        <is>
          <t>5.8% of gross customer advances (Prudently classified)</t>
        </is>
      </c>
    </row>
    <row r="33">
      <c r="B33" s="9" t="inlineStr">
        <is>
          <t>Collateral Coverage</t>
        </is>
      </c>
      <c r="C33" s="29" t="inlineStr">
        <is>
          <t>125% physical real estate and cash collateral on commercial credit lines</t>
        </is>
      </c>
    </row>
    <row r="34"/>
    <row r="35">
      <c r="B35" s="3" t="inlineStr">
        <is>
          <t>V. RECENT EARNINGS CADENCE &amp; HIGHLIGHTS</t>
        </is>
      </c>
    </row>
    <row r="36">
      <c r="B36" s="5" t="inlineStr">
        <is>
          <t>Liquidity Component</t>
        </is>
      </c>
      <c r="C36" s="5" t="inlineStr">
        <is>
          <t>Available Buffer / Runway</t>
        </is>
      </c>
    </row>
    <row r="37">
      <c r="B37" s="9" t="inlineStr">
        <is>
          <t>Latest Quarter Earnings</t>
        </is>
      </c>
      <c r="C37" s="29" t="inlineStr">
        <is>
          <t>Record quarterly net operating profit driven by strong trade finance and retail fee generation</t>
        </is>
      </c>
    </row>
    <row r="38">
      <c r="B38" s="9" t="inlineStr">
        <is>
          <t>Digital Banking Penetration</t>
        </is>
      </c>
      <c r="C38" s="29" t="inlineStr">
        <is>
          <t>86% of retail banking transactions executed via mobile / digital channels</t>
        </is>
      </c>
    </row>
    <row r="39">
      <c r="B39" s="9" t="inlineStr">
        <is>
          <t>Next Earnings Release</t>
        </is>
      </c>
      <c r="C39" s="29" t="inlineStr">
        <is>
          <t>Q2 / 1H Audited Interim Results &amp; Earnings Webcast</t>
        </is>
      </c>
    </row>
    <row r="40"/>
    <row r="41">
      <c r="B41" s="3" t="inlineStr">
        <is>
          <t>INSTITUTIONAL MANAGEMENT QUESTIONS &amp; CONVICTION DRIVERS (1-ON-1 DUE DILIGENCE)</t>
        </is>
      </c>
    </row>
    <row r="42">
      <c r="B42" s="5" t="inlineStr">
        <is>
          <t>Focus Area</t>
        </is>
      </c>
      <c r="C42" s="5" t="inlineStr">
        <is>
          <t>Question to Ask CFO / Management</t>
        </is>
      </c>
      <c r="F42" s="5" t="inlineStr">
        <is>
          <t>Credit Relevance &amp; Deduced Ambiguity</t>
        </is>
      </c>
      <c r="H42" s="5" t="inlineStr">
        <is>
          <t>Conviction Trigger &amp; Decision Rule</t>
        </is>
      </c>
    </row>
    <row r="43">
      <c r="B43" s="9" t="inlineStr">
        <is>
          <t>Stage 2 Loan Migration &amp; Restructured Corporate Exposures</t>
        </is>
      </c>
      <c r="C43" s="29" t="inlineStr">
        <is>
          <t>What proportion of Stage 2 watch-list loans represent restructured corporate exposures, and what is the specific cash recovery rate on collateral upon foreclosure under current local court procedures?</t>
        </is>
      </c>
      <c r="F43" s="30" t="inlineStr">
        <is>
          <t>Reported NPL ratios often mask asset quality stress through maturity extensions. Stage 2 loans are the true indicator of future provisioning spikes that erode Common Equity Tier 1 (CET1) capital.</t>
        </is>
      </c>
      <c r="H43" s="31" t="inlineStr">
        <is>
          <t>Stage 2 coverage &gt;25% and stable migration rates confirm balance sheet resilience.</t>
        </is>
      </c>
    </row>
    <row r="44">
      <c r="B44" s="9" t="inlineStr">
        <is>
          <t>Foreign Currency Liquidity Coverage &amp; Wholesale Refinancing Roll Rates</t>
        </is>
      </c>
      <c r="C44" s="29" t="inlineStr">
        <is>
          <t>What is the bank's net foreign currency liquidity buffer in unencumbered Nostro balances, and what roll-rates were achieved on syndicated loan / bilateral loan facilities over the past 6 months?</t>
        </is>
      </c>
      <c r="F44" s="30" t="inlineStr">
        <is>
          <t>Emerging market banks face acute dollar refinancing risk when global liquidity tightens. High roll-rates confirm institutional counterparty confidence.</t>
        </is>
      </c>
      <c r="H44" s="31" t="inlineStr">
        <is>
          <t>Roll-rates exceeding 100% with tighter pricing spreads indicate strong market access.</t>
        </is>
      </c>
    </row>
    <row r="45"/>
    <row r="46"/>
    <row r="47">
      <c r="B47" s="3" t="inlineStr">
        <is>
          <t>SCHEDULED EARNINGS RELEASE &amp; INVESTOR RELATIONS CALENDAR</t>
        </is>
      </c>
    </row>
    <row r="48">
      <c r="B48" s="5" t="inlineStr">
        <is>
          <t>Calendar Dimension</t>
        </is>
      </c>
      <c r="C48" s="5" t="inlineStr">
        <is>
          <t>Scheduled Detail &amp; IR Access</t>
        </is>
      </c>
    </row>
    <row r="49">
      <c r="B49" s="9" t="inlineStr">
        <is>
          <t>Next Scheduled Earnings Date</t>
        </is>
      </c>
      <c r="C49" s="29" t="inlineStr">
        <is>
          <t>2026-11-12</t>
        </is>
      </c>
    </row>
    <row r="50">
      <c r="B50" s="9" t="inlineStr">
        <is>
          <t>Reporting Period</t>
        </is>
      </c>
      <c r="C50" s="29" t="inlineStr">
        <is>
          <t>Q3 2026 / 9M</t>
        </is>
      </c>
    </row>
    <row r="51">
      <c r="B51" s="9" t="inlineStr">
        <is>
          <t>Confirmation Status</t>
        </is>
      </c>
      <c r="C51" s="29" t="inlineStr">
        <is>
          <t>Estimated</t>
        </is>
      </c>
    </row>
    <row r="52">
      <c r="B52" s="9" t="inlineStr">
        <is>
          <t>Conference Call &amp; Webcast Schedule</t>
        </is>
      </c>
      <c r="C52" s="29" t="inlineStr">
        <is>
          <t>14:00 Local / Pre-Market</t>
        </is>
      </c>
    </row>
    <row r="53">
      <c r="B53" s="9" t="inlineStr">
        <is>
          <t>Official IR Portal / Webcast URL</t>
        </is>
      </c>
      <c r="C53" s="29" t="inlineStr">
        <is>
          <t>https://www.google.com/finance/quote/RJHI</t>
        </is>
      </c>
    </row>
  </sheetData>
  <mergeCells count="42">
    <mergeCell ref="C36:I36"/>
    <mergeCell ref="C23:I23"/>
    <mergeCell ref="C44:E44"/>
    <mergeCell ref="C52:I52"/>
    <mergeCell ref="F9:I9"/>
    <mergeCell ref="C17:I17"/>
    <mergeCell ref="C48:I48"/>
    <mergeCell ref="C39:I39"/>
    <mergeCell ref="H43:I43"/>
    <mergeCell ref="B3:I3"/>
    <mergeCell ref="C32:I32"/>
    <mergeCell ref="C38:I38"/>
    <mergeCell ref="H44:I44"/>
    <mergeCell ref="C43:E43"/>
    <mergeCell ref="C37:I37"/>
    <mergeCell ref="C53:I53"/>
    <mergeCell ref="C18:I18"/>
    <mergeCell ref="B2:I2"/>
    <mergeCell ref="C49:I49"/>
    <mergeCell ref="F11:I11"/>
    <mergeCell ref="F42:G42"/>
    <mergeCell ref="C24:I24"/>
    <mergeCell ref="C30:I30"/>
    <mergeCell ref="C15:I15"/>
    <mergeCell ref="C33:I33"/>
    <mergeCell ref="F10:I10"/>
    <mergeCell ref="C14:I14"/>
    <mergeCell ref="F7:I7"/>
    <mergeCell ref="C26:I26"/>
    <mergeCell ref="C29:I29"/>
    <mergeCell ref="C16:I16"/>
    <mergeCell ref="C25:I25"/>
    <mergeCell ref="C42:E42"/>
    <mergeCell ref="C31:I31"/>
    <mergeCell ref="F43:G43"/>
    <mergeCell ref="C50:I50"/>
    <mergeCell ref="C22:I22"/>
    <mergeCell ref="F8:I8"/>
    <mergeCell ref="H42:I42"/>
    <mergeCell ref="C21:I21"/>
    <mergeCell ref="C51:I51"/>
    <mergeCell ref="F44:G4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2026-10-27T05:16:58Z</dcterms:created>
  <dcterms:modified xmlns:dcterms="http://purl.org/dc/terms/" xmlns:xsi="http://www.w3.org/2001/XMLSchema-instance" xsi:type="dcterms:W3CDTF">2026-10-27T05:16:58Z</dcterms:modified>
</cp:coreProperties>
</file>