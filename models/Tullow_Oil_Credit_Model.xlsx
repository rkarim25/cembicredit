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(TLW) — Institutional Credit Model</t>
        </is>
      </c>
    </row>
    <row r="3">
      <c r="B3" s="2" t="inlineStr">
        <is>
          <t>Sector: Energy | Country: Ghana | Rating: B- / Caa1 | Benchmark: TLW 13.80% 2026 @ $86.50 (13.80% YTM / +945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FPSO operator of Jubilee &amp; TEN; $280M+ organic FCF sweep directed to 2026 Eurobond maturity refinancing.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TLW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1125.45</v>
      </c>
      <c r="F26" s="7" t="inlineStr">
        <is>
          <t>13.80%</t>
        </is>
      </c>
      <c r="G26" s="7" t="inlineStr">
        <is>
          <t>$86.50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TLW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750.3</v>
      </c>
      <c r="F27" s="7" t="inlineStr">
        <is>
          <t>13.05%</t>
        </is>
      </c>
      <c r="G27" s="7" t="inlineStr">
        <is>
          <t>$89.00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625.25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488</v>
      </c>
      <c r="D16" s="8" t="n">
        <v>588.4</v>
      </c>
      <c r="E16" s="8" t="n">
        <v>660.2</v>
      </c>
      <c r="F16" s="8" t="n">
        <v>717.6</v>
      </c>
      <c r="G16" s="8" t="n">
        <v>775</v>
      </c>
      <c r="H16" s="8" t="n">
        <v>825.2</v>
      </c>
      <c r="I16" s="8" t="n">
        <v>861.1</v>
      </c>
    </row>
    <row r="17">
      <c r="B17" s="7" t="inlineStr">
        <is>
          <t>Downstream Refining &amp; Fuel Marketing</t>
        </is>
      </c>
      <c r="C17" s="8" t="n">
        <v>309.7</v>
      </c>
      <c r="D17" s="8" t="n">
        <v>373.4</v>
      </c>
      <c r="E17" s="8" t="n">
        <v>419</v>
      </c>
      <c r="F17" s="8" t="n">
        <v>455.4</v>
      </c>
      <c r="G17" s="8" t="n">
        <v>491.8</v>
      </c>
      <c r="H17" s="8" t="n">
        <v>523.7</v>
      </c>
      <c r="I17" s="8" t="n">
        <v>546.5</v>
      </c>
    </row>
    <row r="18">
      <c r="B18" s="7" t="inlineStr">
        <is>
          <t>Petrochemicals &amp; Gas Processing</t>
        </is>
      </c>
      <c r="C18" s="8" t="n">
        <v>140.8</v>
      </c>
      <c r="D18" s="8" t="n">
        <v>169.7</v>
      </c>
      <c r="E18" s="8" t="n">
        <v>190.4</v>
      </c>
      <c r="F18" s="8" t="n">
        <v>207</v>
      </c>
      <c r="G18" s="8" t="n">
        <v>223.6</v>
      </c>
      <c r="H18" s="8" t="n">
        <v>238</v>
      </c>
      <c r="I18" s="8" t="n">
        <v>248.4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1407.6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328.4</v>
      </c>
      <c r="D36" s="8" t="n">
        <v>328.4</v>
      </c>
      <c r="E36" s="8" t="n">
        <v>328.4</v>
      </c>
      <c r="F36" s="8" t="n">
        <v>328.4</v>
      </c>
      <c r="G36" s="8" t="n">
        <v>328.4</v>
      </c>
      <c r="H36" s="8" t="n">
        <v>328.4</v>
      </c>
      <c r="I36" s="8" t="n">
        <v>328.4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-200.9</v>
      </c>
      <c r="D16" s="8" t="n">
        <v>-243.9</v>
      </c>
      <c r="E16" s="8" t="n">
        <v>-272.6</v>
      </c>
      <c r="F16" s="8" t="n">
        <v>-287</v>
      </c>
      <c r="G16" s="8" t="n">
        <v>-301.4</v>
      </c>
      <c r="H16" s="8" t="n">
        <v>-292.7</v>
      </c>
      <c r="I16" s="8" t="n">
        <v>-281.3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338.2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TLW Benchmark Eurobond Notes</t>
        </is>
      </c>
    </row>
    <row r="7">
      <c r="B7" s="7" t="inlineStr">
        <is>
          <t xml:space="preserve">  Beginning Principal Balance</t>
        </is>
      </c>
      <c r="C7" s="8" t="n">
        <v>956.6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318.9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212.6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0.1380</f>
        <v/>
      </c>
      <c r="D11" s="8">
        <f>D10 * 0.1380</f>
        <v/>
      </c>
      <c r="E11" s="8">
        <f>E10 * 0.1380</f>
        <v/>
      </c>
      <c r="F11" s="8">
        <f>F10 * 0.1380</f>
        <v/>
      </c>
      <c r="G11" s="8">
        <f>G10 * 0.1380</f>
        <v/>
      </c>
      <c r="H11" s="8">
        <f>H10 * 0.1380</f>
        <v/>
      </c>
      <c r="I11" s="8">
        <f>I10 * 0.1380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1169.2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300.1</v>
      </c>
      <c r="C32" s="8" t="n">
        <v>550.2</v>
      </c>
      <c r="D32" s="8" t="n">
        <v>700.3</v>
      </c>
      <c r="E32" s="8" t="n">
        <v>450.2</v>
      </c>
      <c r="F32" s="8" t="n">
        <v>300.1</v>
      </c>
      <c r="G32" s="8" t="n">
        <v>200.1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TLW Benchmark Senior Notes</t>
        </is>
      </c>
      <c r="C37" s="7" t="inlineStr">
        <is>
          <t>Senior Unsecured RegS/144A Eurobond</t>
        </is>
      </c>
      <c r="D37" s="25" t="inlineStr">
        <is>
          <t>USD</t>
        </is>
      </c>
      <c r="E37" s="20" t="n">
        <v>1125.5</v>
      </c>
      <c r="F37" s="26" t="inlineStr">
        <is>
          <t>13.800%</t>
        </is>
      </c>
      <c r="G37" s="27" t="n">
        <v>86.5</v>
      </c>
      <c r="H37" s="28" t="n">
        <v>13.8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TLW Secondary Eurobond / Sukuk Tranche 2</t>
        </is>
      </c>
      <c r="C38" s="7" t="inlineStr">
        <is>
          <t>Senior Unsecured Notes</t>
        </is>
      </c>
      <c r="D38" s="25" t="inlineStr">
        <is>
          <t>USD</t>
        </is>
      </c>
      <c r="E38" s="20" t="n">
        <v>750.3</v>
      </c>
      <c r="F38" s="26" t="inlineStr">
        <is>
          <t>13.150%</t>
        </is>
      </c>
      <c r="G38" s="27" t="n">
        <v>88.5</v>
      </c>
      <c r="H38" s="28" t="n">
        <v>13.15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5" t="inlineStr">
        <is>
          <t>USD / EUR</t>
        </is>
      </c>
      <c r="E39" s="20" t="n">
        <v>375.1</v>
      </c>
      <c r="F39" s="26" t="inlineStr">
        <is>
          <t>SOFR + 185 bps</t>
        </is>
      </c>
      <c r="G39" s="27" t="n">
        <v>100</v>
      </c>
      <c r="H39" s="28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5" t="inlineStr">
        <is>
          <t>USD</t>
        </is>
      </c>
      <c r="E40" s="20" t="n">
        <v>250.1</v>
      </c>
      <c r="F40" s="26" t="inlineStr">
        <is>
          <t>SOFR + 150 bps</t>
        </is>
      </c>
      <c r="G40" s="27" t="n">
        <v>100</v>
      </c>
      <c r="H40" s="28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TLW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700.3</v>
      </c>
    </row>
    <row r="45">
      <c r="B45" s="7" t="inlineStr">
        <is>
          <t>Drawn Amount ($M)</t>
        </is>
      </c>
      <c r="C45" s="8" t="n">
        <v>250.1</v>
      </c>
    </row>
    <row r="46">
      <c r="B46" s="18" t="inlineStr">
        <is>
          <t>AVAILABLE UNDRAWN HEADROOM ($M)</t>
        </is>
      </c>
      <c r="C46" s="19" t="n">
        <v>450.2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5" t="inlineStr">
        <is>
          <t>3.75x</t>
        </is>
      </c>
      <c r="D55" s="29" t="inlineStr">
        <is>
          <t>2.30x</t>
        </is>
      </c>
      <c r="E55" s="30" t="inlineStr">
        <is>
          <t>1.45x leverage buffer ($1189.0M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5" t="inlineStr">
        <is>
          <t>2.50x</t>
        </is>
      </c>
      <c r="D56" s="29" t="inlineStr">
        <is>
          <t>3.42x</t>
        </is>
      </c>
      <c r="E56" s="30" t="inlineStr">
        <is>
          <t>+0.92x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5" t="inlineStr">
        <is>
          <t>15.0% of Consolidated Total Tangible Assets</t>
        </is>
      </c>
      <c r="D57" s="29" t="inlineStr">
        <is>
          <t>15.1% of Assets</t>
        </is>
      </c>
      <c r="E57" s="30" t="inlineStr">
        <is>
          <t>$303.6M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5" t="inlineStr">
        <is>
          <t>101.00% Redemption</t>
        </is>
      </c>
      <c r="D58" s="29" t="inlineStr">
        <is>
          <t>N/A (Inactive)</t>
        </is>
      </c>
      <c r="E58" s="30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5" t="inlineStr">
        <is>
          <t>Builder Basket</t>
        </is>
      </c>
      <c r="D59" s="29" t="inlineStr">
        <is>
          <t>Within Capacity</t>
        </is>
      </c>
      <c r="E59" s="30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5" t="inlineStr">
        <is>
          <t>$50.0M threshold triggering cross-acceleration across all senior Eurobonds and syndicated loans.</t>
        </is>
      </c>
      <c r="D60" s="29" t="inlineStr">
        <is>
          <t>Zero Defaults</t>
        </is>
      </c>
      <c r="E60" s="30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31">
        <f>'Debt Schedule &amp; Tranches'!C26 / 'Income Statement (P&amp;L)'!C22</f>
        <v/>
      </c>
      <c r="D8" s="31">
        <f>'Debt Schedule &amp; Tranches'!D26 / 'Income Statement (P&amp;L)'!D22</f>
        <v/>
      </c>
      <c r="E8" s="31">
        <f>'Debt Schedule &amp; Tranches'!E26 / 'Income Statement (P&amp;L)'!E22</f>
        <v/>
      </c>
      <c r="F8" s="31">
        <f>'Debt Schedule &amp; Tranches'!F26 / 'Income Statement (P&amp;L)'!F22</f>
        <v/>
      </c>
      <c r="G8" s="31">
        <f>'Debt Schedule &amp; Tranches'!G26 / 'Income Statement (P&amp;L)'!G22</f>
        <v/>
      </c>
      <c r="H8" s="31">
        <f>'Debt Schedule &amp; Tranches'!H26 / 'Income Statement (P&amp;L)'!H22</f>
        <v/>
      </c>
      <c r="I8" s="31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31">
        <f>'Income Statement (P&amp;L)'!C22 / 'Debt Schedule &amp; Tranches'!C28</f>
        <v/>
      </c>
      <c r="D10" s="31">
        <f>'Income Statement (P&amp;L)'!D22 / 'Debt Schedule &amp; Tranches'!D28</f>
        <v/>
      </c>
      <c r="E10" s="31">
        <f>'Income Statement (P&amp;L)'!E22 / 'Debt Schedule &amp; Tranches'!E28</f>
        <v/>
      </c>
      <c r="F10" s="31">
        <f>'Income Statement (P&amp;L)'!F22 / 'Debt Schedule &amp; Tranches'!F28</f>
        <v/>
      </c>
      <c r="G10" s="31">
        <f>'Income Statement (P&amp;L)'!G22 / 'Debt Schedule &amp; Tranches'!G28</f>
        <v/>
      </c>
      <c r="H10" s="31">
        <f>'Income Statement (P&amp;L)'!H22 / 'Debt Schedule &amp; Tranches'!H28</f>
        <v/>
      </c>
      <c r="I10" s="31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32" t="inlineStr">
        <is>
          <t>0.0%</t>
        </is>
      </c>
      <c r="D6" s="32" t="inlineStr">
        <is>
          <t>0 bp</t>
        </is>
      </c>
      <c r="E6" s="32" t="inlineStr">
        <is>
          <t>13.80%</t>
        </is>
      </c>
      <c r="F6" s="32" t="inlineStr">
        <is>
          <t>4.2x</t>
        </is>
      </c>
      <c r="G6" s="32" t="inlineStr">
        <is>
          <t>$94.00</t>
        </is>
      </c>
      <c r="H6" s="32" t="inlineStr">
        <is>
          <t>+8.7%</t>
        </is>
      </c>
    </row>
    <row r="7">
      <c r="B7" s="7" t="inlineStr">
        <is>
          <t>Downside Stress Case (Recession)</t>
        </is>
      </c>
      <c r="C7" s="26" t="inlineStr">
        <is>
          <t>-15.0%</t>
        </is>
      </c>
      <c r="D7" s="26" t="inlineStr">
        <is>
          <t>-300 bp</t>
        </is>
      </c>
      <c r="E7" s="26" t="inlineStr">
        <is>
          <t>15.80%</t>
        </is>
      </c>
      <c r="F7" s="26" t="inlineStr">
        <is>
          <t>3.2x</t>
        </is>
      </c>
      <c r="G7" s="26" t="inlineStr">
        <is>
          <t>$74.50</t>
        </is>
      </c>
      <c r="H7" s="26" t="inlineStr">
        <is>
          <t>-13.9%</t>
        </is>
      </c>
    </row>
    <row r="8">
      <c r="B8" s="7" t="inlineStr">
        <is>
          <t>Severe Distressed Floor (Liquidation)</t>
        </is>
      </c>
      <c r="C8" s="26" t="inlineStr">
        <is>
          <t>-35.0%</t>
        </is>
      </c>
      <c r="D8" s="26" t="inlineStr">
        <is>
          <t>-650 bp</t>
        </is>
      </c>
      <c r="E8" s="26" t="inlineStr">
        <is>
          <t>+500 bp spread</t>
        </is>
      </c>
      <c r="F8" s="26" t="inlineStr">
        <is>
          <t>Liquidation Value</t>
        </is>
      </c>
      <c r="G8" s="26" t="inlineStr">
        <is>
          <t>$55.00</t>
        </is>
      </c>
      <c r="H8" s="26" t="inlineStr">
        <is>
          <t>-36.4%</t>
        </is>
      </c>
    </row>
    <row r="9">
      <c r="B9" s="7" t="inlineStr">
        <is>
          <t>Bull Case (Cycle Peak / Accretion)</t>
        </is>
      </c>
      <c r="C9" s="26" t="inlineStr">
        <is>
          <t>+12.0%</t>
        </is>
      </c>
      <c r="D9" s="26" t="inlineStr">
        <is>
          <t>+200 bp</t>
        </is>
      </c>
      <c r="E9" s="26" t="inlineStr">
        <is>
          <t>12.30%</t>
        </is>
      </c>
      <c r="F9" s="26" t="inlineStr">
        <is>
          <t>5.7x</t>
        </is>
      </c>
      <c r="G9" s="26" t="inlineStr">
        <is>
          <t>$105.00</t>
        </is>
      </c>
      <c r="H9" s="26" t="inlineStr">
        <is>
          <t>+21.4%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625.2</v>
      </c>
      <c r="D14" s="7" t="inlineStr">
        <is>
          <t>Senior Secured (Pari Passu)</t>
        </is>
      </c>
      <c r="E14" s="7" t="inlineStr">
        <is>
          <t>First Lien Fixed Charges</t>
        </is>
      </c>
      <c r="F14" s="26" t="inlineStr">
        <is>
          <t>100.0%</t>
        </is>
      </c>
      <c r="G14" s="26" t="inlineStr">
        <is>
          <t>100.0%</t>
        </is>
      </c>
    </row>
    <row r="15">
      <c r="B15" s="7" t="inlineStr">
        <is>
          <t>TLW Senior Unsecured Eurobonds</t>
        </is>
      </c>
      <c r="C15" s="8" t="n">
        <v>1875.8</v>
      </c>
      <c r="D15" s="7" t="inlineStr">
        <is>
          <t>Senior Unsecured</t>
        </is>
      </c>
      <c r="E15" s="7" t="inlineStr">
        <is>
          <t>General Corporate Guarantee</t>
        </is>
      </c>
      <c r="F15" s="26" t="inlineStr">
        <is>
          <t>55.0%</t>
        </is>
      </c>
      <c r="G15" s="26" t="inlineStr">
        <is>
          <t>94.0%</t>
        </is>
      </c>
    </row>
    <row r="16">
      <c r="B16" s="7" t="inlineStr">
        <is>
          <t>Subordinated Debt &amp; Intercompany Notes</t>
        </is>
      </c>
      <c r="C16" s="8" t="n">
        <v>375.1</v>
      </c>
      <c r="D16" s="7" t="inlineStr">
        <is>
          <t>Subordinated</t>
        </is>
      </c>
      <c r="E16" s="7" t="inlineStr">
        <is>
          <t>Junior Unsecured Claim</t>
        </is>
      </c>
      <c r="F16" s="26" t="inlineStr">
        <is>
          <t>0.0%</t>
        </is>
      </c>
      <c r="G16" s="26" t="inlineStr">
        <is>
          <t>25.0%</t>
        </is>
      </c>
    </row>
    <row r="17">
      <c r="B17" s="7" t="inlineStr">
        <is>
          <t>Equity Shareholders</t>
        </is>
      </c>
      <c r="C17" s="8" t="n">
        <v>1000.4</v>
      </c>
      <c r="D17" s="7" t="inlineStr">
        <is>
          <t>Residual Equity</t>
        </is>
      </c>
      <c r="E17" s="7" t="inlineStr">
        <is>
          <t>Ordinary Shares</t>
        </is>
      </c>
      <c r="F17" s="26" t="inlineStr">
        <is>
          <t>0.0%</t>
        </is>
      </c>
      <c r="G17" s="26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Ghana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(TLW) — Earnings Presentation &amp; Management Guidance</t>
        </is>
      </c>
    </row>
    <row r="3">
      <c r="B3" s="2" t="inlineStr">
        <is>
          <t>Source: Tullow Oil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$1490.4M (+8.0% YoY growth)</t>
        </is>
      </c>
      <c r="D7" s="33" t="inlineStr">
        <is>
          <t>$1469.7M (+6.5% YoY)</t>
        </is>
      </c>
      <c r="E7" s="34" t="inlineStr">
        <is>
          <t>On Track</t>
        </is>
      </c>
      <c r="F7" s="35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$902.0M (60.5% margin)</t>
        </is>
      </c>
      <c r="D8" s="33" t="inlineStr">
        <is>
          <t>$885.6M</t>
        </is>
      </c>
      <c r="E8" s="34" t="inlineStr">
        <is>
          <t>On Track</t>
        </is>
      </c>
      <c r="F8" s="35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3" t="inlineStr">
        <is>
          <t>2.30x</t>
        </is>
      </c>
      <c r="E9" s="30" t="inlineStr">
        <is>
          <t>Ahead of Target</t>
        </is>
      </c>
      <c r="F9" s="35" t="inlineStr">
        <is>
          <t>Deleveraging on track with 1.45x buffer below covenant limit.</t>
        </is>
      </c>
    </row>
    <row r="10">
      <c r="B10" s="9" t="inlineStr">
        <is>
          <t>2025E Strategic Capex Envelope</t>
        </is>
      </c>
      <c r="C10" s="9" t="inlineStr">
        <is>
          <t>$301.4M (Maximum growth and sustaining envelope)</t>
        </is>
      </c>
      <c r="D10" s="33" t="inlineStr">
        <is>
          <t>$277.3M committed</t>
        </is>
      </c>
      <c r="E10" s="34" t="inlineStr">
        <is>
          <t>On Track</t>
        </is>
      </c>
      <c r="F10" s="35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3" t="inlineStr">
        <is>
          <t>35% payout policy maintained</t>
        </is>
      </c>
      <c r="E11" s="34" t="inlineStr">
        <is>
          <t>On Track</t>
        </is>
      </c>
      <c r="F11" s="35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5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5" t="inlineStr">
        <is>
          <t>$287.0M (55% sustaining maintenance / 45% strategic growth)</t>
        </is>
      </c>
    </row>
    <row r="17">
      <c r="B17" s="9" t="inlineStr">
        <is>
          <t>Project Execution Milestones</t>
        </is>
      </c>
      <c r="C17" s="35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5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5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5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5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5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5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5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5" t="inlineStr">
        <is>
          <t>$615.0M in liquid bank deposits</t>
        </is>
      </c>
    </row>
    <row r="35">
      <c r="B35" s="9" t="inlineStr">
        <is>
          <t>Undrawn Committed Credit Lines</t>
        </is>
      </c>
      <c r="C35" s="35" t="inlineStr">
        <is>
          <t>$875.3M in revolving bank facilities</t>
        </is>
      </c>
    </row>
    <row r="36">
      <c r="B36" s="9" t="inlineStr">
        <is>
          <t>Net Debt Headroom</t>
        </is>
      </c>
      <c r="C36" s="35" t="inlineStr">
        <is>
          <t>Conservative liquidity buffer providing over 30 months of debt service coverage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2026-09-19T21:23:02Z</dcterms:created>
  <dcterms:modified xmlns:dcterms="http://purl.org/dc/terms/" xmlns:xsi="http://www.w3.org/2001/XMLSchema-instance" xsi:type="dcterms:W3CDTF">2026-09-19T21:23:02Z</dcterms:modified>
</cp:coreProperties>
</file>