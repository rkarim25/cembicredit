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Morgan Stanley] Offshore Escrow &amp; Debt Routing: Crude export proceeds flow through dedicated offshore collection accounts; debt service for Eurobonds and pre-export facilities is carved out prior to fiscal transfers.
• [Wood Mackenzie / Company Filings] Lifting Costs &amp; Break-even: Low cash lifting costs ($8-$16/boe) protect operating margins even in an extended $55/bbl Brent stress scenario.
• Downside Recovery Floor: $55.0 (Base: $94.0)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Tullow Oil</t>
        </is>
      </c>
    </row>
    <row r="3">
      <c r="B3" s="2" t="inlineStr">
        <is>
          <t>CEMBI CEEMEA Assessment | Country: Ghana | Sector: Energy | Benchmark: TLW 13.80%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$86.50 (13.80% YTM)</t>
        </is>
      </c>
      <c r="D6" s="4" t="inlineStr">
        <is>
          <t>B- / Caa1 (+945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Jubilee Field Operated Crude (72%), TEN Complex Crude (22%), Domestic Gas Offtake (6%)</t>
        </is>
      </c>
      <c r="D7" s="4" t="inlineStr">
        <is>
          <t>Recovery Floor</t>
        </is>
      </c>
      <c r="E7" s="5" t="inlineStr">
        <is>
          <t>$55.00 (Base $94.00)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$94.00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$74.50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Tullow Oil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938.4</v>
      </c>
      <c r="D7" s="15" t="n">
        <v>1131.6</v>
      </c>
      <c r="E7" s="15" t="n">
        <v>1269.6</v>
      </c>
      <c r="F7" s="15" t="n">
        <v>1380</v>
      </c>
      <c r="G7" s="16" t="n">
        <v>1490.4</v>
      </c>
      <c r="H7" s="16" t="n">
        <v>1587</v>
      </c>
      <c r="I7" s="16" t="n">
        <v>1656</v>
      </c>
    </row>
    <row r="8">
      <c r="B8" s="5" t="inlineStr">
        <is>
          <t>Cost of Goods Sold (COGS)</t>
        </is>
      </c>
      <c r="C8" s="17" t="n">
        <v>276.1</v>
      </c>
      <c r="D8" s="17" t="n">
        <v>335.2</v>
      </c>
      <c r="E8" s="17" t="n">
        <v>366.8</v>
      </c>
      <c r="F8" s="17" t="n">
        <v>394.4</v>
      </c>
      <c r="G8" s="18" t="n">
        <v>422</v>
      </c>
      <c r="H8" s="18" t="n">
        <v>445.7</v>
      </c>
      <c r="I8" s="18" t="n">
        <v>465.4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119.2</v>
      </c>
      <c r="D11" s="17" t="n">
        <v>135.8</v>
      </c>
      <c r="E11" s="17" t="n">
        <v>152.4</v>
      </c>
      <c r="F11" s="17" t="n">
        <v>165.6</v>
      </c>
      <c r="G11" s="18" t="n">
        <v>175.5</v>
      </c>
      <c r="H11" s="18" t="n">
        <v>185.5</v>
      </c>
      <c r="I11" s="18" t="n">
        <v>192.1</v>
      </c>
    </row>
    <row r="12">
      <c r="B12" s="14" t="inlineStr">
        <is>
          <t>EBITDA</t>
        </is>
      </c>
      <c r="C12" s="15" t="n">
        <v>533</v>
      </c>
      <c r="D12" s="15" t="n">
        <v>656</v>
      </c>
      <c r="E12" s="15" t="n">
        <v>738</v>
      </c>
      <c r="F12" s="15" t="n">
        <v>820</v>
      </c>
      <c r="G12" s="16" t="n">
        <v>902</v>
      </c>
      <c r="H12" s="16" t="n">
        <v>967.6</v>
      </c>
      <c r="I12" s="16" t="n">
        <v>1016.8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229.6</v>
      </c>
      <c r="D14" s="17" t="n">
        <v>252.6</v>
      </c>
      <c r="E14" s="17" t="n">
        <v>272.6</v>
      </c>
      <c r="F14" s="17" t="n">
        <v>287</v>
      </c>
      <c r="G14" s="18" t="n">
        <v>301.4</v>
      </c>
      <c r="H14" s="18" t="n">
        <v>315.7</v>
      </c>
      <c r="I14" s="18" t="n">
        <v>330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109.3</v>
      </c>
      <c r="D16" s="17" t="n">
        <v>136.7</v>
      </c>
      <c r="E16" s="17" t="n">
        <v>164</v>
      </c>
      <c r="F16" s="17" t="n">
        <v>182.2</v>
      </c>
      <c r="G16" s="18" t="n">
        <v>174.9</v>
      </c>
      <c r="H16" s="18" t="n">
        <v>167.6</v>
      </c>
      <c r="I16" s="18" t="n">
        <v>160.4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396.6</v>
      </c>
      <c r="D20" s="15" t="n">
        <v>498.9</v>
      </c>
      <c r="E20" s="15" t="n">
        <v>562.8</v>
      </c>
      <c r="F20" s="15" t="n">
        <v>639.6</v>
      </c>
      <c r="G20" s="16" t="n">
        <v>703.6</v>
      </c>
      <c r="H20" s="16" t="n">
        <v>754.7</v>
      </c>
      <c r="I20" s="16" t="n">
        <v>799.5</v>
      </c>
    </row>
    <row r="21">
      <c r="B21" s="5" t="inlineStr">
        <is>
          <t>Capital Expenditures (Capex)</t>
        </is>
      </c>
      <c r="C21" s="17" t="n">
        <v>77.3</v>
      </c>
      <c r="D21" s="17" t="n">
        <v>93.8</v>
      </c>
      <c r="E21" s="17" t="n">
        <v>104.9</v>
      </c>
      <c r="F21" s="17" t="n">
        <v>110.4</v>
      </c>
      <c r="G21" s="18" t="n">
        <v>115.9</v>
      </c>
      <c r="H21" s="18" t="n">
        <v>112.6</v>
      </c>
      <c r="I21" s="18" t="n">
        <v>108.2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136.6</v>
      </c>
      <c r="D24" s="17" t="n">
        <v>173.9</v>
      </c>
      <c r="E24" s="17" t="n">
        <v>211.1</v>
      </c>
      <c r="F24" s="17" t="n">
        <v>248.4</v>
      </c>
      <c r="G24" s="18" t="n">
        <v>293.1</v>
      </c>
      <c r="H24" s="18" t="n">
        <v>335.3</v>
      </c>
      <c r="I24" s="18" t="n">
        <v>372.6</v>
      </c>
    </row>
    <row r="25">
      <c r="B25" s="14" t="inlineStr">
        <is>
          <t>Gross Debt (Loans + Eurobonds/Sukuk)</t>
        </is>
      </c>
      <c r="C25" s="15" t="n">
        <v>1605.1</v>
      </c>
      <c r="D25" s="15" t="n">
        <v>1737.3</v>
      </c>
      <c r="E25" s="15" t="n">
        <v>1850.6</v>
      </c>
      <c r="F25" s="15" t="n">
        <v>1888.4</v>
      </c>
      <c r="G25" s="16" t="n">
        <v>1850.6</v>
      </c>
      <c r="H25" s="16" t="n">
        <v>1794</v>
      </c>
      <c r="I25" s="16" t="n">
        <v>1699.6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