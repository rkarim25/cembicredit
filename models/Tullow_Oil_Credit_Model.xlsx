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Cognitive Credit derived EBITDA versus company-reported (adjusted) EBITDA; difference = company adjustments.</t>
      </text>
    </comment>
    <comment ref="D36" authorId="0" shapeId="0">
      <text>
        <t>CEMBI Credit Desk EBITDA Audit (2022A):
Cognitive Credit derived EBITDA versus company-reported (adjusted) EBITDA; difference = company adjustments.</t>
      </text>
    </comment>
    <comment ref="E36" authorId="0" shapeId="0">
      <text>
        <t>CEMBI Credit Desk EBITDA Audit (2023A):
Cognitive Credit derived EBITDA versus company-reported (adjusted) EBITDA; difference = company adjustments.</t>
      </text>
    </comment>
    <comment ref="F36" authorId="0" shapeId="0">
      <text>
        <t>CEMBI Credit Desk EBITDA Audit (2024A):
Cognitive Credit derived EBITDA versus company-reported (adjusted) EBITDA; difference = company adjustments.</t>
      </text>
    </comment>
    <comment ref="G36" authorId="0" shapeId="0">
      <text>
        <t>CEMBI Credit Desk EBITDA Audit (2025E):
Cognitive Credit derived EBITDA versus company-reported (adjusted) EBITDA; difference = company adjustments.</t>
      </text>
    </comment>
    <comment ref="H36" authorId="0" shapeId="0">
      <text>
        <t>CEMBI Credit Desk EBITDA Audit (2026E):
Cognitive Credit derived EBITDA versus company-reported (adjusted) EBITDA; difference = company adjustments.</t>
      </text>
    </comment>
    <comment ref="I36" authorId="0" shapeId="0">
      <text>
        <t>CEMBI Credit Desk EBITDA Audit (2027E):
Cognitive Credit derived EBITDA versus company-reported (adjusted) EBITDA; difference = company adjustments.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$-968.3M after capex, interest, working capital, and tax.</t>
      </text>
    </comment>
    <comment ref="D34" authorId="0" shapeId="0">
      <text>
        <t>CEMBI Credit Desk FCF Bridge (2022A):
Formula: EBITDA - Capex - Cash Interest - ΔNWC - Tax
FCF generation of $-806.0M after capex, interest, working capital, and tax.</t>
      </text>
    </comment>
    <comment ref="E34" authorId="0" shapeId="0">
      <text>
        <t>CEMBI Credit Desk FCF Bridge (2023A):
Formula: EBITDA - Capex - Cash Interest - ΔNWC - Tax
FCF generation of $587.4M after capex, interest, working capital, and tax.</t>
      </text>
    </comment>
    <comment ref="F34" authorId="0" shapeId="0">
      <text>
        <t>CEMBI Credit Desk FCF Bridge (2024A):
Formula: EBITDA - Capex - Cash Interest - ΔNWC - Tax
FCF generation of $411.6M after capex, interest, working capital, and tax.</t>
      </text>
    </comment>
    <comment ref="G34" authorId="0" shapeId="0">
      <text>
        <t>CEMBI Credit Desk FCF Bridge (2025E):
Formula: EBITDA - Capex - Cash Interest - ΔNWC - Tax
FCF generation of $350.3M after capex, interest, working capital, and tax.</t>
      </text>
    </comment>
    <comment ref="H34" authorId="0" shapeId="0">
      <text>
        <t>CEMBI Credit Desk FCF Bridge (2026E):
Formula: EBITDA - Capex - Cash Interest - ΔNWC - Tax
FCF generation of $-89.0M after capex, interest, working capital, and tax.</t>
      </text>
    </comment>
    <comment ref="I34" authorId="0" shapeId="0">
      <text>
        <t>CEMBI Credit Desk FCF Bridge (2027E):
Formula: EBITDA - Capex - Cash Interest - ΔNWC - Tax
FCF generation of $159.6M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9" authorId="0" shapeId="0">
      <text>
        <t>CEMBI Credit Desk Reported Leverage Commentary (2021A):
Cognitive Credit derived EBITDA versus company-reported (adjusted) EBITDA; difference = company adjustments.</t>
      </text>
    </comment>
    <comment ref="D9" authorId="0" shapeId="0">
      <text>
        <t>CEMBI Credit Desk Reported Leverage Commentary (2022A):
Cognitive Credit derived EBITDA versus company-reported (adjusted) EBITDA; difference = company adjustments.</t>
      </text>
    </comment>
    <comment ref="E9" authorId="0" shapeId="0">
      <text>
        <t>CEMBI Credit Desk Reported Leverage Commentary (2023A):
Cognitive Credit derived EBITDA versus company-reported (adjusted) EBITDA; difference = company adjustments.</t>
      </text>
    </comment>
    <comment ref="F9" authorId="0" shapeId="0">
      <text>
        <t>CEMBI Credit Desk Reported Leverage Commentary (2024A):
Cognitive Credit derived EBITDA versus company-reported (adjusted) EBITDA; difference = company adjustments.</t>
      </text>
    </comment>
    <comment ref="G9" authorId="0" shapeId="0">
      <text>
        <t>CEMBI Credit Desk Reported Leverage Commentary (2025E):
Cognitive Credit derived EBITDA versus company-reported (adjusted) EBITDA; difference = company adjustments.</t>
      </text>
    </comment>
    <comment ref="H9" authorId="0" shapeId="0">
      <text>
        <t>CEMBI Credit Desk Reported Leverage Commentary (2026E):
Cognitive Credit derived EBITDA versus company-reported (adjusted) EBITDA; difference = company adjustments.</t>
      </text>
    </comment>
    <comment ref="I9" authorId="0" shapeId="0">
      <text>
        <t>CEMBI Credit Desk Reported Leverage Commentary (2027E):
Cognitive Credit derived EBITDA versus company-reported (adjusted) EBITDA; difference = company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(TLW) — Institutional Credit Model</t>
        </is>
      </c>
    </row>
    <row r="3">
      <c r="B3" s="2" t="inlineStr">
        <is>
          <t>Sector: Energy | Country: Ghana | Rating: CCC+ / CCC+ / Caa2 | Benchmark: TLWLN 10.250% 2028 (15.00% all-in) @ $97.00 (16.50% YTM / +1180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FPSO operator of Jubilee &amp; TEN; $280M+ organic FCF sweep directed to 2026 Eurobond maturity refinancing.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TLW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889.11</v>
      </c>
      <c r="F26" s="7" t="inlineStr">
        <is>
          <t>16.50%</t>
        </is>
      </c>
      <c r="G26" s="7" t="inlineStr">
        <is>
          <t>$97.00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TLW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592.74</v>
      </c>
      <c r="F27" s="7" t="inlineStr">
        <is>
          <t>15.75%</t>
        </is>
      </c>
      <c r="G27" s="7" t="inlineStr">
        <is>
          <t>$99.50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493.95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520</v>
      </c>
      <c r="D16" s="8" t="n">
        <v>520</v>
      </c>
      <c r="E16" s="8" t="n">
        <v>520</v>
      </c>
      <c r="F16" s="8" t="n">
        <v>669.3</v>
      </c>
      <c r="G16" s="8" t="n">
        <v>520</v>
      </c>
      <c r="H16" s="8" t="n">
        <v>520</v>
      </c>
      <c r="I16" s="8" t="n">
        <v>520</v>
      </c>
    </row>
    <row r="17">
      <c r="B17" s="7" t="inlineStr">
        <is>
          <t>Downstream Refining &amp; Fuel Marketing</t>
        </is>
      </c>
      <c r="C17" s="8" t="n">
        <v>330</v>
      </c>
      <c r="D17" s="8" t="n">
        <v>330</v>
      </c>
      <c r="E17" s="8" t="n">
        <v>330</v>
      </c>
      <c r="F17" s="8" t="n">
        <v>424.8</v>
      </c>
      <c r="G17" s="8" t="n">
        <v>330</v>
      </c>
      <c r="H17" s="8" t="n">
        <v>330</v>
      </c>
      <c r="I17" s="8" t="n">
        <v>330</v>
      </c>
    </row>
    <row r="18">
      <c r="B18" s="7" t="inlineStr">
        <is>
          <t>Petrochemicals &amp; Gas Processing</t>
        </is>
      </c>
      <c r="C18" s="8" t="n">
        <v>150</v>
      </c>
      <c r="D18" s="8" t="n">
        <v>150</v>
      </c>
      <c r="E18" s="8" t="n">
        <v>150</v>
      </c>
      <c r="F18" s="8" t="n">
        <v>193.1</v>
      </c>
      <c r="G18" s="8" t="n">
        <v>150</v>
      </c>
      <c r="H18" s="8" t="n">
        <v>150</v>
      </c>
      <c r="I18" s="8" t="n">
        <v>150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Cognitive Credit derived EBITDA versus company-reported (adjusted) EBITDA; difference = company adjustments.</t>
        </is>
      </c>
    </row>
    <row r="43">
      <c r="B43" s="25" t="inlineStr">
        <is>
          <t>[2022A] Cognitive Credit derived EBITDA versus company-reported (adjusted) EBITDA; difference = company adjustments.</t>
        </is>
      </c>
    </row>
    <row r="44">
      <c r="B44" s="25" t="inlineStr">
        <is>
          <t>[2023A] Cognitive Credit derived EBITDA versus company-reported (adjusted) EBITDA; difference = company adjustments.</t>
        </is>
      </c>
    </row>
    <row r="45">
      <c r="B45" s="25" t="inlineStr">
        <is>
          <t>[2024A] Cognitive Credit derived EBITDA versus company-reported (adjusted) EBITDA; difference = company adjustments.</t>
        </is>
      </c>
    </row>
    <row r="46">
      <c r="B46" s="25" t="inlineStr">
        <is>
          <t>[2025E] Cognitive Credit derived EBITDA versus company-reported (adjusted) EBITDA; difference = company adjustments.</t>
        </is>
      </c>
    </row>
    <row r="47">
      <c r="B47" s="25" t="inlineStr">
        <is>
          <t>[2026E] Cognitive Credit derived EBITDA versus company-reported (adjusted) EBITDA; difference = company adjustments.</t>
        </is>
      </c>
    </row>
    <row r="48">
      <c r="B48" s="25" t="inlineStr">
        <is>
          <t>[2027E] Cognitive Credit derived EBITDA versus company-reported (adjusted) EBITDA; difference = company adjustments.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350</v>
      </c>
      <c r="D36" s="8" t="n">
        <v>350</v>
      </c>
      <c r="E36" s="8" t="n">
        <v>350</v>
      </c>
      <c r="F36" s="8" t="n">
        <v>350</v>
      </c>
      <c r="G36" s="8" t="n">
        <v>350</v>
      </c>
      <c r="H36" s="8" t="n">
        <v>350</v>
      </c>
      <c r="I36" s="8" t="n">
        <v>350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236.5</v>
      </c>
      <c r="D16" s="8" t="n">
        <v>306.4</v>
      </c>
      <c r="E16" s="8" t="n">
        <v>292.5</v>
      </c>
      <c r="F16" s="8" t="n">
        <v>224.5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469.1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3218.5</v>
      </c>
      <c r="D32" s="8" t="n">
        <v>2325.9</v>
      </c>
      <c r="E32" s="8" t="n">
        <v>666.3</v>
      </c>
      <c r="F32" s="8" t="n">
        <v>1129.4</v>
      </c>
      <c r="G32" s="8" t="n">
        <v>1220.7</v>
      </c>
      <c r="H32" s="8" t="n">
        <v>992.1</v>
      </c>
      <c r="I32" s="8" t="n">
        <v>783.2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Positive organic cash generation supporting liquidity and debt service.</t>
        </is>
      </c>
    </row>
    <row r="39">
      <c r="B39" s="25" t="inlineStr">
        <is>
          <t>[2022A] Positive organic cash generation supporting liquidity and debt service.</t>
        </is>
      </c>
    </row>
    <row r="40">
      <c r="B40" s="25" t="inlineStr">
        <is>
          <t>[2023A] Positive organic cash generation supporting liquidity and debt service.</t>
        </is>
      </c>
    </row>
    <row r="41">
      <c r="B41" s="25" t="inlineStr">
        <is>
          <t>[2024A] Positive organic cash generation supporting liquidity and debt service.</t>
        </is>
      </c>
    </row>
    <row r="42">
      <c r="B42" s="25" t="inlineStr">
        <is>
          <t>[2025E] Positive organic cash generation supporting liquidity and debt service.</t>
        </is>
      </c>
    </row>
    <row r="43">
      <c r="B43" s="25" t="inlineStr">
        <is>
          <t>[2026E] Positive organic cash generation supporting liquidity and debt service.</t>
        </is>
      </c>
    </row>
    <row r="44">
      <c r="B44" s="25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34" customWidth="1" min="9" max="9"/>
    <col width="19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TLW Benchmark Eurobond Notes</t>
        </is>
      </c>
    </row>
    <row r="7">
      <c r="B7" s="7" t="inlineStr">
        <is>
          <t xml:space="preserve">  Beginning Principal Balance</t>
        </is>
      </c>
      <c r="C7" s="8" t="n">
        <v>1155.9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385.3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256.9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0.1650</f>
        <v/>
      </c>
      <c r="D11" s="8">
        <f>D10 * 0.1650</f>
        <v/>
      </c>
      <c r="E11" s="8">
        <f>E10 * 0.1650</f>
        <v/>
      </c>
      <c r="F11" s="8">
        <f>F10 * 0.1650</f>
        <v/>
      </c>
      <c r="G11" s="8">
        <f>G10 * 0.1650</f>
        <v/>
      </c>
      <c r="H11" s="8">
        <f>H10 * 0.1650</f>
        <v/>
      </c>
      <c r="I11" s="8">
        <f>I10 * 0.1650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1412.8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237.1</v>
      </c>
      <c r="C32" s="8" t="n">
        <v>434.7</v>
      </c>
      <c r="D32" s="8" t="n">
        <v>553.2</v>
      </c>
      <c r="E32" s="8" t="n">
        <v>355.6</v>
      </c>
      <c r="F32" s="8" t="n">
        <v>237.1</v>
      </c>
      <c r="G32" s="8" t="n">
        <v>158.1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TLWLN 2028 Senior Notes</t>
        </is>
      </c>
      <c r="C37" s="7" t="inlineStr">
        <is>
          <t>Senior Secured Eurobond</t>
        </is>
      </c>
      <c r="D37" s="28" t="inlineStr">
        <is>
          <t>USD</t>
        </is>
      </c>
      <c r="E37" s="20" t="n">
        <v>1162</v>
      </c>
      <c r="F37" s="29" t="inlineStr">
        <is>
          <t>10.25% cash + 3.00% PIK + 1.75% PIYC (15.00% all-in)</t>
        </is>
      </c>
      <c r="G37" s="30" t="n">
        <v>97</v>
      </c>
      <c r="H37" s="31" t="n">
        <v>16.5</v>
      </c>
      <c r="I37" s="7" t="inlineStr">
        <is>
          <t>Senior Secured</t>
        </is>
      </c>
      <c r="J37" s="16" t="inlineStr">
        <is>
          <t>English Law</t>
        </is>
      </c>
    </row>
    <row r="38">
      <c r="B38" s="9" t="inlineStr">
        <is>
          <t>Glencore Junior Notes</t>
        </is>
      </c>
      <c r="C38" s="7" t="inlineStr">
        <is>
          <t>Subordinated Junior Notes</t>
        </is>
      </c>
      <c r="D38" s="28" t="inlineStr">
        <is>
          <t>USD</t>
        </is>
      </c>
      <c r="E38" s="20" t="n">
        <v>423</v>
      </c>
      <c r="F38" s="29" t="inlineStr">
        <is>
          <t>SOFR + 12.75% PIK (step-up to 13.50% if Brent &gt; $65/bbl)</t>
        </is>
      </c>
      <c r="G38" s="30" t="n">
        <v>85</v>
      </c>
      <c r="H38" s="31" t="n">
        <v>18.5</v>
      </c>
      <c r="I38" s="7" t="inlineStr">
        <is>
          <t>Subordinated Junior</t>
        </is>
      </c>
      <c r="J38" s="16" t="inlineStr">
        <is>
          <t>English Law</t>
        </is>
      </c>
    </row>
    <row r="39">
      <c r="B39" s="9" t="inlineStr">
        <is>
          <t>Tax Arbitration Liability (Ghana)</t>
        </is>
      </c>
      <c r="C39" s="7" t="inlineStr">
        <is>
          <t>Arbitration Assessment &amp; Penalty Claim</t>
        </is>
      </c>
      <c r="D39" s="28" t="inlineStr">
        <is>
          <t>USD</t>
        </is>
      </c>
      <c r="E39" s="20" t="n">
        <v>393</v>
      </c>
      <c r="F39" s="29" t="inlineStr">
        <is>
          <t>0.00% (Claim / Penalties)</t>
        </is>
      </c>
      <c r="G39" s="30" t="n">
        <v>100</v>
      </c>
      <c r="H39" s="31" t="n">
        <v>0</v>
      </c>
      <c r="I39" s="7" t="inlineStr">
        <is>
          <t>General Unsecured Claim</t>
        </is>
      </c>
      <c r="J39" s="16" t="inlineStr">
        <is>
          <t>ICC Arbitration</t>
        </is>
      </c>
    </row>
    <row r="40">
      <c r="B40" s="9" t="inlineStr">
        <is>
          <t>TEN FPSO Net Lease Liability</t>
        </is>
      </c>
      <c r="C40" s="7" t="inlineStr">
        <is>
          <t>Capitalised Lease Obligation</t>
        </is>
      </c>
      <c r="D40" s="28" t="inlineStr">
        <is>
          <t>USD</t>
        </is>
      </c>
      <c r="E40" s="20" t="n">
        <v>351</v>
      </c>
      <c r="F40" s="29" t="inlineStr">
        <is>
          <t>Lease Rate (~$120M annual outflow)</t>
        </is>
      </c>
      <c r="G40" s="30" t="n">
        <v>100</v>
      </c>
      <c r="H40" s="31" t="n">
        <v>8</v>
      </c>
      <c r="I40" s="7" t="inlineStr">
        <is>
          <t>Operating Lease / Asset Backed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TLW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700.3</v>
      </c>
    </row>
    <row r="45">
      <c r="B45" s="7" t="inlineStr">
        <is>
          <t>Drawn Amount ($M)</t>
        </is>
      </c>
      <c r="C45" s="8" t="n">
        <v>250.1</v>
      </c>
    </row>
    <row r="46">
      <c r="B46" s="18" t="inlineStr">
        <is>
          <t>AVAILABLE UNDRAWN HEADROOM ($M)</t>
        </is>
      </c>
      <c r="C46" s="19" t="n">
        <v>450.2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2.30x</t>
        </is>
      </c>
      <c r="E55" s="32" t="inlineStr">
        <is>
          <t>1.45x leverage buffer ($1189.0M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3.42x</t>
        </is>
      </c>
      <c r="E56" s="32" t="inlineStr">
        <is>
          <t>+0.92x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15.1% of Assets</t>
        </is>
      </c>
      <c r="E57" s="32" t="inlineStr">
        <is>
          <t>$303.6M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16.50%</t>
        </is>
      </c>
      <c r="F6" s="34" t="inlineStr">
        <is>
          <t>4.2x</t>
        </is>
      </c>
      <c r="G6" s="34" t="inlineStr">
        <is>
          <t>$94.00</t>
        </is>
      </c>
      <c r="H6" s="34" t="inlineStr">
        <is>
          <t>-3.1%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18.50%</t>
        </is>
      </c>
      <c r="F7" s="29" t="inlineStr">
        <is>
          <t>3.2x</t>
        </is>
      </c>
      <c r="G7" s="29" t="inlineStr">
        <is>
          <t>$74.50</t>
        </is>
      </c>
      <c r="H7" s="29" t="inlineStr">
        <is>
          <t>-23.2%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$55.00</t>
        </is>
      </c>
      <c r="H8" s="29" t="inlineStr">
        <is>
          <t>-43.3%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15.00%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+8.2%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493.9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TLW Senior Unsecured Eurobonds</t>
        </is>
      </c>
      <c r="C15" s="8" t="n">
        <v>1481.8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55.0%</t>
        </is>
      </c>
      <c r="G15" s="29" t="inlineStr">
        <is>
          <t>94.0%</t>
        </is>
      </c>
    </row>
    <row r="16">
      <c r="B16" s="7" t="inlineStr">
        <is>
          <t>Subordinated Debt &amp; Intercompany Notes</t>
        </is>
      </c>
      <c r="C16" s="8" t="n">
        <v>296.4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790.3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Ghana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Tullow Oil (TLW) — Earnings Presentation &amp; Management Guidance</t>
        </is>
      </c>
    </row>
    <row r="3">
      <c r="B3" s="2" t="inlineStr">
        <is>
          <t>Source: Tullow Oil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$1490.4M (+8.0% YoY growth)</t>
        </is>
      </c>
      <c r="D7" s="35" t="inlineStr">
        <is>
          <t>$1469.7M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$1490.4M (+8.0% YoY growth). With current run-rate at $1469.7M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$902.0M (60.5% margin)</t>
        </is>
      </c>
      <c r="D8" s="35" t="inlineStr">
        <is>
          <t>$885.6M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$902.0M (60.5%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2.30x</t>
        </is>
      </c>
      <c r="E9" s="32" t="inlineStr">
        <is>
          <t>Ahead of Target</t>
        </is>
      </c>
      <c r="F9" s="37" t="inlineStr">
        <is>
          <t>Deleveraging on track with 1.45x buffer below covenant limit.
[QUESTION TO CFO TO VERIFY]: You previously committed to a Net Leverage ceiling of &lt; 3.25x Net Debt / EBITDA. Current actual leverage stands at 2.30x.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$301.4M (Maximum growth and sustaining envelope)</t>
        </is>
      </c>
      <c r="D10" s="35" t="inlineStr">
        <is>
          <t>$277.3M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$301.4M (Maximum growth and sustaining envelope). Current commitments stand at $277.3M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$287.0M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$615.0M in liquid bank deposits</t>
        </is>
      </c>
    </row>
    <row r="35">
      <c r="B35" s="9" t="inlineStr">
        <is>
          <t>Undrawn Committed Credit Lines</t>
        </is>
      </c>
      <c r="C35" s="37" t="inlineStr">
        <is>
          <t>$875.3M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2026-11-11</t>
        </is>
      </c>
    </row>
    <row r="47">
      <c r="B47" s="9" t="inlineStr">
        <is>
          <t>Reporting Period</t>
        </is>
      </c>
      <c r="C47" s="37" t="inlineStr">
        <is>
          <t>November 2026 Trading &amp; Operational Statement</t>
        </is>
      </c>
    </row>
    <row r="48">
      <c r="B48" s="9" t="inlineStr">
        <is>
          <t>Confirmation Status</t>
        </is>
      </c>
      <c r="C48" s="37" t="inlineStr">
        <is>
          <t>Confirmed</t>
        </is>
      </c>
    </row>
    <row r="49">
      <c r="B49" s="9" t="inlineStr">
        <is>
          <t>Conference Call &amp; Webcast Schedule</t>
        </is>
      </c>
      <c r="C49" s="37" t="inlineStr">
        <is>
          <t>08:30 London</t>
        </is>
      </c>
    </row>
    <row r="50">
      <c r="B50" s="9" t="inlineStr">
        <is>
          <t>Official IR Portal / Webcast URL</t>
        </is>
      </c>
      <c r="C50" s="37" t="inlineStr">
        <is>
          <t>https://www.tullowoil.com/investors/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2026-10-16T04:17:24Z</dcterms:created>
  <dcterms:modified xmlns:dcterms="http://purl.org/dc/terms/" xmlns:xsi="http://www.w3.org/2001/XMLSchema-instance" xsi:type="dcterms:W3CDTF">2026-10-16T04:17:25Z</dcterms:modified>
</cp:coreProperties>
</file>