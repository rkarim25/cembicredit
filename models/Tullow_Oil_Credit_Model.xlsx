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(+$9.8M)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(+$12.3M)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(+$13.5M)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(+$14.5M)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(+$9.8M)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(+$12.3M)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(+$13.5M)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(+$14.5M)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Institutional Credit Model</t>
        </is>
      </c>
    </row>
    <row r="3">
      <c r="B3" s="2" t="inlineStr">
        <is>
          <t>Sector: Energy | Country: Ghana | Rating: B- / Caa1 | Benchmark: TLW 13.80% 2026 @ $86.50 (13.80% YTM / +945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FPSO operator of Jubilee &amp; TEN; $280M+ organic FCF sweep directed to 2026 Eurobond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TLW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889.11</v>
      </c>
      <c r="F26" s="7" t="inlineStr">
        <is>
          <t>13.80%</t>
        </is>
      </c>
      <c r="G26" s="7" t="inlineStr">
        <is>
          <t>$86.50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TLW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592.74</v>
      </c>
      <c r="F27" s="7" t="inlineStr">
        <is>
          <t>13.05%</t>
        </is>
      </c>
      <c r="G27" s="7" t="inlineStr">
        <is>
          <t>$89.00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493.95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668.4</v>
      </c>
      <c r="D16" s="8" t="n">
        <v>927.2</v>
      </c>
      <c r="E16" s="8" t="n">
        <v>849.7</v>
      </c>
      <c r="F16" s="8" t="n">
        <v>669.3</v>
      </c>
      <c r="G16" s="8" t="n">
        <v>650</v>
      </c>
      <c r="H16" s="8" t="n">
        <v>707.2</v>
      </c>
      <c r="I16" s="8" t="n">
        <v>733.2</v>
      </c>
    </row>
    <row r="17">
      <c r="B17" s="7" t="inlineStr">
        <is>
          <t>Downstream Refining &amp; Fuel Marketing</t>
        </is>
      </c>
      <c r="C17" s="8" t="n">
        <v>424.2</v>
      </c>
      <c r="D17" s="8" t="n">
        <v>588.4</v>
      </c>
      <c r="E17" s="8" t="n">
        <v>539.3</v>
      </c>
      <c r="F17" s="8" t="n">
        <v>424.8</v>
      </c>
      <c r="G17" s="8" t="n">
        <v>412.5</v>
      </c>
      <c r="H17" s="8" t="n">
        <v>448.8</v>
      </c>
      <c r="I17" s="8" t="n">
        <v>465.3</v>
      </c>
    </row>
    <row r="18">
      <c r="B18" s="7" t="inlineStr">
        <is>
          <t>Petrochemicals &amp; Gas Processing</t>
        </is>
      </c>
      <c r="C18" s="8" t="n">
        <v>192.8</v>
      </c>
      <c r="D18" s="8" t="n">
        <v>267.5</v>
      </c>
      <c r="E18" s="8" t="n">
        <v>245.1</v>
      </c>
      <c r="F18" s="8" t="n">
        <v>193.1</v>
      </c>
      <c r="G18" s="8" t="n">
        <v>187.5</v>
      </c>
      <c r="H18" s="8" t="n">
        <v>204</v>
      </c>
      <c r="I18" s="8" t="n">
        <v>211.5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8</v>
      </c>
      <c r="D35" s="23" t="n">
        <v>9.800000000000001</v>
      </c>
      <c r="E35" s="23" t="n">
        <v>11.1</v>
      </c>
      <c r="F35" s="23" t="n">
        <v>12.3</v>
      </c>
      <c r="G35" s="23" t="n">
        <v>13.5</v>
      </c>
      <c r="H35" s="23" t="n">
        <v>14.5</v>
      </c>
      <c r="I35" s="23" t="n">
        <v>15.3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(+$8.0M)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(+$9.8M)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(+$11.1M)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(+$12.3M)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(+$13.5M)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(+$14.5M)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(+$15.3M)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1928.1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449.9</v>
      </c>
      <c r="D36" s="8" t="n">
        <v>449.9</v>
      </c>
      <c r="E36" s="8" t="n">
        <v>449.9</v>
      </c>
      <c r="F36" s="8" t="n">
        <v>449.9</v>
      </c>
      <c r="G36" s="8" t="n">
        <v>449.9</v>
      </c>
      <c r="H36" s="8" t="n">
        <v>449.9</v>
      </c>
      <c r="I36" s="8" t="n">
        <v>449.9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236.5</v>
      </c>
      <c r="D16" s="8" t="n">
        <v>306.4</v>
      </c>
      <c r="E16" s="8" t="n">
        <v>292.5</v>
      </c>
      <c r="F16" s="8" t="n">
        <v>224.5</v>
      </c>
      <c r="G16" s="8" t="n">
        <v>240</v>
      </c>
      <c r="H16" s="8" t="n">
        <v>-230</v>
      </c>
      <c r="I16" s="8" t="n">
        <v>-220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469.1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717.4</v>
      </c>
      <c r="D32" s="8" t="n">
        <v>1183.9</v>
      </c>
      <c r="E32" s="8" t="n">
        <v>865.7</v>
      </c>
      <c r="F32" s="8" t="n">
        <v>861.6</v>
      </c>
      <c r="G32" s="8" t="n">
        <v>826.6</v>
      </c>
      <c r="H32" s="8" t="n">
        <v>254.3</v>
      </c>
      <c r="I32" s="8" t="n">
        <v>277.8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TLW Benchmark Eurobond Notes</t>
        </is>
      </c>
    </row>
    <row r="7">
      <c r="B7" s="7" t="inlineStr">
        <is>
          <t xml:space="preserve">  Beginning Principal Balance</t>
        </is>
      </c>
      <c r="C7" s="8" t="n">
        <v>1155.9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0.1380</f>
        <v/>
      </c>
      <c r="D11" s="8">
        <f>D10 * 0.1380</f>
        <v/>
      </c>
      <c r="E11" s="8">
        <f>E10 * 0.1380</f>
        <v/>
      </c>
      <c r="F11" s="8">
        <f>F10 * 0.1380</f>
        <v/>
      </c>
      <c r="G11" s="8">
        <f>G10 * 0.1380</f>
        <v/>
      </c>
      <c r="H11" s="8">
        <f>H10 * 0.1380</f>
        <v/>
      </c>
      <c r="I11" s="8">
        <f>I10 * 0.1380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1412.8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237.1</v>
      </c>
      <c r="C32" s="8" t="n">
        <v>434.7</v>
      </c>
      <c r="D32" s="8" t="n">
        <v>553.2</v>
      </c>
      <c r="E32" s="8" t="n">
        <v>355.6</v>
      </c>
      <c r="F32" s="8" t="n">
        <v>237.1</v>
      </c>
      <c r="G32" s="8" t="n">
        <v>158.1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TLW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1125.5</v>
      </c>
      <c r="F37" s="29" t="inlineStr">
        <is>
          <t>13.800%</t>
        </is>
      </c>
      <c r="G37" s="30" t="n">
        <v>86.5</v>
      </c>
      <c r="H37" s="31" t="n">
        <v>13.8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TLW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750.3</v>
      </c>
      <c r="F38" s="29" t="inlineStr">
        <is>
          <t>13.150%</t>
        </is>
      </c>
      <c r="G38" s="30" t="n">
        <v>88.5</v>
      </c>
      <c r="H38" s="31" t="n">
        <v>13.15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375.1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250.1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TLW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700.3</v>
      </c>
    </row>
    <row r="45">
      <c r="B45" s="7" t="inlineStr">
        <is>
          <t>Drawn Amount ($M)</t>
        </is>
      </c>
      <c r="C45" s="8" t="n">
        <v>250.1</v>
      </c>
    </row>
    <row r="46">
      <c r="B46" s="18" t="inlineStr">
        <is>
          <t>AVAILABLE UNDRAWN HEADROOM ($M)</t>
        </is>
      </c>
      <c r="C46" s="19" t="n">
        <v>450.2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2.30x</t>
        </is>
      </c>
      <c r="E55" s="32" t="inlineStr">
        <is>
          <t>1.45x leverage buffer ($1189.0M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3.42x</t>
        </is>
      </c>
      <c r="E56" s="32" t="inlineStr">
        <is>
          <t>+0.92x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$303.6M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13.80%</t>
        </is>
      </c>
      <c r="F6" s="34" t="inlineStr">
        <is>
          <t>4.2x</t>
        </is>
      </c>
      <c r="G6" s="34" t="inlineStr">
        <is>
          <t>$94.00</t>
        </is>
      </c>
      <c r="H6" s="34" t="inlineStr">
        <is>
          <t>+8.7%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15.80%</t>
        </is>
      </c>
      <c r="F7" s="29" t="inlineStr">
        <is>
          <t>3.2x</t>
        </is>
      </c>
      <c r="G7" s="29" t="inlineStr">
        <is>
          <t>$74.50</t>
        </is>
      </c>
      <c r="H7" s="29" t="inlineStr">
        <is>
          <t>-13.9%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$55.00</t>
        </is>
      </c>
      <c r="H8" s="29" t="inlineStr">
        <is>
          <t>-36.4%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12.30%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+21.4%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493.9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TLW Senior Unsecured Eurobonds</t>
        </is>
      </c>
      <c r="C15" s="8" t="n">
        <v>1481.8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55.0%</t>
        </is>
      </c>
      <c r="G15" s="29" t="inlineStr">
        <is>
          <t>94.0%</t>
        </is>
      </c>
    </row>
    <row r="16">
      <c r="B16" s="7" t="inlineStr">
        <is>
          <t>Subordinated Debt &amp; Intercompany Notes</t>
        </is>
      </c>
      <c r="C16" s="8" t="n">
        <v>296.4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790.3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Earnings Presentation &amp; Management Guidance</t>
        </is>
      </c>
    </row>
    <row r="3">
      <c r="B3" s="2" t="inlineStr">
        <is>
          <t>Source: Tullow Oil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$1490.4M (+8.0% YoY growth)</t>
        </is>
      </c>
      <c r="D7" s="35" t="inlineStr">
        <is>
          <t>$1469.7M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$1490.4M (+8.0% YoY growth). With current run-rate at $1469.7M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$902.0M (60.5% margin)</t>
        </is>
      </c>
      <c r="D8" s="35" t="inlineStr">
        <is>
          <t>$885.6M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$902.0M (60.5%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2.30x</t>
        </is>
      </c>
      <c r="E9" s="32" t="inlineStr">
        <is>
          <t>Ahead of Target</t>
        </is>
      </c>
      <c r="F9" s="37" t="inlineStr">
        <is>
          <t>Deleveraging on track with 1.45x buffer below covenant limit.
[QUESTION TO CFO TO VERIFY]: You previously committed to a Net Leverage ceiling of &lt; 3.25x Net Debt / EBITDA. Current actual leverage stands at 2.30x.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$301.4M (Maximum growth and sustaining envelope)</t>
        </is>
      </c>
      <c r="D10" s="35" t="inlineStr">
        <is>
          <t>$277.3M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$301.4M (Maximum growth and sustaining envelope). Current commitments stand at $277.3M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$287.0M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$615.0M in liquid bank deposits</t>
        </is>
      </c>
    </row>
    <row r="35">
      <c r="B35" s="9" t="inlineStr">
        <is>
          <t>Undrawn Committed Credit Lines</t>
        </is>
      </c>
      <c r="C35" s="37" t="inlineStr">
        <is>
          <t>$875.3M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2026-11-11</t>
        </is>
      </c>
    </row>
    <row r="47">
      <c r="B47" s="9" t="inlineStr">
        <is>
          <t>Reporting Period</t>
        </is>
      </c>
      <c r="C47" s="37" t="inlineStr">
        <is>
          <t>November 2026 Trading &amp; Operational Statement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08:30 London</t>
        </is>
      </c>
    </row>
    <row r="50">
      <c r="B50" s="9" t="inlineStr">
        <is>
          <t>Official IR Portal / Webcast URL</t>
        </is>
      </c>
      <c r="C50" s="37" t="inlineStr">
        <is>
          <t>https://www.tullowoil.com/investors/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2026-10-01T04:15:57Z</dcterms:created>
  <dcterms:modified xmlns:dcterms="http://purl.org/dc/terms/" xmlns:xsi="http://www.w3.org/2001/XMLSchema-instance" xsi:type="dcterms:W3CDTF">2026-10-01T04:15:57Z</dcterms:modified>
</cp:coreProperties>
</file>