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$-968.3M after capex, interest, working capital, and tax.</t>
      </text>
    </comment>
    <comment ref="D34" authorId="0" shapeId="0">
      <text>
        <t>CEMBI Credit Desk FCF Bridge (2022A):
Formula: EBITDA - Capex - Cash Interest - ΔNWC - Tax
FCF generation of $-806.0M after capex, interest, working capital, and tax.</t>
      </text>
    </comment>
    <comment ref="E34" authorId="0" shapeId="0">
      <text>
        <t>CEMBI Credit Desk FCF Bridge (2023A):
Formula: EBITDA - Capex - Cash Interest - ΔNWC - Tax
FCF generation of $587.4M after capex, interest, working capital, and tax.</t>
      </text>
    </comment>
    <comment ref="F34" authorId="0" shapeId="0">
      <text>
        <t>CEMBI Credit Desk FCF Bridge (2024A):
Formula: EBITDA - Capex - Cash Interest - ΔNWC - Tax
FCF generation of $411.6M after capex, interest, working capital, and tax.</t>
      </text>
    </comment>
    <comment ref="G34" authorId="0" shapeId="0">
      <text>
        <t>CEMBI Credit Desk FCF Bridge (2025E):
Formula: EBITDA - Capex - Cash Interest - ΔNWC - Tax
FCF generation of $350.3M after capex, interest, working capital, and tax.</t>
      </text>
    </comment>
    <comment ref="H34" authorId="0" shapeId="0">
      <text>
        <t>CEMBI Credit Desk FCF Bridge (2026E):
Formula: EBITDA - Capex - Cash Interest - ΔNWC - Tax
FCF generation of $-89.0M after capex, interest, working capital, and tax.</t>
      </text>
    </comment>
    <comment ref="I34" authorId="0" shapeId="0">
      <text>
        <t>CEMBI Credit Desk FCF Bridge (2027E):
Formula: EBITDA - Capex - Cash Interest - ΔNWC - Tax
FCF generation of $159.6M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CCC+ / CCC+ / Caa2 | Benchmark: TLWLN 10.250% 2028 (15.00% all-in) @ $97.00 (16.50% YTM / +1180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16.50%</t>
        </is>
      </c>
      <c r="G26" s="7" t="inlineStr">
        <is>
          <t>$97.00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15.75%</t>
        </is>
      </c>
      <c r="G27" s="7" t="inlineStr">
        <is>
          <t>$99.50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520</v>
      </c>
      <c r="D16" s="8" t="n">
        <v>520</v>
      </c>
      <c r="E16" s="8" t="n">
        <v>520</v>
      </c>
      <c r="F16" s="8" t="n">
        <v>669.3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330</v>
      </c>
      <c r="D17" s="8" t="n">
        <v>330</v>
      </c>
      <c r="E17" s="8" t="n">
        <v>330</v>
      </c>
      <c r="F17" s="8" t="n">
        <v>424.8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150</v>
      </c>
      <c r="D18" s="8" t="n">
        <v>150</v>
      </c>
      <c r="E18" s="8" t="n">
        <v>150</v>
      </c>
      <c r="F18" s="8" t="n">
        <v>193.1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Cognitive Credit derived EBITDA versus company-reported (adjusted) EBITDA; difference = company adjustments.</t>
        </is>
      </c>
    </row>
    <row r="47">
      <c r="B47" s="25" t="inlineStr">
        <is>
          <t>[2026E] Cognitive Credit derived EBITDA versus company-reported (adjusted) EBITDA; difference = company adjustments.</t>
        </is>
      </c>
    </row>
    <row r="48">
      <c r="B48" s="25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3218.5</v>
      </c>
      <c r="D32" s="8" t="n">
        <v>2325.9</v>
      </c>
      <c r="E32" s="8" t="n">
        <v>666.3</v>
      </c>
      <c r="F32" s="8" t="n">
        <v>1129.4</v>
      </c>
      <c r="G32" s="8" t="n">
        <v>1220.7</v>
      </c>
      <c r="H32" s="8" t="n">
        <v>992.1</v>
      </c>
      <c r="I32" s="8" t="n">
        <v>783.2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34" customWidth="1" min="9" max="9"/>
    <col width="19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0.1650</f>
        <v/>
      </c>
      <c r="D11" s="8">
        <f>D10 * 0.1650</f>
        <v/>
      </c>
      <c r="E11" s="8">
        <f>E10 * 0.1650</f>
        <v/>
      </c>
      <c r="F11" s="8">
        <f>F10 * 0.1650</f>
        <v/>
      </c>
      <c r="G11" s="8">
        <f>G10 * 0.1650</f>
        <v/>
      </c>
      <c r="H11" s="8">
        <f>H10 * 0.1650</f>
        <v/>
      </c>
      <c r="I11" s="8">
        <f>I10 * 0.1650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TLWLN 2028 Senior Notes</t>
        </is>
      </c>
      <c r="C37" s="7" t="inlineStr">
        <is>
          <t>Senior Secured Eurobond</t>
        </is>
      </c>
      <c r="D37" s="28" t="inlineStr">
        <is>
          <t>USD</t>
        </is>
      </c>
      <c r="E37" s="20" t="n">
        <v>1162</v>
      </c>
      <c r="F37" s="29" t="inlineStr">
        <is>
          <t>10.25% cash + 3.00% PIK + 1.75% PIYC (15.00% all-in)</t>
        </is>
      </c>
      <c r="G37" s="30" t="n">
        <v>97</v>
      </c>
      <c r="H37" s="31" t="n">
        <v>16.5</v>
      </c>
      <c r="I37" s="7" t="inlineStr">
        <is>
          <t>Senior Secured</t>
        </is>
      </c>
      <c r="J37" s="16" t="inlineStr">
        <is>
          <t>English Law</t>
        </is>
      </c>
    </row>
    <row r="38">
      <c r="B38" s="9" t="inlineStr">
        <is>
          <t>Glencore Junior Notes</t>
        </is>
      </c>
      <c r="C38" s="7" t="inlineStr">
        <is>
          <t>Subordinated Junior Notes</t>
        </is>
      </c>
      <c r="D38" s="28" t="inlineStr">
        <is>
          <t>USD</t>
        </is>
      </c>
      <c r="E38" s="20" t="n">
        <v>423</v>
      </c>
      <c r="F38" s="29" t="inlineStr">
        <is>
          <t>SOFR + 12.75% PIK (step-up to 13.50% if Brent &gt; $65/bbl)</t>
        </is>
      </c>
      <c r="G38" s="30" t="n">
        <v>85</v>
      </c>
      <c r="H38" s="31" t="n">
        <v>18.5</v>
      </c>
      <c r="I38" s="7" t="inlineStr">
        <is>
          <t>Subordinated Junior</t>
        </is>
      </c>
      <c r="J38" s="16" t="inlineStr">
        <is>
          <t>English Law</t>
        </is>
      </c>
    </row>
    <row r="39">
      <c r="B39" s="9" t="inlineStr">
        <is>
          <t>Tax Arbitration Liability (Ghana)</t>
        </is>
      </c>
      <c r="C39" s="7" t="inlineStr">
        <is>
          <t>Arbitration Assessment &amp; Penalty Claim</t>
        </is>
      </c>
      <c r="D39" s="28" t="inlineStr">
        <is>
          <t>USD</t>
        </is>
      </c>
      <c r="E39" s="20" t="n">
        <v>393</v>
      </c>
      <c r="F39" s="29" t="inlineStr">
        <is>
          <t>0.00% (Claim / Penalties)</t>
        </is>
      </c>
      <c r="G39" s="30" t="n">
        <v>100</v>
      </c>
      <c r="H39" s="31" t="n">
        <v>0</v>
      </c>
      <c r="I39" s="7" t="inlineStr">
        <is>
          <t>General Unsecured Claim</t>
        </is>
      </c>
      <c r="J39" s="16" t="inlineStr">
        <is>
          <t>ICC Arbitration</t>
        </is>
      </c>
    </row>
    <row r="40">
      <c r="B40" s="9" t="inlineStr">
        <is>
          <t>TEN FPSO Net Lease Liability</t>
        </is>
      </c>
      <c r="C40" s="7" t="inlineStr">
        <is>
          <t>Capitalised Lease Obligation</t>
        </is>
      </c>
      <c r="D40" s="28" t="inlineStr">
        <is>
          <t>USD</t>
        </is>
      </c>
      <c r="E40" s="20" t="n">
        <v>351</v>
      </c>
      <c r="F40" s="29" t="inlineStr">
        <is>
          <t>Lease Rate (~$120M annual outflow)</t>
        </is>
      </c>
      <c r="G40" s="30" t="n">
        <v>100</v>
      </c>
      <c r="H40" s="31" t="n">
        <v>8</v>
      </c>
      <c r="I40" s="7" t="inlineStr">
        <is>
          <t>Operating Lease / Asset Backed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16.50%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-3.1%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18.50%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-23.2%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-43.3%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15.00%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2026-10-24T04:16:01Z</dcterms:created>
  <dcterms:modified xmlns:dcterms="http://purl.org/dc/terms/" xmlns:xsi="http://www.w3.org/2001/XMLSchema-instance" xsi:type="dcterms:W3CDTF">2026-10-24T04:16:01Z</dcterms:modified>
</cp:coreProperties>
</file>