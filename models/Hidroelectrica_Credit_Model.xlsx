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Hidroelectrica</t>
        </is>
      </c>
    </row>
    <row r="3">
      <c r="B3" s="2" t="inlineStr">
        <is>
          <t>CEMBI CEEMEA Institutional Credit Assessment | Country: Romania (CEE) | Sector: Utilities | Benchmark: HIDRO 5.25%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HIDRO 5.25% 2029</t>
        </is>
      </c>
      <c r="C6" s="5" t="inlineStr">
        <is>
          <t>5.50% (+145 bp)</t>
        </is>
      </c>
      <c r="D6" s="4" t="inlineStr">
        <is>
          <t>BBB-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$85.00</t>
        </is>
      </c>
      <c r="D7" s="4" t="inlineStr">
        <is>
          <t>Base Case Fair Value</t>
        </is>
      </c>
      <c r="E7" s="5" t="inlineStr">
        <is>
          <t>$100.80</t>
        </is>
      </c>
    </row>
    <row r="9">
      <c r="B9" s="6" t="inlineStr">
        <is>
          <t>INSTITUTIONAL INVESTMENT THESIS</t>
        </is>
      </c>
    </row>
    <row r="10">
      <c r="B10" s="7" t="inlineStr">
        <is>
          <t>Pure-play hydropower generator in Romania with exceptional 65% EBITDA margin and minimal debt.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Hidroelectrica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1632</v>
      </c>
      <c r="D7" s="13" t="n">
        <v>1968</v>
      </c>
      <c r="E7" s="13" t="n">
        <v>2208</v>
      </c>
      <c r="F7" s="13" t="n">
        <v>2400</v>
      </c>
      <c r="G7" s="14" t="n">
        <v>2592</v>
      </c>
      <c r="H7" s="14" t="n">
        <v>2760</v>
      </c>
      <c r="I7" s="14" t="n">
        <v>2880</v>
      </c>
    </row>
    <row r="8">
      <c r="B8" s="12" t="inlineStr">
        <is>
          <t>EBITDA</t>
        </is>
      </c>
      <c r="C8" s="13" t="n">
        <v>1007.5</v>
      </c>
      <c r="D8" s="13" t="n">
        <v>1240</v>
      </c>
      <c r="E8" s="13" t="n">
        <v>1395</v>
      </c>
      <c r="F8" s="13" t="n">
        <v>1550</v>
      </c>
      <c r="G8" s="14" t="n">
        <v>1705</v>
      </c>
      <c r="H8" s="14" t="n">
        <v>1829</v>
      </c>
      <c r="I8" s="14" t="n">
        <v>1922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62</v>
      </c>
      <c r="D10" s="17" t="n">
        <v>77.5</v>
      </c>
      <c r="E10" s="17" t="n">
        <v>93</v>
      </c>
      <c r="F10" s="17" t="n">
        <v>103.3</v>
      </c>
      <c r="G10" s="18" t="n">
        <v>99.2</v>
      </c>
      <c r="H10" s="18" t="n">
        <v>95.09999999999999</v>
      </c>
      <c r="I10" s="18" t="n">
        <v>90.90000000000001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816.9</v>
      </c>
      <c r="D12" s="13" t="n">
        <v>1027.7</v>
      </c>
      <c r="E12" s="13" t="n">
        <v>1159.4</v>
      </c>
      <c r="F12" s="13" t="n">
        <v>1317.5</v>
      </c>
      <c r="G12" s="14" t="n">
        <v>1449.3</v>
      </c>
      <c r="H12" s="14" t="n">
        <v>1554.6</v>
      </c>
      <c r="I12" s="14" t="n">
        <v>1646.9</v>
      </c>
    </row>
    <row r="13">
      <c r="B13" s="5" t="inlineStr">
        <is>
          <t>Capital Expenditures (Capex)</t>
        </is>
      </c>
      <c r="C13" s="17" t="n">
        <v>379.8</v>
      </c>
      <c r="D13" s="17" t="n">
        <v>461.1</v>
      </c>
      <c r="E13" s="17" t="n">
        <v>515.4</v>
      </c>
      <c r="F13" s="17" t="n">
        <v>542.5</v>
      </c>
      <c r="G13" s="18" t="n">
        <v>569.6</v>
      </c>
      <c r="H13" s="18" t="n">
        <v>553.4</v>
      </c>
      <c r="I13" s="18" t="n">
        <v>531.6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639.4</v>
      </c>
      <c r="D16" s="13" t="n">
        <v>813.8</v>
      </c>
      <c r="E16" s="13" t="n">
        <v>988.1</v>
      </c>
      <c r="F16" s="13" t="n">
        <v>1162.5</v>
      </c>
      <c r="G16" s="14" t="n">
        <v>1371.8</v>
      </c>
      <c r="H16" s="14" t="n">
        <v>1569.4</v>
      </c>
      <c r="I16" s="14" t="n">
        <v>1743.8</v>
      </c>
    </row>
    <row r="17">
      <c r="B17" s="12" t="inlineStr">
        <is>
          <t>Gross Total Debt</t>
        </is>
      </c>
      <c r="C17" s="13" t="n">
        <v>1515.1</v>
      </c>
      <c r="D17" s="13" t="n">
        <v>1639.9</v>
      </c>
      <c r="E17" s="13" t="n">
        <v>1746.8</v>
      </c>
      <c r="F17" s="13" t="n">
        <v>1782.5</v>
      </c>
      <c r="G17" s="14" t="n">
        <v>1746.8</v>
      </c>
      <c r="H17" s="14" t="n">
        <v>1693.4</v>
      </c>
      <c r="I17" s="14" t="n">
        <v>1604.2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Hidroelectrica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5.50%</t>
        </is>
      </c>
      <c r="F6" s="21" t="inlineStr">
        <is>
          <t>2028 / 2029</t>
        </is>
      </c>
      <c r="G6" s="17" t="n">
        <v>802.1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445.6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267.4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178.2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89.09999999999999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988.1</v>
      </c>
    </row>
    <row r="15">
      <c r="B15" t="inlineStr">
        <is>
          <t>Committed Undrawn RCF Capacity</t>
        </is>
      </c>
      <c r="C15" s="22" t="n">
        <v>620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317.2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Hidroelectrica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1550</v>
      </c>
      <c r="D6" s="17" t="n">
        <v>1317.5</v>
      </c>
      <c r="E6" s="25" t="n">
        <v>1007.5</v>
      </c>
    </row>
    <row r="7">
      <c r="B7" s="5" t="inlineStr">
        <is>
          <t>Free Cash Flow ($M)</t>
        </is>
      </c>
      <c r="C7" s="17" t="n">
        <v>775</v>
      </c>
      <c r="D7" s="17" t="n">
        <v>465</v>
      </c>
      <c r="E7" s="25" t="n">
        <v>116.2</v>
      </c>
    </row>
    <row r="8">
      <c r="B8" s="12" t="inlineStr">
        <is>
          <t>Net Leverage Ratio (x)</t>
        </is>
      </c>
      <c r="C8" s="26" t="n">
        <v>0.4</v>
      </c>
      <c r="D8" s="26" t="n">
        <v>0.5</v>
      </c>
      <c r="E8" s="27" t="n">
        <v>0.74</v>
      </c>
    </row>
    <row r="9">
      <c r="B9" s="5" t="inlineStr">
        <is>
          <t>Interest Coverage Ratio (x)</t>
        </is>
      </c>
      <c r="C9" s="26" t="n">
        <v>15</v>
      </c>
      <c r="D9" s="26" t="n">
        <v>11.7</v>
      </c>
      <c r="E9" s="27" t="n">
        <v>6.75</v>
      </c>
    </row>
    <row r="10">
      <c r="B10" s="12" t="inlineStr">
        <is>
          <t>Implied Senior Paper Trading / Recovery ($)</t>
        </is>
      </c>
      <c r="C10" s="12" t="inlineStr">
        <is>
          <t>$100.80</t>
        </is>
      </c>
      <c r="D10" s="12" t="inlineStr">
        <is>
          <t>$97.00</t>
        </is>
      </c>
      <c r="E10" s="28" t="inlineStr">
        <is>
          <t>$85.00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