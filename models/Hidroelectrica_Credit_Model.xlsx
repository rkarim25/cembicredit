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(HIDRO) — Institutional Credit Model</t>
        </is>
      </c>
    </row>
    <row r="3">
      <c r="B3" s="2" t="inlineStr">
        <is>
          <t>Sector: Utilities | Country: Romania | Rating: BBB- | Benchmark: HIDRO 5.25% 2029 @ $99.00 (5.50% YTM / +145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Pure-play hydropower generator in Romania with exceptional 65% EBITDA margin and minimal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HIDRO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802.125</v>
      </c>
      <c r="F26" s="7" t="inlineStr">
        <is>
          <t>5.50%</t>
        </is>
      </c>
      <c r="G26" s="7" t="inlineStr">
        <is>
          <t>$99.00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HIDRO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534.75</v>
      </c>
      <c r="F27" s="7" t="inlineStr">
        <is>
          <t>4.75%</t>
        </is>
      </c>
      <c r="G27" s="7" t="inlineStr">
        <is>
          <t>$101.50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445.625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1109.8</v>
      </c>
      <c r="D15" s="8" t="n">
        <v>1338.2</v>
      </c>
      <c r="E15" s="8" t="n">
        <v>1501.4</v>
      </c>
      <c r="F15" s="8" t="n">
        <v>1632</v>
      </c>
      <c r="G15" s="8" t="n">
        <v>1762.6</v>
      </c>
      <c r="H15" s="8" t="n">
        <v>1876.8</v>
      </c>
      <c r="I15" s="8" t="n">
        <v>1958.4</v>
      </c>
    </row>
    <row r="16">
      <c r="B16" s="7" t="inlineStr">
        <is>
          <t>Regulated Power Distribution &amp; Grid</t>
        </is>
      </c>
      <c r="C16" s="8" t="n">
        <v>359</v>
      </c>
      <c r="D16" s="8" t="n">
        <v>433</v>
      </c>
      <c r="E16" s="8" t="n">
        <v>485.8</v>
      </c>
      <c r="F16" s="8" t="n">
        <v>528</v>
      </c>
      <c r="G16" s="8" t="n">
        <v>570.2</v>
      </c>
      <c r="H16" s="8" t="n">
        <v>607.2</v>
      </c>
      <c r="I16" s="8" t="n">
        <v>633.6</v>
      </c>
    </row>
    <row r="17">
      <c r="B17" s="7" t="inlineStr">
        <is>
          <t>Merchant &amp; Capacity Balancing Services</t>
        </is>
      </c>
      <c r="C17" s="8" t="n">
        <v>163.2</v>
      </c>
      <c r="D17" s="8" t="n">
        <v>196.8</v>
      </c>
      <c r="E17" s="8" t="n">
        <v>220.8</v>
      </c>
      <c r="F17" s="8" t="n">
        <v>240</v>
      </c>
      <c r="G17" s="8" t="n">
        <v>259.2</v>
      </c>
      <c r="H17" s="8" t="n">
        <v>276</v>
      </c>
      <c r="I17" s="8" t="n">
        <v>288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2448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571.2</v>
      </c>
      <c r="D36" s="8" t="n">
        <v>571.2</v>
      </c>
      <c r="E36" s="8" t="n">
        <v>571.2</v>
      </c>
      <c r="F36" s="8" t="n">
        <v>571.2</v>
      </c>
      <c r="G36" s="8" t="n">
        <v>571.2</v>
      </c>
      <c r="H36" s="8" t="n">
        <v>571.2</v>
      </c>
      <c r="I36" s="8" t="n">
        <v>571.2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-379.8</v>
      </c>
      <c r="D16" s="8" t="n">
        <v>-461.1</v>
      </c>
      <c r="E16" s="8" t="n">
        <v>-515.4</v>
      </c>
      <c r="F16" s="8" t="n">
        <v>-542.5</v>
      </c>
      <c r="G16" s="8" t="n">
        <v>-569.6</v>
      </c>
      <c r="H16" s="8" t="n">
        <v>-553.4</v>
      </c>
      <c r="I16" s="8" t="n">
        <v>-531.6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639.4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HIDRO Benchmark Eurobond Notes</t>
        </is>
      </c>
    </row>
    <row r="7">
      <c r="B7" s="7" t="inlineStr">
        <is>
          <t xml:space="preserve">  Beginning Principal Balance</t>
        </is>
      </c>
      <c r="C7" s="8" t="n">
        <v>681.8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227.3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151.5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0.0550</f>
        <v/>
      </c>
      <c r="D11" s="8">
        <f>D10 * 0.0550</f>
        <v/>
      </c>
      <c r="E11" s="8">
        <f>E10 * 0.0550</f>
        <v/>
      </c>
      <c r="F11" s="8">
        <f>F10 * 0.0550</f>
        <v/>
      </c>
      <c r="G11" s="8">
        <f>G10 * 0.0550</f>
        <v/>
      </c>
      <c r="H11" s="8">
        <f>H10 * 0.0550</f>
        <v/>
      </c>
      <c r="I11" s="8">
        <f>I10 * 0.0550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833.3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213.9</v>
      </c>
      <c r="C32" s="8" t="n">
        <v>392.1</v>
      </c>
      <c r="D32" s="8" t="n">
        <v>499.1</v>
      </c>
      <c r="E32" s="8" t="n">
        <v>320.8</v>
      </c>
      <c r="F32" s="8" t="n">
        <v>213.9</v>
      </c>
      <c r="G32" s="8" t="n">
        <v>142.6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26">
        <f>'Debt Schedule &amp; Tranches'!C26 / 'Income Statement (P&amp;L)'!C22</f>
        <v/>
      </c>
      <c r="D8" s="26">
        <f>'Debt Schedule &amp; Tranches'!D26 / 'Income Statement (P&amp;L)'!D22</f>
        <v/>
      </c>
      <c r="E8" s="26">
        <f>'Debt Schedule &amp; Tranches'!E26 / 'Income Statement (P&amp;L)'!E22</f>
        <v/>
      </c>
      <c r="F8" s="26">
        <f>'Debt Schedule &amp; Tranches'!F26 / 'Income Statement (P&amp;L)'!F22</f>
        <v/>
      </c>
      <c r="G8" s="26">
        <f>'Debt Schedule &amp; Tranches'!G26 / 'Income Statement (P&amp;L)'!G22</f>
        <v/>
      </c>
      <c r="H8" s="26">
        <f>'Debt Schedule &amp; Tranches'!H26 / 'Income Statement (P&amp;L)'!H22</f>
        <v/>
      </c>
      <c r="I8" s="26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26">
        <f>'Income Statement (P&amp;L)'!C22 / 'Debt Schedule &amp; Tranches'!C28</f>
        <v/>
      </c>
      <c r="D10" s="26">
        <f>'Income Statement (P&amp;L)'!D22 / 'Debt Schedule &amp; Tranches'!D28</f>
        <v/>
      </c>
      <c r="E10" s="26">
        <f>'Income Statement (P&amp;L)'!E22 / 'Debt Schedule &amp; Tranches'!E28</f>
        <v/>
      </c>
      <c r="F10" s="26">
        <f>'Income Statement (P&amp;L)'!F22 / 'Debt Schedule &amp; Tranches'!F28</f>
        <v/>
      </c>
      <c r="G10" s="26">
        <f>'Income Statement (P&amp;L)'!G22 / 'Debt Schedule &amp; Tranches'!G28</f>
        <v/>
      </c>
      <c r="H10" s="26">
        <f>'Income Statement (P&amp;L)'!H22 / 'Debt Schedule &amp; Tranches'!H28</f>
        <v/>
      </c>
      <c r="I10" s="26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27" t="inlineStr">
        <is>
          <t>0.0%</t>
        </is>
      </c>
      <c r="D6" s="27" t="inlineStr">
        <is>
          <t>0 bp</t>
        </is>
      </c>
      <c r="E6" s="27" t="inlineStr">
        <is>
          <t>5.50%</t>
        </is>
      </c>
      <c r="F6" s="27" t="inlineStr">
        <is>
          <t>4.2x</t>
        </is>
      </c>
      <c r="G6" s="27" t="inlineStr">
        <is>
          <t>$100.80</t>
        </is>
      </c>
      <c r="H6" s="27" t="inlineStr">
        <is>
          <t>+1.8%</t>
        </is>
      </c>
    </row>
    <row r="7">
      <c r="B7" s="7" t="inlineStr">
        <is>
          <t>Downside Stress Case (Recession)</t>
        </is>
      </c>
      <c r="C7" s="28" t="inlineStr">
        <is>
          <t>-15.0%</t>
        </is>
      </c>
      <c r="D7" s="28" t="inlineStr">
        <is>
          <t>-300 bp</t>
        </is>
      </c>
      <c r="E7" s="28" t="inlineStr">
        <is>
          <t>7.50%</t>
        </is>
      </c>
      <c r="F7" s="28" t="inlineStr">
        <is>
          <t>3.2x</t>
        </is>
      </c>
      <c r="G7" s="28" t="inlineStr">
        <is>
          <t>$92.90</t>
        </is>
      </c>
      <c r="H7" s="28" t="inlineStr">
        <is>
          <t>-6.2%</t>
        </is>
      </c>
    </row>
    <row r="8">
      <c r="B8" s="7" t="inlineStr">
        <is>
          <t>Severe Distressed Floor (Liquidation)</t>
        </is>
      </c>
      <c r="C8" s="28" t="inlineStr">
        <is>
          <t>-35.0%</t>
        </is>
      </c>
      <c r="D8" s="28" t="inlineStr">
        <is>
          <t>-650 bp</t>
        </is>
      </c>
      <c r="E8" s="28" t="inlineStr">
        <is>
          <t>+500 bp spread</t>
        </is>
      </c>
      <c r="F8" s="28" t="inlineStr">
        <is>
          <t>Liquidation Value</t>
        </is>
      </c>
      <c r="G8" s="28" t="inlineStr">
        <is>
          <t>$85.00</t>
        </is>
      </c>
      <c r="H8" s="28" t="inlineStr">
        <is>
          <t>-14.1%</t>
        </is>
      </c>
    </row>
    <row r="9">
      <c r="B9" s="7" t="inlineStr">
        <is>
          <t>Bull Case (Cycle Peak / Accretion)</t>
        </is>
      </c>
      <c r="C9" s="28" t="inlineStr">
        <is>
          <t>+12.0%</t>
        </is>
      </c>
      <c r="D9" s="28" t="inlineStr">
        <is>
          <t>+200 bp</t>
        </is>
      </c>
      <c r="E9" s="28" t="inlineStr">
        <is>
          <t>4.00%</t>
        </is>
      </c>
      <c r="F9" s="28" t="inlineStr">
        <is>
          <t>5.7x</t>
        </is>
      </c>
      <c r="G9" s="28" t="inlineStr">
        <is>
          <t>$105.00</t>
        </is>
      </c>
      <c r="H9" s="28" t="inlineStr">
        <is>
          <t>+6.1%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445.6</v>
      </c>
      <c r="D14" s="7" t="inlineStr">
        <is>
          <t>Senior Secured (Pari Passu)</t>
        </is>
      </c>
      <c r="E14" s="7" t="inlineStr">
        <is>
          <t>First Lien Fixed Charges</t>
        </is>
      </c>
      <c r="F14" s="28" t="inlineStr">
        <is>
          <t>100.0%</t>
        </is>
      </c>
      <c r="G14" s="28" t="inlineStr">
        <is>
          <t>100.0%</t>
        </is>
      </c>
    </row>
    <row r="15">
      <c r="B15" s="7" t="inlineStr">
        <is>
          <t>HIDRO Senior Unsecured Eurobonds</t>
        </is>
      </c>
      <c r="C15" s="8" t="n">
        <v>1336.9</v>
      </c>
      <c r="D15" s="7" t="inlineStr">
        <is>
          <t>Senior Unsecured</t>
        </is>
      </c>
      <c r="E15" s="7" t="inlineStr">
        <is>
          <t>General Corporate Guarantee</t>
        </is>
      </c>
      <c r="F15" s="28" t="inlineStr">
        <is>
          <t>85.0%</t>
        </is>
      </c>
      <c r="G15" s="28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267.4</v>
      </c>
      <c r="D16" s="7" t="inlineStr">
        <is>
          <t>Subordinated</t>
        </is>
      </c>
      <c r="E16" s="7" t="inlineStr">
        <is>
          <t>Junior Unsecured Claim</t>
        </is>
      </c>
      <c r="F16" s="28" t="inlineStr">
        <is>
          <t>0.0%</t>
        </is>
      </c>
      <c r="G16" s="28" t="inlineStr">
        <is>
          <t>25.0%</t>
        </is>
      </c>
    </row>
    <row r="17">
      <c r="B17" s="7" t="inlineStr">
        <is>
          <t>Equity Shareholders</t>
        </is>
      </c>
      <c r="C17" s="8" t="n">
        <v>713</v>
      </c>
      <c r="D17" s="7" t="inlineStr">
        <is>
          <t>Residual Equity</t>
        </is>
      </c>
      <c r="E17" s="7" t="inlineStr">
        <is>
          <t>Ordinary Shares</t>
        </is>
      </c>
      <c r="F17" s="28" t="inlineStr">
        <is>
          <t>0.0%</t>
        </is>
      </c>
      <c r="G17" s="28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Romania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7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(HIDRO) — Earnings Presentation &amp; Management Guidance</t>
        </is>
      </c>
    </row>
    <row r="3">
      <c r="B3" s="2" t="inlineStr">
        <is>
          <t>Source: Hidroelectrica FY2024 Strategic Investor Presentation &amp; Capital Markets Day Deck | Reporting Currency: USD / Local Currency</t>
        </is>
      </c>
    </row>
    <row r="4"/>
    <row r="5">
      <c r="B5" s="3" t="inlineStr">
        <is>
          <t>I. MANAGEMENT GUIDANCE &amp; STRATEGIC POLICY TARGETS</t>
        </is>
      </c>
    </row>
    <row r="6">
      <c r="B6" s="5" t="inlineStr">
        <is>
          <t>Strategic Guidance Metric</t>
        </is>
      </c>
      <c r="C6" s="5" t="inlineStr">
        <is>
          <t>Management Target / Commitment</t>
        </is>
      </c>
    </row>
    <row r="7">
      <c r="B7" s="9" t="inlineStr">
        <is>
          <t>Contracted Ebitda Share</t>
        </is>
      </c>
      <c r="C7" s="29" t="inlineStr">
        <is>
          <t>&gt; 90.0% contracted under long-term take-or-pay Power Purchase Agreements (PPAs)</t>
        </is>
      </c>
    </row>
    <row r="8">
      <c r="B8" s="9" t="inlineStr">
        <is>
          <t>Net Debt Ebitda Target</t>
        </is>
      </c>
      <c r="C8" s="29" t="inlineStr">
        <is>
          <t>&lt; 4.5x - 5.0x at consolidated level (&lt; 1.5x at corporate parent level)</t>
        </is>
      </c>
    </row>
    <row r="9">
      <c r="B9" s="9" t="inlineStr">
        <is>
          <t>Portfolio Growth Capacity</t>
        </is>
      </c>
      <c r="C9" s="29" t="inlineStr">
        <is>
          <t>+12.0% annual expansion in contracted generation gigawatts (GW)</t>
        </is>
      </c>
    </row>
    <row r="10">
      <c r="B10" s="9" t="inlineStr">
        <is>
          <t>Green Energy Target</t>
        </is>
      </c>
      <c r="C10" s="29" t="inlineStr">
        <is>
          <t>50.0%+ renewable solar and wind share in total capacity by 2030</t>
        </is>
      </c>
    </row>
    <row r="11"/>
    <row r="12">
      <c r="B12" s="3" t="inlineStr">
        <is>
          <t>II. CAPITAL ALLOCATION &amp; STRATEGIC PROJECT PIPELINE</t>
        </is>
      </c>
    </row>
    <row r="13">
      <c r="B13" s="5" t="inlineStr">
        <is>
          <t>Project / Capital Dimension</t>
        </is>
      </c>
      <c r="C13" s="5" t="inlineStr">
        <is>
          <t>Disclosure &amp; Execution Milestone</t>
        </is>
      </c>
    </row>
    <row r="14">
      <c r="B14" s="9" t="inlineStr">
        <is>
          <t>Flagship Projects Under Construction</t>
        </is>
      </c>
      <c r="C14" s="29" t="inlineStr">
        <is>
          <t>Utility-Scale Solar PV Complexes, Combined-Cycle Gas Turbines &amp; Desalination Plants</t>
        </is>
      </c>
    </row>
    <row r="15">
      <c r="B15" s="9" t="inlineStr">
        <is>
          <t>Capital Expenditure Envelope</t>
        </is>
      </c>
      <c r="C15" s="29" t="inlineStr">
        <is>
          <t>$1898.8M committed equity and project debt capex over 2025-2027</t>
        </is>
      </c>
    </row>
    <row r="16">
      <c r="B16" s="9" t="inlineStr">
        <is>
          <t>Project Financing Structure</t>
        </is>
      </c>
      <c r="C16" s="29" t="inlineStr">
        <is>
          <t>75% - 80% non-recourse project debt ring-fenced at asset-level SPVs</t>
        </is>
      </c>
    </row>
    <row r="17">
      <c r="B17" s="9" t="inlineStr">
        <is>
          <t>Weighted Average Ppa Life</t>
        </is>
      </c>
      <c r="C17" s="29" t="inlineStr">
        <is>
          <t>24.5 years with sovereign and investment grade national grid offtakers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Usd Denominated Tariffs</t>
        </is>
      </c>
      <c r="C21" s="29" t="inlineStr">
        <is>
          <t>88.0% of PPA revenues denominated in or pegged to US Dollars</t>
        </is>
      </c>
    </row>
    <row r="22">
      <c r="B22" s="9" t="inlineStr">
        <is>
          <t>Sovereign Guarantee Backing</t>
        </is>
      </c>
      <c r="C22" s="29" t="inlineStr">
        <is>
          <t>100.0% of offtake payment obligations guaranteed by national ministries of finance</t>
        </is>
      </c>
    </row>
    <row r="23">
      <c r="B23" s="9" t="inlineStr">
        <is>
          <t>Inflation Indexation</t>
        </is>
      </c>
      <c r="C23" s="29" t="inlineStr">
        <is>
          <t>Tariffs feature contractual pass-through clauses for fuel price and local inflation</t>
        </is>
      </c>
    </row>
    <row r="24"/>
    <row r="25">
      <c r="B25" s="3" t="inlineStr">
        <is>
          <t>IV. CONTRACT BACKLOG &amp; COMMERCIAL MOAT</t>
        </is>
      </c>
    </row>
    <row r="26">
      <c r="B26" s="5" t="inlineStr">
        <is>
          <t>Dimension</t>
        </is>
      </c>
      <c r="C26" s="5" t="inlineStr">
        <is>
          <t>Commercial / Asset Metrics</t>
        </is>
      </c>
    </row>
    <row r="27">
      <c r="B27" s="9" t="inlineStr">
        <is>
          <t>Contracted Revenue Backlog</t>
        </is>
      </c>
      <c r="C27" s="29" t="inlineStr">
        <is>
          <t>$43200.0M lifetime contractual revenue commitment</t>
        </is>
      </c>
    </row>
    <row r="28">
      <c r="B28" s="9" t="inlineStr">
        <is>
          <t>Equivalent Availability Factor</t>
        </is>
      </c>
      <c r="C28" s="29" t="inlineStr">
        <is>
          <t>94.2% operational plant availability across generating fleet</t>
        </is>
      </c>
    </row>
    <row r="29">
      <c r="B29" s="9" t="inlineStr">
        <is>
          <t>Offtaker Counterparty Risk</t>
        </is>
      </c>
      <c r="C29" s="29" t="inlineStr">
        <is>
          <t>Investment Grade (A/BBB) sovereign utility offtakers with zero historical defaults</t>
        </is>
      </c>
    </row>
    <row r="30"/>
    <row r="31">
      <c r="B31" s="3" t="inlineStr">
        <is>
          <t>V. LIQUIDITY WATERFALL &amp; HEADROOM</t>
        </is>
      </c>
    </row>
    <row r="32">
      <c r="B32" s="5" t="inlineStr">
        <is>
          <t>Liquidity Component</t>
        </is>
      </c>
      <c r="C32" s="5" t="inlineStr">
        <is>
          <t>Available Buffer / Runway</t>
        </is>
      </c>
    </row>
    <row r="33">
      <c r="B33" s="9" t="inlineStr">
        <is>
          <t>Unrestricted Cash And Equivalents</t>
        </is>
      </c>
      <c r="C33" s="29" t="inlineStr">
        <is>
          <t>$1162.5M across corporate accounts</t>
        </is>
      </c>
    </row>
    <row r="34">
      <c r="B34" s="9" t="inlineStr">
        <is>
          <t>Undrawn Revolving Credit Facilities</t>
        </is>
      </c>
      <c r="C34" s="29" t="inlineStr">
        <is>
          <t>$713.0M in multi-currency syndicated credit lines</t>
        </is>
      </c>
    </row>
    <row r="35">
      <c r="B35" s="9" t="inlineStr">
        <is>
          <t>Liquidity Runway</t>
        </is>
      </c>
      <c r="C35" s="29" t="inlineStr">
        <is>
          <t>38 months of corporate debt service and equity investment commitments fully secured</t>
        </is>
      </c>
    </row>
  </sheetData>
  <mergeCells count="24">
    <mergeCell ref="C23:I23"/>
    <mergeCell ref="C17:I17"/>
    <mergeCell ref="C8:I8"/>
    <mergeCell ref="B3:I3"/>
    <mergeCell ref="C32:I32"/>
    <mergeCell ref="C7:I7"/>
    <mergeCell ref="C28:I28"/>
    <mergeCell ref="C13:I13"/>
    <mergeCell ref="B2:I2"/>
    <mergeCell ref="C34:I34"/>
    <mergeCell ref="C6:I6"/>
    <mergeCell ref="C15:I15"/>
    <mergeCell ref="C33:I33"/>
    <mergeCell ref="C14:I14"/>
    <mergeCell ref="C26:I26"/>
    <mergeCell ref="C35:I35"/>
    <mergeCell ref="C20:I20"/>
    <mergeCell ref="C29:I29"/>
    <mergeCell ref="C10:I10"/>
    <mergeCell ref="C16:I16"/>
    <mergeCell ref="C22:I22"/>
    <mergeCell ref="C9:I9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2026-09-19T21:07:20Z</dcterms:created>
  <dcterms:modified xmlns:dcterms="http://purl.org/dc/terms/" xmlns:xsi="http://www.w3.org/2001/XMLSchema-instance" xsi:type="dcterms:W3CDTF">2026-09-19T21:07:20Z</dcterms:modified>
</cp:coreProperties>
</file>