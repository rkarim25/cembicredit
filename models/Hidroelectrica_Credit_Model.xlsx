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(+$15.1M)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(+$18.6M)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(+$20.9M)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(+$23.2M)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(+$25.6M)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(+$27.4M)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(+$28.8M)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(+$15.1M)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(+$18.6M)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(+$20.9M)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(+$23.2M)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(+$25.6M)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(+$27.4M)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(+$28.8M)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(HIDRO) — Institutional Credit Model</t>
        </is>
      </c>
    </row>
    <row r="3">
      <c r="B3" s="2" t="inlineStr">
        <is>
          <t>Sector: Utilities | Country: Romania | Rating: BBB- | Benchmark: HIDRO 5.25% 2029 @ $99.00 (5.50% YTM / +145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Pure-play hydropower generator in Romania with exceptional 65% EBITDA margin and minimal debt.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HIDRO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802.125</v>
      </c>
      <c r="F26" s="7" t="inlineStr">
        <is>
          <t>5.50%</t>
        </is>
      </c>
      <c r="G26" s="7" t="inlineStr">
        <is>
          <t>$99.00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HIDRO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534.75</v>
      </c>
      <c r="F27" s="7" t="inlineStr">
        <is>
          <t>4.75%</t>
        </is>
      </c>
      <c r="G27" s="7" t="inlineStr">
        <is>
          <t>$101.50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445.625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1109.8</v>
      </c>
      <c r="D15" s="8" t="n">
        <v>1338.2</v>
      </c>
      <c r="E15" s="8" t="n">
        <v>1501.4</v>
      </c>
      <c r="F15" s="8" t="n">
        <v>1632</v>
      </c>
      <c r="G15" s="8" t="n">
        <v>1762.6</v>
      </c>
      <c r="H15" s="8" t="n">
        <v>1876.8</v>
      </c>
      <c r="I15" s="8" t="n">
        <v>1958.4</v>
      </c>
    </row>
    <row r="16">
      <c r="B16" s="7" t="inlineStr">
        <is>
          <t>Regulated Power Distribution &amp; Grid</t>
        </is>
      </c>
      <c r="C16" s="8" t="n">
        <v>359</v>
      </c>
      <c r="D16" s="8" t="n">
        <v>433</v>
      </c>
      <c r="E16" s="8" t="n">
        <v>485.8</v>
      </c>
      <c r="F16" s="8" t="n">
        <v>528</v>
      </c>
      <c r="G16" s="8" t="n">
        <v>570.2</v>
      </c>
      <c r="H16" s="8" t="n">
        <v>607.2</v>
      </c>
      <c r="I16" s="8" t="n">
        <v>633.6</v>
      </c>
    </row>
    <row r="17">
      <c r="B17" s="7" t="inlineStr">
        <is>
          <t>Merchant &amp; Capacity Balancing Services</t>
        </is>
      </c>
      <c r="C17" s="8" t="n">
        <v>163.2</v>
      </c>
      <c r="D17" s="8" t="n">
        <v>196.8</v>
      </c>
      <c r="E17" s="8" t="n">
        <v>220.8</v>
      </c>
      <c r="F17" s="8" t="n">
        <v>240</v>
      </c>
      <c r="G17" s="8" t="n">
        <v>259.2</v>
      </c>
      <c r="H17" s="8" t="n">
        <v>276</v>
      </c>
      <c r="I17" s="8" t="n">
        <v>288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15.1</v>
      </c>
      <c r="D35" s="24" t="n">
        <v>18.6</v>
      </c>
      <c r="E35" s="24" t="n">
        <v>20.9</v>
      </c>
      <c r="F35" s="24" t="n">
        <v>23.2</v>
      </c>
      <c r="G35" s="24" t="n">
        <v>25.6</v>
      </c>
      <c r="H35" s="24" t="n">
        <v>27.4</v>
      </c>
      <c r="I35" s="24" t="n">
        <v>28.8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(+$15.1M)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(+$18.6M)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(+$20.9M)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(+$23.2M)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(+$25.6M)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(+$27.4M)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(+$28.8M)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2448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571.2</v>
      </c>
      <c r="D36" s="8" t="n">
        <v>571.2</v>
      </c>
      <c r="E36" s="8" t="n">
        <v>571.2</v>
      </c>
      <c r="F36" s="8" t="n">
        <v>571.2</v>
      </c>
      <c r="G36" s="8" t="n">
        <v>571.2</v>
      </c>
      <c r="H36" s="8" t="n">
        <v>571.2</v>
      </c>
      <c r="I36" s="8" t="n">
        <v>571.2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-813.6</v>
      </c>
      <c r="D16" s="8" t="n">
        <v>-1422.9</v>
      </c>
      <c r="E16" s="8" t="n">
        <v>-1600.8</v>
      </c>
      <c r="F16" s="8" t="n">
        <v>-1515.1</v>
      </c>
      <c r="G16" s="8" t="n">
        <v>-1376.8</v>
      </c>
      <c r="H16" s="8" t="n">
        <v>-1476.9</v>
      </c>
      <c r="I16" s="8" t="n">
        <v>-1552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639.4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23.3</v>
      </c>
      <c r="D32" s="8" t="n">
        <v>69.2</v>
      </c>
      <c r="E32" s="8" t="n">
        <v>78.5</v>
      </c>
      <c r="F32" s="8" t="n">
        <v>34.3</v>
      </c>
      <c r="G32" s="8" t="n">
        <v>34.5</v>
      </c>
      <c r="H32" s="8" t="n">
        <v>34.7</v>
      </c>
      <c r="I32" s="8" t="n">
        <v>34.7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HIDRO Benchmark Eurobond Notes</t>
        </is>
      </c>
    </row>
    <row r="7">
      <c r="B7" s="7" t="inlineStr">
        <is>
          <t xml:space="preserve">  Beginning Principal Balance</t>
        </is>
      </c>
      <c r="C7" s="8" t="n">
        <v>681.8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227.3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151.5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0.0550</f>
        <v/>
      </c>
      <c r="D11" s="8">
        <f>D10 * 0.0550</f>
        <v/>
      </c>
      <c r="E11" s="8">
        <f>E10 * 0.0550</f>
        <v/>
      </c>
      <c r="F11" s="8">
        <f>F10 * 0.0550</f>
        <v/>
      </c>
      <c r="G11" s="8">
        <f>G10 * 0.0550</f>
        <v/>
      </c>
      <c r="H11" s="8">
        <f>H10 * 0.0550</f>
        <v/>
      </c>
      <c r="I11" s="8">
        <f>I10 * 0.0550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833.3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213.9</v>
      </c>
      <c r="C32" s="8" t="n">
        <v>392.1</v>
      </c>
      <c r="D32" s="8" t="n">
        <v>499.1</v>
      </c>
      <c r="E32" s="8" t="n">
        <v>320.8</v>
      </c>
      <c r="F32" s="8" t="n">
        <v>213.9</v>
      </c>
      <c r="G32" s="8" t="n">
        <v>142.6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HIDRO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802.1</v>
      </c>
      <c r="F37" s="30" t="inlineStr">
        <is>
          <t>5.500%</t>
        </is>
      </c>
      <c r="G37" s="31" t="n">
        <v>99</v>
      </c>
      <c r="H37" s="32" t="n">
        <v>5.5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HIDRO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534.8</v>
      </c>
      <c r="F38" s="30" t="inlineStr">
        <is>
          <t>4.850%</t>
        </is>
      </c>
      <c r="G38" s="31" t="n">
        <v>101</v>
      </c>
      <c r="H38" s="32" t="n">
        <v>4.85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267.4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178.2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HIDRO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499.1</v>
      </c>
    </row>
    <row r="45">
      <c r="B45" s="7" t="inlineStr">
        <is>
          <t>Drawn Amount ($M)</t>
        </is>
      </c>
      <c r="C45" s="8" t="n">
        <v>178.2</v>
      </c>
    </row>
    <row r="46">
      <c r="B46" s="19" t="inlineStr">
        <is>
          <t>AVAILABLE UNDRAWN HEADROOM ($M)</t>
        </is>
      </c>
      <c r="C46" s="20" t="n">
        <v>320.9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0.40x</t>
        </is>
      </c>
      <c r="E55" s="33" t="inlineStr">
        <is>
          <t>4.10x leverage buffer ($6355.0M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15.00x</t>
        </is>
      </c>
      <c r="E56" s="33" t="inlineStr">
        <is>
          <t>+12.50x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6.2% of Assets</t>
        </is>
      </c>
      <c r="E57" s="33" t="inlineStr">
        <is>
          <t>$528.0M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5.50%</t>
        </is>
      </c>
      <c r="F6" s="35" t="inlineStr">
        <is>
          <t>4.2x</t>
        </is>
      </c>
      <c r="G6" s="35" t="inlineStr">
        <is>
          <t>$100.80</t>
        </is>
      </c>
      <c r="H6" s="35" t="inlineStr">
        <is>
          <t>+1.8%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7.50%</t>
        </is>
      </c>
      <c r="F7" s="30" t="inlineStr">
        <is>
          <t>3.2x</t>
        </is>
      </c>
      <c r="G7" s="30" t="inlineStr">
        <is>
          <t>$92.90</t>
        </is>
      </c>
      <c r="H7" s="30" t="inlineStr">
        <is>
          <t>-6.2%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$85.00</t>
        </is>
      </c>
      <c r="H8" s="30" t="inlineStr">
        <is>
          <t>-14.1%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4.00%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445.6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HIDRO Senior Unsecured Eurobonds</t>
        </is>
      </c>
      <c r="C15" s="8" t="n">
        <v>1336.9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85.0%</t>
        </is>
      </c>
      <c r="G15" s="30" t="inlineStr">
        <is>
          <t>100.8%</t>
        </is>
      </c>
    </row>
    <row r="16">
      <c r="B16" s="7" t="inlineStr">
        <is>
          <t>Subordinated Debt &amp; Intercompany Notes</t>
        </is>
      </c>
      <c r="C16" s="8" t="n">
        <v>267.4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713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Romania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Hidroelectrica (HIDRO) — Earnings Presentation &amp; Management Guidance</t>
        </is>
      </c>
    </row>
    <row r="3">
      <c r="B3" s="2" t="inlineStr">
        <is>
          <t>Source: Hidroelectrica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$2592.0M (+8.0% YoY growth)</t>
        </is>
      </c>
      <c r="D7" s="36" t="inlineStr">
        <is>
          <t>$2556.0M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$2592.0M (+8.0% YoY growth). With current run-rate at $2556.0M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$1705.0M (65.8% margin)</t>
        </is>
      </c>
      <c r="D8" s="36" t="inlineStr">
        <is>
          <t>$1674.0M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$1705.0M (65.8%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0.40x</t>
        </is>
      </c>
      <c r="E9" s="33" t="inlineStr">
        <is>
          <t>Ahead of Target</t>
        </is>
      </c>
      <c r="F9" s="38" t="inlineStr">
        <is>
          <t>Deleveraging on track with 4.10x buffer below covenant limit.
[QUESTION TO CFO TO VERIFY]: You previously committed to a Net Leverage ceiling of &lt; 4.00x Net Debt / EBITDA. Current actual leverage stands at 0.40x.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$569.6M (Maximum growth and sustaining envelope)</t>
        </is>
      </c>
      <c r="D10" s="36" t="inlineStr">
        <is>
          <t>$524.0M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$569.6M (Maximum growth and sustaining envelope). Current commitments stand at $524.0M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$1898.8M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$43200.0M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$1162.5M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$713.0M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https://www.google.com/finance/quote/HIDRO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2026-10-28T05:16:50Z</dcterms:created>
  <dcterms:modified xmlns:dcterms="http://purl.org/dc/terms/" xmlns:xsi="http://www.w3.org/2001/XMLSchema-instance" xsi:type="dcterms:W3CDTF">2026-10-28T05:16:50Z</dcterms:modified>
</cp:coreProperties>
</file>