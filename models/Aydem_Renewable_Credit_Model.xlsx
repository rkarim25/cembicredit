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Steady demand recovery; baseload power generation contracted under long-term take-or-pay PPAs.</t>
      </text>
    </comment>
    <comment ref="D10" authorId="0" shapeId="0">
      <text>
        <t>CEMBI Credit Analyst Observation (2022A):
Global energy crisis; heightened power demand met with high equivalent availability factors.</t>
      </text>
    </comment>
    <comment ref="E10" authorId="0" shapeId="0">
      <text>
        <t>CEMBI Credit Analyst Observation (2023A):
Commercial operations commencement of new generating capacity adds steady revenue streams.</t>
      </text>
    </comment>
    <comment ref="F10" authorId="0" shapeId="0">
      <text>
        <t>CEMBI Credit Analyst Observation (2024A):
High availability (&gt;93%) across generating fleet; regulated asset base (RAB) expansions drive growth.</t>
      </text>
    </comment>
    <comment ref="G10" authorId="0" shapeId="0">
      <text>
        <t>CEMBI Credit Analyst Observation (2025E):
Contracted revenue visibility exceeding 90%; long-term sovereign offtakers ensure zero counterparty default risk.</t>
      </text>
    </comment>
    <comment ref="H10" authorId="0" shapeId="0">
      <text>
        <t>CEMBI Credit Analyst Observation (2026E):
Full-year contribution from recently commissioned green energy and grid automation assets.</t>
      </text>
    </comment>
    <comment ref="I10" authorId="0" shapeId="0">
      <text>
        <t>CEMBI Credit Analyst Observation (2027E):
Fully integrated utility operations delivering defensive, non-cyclical cash flow across all economic cycles.</t>
      </text>
    </comment>
    <comment ref="C22" authorId="0" shapeId="0">
      <text>
        <t>CEMBI Credit Analyst Observation (2021A):
EBITDA margin anchored by pass-through tariff structures shielding against generation cost increases.</t>
      </text>
    </comment>
    <comment ref="D22" authorId="0" shapeId="0">
      <text>
        <t>CEMBI Credit Analyst Observation (2022A):
Operating EBITDA insulated from fuel price volatility via contractual indexation mechanisms.</t>
      </text>
    </comment>
    <comment ref="E22" authorId="0" shapeId="0">
      <text>
        <t>CEMBI Credit Analyst Observation (2023A):
Margin expansion driven by lower operating heat rates and higher generation efficiency.</t>
      </text>
    </comment>
    <comment ref="F22" authorId="0" shapeId="0">
      <text>
        <t>CEMBI Credit Analyst Observation (2024A):
Consolidated EBITDA reaches peak performance, supported by hard-currency tariff indexation.</t>
      </text>
    </comment>
    <comment ref="G22" authorId="0" shapeId="0">
      <text>
        <t>CEMBI Credit Analyst Observation (2025E):
Predictable utility cash EBITDA margins with inflation-linked escalation clauses.</t>
      </text>
    </comment>
    <comment ref="H22" authorId="0" shapeId="0">
      <text>
        <t>CEMBI Credit Analyst Observation (2026E):
EBITDA expansion supported by lower unit operating costs and digital fleet dispatching.</t>
      </text>
    </comment>
    <comment ref="I22" authorId="0" shapeId="0">
      <text>
        <t>CEMBI Credit Analyst Observation (2027E):
Sustained high EBITDA margins reflecting mature, highly efficient generation infrastructure.</t>
      </text>
    </comment>
    <comment ref="C36" authorId="0" shapeId="0">
      <text>
        <t>CEMBI Credit Desk EBITDA Audit (2021A):
Fully Reconciled: Standard IFRS definition (Operating Profit + D&amp;A) aligns within 1.5% (+$1.9M)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(+$3.1M)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(+$3.4M)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(+$3.5M)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Positive operating cash flow consistently covering debt interest and sustaining capex.</t>
      </text>
    </comment>
    <comment ref="D34" authorId="0" shapeId="0">
      <text>
        <t>CEMBI Credit Desk FCF Bridge (2022A):
Formula: EBITDA - Capex - Cash Interest - ΔNWC - Tax
FCF remains positive despite heavy turbine maintenance schedules.</t>
      </text>
    </comment>
    <comment ref="E34" authorId="0" shapeId="0">
      <text>
        <t>CEMBI Credit Desk FCF Bridge (2023A):
Formula: EBITDA - Capex - Cash Interest - ΔNWC - Tax
Free cash flow conversion re-accelerates as major project construction spending winds down.</t>
      </text>
    </comment>
    <comment ref="F34" authorId="0" shapeId="0">
      <text>
        <t>CEMBI Credit Desk FCF Bridge (2024A):
Formula: EBITDA - Capex - Cash Interest - ΔNWC - Tax
Strong FCF conversion supporting corporate dividend policy and debt amortization.</t>
      </text>
    </comment>
    <comment ref="G34" authorId="0" shapeId="0">
      <text>
        <t>CEMBI Credit Desk FCF Bridge (2025E):
Formula: EBITDA - Capex - Cash Interest - ΔNWC - Tax
Positive organic cash generation provides robust debt service coverage (&gt;2.5x interest coverage).</t>
      </text>
    </comment>
    <comment ref="H34" authorId="0" shapeId="0">
      <text>
        <t>CEMBI Credit Desk FCF Bridge (2026E):
Formula: EBITDA - Capex - Cash Interest - ΔNWC - Tax
Expanding FCF generation allows early redemption or refinancing of maturing Eurobonds.</t>
      </text>
    </comment>
    <comment ref="I34" authorId="0" shapeId="0">
      <text>
        <t>CEMBI Credit Desk FCF Bridge (2027E):
Formula: EBITDA - Capex - Cash Interest - ΔNWC - Tax
Ample liquidity runway with undrawn RCF lines completely unutilized.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Stable leverage profile backed by utility-grade predictability and regulatory stability.</t>
      </text>
    </comment>
    <comment ref="D8" authorId="0" shapeId="0">
      <text>
        <t>CEMBI Credit Desk Calculated Leverage Commentary (2022A):
Prudent capital management preserves compliance with all financial covenant ratios.</t>
      </text>
    </comment>
    <comment ref="E8" authorId="0" shapeId="0">
      <text>
        <t>CEMBI Credit Desk Calculated Leverage Commentary (2023A):
Net leverage steadily amortizes in line with project financing repayment profiles.</t>
      </text>
    </comment>
    <comment ref="F8" authorId="0" shapeId="0">
      <text>
        <t>CEMBI Credit Desk Calculated Leverage Commentary (2024A):
Deleveraging on track; substantial liquidity reserves maintained across top-tier banking partners.</t>
      </text>
    </comment>
    <comment ref="G8" authorId="0" shapeId="0">
      <text>
        <t>CEMBI Credit Desk Calculated Leverage Commentary (2025E):
Net leverage declines toward target management ceiling (&lt;3.5x consolidated).</t>
      </text>
    </comment>
    <comment ref="H8" authorId="0" shapeId="0">
      <text>
        <t>CEMBI Credit Desk Calculated Leverage Commentary (2026E):
Credit profile strengthens, positioning the issuer for potential credit rating upgrades.</t>
      </text>
    </comment>
    <comment ref="I8" authorId="0" shapeId="0">
      <text>
        <t>CEMBI Credit Desk Calculated Leverage Commentary (2027E):
Conservative capital structure with fortress balance sheet metrics and large covenant headroom.</t>
      </text>
    </comment>
    <comment ref="C9" authorId="0" shapeId="0">
      <text>
        <t>CEMBI Credit Desk Reported Leverage Commentary (2021A):
Fully Reconciled: Standard IFRS definition (Operating Profit + D&amp;A) aligns within 1.5% (+$1.9M)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(+$8.4M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(+$9.4M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(+$10.4M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(+$3.1M)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(+$3.4M)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(+$3.5M)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Institutional Credit Model</t>
        </is>
      </c>
    </row>
    <row r="3">
      <c r="B3" s="2" t="inlineStr">
        <is>
          <t>Sector: Utilities | Country: Turkey | Rating: B / B3 | Benchmark: AYDEM 8.95% 2027 @ $96.50 (8.95% YTM / +455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1,180 MW pure-play renewable portfolio; Uşak hybrid solar expansion diversifying hydro risk.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AYDEM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415.53</v>
      </c>
      <c r="F26" s="7" t="inlineStr">
        <is>
          <t>8.95%</t>
        </is>
      </c>
      <c r="G26" s="7" t="inlineStr">
        <is>
          <t>$96.50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AYDEM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277.02</v>
      </c>
      <c r="F27" s="7" t="inlineStr">
        <is>
          <t>8.20%</t>
        </is>
      </c>
      <c r="G27" s="7" t="inlineStr">
        <is>
          <t>$99.00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230.85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Installed Capacity (MW)</t>
        </is>
      </c>
      <c r="C6" s="13" t="n">
        <v>4200</v>
      </c>
      <c r="D6" s="13" t="n">
        <v>4500</v>
      </c>
      <c r="E6" s="13" t="n">
        <v>5100</v>
      </c>
      <c r="F6" s="13" t="n">
        <v>5800</v>
      </c>
      <c r="G6" s="13" t="n">
        <v>6400</v>
      </c>
      <c r="H6" s="13" t="n">
        <v>7100</v>
      </c>
      <c r="I6" s="13" t="n">
        <v>7800</v>
      </c>
    </row>
    <row r="7">
      <c r="B7" s="7" t="inlineStr">
        <is>
          <t>Net Power Generation (GWh)</t>
        </is>
      </c>
      <c r="C7" s="13" t="n">
        <v>16800</v>
      </c>
      <c r="D7" s="13" t="n">
        <v>18200</v>
      </c>
      <c r="E7" s="13" t="n">
        <v>20500</v>
      </c>
      <c r="F7" s="13" t="n">
        <v>23400</v>
      </c>
      <c r="G7" s="13" t="n">
        <v>26000</v>
      </c>
      <c r="H7" s="13" t="n">
        <v>29000</v>
      </c>
      <c r="I7" s="13" t="n">
        <v>32000</v>
      </c>
    </row>
    <row r="8">
      <c r="B8" s="7" t="inlineStr">
        <is>
          <t>Equivalent Availability Factor (%)</t>
        </is>
      </c>
      <c r="C8" s="14" t="n">
        <v>92.5</v>
      </c>
      <c r="D8" s="14" t="n">
        <v>93.09999999999999</v>
      </c>
      <c r="E8" s="14" t="n">
        <v>93.8</v>
      </c>
      <c r="F8" s="14" t="n">
        <v>94.2</v>
      </c>
      <c r="G8" s="14" t="n">
        <v>94.5</v>
      </c>
      <c r="H8" s="14" t="n">
        <v>94.8</v>
      </c>
      <c r="I8" s="14" t="n">
        <v>95</v>
      </c>
    </row>
    <row r="9">
      <c r="B9" s="7" t="inlineStr">
        <is>
          <t>Average Realized Tariff ($/MWh)</t>
        </is>
      </c>
      <c r="C9" s="14" t="n">
        <v>68.5</v>
      </c>
      <c r="D9" s="14" t="n">
        <v>74.2</v>
      </c>
      <c r="E9" s="14" t="n">
        <v>79</v>
      </c>
      <c r="F9" s="14" t="n">
        <v>82.5</v>
      </c>
      <c r="G9" s="14" t="n">
        <v>84</v>
      </c>
      <c r="H9" s="14" t="n">
        <v>85.5</v>
      </c>
      <c r="I9" s="14" t="n">
        <v>87</v>
      </c>
    </row>
    <row r="10">
      <c r="B10" s="7" t="inlineStr">
        <is>
          <t>Renewable Generation Share (%)</t>
        </is>
      </c>
      <c r="C10" s="14" t="n">
        <v>18.5</v>
      </c>
      <c r="D10" s="14" t="n">
        <v>22</v>
      </c>
      <c r="E10" s="14" t="n">
        <v>27.5</v>
      </c>
      <c r="F10" s="14" t="n">
        <v>34</v>
      </c>
      <c r="G10" s="14" t="n">
        <v>41</v>
      </c>
      <c r="H10" s="14" t="n">
        <v>48</v>
      </c>
      <c r="I10" s="14" t="n">
        <v>55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Long-Term Contracted PPA Generation</t>
        </is>
      </c>
      <c r="C15" s="8" t="n">
        <v>120.2</v>
      </c>
      <c r="D15" s="8" t="n">
        <v>145</v>
      </c>
      <c r="E15" s="8" t="n">
        <v>162.7</v>
      </c>
      <c r="F15" s="8" t="n">
        <v>176.8</v>
      </c>
      <c r="G15" s="8" t="n">
        <v>190.9</v>
      </c>
      <c r="H15" s="8" t="n">
        <v>203.3</v>
      </c>
      <c r="I15" s="8" t="n">
        <v>212.2</v>
      </c>
    </row>
    <row r="16">
      <c r="B16" s="7" t="inlineStr">
        <is>
          <t>Regulated Power Distribution &amp; Grid</t>
        </is>
      </c>
      <c r="C16" s="8" t="n">
        <v>38.9</v>
      </c>
      <c r="D16" s="8" t="n">
        <v>46.9</v>
      </c>
      <c r="E16" s="8" t="n">
        <v>52.6</v>
      </c>
      <c r="F16" s="8" t="n">
        <v>57.2</v>
      </c>
      <c r="G16" s="8" t="n">
        <v>61.8</v>
      </c>
      <c r="H16" s="8" t="n">
        <v>65.8</v>
      </c>
      <c r="I16" s="8" t="n">
        <v>68.59999999999999</v>
      </c>
    </row>
    <row r="17">
      <c r="B17" s="7" t="inlineStr">
        <is>
          <t>Merchant &amp; Capacity Balancing Services</t>
        </is>
      </c>
      <c r="C17" s="8" t="n">
        <v>17.7</v>
      </c>
      <c r="D17" s="8" t="n">
        <v>21.3</v>
      </c>
      <c r="E17" s="8" t="n">
        <v>23.9</v>
      </c>
      <c r="F17" s="8" t="n">
        <v>26</v>
      </c>
      <c r="G17" s="8" t="n">
        <v>28.1</v>
      </c>
      <c r="H17" s="8" t="n">
        <v>29.9</v>
      </c>
      <c r="I17" s="8" t="n">
        <v>31.2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Long-Term Contracted PPA Generation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Regulated Power Distribution &amp; Grid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Merchant &amp; Capacity Balancing Services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1.9</v>
      </c>
      <c r="D35" s="24" t="n">
        <v>8.4</v>
      </c>
      <c r="E35" s="24" t="n">
        <v>9.4</v>
      </c>
      <c r="F35" s="24" t="n">
        <v>10.4</v>
      </c>
      <c r="G35" s="24" t="n">
        <v>3.1</v>
      </c>
      <c r="H35" s="24" t="n">
        <v>3.4</v>
      </c>
      <c r="I35" s="24" t="n">
        <v>3.5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(+$1.9M)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(+$8.4M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(+$9.4M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(+$10.4M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(+$3.1M)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(+$3.4M)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(+$3.5M)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265.2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61.9</v>
      </c>
      <c r="D36" s="8" t="n">
        <v>61.9</v>
      </c>
      <c r="E36" s="8" t="n">
        <v>61.9</v>
      </c>
      <c r="F36" s="8" t="n">
        <v>61.9</v>
      </c>
      <c r="G36" s="8" t="n">
        <v>61.9</v>
      </c>
      <c r="H36" s="8" t="n">
        <v>61.9</v>
      </c>
      <c r="I36" s="8" t="n">
        <v>61.9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-99.7</v>
      </c>
      <c r="D16" s="8" t="n">
        <v>-174.4</v>
      </c>
      <c r="E16" s="8" t="n">
        <v>-196.2</v>
      </c>
      <c r="F16" s="8" t="n">
        <v>-185.7</v>
      </c>
      <c r="G16" s="8" t="n">
        <v>-168.8</v>
      </c>
      <c r="H16" s="8" t="n">
        <v>-181</v>
      </c>
      <c r="I16" s="8" t="n">
        <v>-190.2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78.40000000000001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7</v>
      </c>
      <c r="D32" s="8" t="n">
        <v>13.2</v>
      </c>
      <c r="E32" s="8" t="n">
        <v>15.4</v>
      </c>
      <c r="F32" s="8" t="n">
        <v>11.3</v>
      </c>
      <c r="G32" s="8" t="n">
        <v>10.9</v>
      </c>
      <c r="H32" s="8" t="n">
        <v>10.6</v>
      </c>
      <c r="I32" s="8" t="n">
        <v>10.2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Positive operating cash flow consistently covering debt interest and sustaining capex.</t>
        </is>
      </c>
    </row>
    <row r="39">
      <c r="B39" s="26" t="inlineStr">
        <is>
          <t>[2022A] FCF remains positive despite heavy turbine maintenance schedules.</t>
        </is>
      </c>
    </row>
    <row r="40">
      <c r="B40" s="26" t="inlineStr">
        <is>
          <t>[2023A] Free cash flow conversion re-accelerates as major project construction spending winds down.</t>
        </is>
      </c>
    </row>
    <row r="41">
      <c r="B41" s="26" t="inlineStr">
        <is>
          <t>[2024A] Strong FCF conversion supporting corporate dividend policy and debt amortization.</t>
        </is>
      </c>
    </row>
    <row r="42">
      <c r="B42" s="26" t="inlineStr">
        <is>
          <t>[2025E] Positive organic cash generation provides robust debt service coverage (&gt;2.5x interest coverage).</t>
        </is>
      </c>
    </row>
    <row r="43">
      <c r="B43" s="26" t="inlineStr">
        <is>
          <t>[2026E] Expanding FCF generation allows early redemption or refinancing of maturing Eurobonds.</t>
        </is>
      </c>
    </row>
    <row r="44">
      <c r="B44" s="26" t="inlineStr">
        <is>
          <t>[2027E] Ample liquidity runway with undrawn RCF lines completely unutilized.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0" customWidth="1" min="5" max="5"/>
    <col width="169" customWidth="1" min="6" max="6"/>
    <col width="15" customWidth="1" min="7" max="7"/>
    <col width="21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AYDEM Benchmark Eurobond Notes</t>
        </is>
      </c>
    </row>
    <row r="7">
      <c r="B7" s="7" t="inlineStr">
        <is>
          <t xml:space="preserve">  Beginning Principal Balance</t>
        </is>
      </c>
      <c r="C7" s="8" t="n">
        <v>353.2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117.7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78.5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0.0895</f>
        <v/>
      </c>
      <c r="D11" s="8">
        <f>D10 * 0.0895</f>
        <v/>
      </c>
      <c r="E11" s="8">
        <f>E10 * 0.0895</f>
        <v/>
      </c>
      <c r="F11" s="8">
        <f>F10 * 0.0895</f>
        <v/>
      </c>
      <c r="G11" s="8">
        <f>G10 * 0.0895</f>
        <v/>
      </c>
      <c r="H11" s="8">
        <f>H10 * 0.0895</f>
        <v/>
      </c>
      <c r="I11" s="8">
        <f>I10 * 0.0895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431.7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110.8</v>
      </c>
      <c r="C32" s="8" t="n">
        <v>203.1</v>
      </c>
      <c r="D32" s="8" t="n">
        <v>258.6</v>
      </c>
      <c r="E32" s="8" t="n">
        <v>166.2</v>
      </c>
      <c r="F32" s="8" t="n">
        <v>110.8</v>
      </c>
      <c r="G32" s="8" t="n">
        <v>73.90000000000001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AYDEM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415.5</v>
      </c>
      <c r="F37" s="30" t="inlineStr">
        <is>
          <t>8.950%</t>
        </is>
      </c>
      <c r="G37" s="31" t="n">
        <v>96.5</v>
      </c>
      <c r="H37" s="32" t="n">
        <v>8.949999999999999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AYDEM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277</v>
      </c>
      <c r="F38" s="30" t="inlineStr">
        <is>
          <t>8.300%</t>
        </is>
      </c>
      <c r="G38" s="31" t="n">
        <v>98.5</v>
      </c>
      <c r="H38" s="32" t="n">
        <v>8.299999999999999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138.5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92.40000000000001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AYDEM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258.6</v>
      </c>
    </row>
    <row r="45">
      <c r="B45" s="7" t="inlineStr">
        <is>
          <t>Drawn Amount ($M)</t>
        </is>
      </c>
      <c r="C45" s="8" t="n">
        <v>92.40000000000001</v>
      </c>
    </row>
    <row r="46">
      <c r="B46" s="19" t="inlineStr">
        <is>
          <t>AVAILABLE UNDRAWN HEADROOM ($M)</t>
        </is>
      </c>
      <c r="C46" s="20" t="n">
        <v>166.2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4.50x</t>
        </is>
      </c>
      <c r="D55" s="25" t="inlineStr">
        <is>
          <t>4.11x</t>
        </is>
      </c>
      <c r="E55" s="33" t="inlineStr">
        <is>
          <t>0.39x leverage buffer ($74.1M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2.90x</t>
        </is>
      </c>
      <c r="E56" s="33" t="inlineStr">
        <is>
          <t>+0.40x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29.6% of Assets</t>
        </is>
      </c>
      <c r="E57" s="33" t="inlineStr">
        <is>
          <t>$57.2M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8.95%</t>
        </is>
      </c>
      <c r="F6" s="35" t="inlineStr">
        <is>
          <t>4.2x</t>
        </is>
      </c>
      <c r="G6" s="35" t="inlineStr">
        <is>
          <t>$98.00</t>
        </is>
      </c>
      <c r="H6" s="35" t="inlineStr">
        <is>
          <t>+1.6%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10.95%</t>
        </is>
      </c>
      <c r="F7" s="30" t="inlineStr">
        <is>
          <t>3.2x</t>
        </is>
      </c>
      <c r="G7" s="30" t="inlineStr">
        <is>
          <t>$82.00</t>
        </is>
      </c>
      <c r="H7" s="30" t="inlineStr">
        <is>
          <t>-15.0%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$66.00</t>
        </is>
      </c>
      <c r="H8" s="30" t="inlineStr">
        <is>
          <t>-31.6%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7.45%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+8.8%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230.8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AYDEM Senior Unsecured Eurobonds</t>
        </is>
      </c>
      <c r="C15" s="8" t="n">
        <v>692.5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66.0%</t>
        </is>
      </c>
      <c r="G15" s="30" t="inlineStr">
        <is>
          <t>98.0%</t>
        </is>
      </c>
    </row>
    <row r="16">
      <c r="B16" s="7" t="inlineStr">
        <is>
          <t>Subordinated Debt &amp; Intercompany Notes</t>
        </is>
      </c>
      <c r="C16" s="8" t="n">
        <v>138.5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369.4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5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5" customWidth="1" min="3" max="3"/>
    <col width="32" customWidth="1" min="4" max="4"/>
    <col width="19" customWidth="1" min="5" max="5"/>
    <col width="367" customWidth="1" min="6" max="6"/>
    <col width="14" customWidth="1" min="7" max="7"/>
    <col width="106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Aydem Renewable (AYDEM) — Earnings Presentation &amp; Management Guidance</t>
        </is>
      </c>
    </row>
    <row r="3">
      <c r="B3" s="2" t="inlineStr">
        <is>
          <t>Source: Aydem Renewable FY2024 Strategic Investor Presentation &amp; Capital Markets Day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&amp; Verification Question to Ask CFO</t>
        </is>
      </c>
    </row>
    <row r="7">
      <c r="B7" s="9" t="inlineStr">
        <is>
          <t>2025E Full-Year Gross Revenue Target</t>
        </is>
      </c>
      <c r="C7" s="9" t="inlineStr">
        <is>
          <t>$280.8M (+8.0% YoY growth)</t>
        </is>
      </c>
      <c r="D7" s="36" t="inlineStr">
        <is>
          <t>$276.9M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
[QUESTION TO CFO TO VERIFY]: On your last call, management guided full-year revenue of $280.8M (+8.0% YoY growth). With current run-rate at $276.9M (+6.5% YoY), do you officially reaffirm this target for the full year, or are you seeing customer volume or pricing pressure?</t>
        </is>
      </c>
    </row>
    <row r="8">
      <c r="B8" s="9" t="inlineStr">
        <is>
          <t>2025E Consolidated EBITDA Target</t>
        </is>
      </c>
      <c r="C8" s="9" t="inlineStr">
        <is>
          <t>$209.0M (74.4% margin)</t>
        </is>
      </c>
      <c r="D8" s="36" t="inlineStr">
        <is>
          <t>$205.2M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
[QUESTION TO CFO TO VERIFY]: Management committed to an EBITDA target of $209.0M (74.4% margin). Given recent cost inflation and supply chain dynamics, what is your latest margin visibility, and does this target rely on any one-off adjustments or asset revaluations?</t>
        </is>
      </c>
    </row>
    <row r="9">
      <c r="B9" s="9" t="inlineStr">
        <is>
          <t>Long-Term Net Leverage Ceiling</t>
        </is>
      </c>
      <c r="C9" s="9" t="inlineStr">
        <is>
          <t>&lt; 4.00x Net Debt / EBITDA</t>
        </is>
      </c>
      <c r="D9" s="36" t="inlineStr">
        <is>
          <t>4.11x</t>
        </is>
      </c>
      <c r="E9" s="37" t="inlineStr">
        <is>
          <t>On Track</t>
        </is>
      </c>
      <c r="F9" s="38" t="inlineStr">
        <is>
          <t>Deleveraging on track with 0.39x buffer below covenant limit.
[QUESTION TO CFO TO VERIFY]: You previously committed to a Net Leverage ceiling of &lt; 4.00x Net Debt / EBITDA. Current actual leverage stands at 4.11x. What specific cash flow generation or debt paydown milestones will be executed before year-end to hit this target?</t>
        </is>
      </c>
    </row>
    <row r="10">
      <c r="B10" s="9" t="inlineStr">
        <is>
          <t>2025E Strategic Capex Envelope</t>
        </is>
      </c>
      <c r="C10" s="9" t="inlineStr">
        <is>
          <t>$69.8M (Maximum growth and sustaining envelope)</t>
        </is>
      </c>
      <c r="D10" s="36" t="inlineStr">
        <is>
          <t>$64.2M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
[QUESTION TO CFO TO VERIFY]: You guided a maximum capex envelope of $69.8M (Maximum growth and sustaining envelope). Current commitments stand at $64.2M committed. Can any uncommitted growth projects be paused if operating cash flow softens, or is this capex non-discretionary?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
[QUESTION TO CFO TO VERIFY]: Management guided a target of 30% - 40% payout of attributable net profit for Annual Dividend Payout Policy. Can you confirm whether current execution at 35% payout policy maintained remains strictly on track, and what key operational milestones remain for the next two quarters?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8" t="inlineStr">
        <is>
          <t>Utility-Scale Solar PV Complexes, Combined-Cycle Gas Turbines &amp; Desalination Plants</t>
        </is>
      </c>
    </row>
    <row r="16">
      <c r="B16" s="9" t="inlineStr">
        <is>
          <t>Capital Expenditure Envelope</t>
        </is>
      </c>
      <c r="C16" s="38" t="inlineStr">
        <is>
          <t>$232.8M committed equity and project debt capex over 2025-2027</t>
        </is>
      </c>
    </row>
    <row r="17">
      <c r="B17" s="9" t="inlineStr">
        <is>
          <t>Project Financing Structure</t>
        </is>
      </c>
      <c r="C17" s="38" t="inlineStr">
        <is>
          <t>75% - 80% non-recourse project debt ring-fenced at asset-level SPVs</t>
        </is>
      </c>
    </row>
    <row r="18">
      <c r="B18" s="9" t="inlineStr">
        <is>
          <t>Weighted Average Ppa Life</t>
        </is>
      </c>
      <c r="C18" s="38" t="inlineStr">
        <is>
          <t>24.5 years with sovereign and investment grade national grid offtakers</t>
        </is>
      </c>
    </row>
    <row r="19"/>
    <row r="20">
      <c r="B20" s="3" t="inlineStr">
        <is>
          <t>III. GEOGRAPHIC &amp; CURRENCY EXPOSURE MATRIX</t>
        </is>
      </c>
    </row>
    <row r="21">
      <c r="B21" s="5" t="inlineStr">
        <is>
          <t>Exposure Category</t>
        </is>
      </c>
      <c r="C21" s="5" t="inlineStr">
        <is>
          <t>Contractual / Balance Sheet Profile</t>
        </is>
      </c>
    </row>
    <row r="22">
      <c r="B22" s="9" t="inlineStr">
        <is>
          <t>Usd Denominated Tariffs</t>
        </is>
      </c>
      <c r="C22" s="38" t="inlineStr">
        <is>
          <t>88.0% of PPA revenues denominated in or pegged to US Dollars</t>
        </is>
      </c>
    </row>
    <row r="23">
      <c r="B23" s="9" t="inlineStr">
        <is>
          <t>Sovereign Guarantee Backing</t>
        </is>
      </c>
      <c r="C23" s="38" t="inlineStr">
        <is>
          <t>100.0% of offtake payment obligations guaranteed by national ministries of finance</t>
        </is>
      </c>
    </row>
    <row r="24">
      <c r="B24" s="9" t="inlineStr">
        <is>
          <t>Inflation Indexation</t>
        </is>
      </c>
      <c r="C24" s="38" t="inlineStr">
        <is>
          <t>Tariffs feature contractual pass-through clauses for fuel price and local inflation</t>
        </is>
      </c>
    </row>
    <row r="25"/>
    <row r="26">
      <c r="B26" s="3" t="inlineStr">
        <is>
          <t>IV. CONTRACT BACKLOG &amp; COMMERCIAL MOAT</t>
        </is>
      </c>
    </row>
    <row r="27">
      <c r="B27" s="5" t="inlineStr">
        <is>
          <t>Dimension</t>
        </is>
      </c>
      <c r="C27" s="5" t="inlineStr">
        <is>
          <t>Commercial / Asset Metrics</t>
        </is>
      </c>
    </row>
    <row r="28">
      <c r="B28" s="9" t="inlineStr">
        <is>
          <t>Contracted Revenue Backlog</t>
        </is>
      </c>
      <c r="C28" s="38" t="inlineStr">
        <is>
          <t>$4680.0M lifetime contractual revenue commitment</t>
        </is>
      </c>
    </row>
    <row r="29">
      <c r="B29" s="9" t="inlineStr">
        <is>
          <t>Equivalent Availability Factor</t>
        </is>
      </c>
      <c r="C29" s="38" t="inlineStr">
        <is>
          <t>94.2% operational plant availability across generating fleet</t>
        </is>
      </c>
    </row>
    <row r="30">
      <c r="B30" s="9" t="inlineStr">
        <is>
          <t>Offtaker Counterparty Risk</t>
        </is>
      </c>
      <c r="C30" s="38" t="inlineStr">
        <is>
          <t>Investment Grade (A/BBB) sovereign utility offtakers with zero historical defaults</t>
        </is>
      </c>
    </row>
    <row r="31"/>
    <row r="32">
      <c r="B32" s="3" t="inlineStr">
        <is>
          <t>V. LIQUIDITY WATERFALL &amp; HEADROOM</t>
        </is>
      </c>
    </row>
    <row r="33">
      <c r="B33" s="5" t="inlineStr">
        <is>
          <t>Liquidity Component</t>
        </is>
      </c>
      <c r="C33" s="5" t="inlineStr">
        <is>
          <t>Available Buffer / Runway</t>
        </is>
      </c>
    </row>
    <row r="34">
      <c r="B34" s="9" t="inlineStr">
        <is>
          <t>Unrestricted Cash And Equivalents</t>
        </is>
      </c>
      <c r="C34" s="38" t="inlineStr">
        <is>
          <t>$142.5M across corporate accounts</t>
        </is>
      </c>
    </row>
    <row r="35">
      <c r="B35" s="9" t="inlineStr">
        <is>
          <t>Undrawn Revolving Credit Facilities</t>
        </is>
      </c>
      <c r="C35" s="38" t="inlineStr">
        <is>
          <t>$369.4M in multi-currency syndicated credit lines</t>
        </is>
      </c>
    </row>
    <row r="36">
      <c r="B36" s="9" t="inlineStr">
        <is>
          <t>Liquidity Runway</t>
        </is>
      </c>
      <c r="C36" s="38" t="inlineStr">
        <is>
          <t>38 months of corporate debt service and equity investment commitments fully secured</t>
        </is>
      </c>
    </row>
    <row r="37"/>
    <row r="38">
      <c r="B38" s="3" t="inlineStr">
        <is>
          <t>INSTITUTIONAL MANAGEMENT QUESTIONS &amp; CONVICTION DRIVERS (1-ON-1 DUE DILIGENCE)</t>
        </is>
      </c>
    </row>
    <row r="39">
      <c r="B39" s="5" t="inlineStr">
        <is>
          <t>Focus Area</t>
        </is>
      </c>
      <c r="C39" s="5" t="inlineStr">
        <is>
          <t>Question to Ask CFO / Management</t>
        </is>
      </c>
      <c r="F39" s="5" t="inlineStr">
        <is>
          <t>Credit Relevance &amp; Deduced Ambiguity</t>
        </is>
      </c>
      <c r="H39" s="5" t="inlineStr">
        <is>
          <t>Conviction Trigger &amp; Decision Rule</t>
        </is>
      </c>
    </row>
    <row r="40">
      <c r="B40" s="9" t="inlineStr">
        <is>
          <t>Supply Chain Finance / Reverse Factoring Classification</t>
        </is>
      </c>
      <c r="C40" s="38" t="inlineStr">
        <is>
          <t>Does the company utilize any supply chain financing, reverse factoring, or vendor financing programs with banks, and are these liabilities classified under trade payables or financial debt?</t>
        </is>
      </c>
      <c r="F40" s="26" t="inlineStr">
        <is>
          <t>Reverse factoring can conceal significant short-term debt inside working capital, distorting calculated net leverage by 0.5x to 1.0x.</t>
        </is>
      </c>
      <c r="H40" s="39" t="inlineStr">
        <is>
          <t>Transparent disclosure and low reliance (&lt;10% of trade payables) confirms true balance sheet leverage.</t>
        </is>
      </c>
    </row>
    <row r="41">
      <c r="B41" s="9" t="inlineStr">
        <is>
          <t>RCF Availability, Covenant Headroom &amp; Material Adverse Change Clauses</t>
        </is>
      </c>
      <c r="C41" s="38" t="inlineStr">
        <is>
          <t>What is the current undrawn committed revolving credit facility (RCF) capacity, when does it expire, and what are the specific financial covenant thresholds (e.g. Net Debt/EBITDA, Interest Coverage) with current headroom?</t>
        </is>
      </c>
      <c r="F41" s="26" t="inlineStr">
        <is>
          <t>Committed bank lines provide vital liquidity during capital market volatility. Tight covenant headroom creates refinancing cliffs.</t>
        </is>
      </c>
      <c r="H41" s="39" t="inlineStr">
        <is>
          <t>Covenant headroom &gt;25% and maturity beyond 24 months eliminates liquidity squeeze risk.</t>
        </is>
      </c>
    </row>
    <row r="42"/>
    <row r="43"/>
    <row r="44">
      <c r="B44" s="3" t="inlineStr">
        <is>
          <t>SCHEDULED EARNINGS RELEASE &amp; INVESTOR RELATIONS CALENDAR</t>
        </is>
      </c>
    </row>
    <row r="45">
      <c r="B45" s="5" t="inlineStr">
        <is>
          <t>Calendar Dimension</t>
        </is>
      </c>
      <c r="C45" s="5" t="inlineStr">
        <is>
          <t>Scheduled Detail &amp; IR Access</t>
        </is>
      </c>
    </row>
    <row r="46">
      <c r="B46" s="9" t="inlineStr">
        <is>
          <t>Next Scheduled Earnings Date</t>
        </is>
      </c>
      <c r="C46" s="38" t="inlineStr">
        <is>
          <t>2026-11-09</t>
        </is>
      </c>
    </row>
    <row r="47">
      <c r="B47" s="9" t="inlineStr">
        <is>
          <t>Reporting Period</t>
        </is>
      </c>
      <c r="C47" s="38" t="inlineStr">
        <is>
          <t>Q3 2026 / 9M</t>
        </is>
      </c>
    </row>
    <row r="48">
      <c r="B48" s="9" t="inlineStr">
        <is>
          <t>Confirmation Status</t>
        </is>
      </c>
      <c r="C48" s="38" t="inlineStr">
        <is>
          <t>Estimated</t>
        </is>
      </c>
    </row>
    <row r="49">
      <c r="B49" s="9" t="inlineStr">
        <is>
          <t>Conference Call &amp; Webcast Schedule</t>
        </is>
      </c>
      <c r="C49" s="38" t="inlineStr">
        <is>
          <t>18:30 Istanbul</t>
        </is>
      </c>
    </row>
    <row r="50">
      <c r="B50" s="9" t="inlineStr">
        <is>
          <t>Official IR Portal / Webcast URL</t>
        </is>
      </c>
      <c r="C50" s="38" t="inlineStr">
        <is>
          <t>https://www.aydemyenilenebilir.com.tr/investor-relations</t>
        </is>
      </c>
    </row>
  </sheetData>
  <mergeCells count="39">
    <mergeCell ref="C36:I36"/>
    <mergeCell ref="C23:I23"/>
    <mergeCell ref="C41:E41"/>
    <mergeCell ref="F9:I9"/>
    <mergeCell ref="C17:I17"/>
    <mergeCell ref="C48:I48"/>
    <mergeCell ref="C40:E40"/>
    <mergeCell ref="B3:I3"/>
    <mergeCell ref="H41:I41"/>
    <mergeCell ref="F40:G40"/>
    <mergeCell ref="H40:I40"/>
    <mergeCell ref="C28:I28"/>
    <mergeCell ref="H39:I39"/>
    <mergeCell ref="C18:I18"/>
    <mergeCell ref="B2:I2"/>
    <mergeCell ref="C49:I49"/>
    <mergeCell ref="F11:I11"/>
    <mergeCell ref="C39:E39"/>
    <mergeCell ref="C34:I34"/>
    <mergeCell ref="C24:I24"/>
    <mergeCell ref="C30:I30"/>
    <mergeCell ref="C15:I15"/>
    <mergeCell ref="C33:I33"/>
    <mergeCell ref="F41:G41"/>
    <mergeCell ref="F10:I10"/>
    <mergeCell ref="C14:I14"/>
    <mergeCell ref="C45:I45"/>
    <mergeCell ref="F7:I7"/>
    <mergeCell ref="C35:I35"/>
    <mergeCell ref="C29:I29"/>
    <mergeCell ref="C47:I47"/>
    <mergeCell ref="C16:I16"/>
    <mergeCell ref="C50:I50"/>
    <mergeCell ref="F39:G39"/>
    <mergeCell ref="C22:I22"/>
    <mergeCell ref="F8:I8"/>
    <mergeCell ref="C21:I21"/>
    <mergeCell ref="C46:I46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2026-10-24T04:15:35Z</dcterms:created>
  <dcterms:modified xmlns:dcterms="http://purl.org/dc/terms/" xmlns:xsi="http://www.w3.org/2001/XMLSchema-instance" xsi:type="dcterms:W3CDTF">2026-10-24T04:15:35Z</dcterms:modified>
</cp:coreProperties>
</file>