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(+$1.9M)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(+$8.4M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(+$9.4M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(+$10.4M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(+$3.1M)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(+$1.9M)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(+$8.4M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(+$9.4M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(+$10.4M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(+$3.1M)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(AYDEM) — Institutional Credit Model</t>
        </is>
      </c>
    </row>
    <row r="3">
      <c r="B3" s="2" t="inlineStr">
        <is>
          <t>Sector: Utilities | Country: Turkey | Rating: B / B3 | Benchmark: AYDEM 8.95% 2027 @ $96.50 (8.95% YTM / +455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1,180 MW pure-play renewable portfolio; Uşak hybrid solar expansion diversifying hydro risk.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AYDEM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415.53</v>
      </c>
      <c r="F26" s="7" t="inlineStr">
        <is>
          <t>8.95%</t>
        </is>
      </c>
      <c r="G26" s="7" t="inlineStr">
        <is>
          <t>$96.50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AYDEM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277.02</v>
      </c>
      <c r="F27" s="7" t="inlineStr">
        <is>
          <t>8.20%</t>
        </is>
      </c>
      <c r="G27" s="7" t="inlineStr">
        <is>
          <t>$99.00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230.85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120.2</v>
      </c>
      <c r="D15" s="8" t="n">
        <v>145</v>
      </c>
      <c r="E15" s="8" t="n">
        <v>162.7</v>
      </c>
      <c r="F15" s="8" t="n">
        <v>176.8</v>
      </c>
      <c r="G15" s="8" t="n">
        <v>190.9</v>
      </c>
      <c r="H15" s="8" t="n">
        <v>203.3</v>
      </c>
      <c r="I15" s="8" t="n">
        <v>212.2</v>
      </c>
    </row>
    <row r="16">
      <c r="B16" s="7" t="inlineStr">
        <is>
          <t>Regulated Power Distribution &amp; Grid</t>
        </is>
      </c>
      <c r="C16" s="8" t="n">
        <v>38.9</v>
      </c>
      <c r="D16" s="8" t="n">
        <v>46.9</v>
      </c>
      <c r="E16" s="8" t="n">
        <v>52.6</v>
      </c>
      <c r="F16" s="8" t="n">
        <v>57.2</v>
      </c>
      <c r="G16" s="8" t="n">
        <v>61.8</v>
      </c>
      <c r="H16" s="8" t="n">
        <v>65.8</v>
      </c>
      <c r="I16" s="8" t="n">
        <v>68.59999999999999</v>
      </c>
    </row>
    <row r="17">
      <c r="B17" s="7" t="inlineStr">
        <is>
          <t>Merchant &amp; Capacity Balancing Services</t>
        </is>
      </c>
      <c r="C17" s="8" t="n">
        <v>17.7</v>
      </c>
      <c r="D17" s="8" t="n">
        <v>21.3</v>
      </c>
      <c r="E17" s="8" t="n">
        <v>23.9</v>
      </c>
      <c r="F17" s="8" t="n">
        <v>26</v>
      </c>
      <c r="G17" s="8" t="n">
        <v>28.1</v>
      </c>
      <c r="H17" s="8" t="n">
        <v>29.9</v>
      </c>
      <c r="I17" s="8" t="n">
        <v>31.2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1.9</v>
      </c>
      <c r="D35" s="24" t="n">
        <v>8.4</v>
      </c>
      <c r="E35" s="24" t="n">
        <v>9.4</v>
      </c>
      <c r="F35" s="24" t="n">
        <v>10.4</v>
      </c>
      <c r="G35" s="24" t="n">
        <v>3.1</v>
      </c>
      <c r="H35" s="24" t="n">
        <v>3.4</v>
      </c>
      <c r="I35" s="24" t="n">
        <v>3.5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(+$1.9M)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(+$8.4M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(+$9.4M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(+$10.4M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(+$3.1M)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265.2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61.9</v>
      </c>
      <c r="D36" s="8" t="n">
        <v>61.9</v>
      </c>
      <c r="E36" s="8" t="n">
        <v>61.9</v>
      </c>
      <c r="F36" s="8" t="n">
        <v>61.9</v>
      </c>
      <c r="G36" s="8" t="n">
        <v>61.9</v>
      </c>
      <c r="H36" s="8" t="n">
        <v>61.9</v>
      </c>
      <c r="I36" s="8" t="n">
        <v>61.9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-99.7</v>
      </c>
      <c r="D16" s="8" t="n">
        <v>-174.4</v>
      </c>
      <c r="E16" s="8" t="n">
        <v>-196.2</v>
      </c>
      <c r="F16" s="8" t="n">
        <v>-185.7</v>
      </c>
      <c r="G16" s="8" t="n">
        <v>-168.8</v>
      </c>
      <c r="H16" s="8" t="n">
        <v>-181</v>
      </c>
      <c r="I16" s="8" t="n">
        <v>-190.2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78.40000000000001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</v>
      </c>
      <c r="D32" s="8" t="n">
        <v>13.2</v>
      </c>
      <c r="E32" s="8" t="n">
        <v>15.4</v>
      </c>
      <c r="F32" s="8" t="n">
        <v>11.3</v>
      </c>
      <c r="G32" s="8" t="n">
        <v>10.9</v>
      </c>
      <c r="H32" s="8" t="n">
        <v>10.6</v>
      </c>
      <c r="I32" s="8" t="n">
        <v>10.2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AYDEM Benchmark Eurobond Notes</t>
        </is>
      </c>
    </row>
    <row r="7">
      <c r="B7" s="7" t="inlineStr">
        <is>
          <t xml:space="preserve">  Beginning Principal Balance</t>
        </is>
      </c>
      <c r="C7" s="8" t="n">
        <v>353.2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117.7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78.5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0.0895</f>
        <v/>
      </c>
      <c r="D11" s="8">
        <f>D10 * 0.0895</f>
        <v/>
      </c>
      <c r="E11" s="8">
        <f>E10 * 0.0895</f>
        <v/>
      </c>
      <c r="F11" s="8">
        <f>F10 * 0.0895</f>
        <v/>
      </c>
      <c r="G11" s="8">
        <f>G10 * 0.0895</f>
        <v/>
      </c>
      <c r="H11" s="8">
        <f>H10 * 0.0895</f>
        <v/>
      </c>
      <c r="I11" s="8">
        <f>I10 * 0.0895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431.7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110.8</v>
      </c>
      <c r="C32" s="8" t="n">
        <v>203.1</v>
      </c>
      <c r="D32" s="8" t="n">
        <v>258.6</v>
      </c>
      <c r="E32" s="8" t="n">
        <v>166.2</v>
      </c>
      <c r="F32" s="8" t="n">
        <v>110.8</v>
      </c>
      <c r="G32" s="8" t="n">
        <v>73.90000000000001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AYDEM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415.5</v>
      </c>
      <c r="F37" s="30" t="inlineStr">
        <is>
          <t>8.950%</t>
        </is>
      </c>
      <c r="G37" s="31" t="n">
        <v>96.5</v>
      </c>
      <c r="H37" s="32" t="n">
        <v>8.949999999999999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AYDEM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277</v>
      </c>
      <c r="F38" s="30" t="inlineStr">
        <is>
          <t>8.300%</t>
        </is>
      </c>
      <c r="G38" s="31" t="n">
        <v>98.5</v>
      </c>
      <c r="H38" s="32" t="n">
        <v>8.299999999999999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138.5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92.40000000000001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AYDEM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258.6</v>
      </c>
    </row>
    <row r="45">
      <c r="B45" s="7" t="inlineStr">
        <is>
          <t>Drawn Amount ($M)</t>
        </is>
      </c>
      <c r="C45" s="8" t="n">
        <v>92.40000000000001</v>
      </c>
    </row>
    <row r="46">
      <c r="B46" s="19" t="inlineStr">
        <is>
          <t>AVAILABLE UNDRAWN HEADROOM ($M)</t>
        </is>
      </c>
      <c r="C46" s="20" t="n">
        <v>166.2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4.11x</t>
        </is>
      </c>
      <c r="E55" s="33" t="inlineStr">
        <is>
          <t>0.39x leverage buffer ($74.1M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2.90x</t>
        </is>
      </c>
      <c r="E56" s="33" t="inlineStr">
        <is>
          <t>+0.40x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29.6% of Assets</t>
        </is>
      </c>
      <c r="E57" s="33" t="inlineStr">
        <is>
          <t>$57.2M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8.95%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+1.6%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10.95%</t>
        </is>
      </c>
      <c r="F7" s="30" t="inlineStr">
        <is>
          <t>3.2x</t>
        </is>
      </c>
      <c r="G7" s="30" t="inlineStr">
        <is>
          <t>$82.00</t>
        </is>
      </c>
      <c r="H7" s="30" t="inlineStr">
        <is>
          <t>-15.0%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$66.00</t>
        </is>
      </c>
      <c r="H8" s="30" t="inlineStr">
        <is>
          <t>-31.6%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7.45%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230.8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AYDEM Senior Unsecured Eurobonds</t>
        </is>
      </c>
      <c r="C15" s="8" t="n">
        <v>692.5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66.0%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138.5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369.4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(AYDEM) — Earnings Presentation &amp; Management Guidance</t>
        </is>
      </c>
    </row>
    <row r="3">
      <c r="B3" s="2" t="inlineStr">
        <is>
          <t>Source: Aydem Renewable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$280.8M (+8.0% YoY growth)</t>
        </is>
      </c>
      <c r="D7" s="36" t="inlineStr">
        <is>
          <t>$276.9M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$280.8M (+8.0% YoY growth). With current run-rate at $276.9M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$209.0M (74.4% margin)</t>
        </is>
      </c>
      <c r="D8" s="36" t="inlineStr">
        <is>
          <t>$205.2M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$209.0M (74.4%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4.11x</t>
        </is>
      </c>
      <c r="E9" s="37" t="inlineStr">
        <is>
          <t>On Track</t>
        </is>
      </c>
      <c r="F9" s="38" t="inlineStr">
        <is>
          <t>Deleveraging on track with 0.39x buffer below covenant limit.
[QUESTION TO CFO TO VERIFY]: You previously committed to a Net Leverage ceiling of &lt; 4.00x Net Debt / EBITDA. Current actual leverage stands at 4.11x.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$69.8M (Maximum growth and sustaining envelope)</t>
        </is>
      </c>
      <c r="D10" s="36" t="inlineStr">
        <is>
          <t>$64.2M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$69.8M (Maximum growth and sustaining envelope). Current commitments stand at $64.2M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$232.8M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$4680.0M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$142.5M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$369.4M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2026-11-09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18:30 Istanbul</t>
        </is>
      </c>
    </row>
    <row r="50">
      <c r="B50" s="9" t="inlineStr">
        <is>
          <t>Official IR Portal / Webcast URL</t>
        </is>
      </c>
      <c r="C50" s="38" t="inlineStr">
        <is>
          <t>https://www.aydemyenilenebilir.com.tr/investor-relations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2026-10-25T05:16:58Z</dcterms:created>
  <dcterms:modified xmlns:dcterms="http://purl.org/dc/terms/" xmlns:xsi="http://www.w3.org/2001/XMLSchema-instance" xsi:type="dcterms:W3CDTF">2026-10-25T05:16:58Z</dcterms:modified>
</cp:coreProperties>
</file>