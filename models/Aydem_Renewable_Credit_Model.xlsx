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Aydem Renewable</t>
        </is>
      </c>
    </row>
    <row r="3">
      <c r="B3" s="2" t="inlineStr">
        <is>
          <t>CEMBI CEEMEA Institutional Credit Assessment | Country: Turkey (CEEMEA) | Sector: Utilities | Benchmark: AYDEM 8.95%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AYDEM 8.95% 2027</t>
        </is>
      </c>
      <c r="C6" s="5" t="inlineStr">
        <is>
          <t>8.95% (+455 bp)</t>
        </is>
      </c>
      <c r="D6" s="4" t="inlineStr">
        <is>
          <t>B / B3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$66.00</t>
        </is>
      </c>
      <c r="D7" s="4" t="inlineStr">
        <is>
          <t>Base Case Fair Value</t>
        </is>
      </c>
      <c r="E7" s="5" t="inlineStr">
        <is>
          <t>$98.00</t>
        </is>
      </c>
    </row>
    <row r="9">
      <c r="B9" s="6" t="inlineStr">
        <is>
          <t>INSTITUTIONAL INVESTMENT THESIS</t>
        </is>
      </c>
    </row>
    <row r="10">
      <c r="B10" s="7" t="inlineStr">
        <is>
          <t>1,180 MW pure-play renewable portfolio; Uşak hybrid solar expansion diversifying hydro risk.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Aydem Renewable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176.8</v>
      </c>
      <c r="D7" s="13" t="n">
        <v>213.2</v>
      </c>
      <c r="E7" s="13" t="n">
        <v>239.2</v>
      </c>
      <c r="F7" s="13" t="n">
        <v>260</v>
      </c>
      <c r="G7" s="14" t="n">
        <v>280.8</v>
      </c>
      <c r="H7" s="14" t="n">
        <v>299</v>
      </c>
      <c r="I7" s="14" t="n">
        <v>312</v>
      </c>
    </row>
    <row r="8">
      <c r="B8" s="12" t="inlineStr">
        <is>
          <t>EBITDA</t>
        </is>
      </c>
      <c r="C8" s="13" t="n">
        <v>123.5</v>
      </c>
      <c r="D8" s="13" t="n">
        <v>152</v>
      </c>
      <c r="E8" s="13" t="n">
        <v>171</v>
      </c>
      <c r="F8" s="13" t="n">
        <v>190</v>
      </c>
      <c r="G8" s="14" t="n">
        <v>209</v>
      </c>
      <c r="H8" s="14" t="n">
        <v>224.2</v>
      </c>
      <c r="I8" s="14" t="n">
        <v>235.6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39.3</v>
      </c>
      <c r="D10" s="17" t="n">
        <v>49.1</v>
      </c>
      <c r="E10" s="17" t="n">
        <v>59</v>
      </c>
      <c r="F10" s="17" t="n">
        <v>65.5</v>
      </c>
      <c r="G10" s="18" t="n">
        <v>62.9</v>
      </c>
      <c r="H10" s="18" t="n">
        <v>60.3</v>
      </c>
      <c r="I10" s="18" t="n">
        <v>57.7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100.1</v>
      </c>
      <c r="D12" s="13" t="n">
        <v>126</v>
      </c>
      <c r="E12" s="13" t="n">
        <v>142.1</v>
      </c>
      <c r="F12" s="13" t="n">
        <v>161.5</v>
      </c>
      <c r="G12" s="14" t="n">
        <v>177.7</v>
      </c>
      <c r="H12" s="14" t="n">
        <v>190.6</v>
      </c>
      <c r="I12" s="14" t="n">
        <v>201.9</v>
      </c>
    </row>
    <row r="13">
      <c r="B13" s="5" t="inlineStr">
        <is>
          <t>Capital Expenditures (Capex)</t>
        </is>
      </c>
      <c r="C13" s="17" t="n">
        <v>46.5</v>
      </c>
      <c r="D13" s="17" t="n">
        <v>56.5</v>
      </c>
      <c r="E13" s="17" t="n">
        <v>63.2</v>
      </c>
      <c r="F13" s="17" t="n">
        <v>66.5</v>
      </c>
      <c r="G13" s="18" t="n">
        <v>69.8</v>
      </c>
      <c r="H13" s="18" t="n">
        <v>67.8</v>
      </c>
      <c r="I13" s="18" t="n">
        <v>65.2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78.40000000000001</v>
      </c>
      <c r="D16" s="13" t="n">
        <v>99.8</v>
      </c>
      <c r="E16" s="13" t="n">
        <v>121.1</v>
      </c>
      <c r="F16" s="13" t="n">
        <v>142.5</v>
      </c>
      <c r="G16" s="14" t="n">
        <v>168.1</v>
      </c>
      <c r="H16" s="14" t="n">
        <v>192.4</v>
      </c>
      <c r="I16" s="14" t="n">
        <v>213.8</v>
      </c>
    </row>
    <row r="17">
      <c r="B17" s="12" t="inlineStr">
        <is>
          <t>Gross Total Debt</t>
        </is>
      </c>
      <c r="C17" s="13" t="n">
        <v>784.9</v>
      </c>
      <c r="D17" s="13" t="n">
        <v>849.5</v>
      </c>
      <c r="E17" s="13" t="n">
        <v>904.9</v>
      </c>
      <c r="F17" s="13" t="n">
        <v>923.4</v>
      </c>
      <c r="G17" s="14" t="n">
        <v>904.9</v>
      </c>
      <c r="H17" s="14" t="n">
        <v>877.2</v>
      </c>
      <c r="I17" s="14" t="n">
        <v>831.1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Aydem Renewable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8.95%</t>
        </is>
      </c>
      <c r="F6" s="21" t="inlineStr">
        <is>
          <t>2028 / 2029</t>
        </is>
      </c>
      <c r="G6" s="17" t="n">
        <v>415.5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230.9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138.5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92.3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46.2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121.1</v>
      </c>
    </row>
    <row r="15">
      <c r="B15" t="inlineStr">
        <is>
          <t>Committed Undrawn RCF Capacity</t>
        </is>
      </c>
      <c r="C15" s="22" t="n">
        <v>76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176.3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Aydem Renewable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190</v>
      </c>
      <c r="D6" s="17" t="n">
        <v>161.5</v>
      </c>
      <c r="E6" s="25" t="n">
        <v>123.5</v>
      </c>
    </row>
    <row r="7">
      <c r="B7" s="5" t="inlineStr">
        <is>
          <t>Free Cash Flow ($M)</t>
        </is>
      </c>
      <c r="C7" s="17" t="n">
        <v>95</v>
      </c>
      <c r="D7" s="17" t="n">
        <v>57</v>
      </c>
      <c r="E7" s="25" t="n">
        <v>14.2</v>
      </c>
    </row>
    <row r="8">
      <c r="B8" s="12" t="inlineStr">
        <is>
          <t>Net Leverage Ratio (x)</t>
        </is>
      </c>
      <c r="C8" s="26" t="n">
        <v>4.11</v>
      </c>
      <c r="D8" s="26" t="n">
        <v>5.14</v>
      </c>
      <c r="E8" s="27" t="n">
        <v>7.6</v>
      </c>
    </row>
    <row r="9">
      <c r="B9" s="5" t="inlineStr">
        <is>
          <t>Interest Coverage Ratio (x)</t>
        </is>
      </c>
      <c r="C9" s="26" t="n">
        <v>2.9</v>
      </c>
      <c r="D9" s="26" t="n">
        <v>2.26</v>
      </c>
      <c r="E9" s="27" t="n">
        <v>1.3</v>
      </c>
    </row>
    <row r="10">
      <c r="B10" s="12" t="inlineStr">
        <is>
          <t>Implied Senior Paper Trading / Recovery ($)</t>
        </is>
      </c>
      <c r="C10" s="12" t="inlineStr">
        <is>
          <t>$98.00</t>
        </is>
      </c>
      <c r="D10" s="12" t="inlineStr">
        <is>
          <t>$78.00</t>
        </is>
      </c>
      <c r="E10" s="28" t="inlineStr">
        <is>
          <t>$66.00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