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(+$2.3M)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(+$2.6M)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(+$2.9M)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(+$3.5M)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(+$3.6M)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(+$2.3M)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(+$2.6M)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(+$2.9M)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(+$3.5M)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(+$3.6M)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(ITTIHAD) — Institutional Credit Model</t>
        </is>
      </c>
    </row>
    <row r="3">
      <c r="B3" s="2" t="inlineStr">
        <is>
          <t>Sector: Industrials | Country: UAE | Rating: B+ / B1 | Benchmark: ITTIHAD 9.10% 2028 @ $98.50 (9.10% YTM / +505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Abu Dhabi's largest private industrial group; Crown Paper Mill + Union Copper Rod in ICAD; UAE 'Operation 300bn'.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ITTIHAD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277.29</v>
      </c>
      <c r="F26" s="7" t="inlineStr">
        <is>
          <t>9.10%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ITTIHAD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184.86</v>
      </c>
      <c r="F27" s="7" t="inlineStr">
        <is>
          <t>8.35%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154.05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Order Backlog ($M)</t>
        </is>
      </c>
      <c r="C6" s="13" t="n">
        <v>3200</v>
      </c>
      <c r="D6" s="13" t="n">
        <v>3650</v>
      </c>
      <c r="E6" s="13" t="n">
        <v>4200</v>
      </c>
      <c r="F6" s="13" t="n">
        <v>4800</v>
      </c>
      <c r="G6" s="13" t="n">
        <v>5400</v>
      </c>
      <c r="H6" s="13" t="n">
        <v>6000</v>
      </c>
      <c r="I6" s="13" t="n">
        <v>6600</v>
      </c>
    </row>
    <row r="7">
      <c r="B7" s="7" t="inlineStr">
        <is>
          <t>Industrial Export Revenue Ratio (%)</t>
        </is>
      </c>
      <c r="C7" s="14" t="n">
        <v>48</v>
      </c>
      <c r="D7" s="14" t="n">
        <v>52.5</v>
      </c>
      <c r="E7" s="14" t="n">
        <v>55</v>
      </c>
      <c r="F7" s="14" t="n">
        <v>57.5</v>
      </c>
      <c r="G7" s="14" t="n">
        <v>60</v>
      </c>
      <c r="H7" s="14" t="n">
        <v>62</v>
      </c>
      <c r="I7" s="14" t="n">
        <v>64</v>
      </c>
    </row>
    <row r="8">
      <c r="B8" s="7" t="inlineStr">
        <is>
          <t>Capacity Utilization Rate (%)</t>
        </is>
      </c>
      <c r="C8" s="14" t="n">
        <v>81.5</v>
      </c>
      <c r="D8" s="14" t="n">
        <v>84</v>
      </c>
      <c r="E8" s="14" t="n">
        <v>86.5</v>
      </c>
      <c r="F8" s="14" t="n">
        <v>88</v>
      </c>
      <c r="G8" s="14" t="n">
        <v>89.5</v>
      </c>
      <c r="H8" s="14" t="n">
        <v>91</v>
      </c>
      <c r="I8" s="14" t="n">
        <v>92</v>
      </c>
    </row>
    <row r="9">
      <c r="B9" s="7" t="inlineStr">
        <is>
          <t>Blended Raw Material Cost Index (Index)</t>
        </is>
      </c>
      <c r="C9" s="14" t="n">
        <v>100</v>
      </c>
      <c r="D9" s="14" t="n">
        <v>118.5</v>
      </c>
      <c r="E9" s="14" t="n">
        <v>112</v>
      </c>
      <c r="F9" s="14" t="n">
        <v>108.5</v>
      </c>
      <c r="G9" s="14" t="n">
        <v>106</v>
      </c>
      <c r="H9" s="14" t="n">
        <v>104.5</v>
      </c>
      <c r="I9" s="14" t="n">
        <v>103</v>
      </c>
    </row>
    <row r="10"/>
    <row r="11"/>
    <row r="12">
      <c r="B12" s="3" t="inlineStr">
        <is>
          <t>II. BUSINESS SEGMENT REVENUE BREAKDOWN (USD M)</t>
        </is>
      </c>
    </row>
    <row r="13">
      <c r="B13" s="5" t="inlineStr">
        <is>
          <t>Business Segment</t>
        </is>
      </c>
      <c r="C13" s="6" t="inlineStr">
        <is>
          <t>2021A</t>
        </is>
      </c>
      <c r="D13" s="6" t="inlineStr">
        <is>
          <t>2022A</t>
        </is>
      </c>
      <c r="E13" s="6" t="inlineStr">
        <is>
          <t>2023A</t>
        </is>
      </c>
      <c r="F13" s="6" t="inlineStr">
        <is>
          <t>2024A</t>
        </is>
      </c>
      <c r="G13" s="6" t="inlineStr">
        <is>
          <t>2025E</t>
        </is>
      </c>
      <c r="H13" s="6" t="inlineStr">
        <is>
          <t>2026E</t>
        </is>
      </c>
      <c r="I13" s="6" t="inlineStr">
        <is>
          <t>2027E</t>
        </is>
      </c>
    </row>
    <row r="14">
      <c r="B14" s="7" t="inlineStr">
        <is>
          <t>Automotive &amp; Heavy Manufacturing</t>
        </is>
      </c>
      <c r="C14" s="8" t="n">
        <v>342.7</v>
      </c>
      <c r="D14" s="8" t="n">
        <v>413.3</v>
      </c>
      <c r="E14" s="8" t="n">
        <v>463.7</v>
      </c>
      <c r="F14" s="8" t="n">
        <v>504</v>
      </c>
      <c r="G14" s="8" t="n">
        <v>544.3</v>
      </c>
      <c r="H14" s="8" t="n">
        <v>579.6</v>
      </c>
      <c r="I14" s="8" t="n">
        <v>604.8</v>
      </c>
    </row>
    <row r="15">
      <c r="B15" s="7" t="inlineStr">
        <is>
          <t>Consumer Durables &amp; Electronics</t>
        </is>
      </c>
      <c r="C15" s="8" t="n">
        <v>228.5</v>
      </c>
      <c r="D15" s="8" t="n">
        <v>275.5</v>
      </c>
      <c r="E15" s="8" t="n">
        <v>309.1</v>
      </c>
      <c r="F15" s="8" t="n">
        <v>336</v>
      </c>
      <c r="G15" s="8" t="n">
        <v>362.9</v>
      </c>
      <c r="H15" s="8" t="n">
        <v>386.4</v>
      </c>
      <c r="I15" s="8" t="n">
        <v>403.2</v>
      </c>
    </row>
    <row r="16">
      <c r="B16" s="7" t="inlineStr">
        <is>
          <t>Energy &amp; Industrial Engineering</t>
        </is>
      </c>
      <c r="C16" s="8" t="n">
        <v>142.8</v>
      </c>
      <c r="D16" s="8" t="n">
        <v>172.2</v>
      </c>
      <c r="E16" s="8" t="n">
        <v>193.2</v>
      </c>
      <c r="F16" s="8" t="n">
        <v>210</v>
      </c>
      <c r="G16" s="8" t="n">
        <v>226.8</v>
      </c>
      <c r="H16" s="8" t="n">
        <v>241.5</v>
      </c>
      <c r="I16" s="8" t="n">
        <v>252</v>
      </c>
    </row>
    <row r="17">
      <c r="B17" s="15" t="inlineStr">
        <is>
          <t>Total Consolidated Revenue (Feeds P&amp;L)</t>
        </is>
      </c>
      <c r="C17" s="16">
        <f>SUM(C14:C16)</f>
        <v/>
      </c>
      <c r="D17" s="16">
        <f>SUM(D14:D16)</f>
        <v/>
      </c>
      <c r="E17" s="16">
        <f>SUM(E14:E16)</f>
        <v/>
      </c>
      <c r="F17" s="16">
        <f>SUM(F14:F16)</f>
        <v/>
      </c>
      <c r="G17" s="16">
        <f>SUM(G14:G16)</f>
        <v/>
      </c>
      <c r="H17" s="16">
        <f>SUM(H14:H16)</f>
        <v/>
      </c>
      <c r="I17" s="16">
        <f>SUM(I14:I16)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Automotive &amp; Heavy Manufacturing</t>
        </is>
      </c>
      <c r="C7" s="8">
        <f>'Operational Drivers &amp; Segments'!C14</f>
        <v/>
      </c>
      <c r="D7" s="8">
        <f>'Operational Drivers &amp; Segments'!D14</f>
        <v/>
      </c>
      <c r="E7" s="8">
        <f>'Operational Drivers &amp; Segments'!E14</f>
        <v/>
      </c>
      <c r="F7" s="8">
        <f>'Operational Drivers &amp; Segments'!F14</f>
        <v/>
      </c>
      <c r="G7" s="8">
        <f>'Operational Drivers &amp; Segments'!G14</f>
        <v/>
      </c>
      <c r="H7" s="8">
        <f>'Operational Drivers &amp; Segments'!H14</f>
        <v/>
      </c>
      <c r="I7" s="8">
        <f>'Operational Drivers &amp; Segments'!I14</f>
        <v/>
      </c>
    </row>
    <row r="8">
      <c r="B8" s="7" t="inlineStr">
        <is>
          <t xml:space="preserve">  Consumer Durables &amp; Electronics</t>
        </is>
      </c>
      <c r="C8" s="8">
        <f>'Operational Drivers &amp; Segments'!C15</f>
        <v/>
      </c>
      <c r="D8" s="8">
        <f>'Operational Drivers &amp; Segments'!D15</f>
        <v/>
      </c>
      <c r="E8" s="8">
        <f>'Operational Drivers &amp; Segments'!E15</f>
        <v/>
      </c>
      <c r="F8" s="8">
        <f>'Operational Drivers &amp; Segments'!F15</f>
        <v/>
      </c>
      <c r="G8" s="8">
        <f>'Operational Drivers &amp; Segments'!G15</f>
        <v/>
      </c>
      <c r="H8" s="8">
        <f>'Operational Drivers &amp; Segments'!H15</f>
        <v/>
      </c>
      <c r="I8" s="8">
        <f>'Operational Drivers &amp; Segments'!I15</f>
        <v/>
      </c>
    </row>
    <row r="9">
      <c r="B9" s="7" t="inlineStr">
        <is>
          <t xml:space="preserve">  Energy &amp; Industrial Engineering</t>
        </is>
      </c>
      <c r="C9" s="8">
        <f>'Operational Drivers &amp; Segments'!C16</f>
        <v/>
      </c>
      <c r="D9" s="8">
        <f>'Operational Drivers &amp; Segments'!D16</f>
        <v/>
      </c>
      <c r="E9" s="8">
        <f>'Operational Drivers &amp; Segments'!E16</f>
        <v/>
      </c>
      <c r="F9" s="8">
        <f>'Operational Drivers &amp; Segments'!F16</f>
        <v/>
      </c>
      <c r="G9" s="8">
        <f>'Operational Drivers &amp; Segments'!G16</f>
        <v/>
      </c>
      <c r="H9" s="8">
        <f>'Operational Drivers &amp; Segments'!H16</f>
        <v/>
      </c>
      <c r="I9" s="8">
        <f>'Operational Drivers &amp; Segments'!I16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1.9</v>
      </c>
      <c r="D35" s="24" t="n">
        <v>2.3</v>
      </c>
      <c r="E35" s="24" t="n">
        <v>2.6</v>
      </c>
      <c r="F35" s="24" t="n">
        <v>2.9</v>
      </c>
      <c r="G35" s="24" t="n">
        <v>3.2</v>
      </c>
      <c r="H35" s="24" t="n">
        <v>3.5</v>
      </c>
      <c r="I35" s="24" t="n">
        <v>3.6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(+$1.9M)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(+$2.3M)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(+$2.6M)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(+$2.9M)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(+$3.2M)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(+$3.5M)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(+$3.6M)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1071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249.9</v>
      </c>
      <c r="D36" s="8" t="n">
        <v>249.9</v>
      </c>
      <c r="E36" s="8" t="n">
        <v>249.9</v>
      </c>
      <c r="F36" s="8" t="n">
        <v>249.9</v>
      </c>
      <c r="G36" s="8" t="n">
        <v>249.9</v>
      </c>
      <c r="H36" s="8" t="n">
        <v>249.9</v>
      </c>
      <c r="I36" s="8" t="n">
        <v>249.9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-50.6</v>
      </c>
      <c r="D16" s="8" t="n">
        <v>-88.5</v>
      </c>
      <c r="E16" s="8" t="n">
        <v>-99.5</v>
      </c>
      <c r="F16" s="8" t="n">
        <v>-94.2</v>
      </c>
      <c r="G16" s="8" t="n">
        <v>-85.59999999999999</v>
      </c>
      <c r="H16" s="8" t="n">
        <v>-91.8</v>
      </c>
      <c r="I16" s="8" t="n">
        <v>-96.5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80.40000000000001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35.2</v>
      </c>
      <c r="D32" s="8" t="n">
        <v>72.8</v>
      </c>
      <c r="E32" s="8" t="n">
        <v>82.2</v>
      </c>
      <c r="F32" s="8" t="n">
        <v>52.7</v>
      </c>
      <c r="G32" s="8" t="n">
        <v>56.1</v>
      </c>
      <c r="H32" s="8" t="n">
        <v>58.9</v>
      </c>
      <c r="I32" s="8" t="n">
        <v>60.9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ITTIHAD Benchmark Eurobond Notes</t>
        </is>
      </c>
    </row>
    <row r="7">
      <c r="B7" s="7" t="inlineStr">
        <is>
          <t xml:space="preserve">  Beginning Principal Balance</t>
        </is>
      </c>
      <c r="C7" s="8" t="n">
        <v>235.7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78.59999999999999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52.4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0.0910</f>
        <v/>
      </c>
      <c r="D11" s="8">
        <f>D10 * 0.0910</f>
        <v/>
      </c>
      <c r="E11" s="8">
        <f>E10 * 0.0910</f>
        <v/>
      </c>
      <c r="F11" s="8">
        <f>F10 * 0.0910</f>
        <v/>
      </c>
      <c r="G11" s="8">
        <f>G10 * 0.0910</f>
        <v/>
      </c>
      <c r="H11" s="8">
        <f>H10 * 0.0910</f>
        <v/>
      </c>
      <c r="I11" s="8">
        <f>I10 * 0.0910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288.1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73.90000000000001</v>
      </c>
      <c r="C32" s="8" t="n">
        <v>135.6</v>
      </c>
      <c r="D32" s="8" t="n">
        <v>172.5</v>
      </c>
      <c r="E32" s="8" t="n">
        <v>110.9</v>
      </c>
      <c r="F32" s="8" t="n">
        <v>73.90000000000001</v>
      </c>
      <c r="G32" s="8" t="n">
        <v>49.3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ITTIHAD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277.3</v>
      </c>
      <c r="F37" s="30" t="inlineStr">
        <is>
          <t>9.100%</t>
        </is>
      </c>
      <c r="G37" s="31" t="n">
        <v>98.5</v>
      </c>
      <c r="H37" s="32" t="n">
        <v>9.1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ITTIHAD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184.9</v>
      </c>
      <c r="F38" s="30" t="inlineStr">
        <is>
          <t>8.450%</t>
        </is>
      </c>
      <c r="G38" s="31" t="n">
        <v>100.5</v>
      </c>
      <c r="H38" s="32" t="n">
        <v>8.449999999999999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92.40000000000001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61.6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ITTIHAD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172.5</v>
      </c>
    </row>
    <row r="45">
      <c r="B45" s="7" t="inlineStr">
        <is>
          <t>Drawn Amount ($M)</t>
        </is>
      </c>
      <c r="C45" s="8" t="n">
        <v>61.6</v>
      </c>
    </row>
    <row r="46">
      <c r="B46" s="19" t="inlineStr">
        <is>
          <t>AVAILABLE UNDRAWN HEADROOM ($M)</t>
        </is>
      </c>
      <c r="C46" s="20" t="n">
        <v>110.9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2.41x</t>
        </is>
      </c>
      <c r="E55" s="33" t="inlineStr">
        <is>
          <t>1.34x leverage buffer ($261.3M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3.75x</t>
        </is>
      </c>
      <c r="E56" s="33" t="inlineStr">
        <is>
          <t>+1.25x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4.9% of Assets</t>
        </is>
      </c>
      <c r="E57" s="33" t="inlineStr">
        <is>
          <t>$231.0M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9.10%</t>
        </is>
      </c>
      <c r="F6" s="35" t="inlineStr">
        <is>
          <t>4.2x</t>
        </is>
      </c>
      <c r="G6" s="35" t="inlineStr">
        <is>
          <t>$98.50</t>
        </is>
      </c>
      <c r="H6" s="35" t="inlineStr">
        <is>
          <t>+0.0%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11.10%</t>
        </is>
      </c>
      <c r="F7" s="30" t="inlineStr">
        <is>
          <t>3.2x</t>
        </is>
      </c>
      <c r="G7" s="30" t="inlineStr">
        <is>
          <t>$80.25</t>
        </is>
      </c>
      <c r="H7" s="30" t="inlineStr">
        <is>
          <t>-18.5%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$62.00</t>
        </is>
      </c>
      <c r="H8" s="30" t="inlineStr">
        <is>
          <t>-37.1%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7.60%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154.1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ITTIHAD Senior Unsecured Eurobonds</t>
        </is>
      </c>
      <c r="C15" s="8" t="n">
        <v>462.2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62.0%</t>
        </is>
      </c>
      <c r="G15" s="30" t="inlineStr">
        <is>
          <t>98.5%</t>
        </is>
      </c>
    </row>
    <row r="16">
      <c r="B16" s="7" t="inlineStr">
        <is>
          <t>Subordinated Debt &amp; Intercompany Notes</t>
        </is>
      </c>
      <c r="C16" s="8" t="n">
        <v>92.40000000000001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246.5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Ittihad Investment (ITTIHAD) — Earnings Presentation &amp; Management Guidance</t>
        </is>
      </c>
    </row>
    <row r="3">
      <c r="B3" s="2" t="inlineStr">
        <is>
          <t>Source: Ittihad Investment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$1134.0M (+8.0% YoY growth)</t>
        </is>
      </c>
      <c r="D7" s="36" t="inlineStr">
        <is>
          <t>$1118.2M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$1134.0M (+8.0% YoY growth). With current run-rate at $1118.2M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$214.5M (18.9% margin)</t>
        </is>
      </c>
      <c r="D8" s="36" t="inlineStr">
        <is>
          <t>$210.6M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$214.5M (18.9%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2.41x</t>
        </is>
      </c>
      <c r="E9" s="33" t="inlineStr">
        <is>
          <t>Ahead of Target</t>
        </is>
      </c>
      <c r="F9" s="38" t="inlineStr">
        <is>
          <t>Deleveraging on track with 1.34x buffer below covenant limit.
[QUESTION TO CFO TO VERIFY]: You previously committed to a Net Leverage ceiling of &lt; 3.25x Net Debt / EBITDA. Current actual leverage stands at 2.41x.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$71.7M (Maximum growth and sustaining envelope)</t>
        </is>
      </c>
      <c r="D10" s="36" t="inlineStr">
        <is>
          <t>$66.0M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$71.7M (Maximum growth and sustaining envelope). Current commitments stand at $66.0M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$170.5M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$682.5M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UAE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$146.2M</t>
        </is>
      </c>
    </row>
    <row r="32">
      <c r="B32" s="9" t="inlineStr">
        <is>
          <t>Undrawn Committed Bank Rcfs</t>
        </is>
      </c>
      <c r="C32" s="38" t="inlineStr">
        <is>
          <t>$215.7M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2026-11-12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14:00 Local / Pre-Market</t>
        </is>
      </c>
    </row>
    <row r="47">
      <c r="B47" s="9" t="inlineStr">
        <is>
          <t>Official IR Portal / Webcast URL</t>
        </is>
      </c>
      <c r="C47" s="38" t="inlineStr">
        <is>
          <t>https://www.google.com/finance/quote/ITTIHAD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2026-10-24T04:15:47Z</dcterms:created>
  <dcterms:modified xmlns:dcterms="http://purl.org/dc/terms/" xmlns:xsi="http://www.w3.org/2001/XMLSchema-instance" xsi:type="dcterms:W3CDTF">2026-10-24T04:15:47Z</dcterms:modified>
</cp:coreProperties>
</file>