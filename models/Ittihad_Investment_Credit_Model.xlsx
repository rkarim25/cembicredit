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Ittihad Investment</t>
        </is>
      </c>
    </row>
    <row r="3">
      <c r="B3" s="2" t="inlineStr">
        <is>
          <t>CEMBI CEEMEA Institutional Credit Assessment | Country: UAE (Middle East) | Sector: Industrials | Benchmark: ITTIHAD 9.10%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ITTIHAD 9.10% 2028</t>
        </is>
      </c>
      <c r="C6" s="5" t="inlineStr">
        <is>
          <t>9.10% (+505 bp)</t>
        </is>
      </c>
      <c r="D6" s="4" t="inlineStr">
        <is>
          <t>B+ / B1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$62.00</t>
        </is>
      </c>
      <c r="D7" s="4" t="inlineStr">
        <is>
          <t>Base Case Fair Value</t>
        </is>
      </c>
      <c r="E7" s="5" t="inlineStr">
        <is>
          <t>$98.50</t>
        </is>
      </c>
    </row>
    <row r="9">
      <c r="B9" s="6" t="inlineStr">
        <is>
          <t>INSTITUTIONAL INVESTMENT THESIS</t>
        </is>
      </c>
    </row>
    <row r="10">
      <c r="B10" s="7" t="inlineStr">
        <is>
          <t>Abu Dhabi's largest private industrial group; Crown Paper Mill + Union Copper Rod in ICAD; UAE 'Operation 300bn'.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Ittihad Investment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714</v>
      </c>
      <c r="D7" s="13" t="n">
        <v>861</v>
      </c>
      <c r="E7" s="13" t="n">
        <v>966</v>
      </c>
      <c r="F7" s="13" t="n">
        <v>1050</v>
      </c>
      <c r="G7" s="14" t="n">
        <v>1134</v>
      </c>
      <c r="H7" s="14" t="n">
        <v>1207.5</v>
      </c>
      <c r="I7" s="14" t="n">
        <v>1260</v>
      </c>
    </row>
    <row r="8">
      <c r="B8" s="12" t="inlineStr">
        <is>
          <t>EBITDA</t>
        </is>
      </c>
      <c r="C8" s="13" t="n">
        <v>126.8</v>
      </c>
      <c r="D8" s="13" t="n">
        <v>156</v>
      </c>
      <c r="E8" s="13" t="n">
        <v>175.5</v>
      </c>
      <c r="F8" s="13" t="n">
        <v>195</v>
      </c>
      <c r="G8" s="14" t="n">
        <v>214.5</v>
      </c>
      <c r="H8" s="14" t="n">
        <v>230.1</v>
      </c>
      <c r="I8" s="14" t="n">
        <v>241.8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31.2</v>
      </c>
      <c r="D10" s="17" t="n">
        <v>39</v>
      </c>
      <c r="E10" s="17" t="n">
        <v>46.8</v>
      </c>
      <c r="F10" s="17" t="n">
        <v>52</v>
      </c>
      <c r="G10" s="18" t="n">
        <v>49.9</v>
      </c>
      <c r="H10" s="18" t="n">
        <v>47.8</v>
      </c>
      <c r="I10" s="18" t="n">
        <v>45.8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102.8</v>
      </c>
      <c r="D12" s="13" t="n">
        <v>129.3</v>
      </c>
      <c r="E12" s="13" t="n">
        <v>145.9</v>
      </c>
      <c r="F12" s="13" t="n">
        <v>165.8</v>
      </c>
      <c r="G12" s="14" t="n">
        <v>182.3</v>
      </c>
      <c r="H12" s="14" t="n">
        <v>195.6</v>
      </c>
      <c r="I12" s="14" t="n">
        <v>207.2</v>
      </c>
    </row>
    <row r="13">
      <c r="B13" s="5" t="inlineStr">
        <is>
          <t>Capital Expenditures (Capex)</t>
        </is>
      </c>
      <c r="C13" s="17" t="n">
        <v>47.8</v>
      </c>
      <c r="D13" s="17" t="n">
        <v>58</v>
      </c>
      <c r="E13" s="17" t="n">
        <v>64.8</v>
      </c>
      <c r="F13" s="17" t="n">
        <v>68.2</v>
      </c>
      <c r="G13" s="18" t="n">
        <v>71.7</v>
      </c>
      <c r="H13" s="18" t="n">
        <v>69.59999999999999</v>
      </c>
      <c r="I13" s="18" t="n">
        <v>66.90000000000001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80.40000000000001</v>
      </c>
      <c r="D16" s="13" t="n">
        <v>102.4</v>
      </c>
      <c r="E16" s="13" t="n">
        <v>124.3</v>
      </c>
      <c r="F16" s="13" t="n">
        <v>146.2</v>
      </c>
      <c r="G16" s="14" t="n">
        <v>172.6</v>
      </c>
      <c r="H16" s="14" t="n">
        <v>197.4</v>
      </c>
      <c r="I16" s="14" t="n">
        <v>219.4</v>
      </c>
    </row>
    <row r="17">
      <c r="B17" s="12" t="inlineStr">
        <is>
          <t>Gross Total Debt</t>
        </is>
      </c>
      <c r="C17" s="13" t="n">
        <v>523.8</v>
      </c>
      <c r="D17" s="13" t="n">
        <v>566.9</v>
      </c>
      <c r="E17" s="13" t="n">
        <v>603.9</v>
      </c>
      <c r="F17" s="13" t="n">
        <v>616.2</v>
      </c>
      <c r="G17" s="14" t="n">
        <v>603.9</v>
      </c>
      <c r="H17" s="14" t="n">
        <v>585.4</v>
      </c>
      <c r="I17" s="14" t="n">
        <v>554.6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Ittihad Investment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9.10%</t>
        </is>
      </c>
      <c r="F6" s="21" t="inlineStr">
        <is>
          <t>2028 / 2029</t>
        </is>
      </c>
      <c r="G6" s="17" t="n">
        <v>277.3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154.1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92.40000000000001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61.6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30.8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124.3</v>
      </c>
    </row>
    <row r="15">
      <c r="B15" t="inlineStr">
        <is>
          <t>Committed Undrawn RCF Capacity</t>
        </is>
      </c>
      <c r="C15" s="22" t="n">
        <v>78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125.9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Ittihad Investment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195</v>
      </c>
      <c r="D6" s="17" t="n">
        <v>165.8</v>
      </c>
      <c r="E6" s="25" t="n">
        <v>126.8</v>
      </c>
    </row>
    <row r="7">
      <c r="B7" s="5" t="inlineStr">
        <is>
          <t>Free Cash Flow ($M)</t>
        </is>
      </c>
      <c r="C7" s="17" t="n">
        <v>97.5</v>
      </c>
      <c r="D7" s="17" t="n">
        <v>58.5</v>
      </c>
      <c r="E7" s="25" t="n">
        <v>14.6</v>
      </c>
    </row>
    <row r="8">
      <c r="B8" s="12" t="inlineStr">
        <is>
          <t>Net Leverage Ratio (x)</t>
        </is>
      </c>
      <c r="C8" s="26" t="n">
        <v>2.41</v>
      </c>
      <c r="D8" s="26" t="n">
        <v>3.01</v>
      </c>
      <c r="E8" s="27" t="n">
        <v>4.46</v>
      </c>
    </row>
    <row r="9">
      <c r="B9" s="5" t="inlineStr">
        <is>
          <t>Interest Coverage Ratio (x)</t>
        </is>
      </c>
      <c r="C9" s="26" t="n">
        <v>3.75</v>
      </c>
      <c r="D9" s="26" t="n">
        <v>2.93</v>
      </c>
      <c r="E9" s="27" t="n">
        <v>1.69</v>
      </c>
    </row>
    <row r="10">
      <c r="B10" s="12" t="inlineStr">
        <is>
          <t>Implied Senior Paper Trading / Recovery ($)</t>
        </is>
      </c>
      <c r="C10" s="12" t="inlineStr">
        <is>
          <t>$98.50</t>
        </is>
      </c>
      <c r="D10" s="12" t="inlineStr">
        <is>
          <t>$74.00</t>
        </is>
      </c>
      <c r="E10" s="28" t="inlineStr">
        <is>
          <t>$62.00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