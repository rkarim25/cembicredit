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1.6% (+$0.8M)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(+$3.4M / +5.4%);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(+$3.9M / +5.6%);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(+$4.3M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(+$1.3M)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(+$1.4M)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1.6% (+$1.5M)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1.6% (+$0.8M)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(+$3.4M / +5.4%);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(+$3.9M / +5.6%);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(+$4.3M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(+$1.3M)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(+$1.4M)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1.6% (+$1.5M)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LimakPort İskenderun (LMKPRT) — Institutional Credit Model</t>
        </is>
      </c>
    </row>
    <row r="3">
      <c r="B3" s="2" t="inlineStr">
        <is>
          <t>Sector: Infrastructure | Country: Turkey | Rating: B / B3 | Benchmark: LIMPRT 7.85% 2036 @ $98.50 (7.85% YTM / +345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36-year deepwater BOT concession; 100% USD-denominated tariffs; 65% EBITDA margin.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LMKPRT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134.415</v>
      </c>
      <c r="F26" s="7" t="inlineStr">
        <is>
          <t>7.85%</t>
        </is>
      </c>
      <c r="G26" s="7" t="inlineStr">
        <is>
          <t>$98.50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LMKPRT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89.61</v>
      </c>
      <c r="F27" s="7" t="inlineStr">
        <is>
          <t>7.10%</t>
        </is>
      </c>
      <c r="G27" s="7" t="inlineStr">
        <is>
          <t>$101.00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74.675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LimakPort İskenderun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Container Throughput (M TEU)</t>
        </is>
      </c>
      <c r="C6" s="13" t="n">
        <v>72</v>
      </c>
      <c r="D6" s="13" t="n">
        <v>78.5</v>
      </c>
      <c r="E6" s="13" t="n">
        <v>82.40000000000001</v>
      </c>
      <c r="F6" s="13" t="n">
        <v>86.8</v>
      </c>
      <c r="G6" s="13" t="n">
        <v>91.5</v>
      </c>
      <c r="H6" s="13" t="n">
        <v>96</v>
      </c>
      <c r="I6" s="13" t="n">
        <v>101</v>
      </c>
    </row>
    <row r="7">
      <c r="B7" s="7" t="inlineStr">
        <is>
          <t>Consolidated Terminal Volume (M TEU)</t>
        </is>
      </c>
      <c r="C7" s="13" t="n">
        <v>45</v>
      </c>
      <c r="D7" s="13" t="n">
        <v>49.2</v>
      </c>
      <c r="E7" s="13" t="n">
        <v>52</v>
      </c>
      <c r="F7" s="13" t="n">
        <v>55.4</v>
      </c>
      <c r="G7" s="13" t="n">
        <v>58.8</v>
      </c>
      <c r="H7" s="13" t="n">
        <v>62</v>
      </c>
      <c r="I7" s="13" t="n">
        <v>65.5</v>
      </c>
    </row>
    <row r="8">
      <c r="B8" s="7" t="inlineStr">
        <is>
          <t>Average Revenue per TEU ($/TEU)</t>
        </is>
      </c>
      <c r="C8" s="14" t="n">
        <v>142</v>
      </c>
      <c r="D8" s="14" t="n">
        <v>158</v>
      </c>
      <c r="E8" s="14" t="n">
        <v>152</v>
      </c>
      <c r="F8" s="14" t="n">
        <v>149</v>
      </c>
      <c r="G8" s="14" t="n">
        <v>148</v>
      </c>
      <c r="H8" s="14" t="n">
        <v>147</v>
      </c>
      <c r="I8" s="14" t="n">
        <v>146</v>
      </c>
    </row>
    <row r="9">
      <c r="B9" s="7" t="inlineStr">
        <is>
          <t>Concession Life Remaining (Years)</t>
        </is>
      </c>
      <c r="C9" s="14" t="n">
        <v>28</v>
      </c>
      <c r="D9" s="14" t="n">
        <v>27</v>
      </c>
      <c r="E9" s="14" t="n">
        <v>26</v>
      </c>
      <c r="F9" s="14" t="n">
        <v>25</v>
      </c>
      <c r="G9" s="14" t="n">
        <v>24</v>
      </c>
      <c r="H9" s="14" t="n">
        <v>23</v>
      </c>
      <c r="I9" s="14" t="n">
        <v>22</v>
      </c>
    </row>
    <row r="10">
      <c r="B10" s="7" t="inlineStr">
        <is>
          <t>Terminal Utilization Rate (%)</t>
        </is>
      </c>
      <c r="C10" s="13" t="n">
        <v>78.5</v>
      </c>
      <c r="D10" s="13" t="n">
        <v>81.2</v>
      </c>
      <c r="E10" s="13" t="n">
        <v>82.8</v>
      </c>
      <c r="F10" s="13" t="n">
        <v>84.5</v>
      </c>
      <c r="G10" s="13" t="n">
        <v>85.8</v>
      </c>
      <c r="H10" s="13" t="n">
        <v>87</v>
      </c>
      <c r="I10" s="13" t="n">
        <v>88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Container Terminal Handling</t>
        </is>
      </c>
      <c r="C15" s="8" t="n">
        <v>50.6</v>
      </c>
      <c r="D15" s="8" t="n">
        <v>61</v>
      </c>
      <c r="E15" s="8" t="n">
        <v>68.40000000000001</v>
      </c>
      <c r="F15" s="8" t="n">
        <v>74.40000000000001</v>
      </c>
      <c r="G15" s="8" t="n">
        <v>80.40000000000001</v>
      </c>
      <c r="H15" s="8" t="n">
        <v>85.59999999999999</v>
      </c>
      <c r="I15" s="8" t="n">
        <v>89.3</v>
      </c>
    </row>
    <row r="16">
      <c r="B16" s="7" t="inlineStr">
        <is>
          <t>Non-Container &amp; Marine Services</t>
        </is>
      </c>
      <c r="C16" s="8" t="n">
        <v>18.8</v>
      </c>
      <c r="D16" s="8" t="n">
        <v>22.6</v>
      </c>
      <c r="E16" s="8" t="n">
        <v>25.4</v>
      </c>
      <c r="F16" s="8" t="n">
        <v>27.6</v>
      </c>
      <c r="G16" s="8" t="n">
        <v>29.8</v>
      </c>
      <c r="H16" s="8" t="n">
        <v>31.7</v>
      </c>
      <c r="I16" s="8" t="n">
        <v>33.1</v>
      </c>
    </row>
    <row r="17">
      <c r="B17" s="7" t="inlineStr">
        <is>
          <t>Logistics, Free Zones &amp; Industrial Parks</t>
        </is>
      </c>
      <c r="C17" s="8" t="n">
        <v>12.2</v>
      </c>
      <c r="D17" s="8" t="n">
        <v>14.8</v>
      </c>
      <c r="E17" s="8" t="n">
        <v>16.6</v>
      </c>
      <c r="F17" s="8" t="n">
        <v>18</v>
      </c>
      <c r="G17" s="8" t="n">
        <v>19.4</v>
      </c>
      <c r="H17" s="8" t="n">
        <v>20.7</v>
      </c>
      <c r="I17" s="8" t="n">
        <v>21.6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LimakPort İskenderun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Container Terminal Handling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Non-Container &amp; Marine Services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Logistics, Free Zones &amp; Industrial Parks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0.8</v>
      </c>
      <c r="D35" s="24" t="n">
        <v>3.4</v>
      </c>
      <c r="E35" s="24" t="n">
        <v>3.9</v>
      </c>
      <c r="F35" s="24" t="n">
        <v>4.3</v>
      </c>
      <c r="G35" s="24" t="n">
        <v>1.3</v>
      </c>
      <c r="H35" s="24" t="n">
        <v>1.4</v>
      </c>
      <c r="I35" s="24" t="n">
        <v>1.5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1.6% (+$0.8M)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(+$3.4M / +5.4%);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(+$3.9M / +5.6%);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(+$4.3M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(+$1.3M)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(+$1.4M)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1.6% (+$1.5M)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LimakPort İskenderun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122.4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28.6</v>
      </c>
      <c r="D36" s="8" t="n">
        <v>28.6</v>
      </c>
      <c r="E36" s="8" t="n">
        <v>28.6</v>
      </c>
      <c r="F36" s="8" t="n">
        <v>28.6</v>
      </c>
      <c r="G36" s="8" t="n">
        <v>28.6</v>
      </c>
      <c r="H36" s="8" t="n">
        <v>28.6</v>
      </c>
      <c r="I36" s="8" t="n">
        <v>28.6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LimakPort İskenderun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-20.2</v>
      </c>
      <c r="D16" s="8" t="n">
        <v>-35.4</v>
      </c>
      <c r="E16" s="8" t="n">
        <v>-39.8</v>
      </c>
      <c r="F16" s="8" t="n">
        <v>-37.7</v>
      </c>
      <c r="G16" s="8" t="n">
        <v>-34.2</v>
      </c>
      <c r="H16" s="8" t="n">
        <v>-36.7</v>
      </c>
      <c r="I16" s="8" t="n">
        <v>-38.6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32.2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5.7</v>
      </c>
      <c r="D32" s="8" t="n">
        <v>10.4</v>
      </c>
      <c r="E32" s="8" t="n">
        <v>11.8</v>
      </c>
      <c r="F32" s="8" t="n">
        <v>8.800000000000001</v>
      </c>
      <c r="G32" s="8" t="n">
        <v>9.199999999999999</v>
      </c>
      <c r="H32" s="8" t="n">
        <v>9.4</v>
      </c>
      <c r="I32" s="8" t="n">
        <v>9.699999999999999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0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LimakPort İskenderun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LMKPRT Benchmark Eurobond Notes</t>
        </is>
      </c>
    </row>
    <row r="7">
      <c r="B7" s="7" t="inlineStr">
        <is>
          <t xml:space="preserve">  Beginning Principal Balance</t>
        </is>
      </c>
      <c r="C7" s="8" t="n">
        <v>114.3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38.1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25.4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0.0785</f>
        <v/>
      </c>
      <c r="D11" s="8">
        <f>D10 * 0.0785</f>
        <v/>
      </c>
      <c r="E11" s="8">
        <f>E10 * 0.0785</f>
        <v/>
      </c>
      <c r="F11" s="8">
        <f>F10 * 0.0785</f>
        <v/>
      </c>
      <c r="G11" s="8">
        <f>G10 * 0.0785</f>
        <v/>
      </c>
      <c r="H11" s="8">
        <f>H10 * 0.0785</f>
        <v/>
      </c>
      <c r="I11" s="8">
        <f>I10 * 0.0785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139.6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35.8</v>
      </c>
      <c r="C32" s="8" t="n">
        <v>65.7</v>
      </c>
      <c r="D32" s="8" t="n">
        <v>83.59999999999999</v>
      </c>
      <c r="E32" s="8" t="n">
        <v>53.8</v>
      </c>
      <c r="F32" s="8" t="n">
        <v>35.8</v>
      </c>
      <c r="G32" s="8" t="n">
        <v>23.9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LMKPRT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134.4</v>
      </c>
      <c r="F37" s="30" t="inlineStr">
        <is>
          <t>7.850%</t>
        </is>
      </c>
      <c r="G37" s="31" t="n">
        <v>98.5</v>
      </c>
      <c r="H37" s="32" t="n">
        <v>7.85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LMKPRT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89.59999999999999</v>
      </c>
      <c r="F38" s="30" t="inlineStr">
        <is>
          <t>7.200%</t>
        </is>
      </c>
      <c r="G38" s="31" t="n">
        <v>100.5</v>
      </c>
      <c r="H38" s="32" t="n">
        <v>7.199999999999999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44.8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29.9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LMKPRT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150</v>
      </c>
    </row>
    <row r="45">
      <c r="B45" s="7" t="inlineStr">
        <is>
          <t>Drawn Amount ($M)</t>
        </is>
      </c>
      <c r="C45" s="8" t="n">
        <v>29.9</v>
      </c>
    </row>
    <row r="46">
      <c r="B46" s="19" t="inlineStr">
        <is>
          <t>AVAILABLE UNDRAWN HEADROOM ($M)</t>
        </is>
      </c>
      <c r="C46" s="20" t="n">
        <v>120.1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3.08x</t>
        </is>
      </c>
      <c r="E55" s="33" t="inlineStr">
        <is>
          <t>0.67x leverage buffer ($52.3M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4.20x</t>
        </is>
      </c>
      <c r="E56" s="33" t="inlineStr">
        <is>
          <t>+1.70x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20.7% of Assets</t>
        </is>
      </c>
      <c r="E57" s="33" t="inlineStr">
        <is>
          <t>$26.4M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LimakPort İskenderun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LimakPort İskenderun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7.85%</t>
        </is>
      </c>
      <c r="F6" s="35" t="inlineStr">
        <is>
          <t>4.2x</t>
        </is>
      </c>
      <c r="G6" s="35" t="inlineStr">
        <is>
          <t>$101.00</t>
        </is>
      </c>
      <c r="H6" s="35" t="inlineStr">
        <is>
          <t>+2.5%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9.85%</t>
        </is>
      </c>
      <c r="F7" s="30" t="inlineStr">
        <is>
          <t>3.2x</t>
        </is>
      </c>
      <c r="G7" s="30" t="inlineStr">
        <is>
          <t>$88.00</t>
        </is>
      </c>
      <c r="H7" s="30" t="inlineStr">
        <is>
          <t>-10.7%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$75.00</t>
        </is>
      </c>
      <c r="H8" s="30" t="inlineStr">
        <is>
          <t>-23.9%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6.35%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+6.6%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74.7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LMKPRT Senior Unsecured Eurobonds</t>
        </is>
      </c>
      <c r="C15" s="8" t="n">
        <v>224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75.0%</t>
        </is>
      </c>
      <c r="G15" s="30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44.8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119.5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LimakPort İskenderun (LMKPRT) — Earnings Presentation &amp; Management Guidance</t>
        </is>
      </c>
    </row>
    <row r="3">
      <c r="B3" s="2" t="inlineStr">
        <is>
          <t>Source: LimakPort İskenderun FY2024 Global Investor Presentation &amp; Infrastructure Review | Reporting Currency: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$129.6M (+8.0% YoY growth)</t>
        </is>
      </c>
      <c r="D7" s="36" t="inlineStr">
        <is>
          <t>$127.8M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$129.6M (+8.0% YoY growth). With current run-rate at $127.8M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$85.8M (66.2% margin)</t>
        </is>
      </c>
      <c r="D8" s="36" t="inlineStr">
        <is>
          <t>$84.2M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$85.8M (66.2%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3.08x</t>
        </is>
      </c>
      <c r="E9" s="37" t="inlineStr">
        <is>
          <t>On Track</t>
        </is>
      </c>
      <c r="F9" s="38" t="inlineStr">
        <is>
          <t>Deleveraging on track with 0.67x buffer below covenant limit.
[QUESTION TO CFO TO VERIFY]: You previously committed to a Net Leverage ceiling of &lt; 3.25x Net Debt / EBITDA. Current actual leverage stands at 3.08x.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$28.7M (Maximum growth and sustaining envelope)</t>
        </is>
      </c>
      <c r="D10" s="36" t="inlineStr">
        <is>
          <t>$26.4M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$28.7M (Maximum growth and sustaining envelope). Current commitments stand at $26.4M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Infrastructure Expansion Projects</t>
        </is>
      </c>
      <c r="C15" s="38" t="inlineStr">
        <is>
          <t>Deep-Water Terminal Berth Deepening, Automated Quay Cranes, Logistics Free Zones</t>
        </is>
      </c>
    </row>
    <row r="16">
      <c r="B16" s="9" t="inlineStr">
        <is>
          <t>Multi Year Capex Program</t>
        </is>
      </c>
      <c r="C16" s="38" t="inlineStr">
        <is>
          <t>$81.9M across gateway port and logistics infrastructure</t>
        </is>
      </c>
    </row>
    <row r="17">
      <c r="B17" s="9" t="inlineStr">
        <is>
          <t>Concession Duration Profile</t>
        </is>
      </c>
      <c r="C17" s="38" t="inlineStr">
        <is>
          <t>26.8 years weighted average remaining life on port and terminal concessions</t>
        </is>
      </c>
    </row>
    <row r="18">
      <c r="B18" s="9" t="inlineStr">
        <is>
          <t>Automation Efficiency Gains</t>
        </is>
      </c>
      <c r="C18" s="38" t="inlineStr">
        <is>
          <t>Terminal electrification reducing carbon emissions per gross move by 22%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Tariff Share</t>
        </is>
      </c>
      <c r="C22" s="38" t="inlineStr">
        <is>
          <t>74.0% of revenue collected in USD or currencies pegged to the USD</t>
        </is>
      </c>
    </row>
    <row r="23">
      <c r="B23" s="9" t="inlineStr">
        <is>
          <t>Global Diversification</t>
        </is>
      </c>
      <c r="C23" s="38" t="inlineStr">
        <is>
          <t>Operations spanning strategic global maritime bottlenecks and trade arteries</t>
        </is>
      </c>
    </row>
    <row r="24">
      <c r="B24" s="9" t="inlineStr">
        <is>
          <t>Contractual Tariff Indexation</t>
        </is>
      </c>
      <c r="C24" s="38" t="inlineStr">
        <is>
          <t>Statutory concession agreements permit annual tariff adjustments linked to US/local CPI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Terminal Utilization Rate</t>
        </is>
      </c>
      <c r="C28" s="38" t="inlineStr">
        <is>
          <t>84.5% across primary gateway facilities (Optimal operating efficiency band)</t>
        </is>
      </c>
    </row>
    <row r="29">
      <c r="B29" s="9" t="inlineStr">
        <is>
          <t>Shipping Alliance Concentration</t>
        </is>
      </c>
      <c r="C29" s="38" t="inlineStr">
        <is>
          <t>Balanced volume allocation across top global maritime shipping alliances</t>
        </is>
      </c>
    </row>
    <row r="30">
      <c r="B30" s="9" t="inlineStr">
        <is>
          <t>Ancillary Logistics Share</t>
        </is>
      </c>
      <c r="C30" s="38" t="inlineStr">
        <is>
          <t>Expanding end-to-end supply chain logistics services to 28% of group revenue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Deposits</t>
        </is>
      </c>
      <c r="C34" s="38" t="inlineStr">
        <is>
          <t>$58.5M</t>
        </is>
      </c>
    </row>
    <row r="35">
      <c r="B35" s="9" t="inlineStr">
        <is>
          <t>Undrawn Committed Bank Rcfs</t>
        </is>
      </c>
      <c r="C35" s="38" t="inlineStr">
        <is>
          <t>$134.4M in long-term syndicated revolving facilities</t>
        </is>
      </c>
    </row>
    <row r="36">
      <c r="B36" s="9" t="inlineStr">
        <is>
          <t>Liquidity Coverage Ratio</t>
        </is>
      </c>
      <c r="C36" s="38" t="inlineStr">
        <is>
          <t>Available liquidity covers 36+ months of upcoming bond and loan maturities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https://www.google.com/finance/quote/LMKPRT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2026-10-16T04:17:12Z</dcterms:created>
  <dcterms:modified xmlns:dcterms="http://purl.org/dc/terms/" xmlns:xsi="http://www.w3.org/2001/XMLSchema-instance" xsi:type="dcterms:W3CDTF">2026-10-16T04:17:13Z</dcterms:modified>
</cp:coreProperties>
</file>