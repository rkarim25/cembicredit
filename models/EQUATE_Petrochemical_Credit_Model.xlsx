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Institutional Credit Model</t>
        </is>
      </c>
    </row>
    <row r="3">
      <c r="B3" s="2" t="inlineStr">
        <is>
          <t>Sector: Materials | Country: Kuwait | Rating: Baa2 / BBB | Benchmark: EQUATE 5.00% 2030 @ $98.20 (5.55% YTM / +150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Joint venture between Petrochemical Industries Company (Kuwait) and Dow Chemical; Q1 global cost curve.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EQUATE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1058.4</v>
      </c>
      <c r="F26" s="7" t="inlineStr">
        <is>
          <t>5.55%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EQUATE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705.6</v>
      </c>
      <c r="F27" s="7" t="inlineStr">
        <is>
          <t>4.80%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1387.2</v>
      </c>
      <c r="D15" s="8" t="n">
        <v>1672.8</v>
      </c>
      <c r="E15" s="8" t="n">
        <v>1876.8</v>
      </c>
      <c r="F15" s="8" t="n">
        <v>2040</v>
      </c>
      <c r="G15" s="8" t="n">
        <v>2203.2</v>
      </c>
      <c r="H15" s="8" t="n">
        <v>2346</v>
      </c>
      <c r="I15" s="8" t="n">
        <v>2448</v>
      </c>
    </row>
    <row r="16">
      <c r="B16" s="7" t="inlineStr">
        <is>
          <t>High-Margin Value-Added Products</t>
        </is>
      </c>
      <c r="C16" s="8" t="n">
        <v>647.4</v>
      </c>
      <c r="D16" s="8" t="n">
        <v>780.6</v>
      </c>
      <c r="E16" s="8" t="n">
        <v>875.8</v>
      </c>
      <c r="F16" s="8" t="n">
        <v>952</v>
      </c>
      <c r="G16" s="8" t="n">
        <v>1028.2</v>
      </c>
      <c r="H16" s="8" t="n">
        <v>1094.8</v>
      </c>
      <c r="I16" s="8" t="n">
        <v>1142.4</v>
      </c>
    </row>
    <row r="17">
      <c r="B17" s="7" t="inlineStr">
        <is>
          <t>By-Product Processing &amp; Industrial Logistics</t>
        </is>
      </c>
      <c r="C17" s="8" t="n">
        <v>277.4</v>
      </c>
      <c r="D17" s="8" t="n">
        <v>334.6</v>
      </c>
      <c r="E17" s="8" t="n">
        <v>375.4</v>
      </c>
      <c r="F17" s="8" t="n">
        <v>408</v>
      </c>
      <c r="G17" s="8" t="n">
        <v>440.6</v>
      </c>
      <c r="H17" s="8" t="n">
        <v>469.2</v>
      </c>
      <c r="I17" s="8" t="n">
        <v>489.6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9.6</v>
      </c>
      <c r="D35" s="24" t="n">
        <v>11.8</v>
      </c>
      <c r="E35" s="24" t="n">
        <v>13.2</v>
      </c>
      <c r="F35" s="24" t="n">
        <v>14.7</v>
      </c>
      <c r="G35" s="24" t="n">
        <v>16.2</v>
      </c>
      <c r="H35" s="24" t="n">
        <v>17.3</v>
      </c>
      <c r="I35" s="24" t="n">
        <v>18.2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-240.1</v>
      </c>
      <c r="D16" s="8" t="n">
        <v>-291.6</v>
      </c>
      <c r="E16" s="8" t="n">
        <v>-325.8</v>
      </c>
      <c r="F16" s="8" t="n">
        <v>-343</v>
      </c>
      <c r="G16" s="8" t="n">
        <v>-360.2</v>
      </c>
      <c r="H16" s="8" t="n">
        <v>-349.9</v>
      </c>
      <c r="I16" s="8" t="n">
        <v>-336.1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404.3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-19.8</v>
      </c>
      <c r="D32" s="8" t="n">
        <v>-39.9</v>
      </c>
      <c r="E32" s="8" t="n">
        <v>-53.9</v>
      </c>
      <c r="F32" s="8" t="n">
        <v>-78.40000000000001</v>
      </c>
      <c r="G32" s="8" t="n">
        <v>-69.09999999999999</v>
      </c>
      <c r="H32" s="8" t="n">
        <v>-60.6</v>
      </c>
      <c r="I32" s="8" t="n">
        <v>-61.4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EQUATE Benchmark Eurobond Notes</t>
        </is>
      </c>
    </row>
    <row r="7">
      <c r="B7" s="7" t="inlineStr">
        <is>
          <t xml:space="preserve">  Beginning Principal Balance</t>
        </is>
      </c>
      <c r="C7" s="8" t="n">
        <v>899.6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299.9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199.9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0.0555</f>
        <v/>
      </c>
      <c r="D11" s="8">
        <f>D10 * 0.0555</f>
        <v/>
      </c>
      <c r="E11" s="8">
        <f>E10 * 0.0555</f>
        <v/>
      </c>
      <c r="F11" s="8">
        <f>F10 * 0.0555</f>
        <v/>
      </c>
      <c r="G11" s="8">
        <f>G10 * 0.0555</f>
        <v/>
      </c>
      <c r="H11" s="8">
        <f>H10 * 0.0555</f>
        <v/>
      </c>
      <c r="I11" s="8">
        <f>I10 * 0.0555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282.2</v>
      </c>
      <c r="C32" s="8" t="n">
        <v>517.4</v>
      </c>
      <c r="D32" s="8" t="n">
        <v>658.6</v>
      </c>
      <c r="E32" s="8" t="n">
        <v>423.4</v>
      </c>
      <c r="F32" s="8" t="n">
        <v>282.2</v>
      </c>
      <c r="G32" s="8" t="n">
        <v>188.2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EQUATE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1058.4</v>
      </c>
      <c r="F37" s="30" t="inlineStr">
        <is>
          <t>5.550%</t>
        </is>
      </c>
      <c r="G37" s="31" t="n">
        <v>98.2</v>
      </c>
      <c r="H37" s="32" t="n">
        <v>5.55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EQUATE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705.6</v>
      </c>
      <c r="F38" s="30" t="inlineStr">
        <is>
          <t>4.900%</t>
        </is>
      </c>
      <c r="G38" s="31" t="n">
        <v>100.2</v>
      </c>
      <c r="H38" s="32" t="n">
        <v>4.899999999999999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352.8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235.2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EQUATE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658.6</v>
      </c>
    </row>
    <row r="45">
      <c r="B45" s="7" t="inlineStr">
        <is>
          <t>Drawn Amount ($M)</t>
        </is>
      </c>
      <c r="C45" s="8" t="n">
        <v>235.2</v>
      </c>
    </row>
    <row r="46">
      <c r="B46" s="19" t="inlineStr">
        <is>
          <t>AVAILABLE UNDRAWN HEADROOM ($M)</t>
        </is>
      </c>
      <c r="C46" s="20" t="n">
        <v>423.4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1.65x</t>
        </is>
      </c>
      <c r="E55" s="33" t="inlineStr">
        <is>
          <t>2.10x leverage buffer ($2058.0M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6.80x</t>
        </is>
      </c>
      <c r="E56" s="33" t="inlineStr">
        <is>
          <t>+4.30x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5.8% of Assets</t>
        </is>
      </c>
      <c r="E57" s="33" t="inlineStr">
        <is>
          <t>$748.0M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+2.9%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7.55%</t>
        </is>
      </c>
      <c r="F7" s="30" t="inlineStr">
        <is>
          <t>3.2x</t>
        </is>
      </c>
      <c r="G7" s="30" t="inlineStr">
        <is>
          <t>$89.50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EQUATE Senior Unsecured Eurobonds</t>
        </is>
      </c>
      <c r="C15" s="8" t="n">
        <v>1764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352.8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940.8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Earnings Presentation &amp; Management Guidance</t>
        </is>
      </c>
    </row>
    <row r="3">
      <c r="B3" s="2" t="inlineStr">
        <is>
          <t>Source: EQUATE Petrochemical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6" t="inlineStr">
        <is>
          <t>$3621.0M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$1078.0M (29.4% margin)</t>
        </is>
      </c>
      <c r="D8" s="36" t="inlineStr">
        <is>
          <t>$1058.4M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1.65x</t>
        </is>
      </c>
      <c r="E9" s="33" t="inlineStr">
        <is>
          <t>Ahead of Target</t>
        </is>
      </c>
      <c r="F9" s="38" t="inlineStr">
        <is>
          <t>Deleveraging on track with 2.10x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6" t="inlineStr">
        <is>
          <t>$331.4M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$735.0M in liquid bank deposits</t>
        </is>
      </c>
    </row>
    <row r="35">
      <c r="B35" s="9" t="inlineStr">
        <is>
          <t>Undrawn Committed Credit Lines</t>
        </is>
      </c>
      <c r="C35" s="38" t="inlineStr">
        <is>
          <t>$823.2M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2026-09-19T22:01:14Z</dcterms:created>
  <dcterms:modified xmlns:dcterms="http://purl.org/dc/terms/" xmlns:xsi="http://www.w3.org/2001/XMLSchema-instance" xsi:type="dcterms:W3CDTF">2026-09-19T22:01:14Z</dcterms:modified>
</cp:coreProperties>
</file>