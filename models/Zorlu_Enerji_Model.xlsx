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Zorlu Enerji</t>
        </is>
      </c>
    </row>
    <row r="3">
      <c r="B3" s="2" t="inlineStr">
        <is>
          <t>CEMBI CEEMEA Institutional Credit Assessment | Country: Turkey (CEEMEA) | Sector: Utilities | Benchmark: ZOREN 9.00%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ZOREN 9.00% 2026</t>
        </is>
      </c>
      <c r="C6" s="5" t="inlineStr">
        <is>
          <t>11.20% (+680 bp)</t>
        </is>
      </c>
      <c r="D6" s="4" t="inlineStr">
        <is>
          <t>B- / CCC+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$58.00</t>
        </is>
      </c>
      <c r="D7" s="4" t="inlineStr">
        <is>
          <t>Base Case Fair Value</t>
        </is>
      </c>
      <c r="E7" s="5" t="inlineStr">
        <is>
          <t>$95.00</t>
        </is>
      </c>
    </row>
    <row r="9">
      <c r="B9" s="6" t="inlineStr">
        <is>
          <t>INSTITUTIONAL INVESTMENT THESIS</t>
        </is>
      </c>
    </row>
    <row r="10">
      <c r="B10" s="7" t="inlineStr">
        <is>
          <t>High geothermal/hydro cash margins; AlJomaih asset divestment and deleveraging underway.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Zorlu Enerji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816</v>
      </c>
      <c r="D7" s="13" t="n">
        <v>984</v>
      </c>
      <c r="E7" s="13" t="n">
        <v>1104</v>
      </c>
      <c r="F7" s="13" t="n">
        <v>1200</v>
      </c>
      <c r="G7" s="14" t="n">
        <v>1296</v>
      </c>
      <c r="H7" s="14" t="n">
        <v>1380</v>
      </c>
      <c r="I7" s="14" t="n">
        <v>1440</v>
      </c>
    </row>
    <row r="8">
      <c r="B8" s="12" t="inlineStr">
        <is>
          <t>EBITDA</t>
        </is>
      </c>
      <c r="C8" s="13" t="n">
        <v>208</v>
      </c>
      <c r="D8" s="13" t="n">
        <v>256</v>
      </c>
      <c r="E8" s="13" t="n">
        <v>288</v>
      </c>
      <c r="F8" s="13" t="n">
        <v>320</v>
      </c>
      <c r="G8" s="14" t="n">
        <v>352</v>
      </c>
      <c r="H8" s="14" t="n">
        <v>377.6</v>
      </c>
      <c r="I8" s="14" t="n">
        <v>396.8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90.59999999999999</v>
      </c>
      <c r="D10" s="17" t="n">
        <v>113.2</v>
      </c>
      <c r="E10" s="17" t="n">
        <v>135.8</v>
      </c>
      <c r="F10" s="17" t="n">
        <v>150.9</v>
      </c>
      <c r="G10" s="18" t="n">
        <v>144.9</v>
      </c>
      <c r="H10" s="18" t="n">
        <v>138.9</v>
      </c>
      <c r="I10" s="18" t="n">
        <v>132.8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168.6</v>
      </c>
      <c r="D12" s="13" t="n">
        <v>212.2</v>
      </c>
      <c r="E12" s="13" t="n">
        <v>239.4</v>
      </c>
      <c r="F12" s="13" t="n">
        <v>272</v>
      </c>
      <c r="G12" s="14" t="n">
        <v>299.2</v>
      </c>
      <c r="H12" s="14" t="n">
        <v>321</v>
      </c>
      <c r="I12" s="14" t="n">
        <v>340</v>
      </c>
    </row>
    <row r="13">
      <c r="B13" s="5" t="inlineStr">
        <is>
          <t>Capital Expenditures (Capex)</t>
        </is>
      </c>
      <c r="C13" s="17" t="n">
        <v>78.40000000000001</v>
      </c>
      <c r="D13" s="17" t="n">
        <v>95.2</v>
      </c>
      <c r="E13" s="17" t="n">
        <v>106.4</v>
      </c>
      <c r="F13" s="17" t="n">
        <v>112</v>
      </c>
      <c r="G13" s="18" t="n">
        <v>117.6</v>
      </c>
      <c r="H13" s="18" t="n">
        <v>114.2</v>
      </c>
      <c r="I13" s="18" t="n">
        <v>109.8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132</v>
      </c>
      <c r="D16" s="13" t="n">
        <v>168</v>
      </c>
      <c r="E16" s="13" t="n">
        <v>204</v>
      </c>
      <c r="F16" s="13" t="n">
        <v>240</v>
      </c>
      <c r="G16" s="14" t="n">
        <v>283.2</v>
      </c>
      <c r="H16" s="14" t="n">
        <v>324</v>
      </c>
      <c r="I16" s="14" t="n">
        <v>360</v>
      </c>
    </row>
    <row r="17">
      <c r="B17" s="12" t="inlineStr">
        <is>
          <t>Gross Total Debt</t>
        </is>
      </c>
      <c r="C17" s="13" t="n">
        <v>1515</v>
      </c>
      <c r="D17" s="13" t="n">
        <v>1639.8</v>
      </c>
      <c r="E17" s="13" t="n">
        <v>1746.8</v>
      </c>
      <c r="F17" s="13" t="n">
        <v>1782.4</v>
      </c>
      <c r="G17" s="14" t="n">
        <v>1746.8</v>
      </c>
      <c r="H17" s="14" t="n">
        <v>1693.3</v>
      </c>
      <c r="I17" s="14" t="n">
        <v>1604.2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Zorlu Enerji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11.20%</t>
        </is>
      </c>
      <c r="F6" s="21" t="inlineStr">
        <is>
          <t>2028 / 2029</t>
        </is>
      </c>
      <c r="G6" s="17" t="n">
        <v>802.1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445.6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267.4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178.2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89.09999999999999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204</v>
      </c>
    </row>
    <row r="15">
      <c r="B15" t="inlineStr">
        <is>
          <t>Committed Undrawn RCF Capacity</t>
        </is>
      </c>
      <c r="C15" s="22" t="n">
        <v>128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364.8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Zorlu Enerji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320</v>
      </c>
      <c r="D6" s="17" t="n">
        <v>272</v>
      </c>
      <c r="E6" s="25" t="n">
        <v>208</v>
      </c>
    </row>
    <row r="7">
      <c r="B7" s="5" t="inlineStr">
        <is>
          <t>Free Cash Flow ($M)</t>
        </is>
      </c>
      <c r="C7" s="17" t="n">
        <v>160</v>
      </c>
      <c r="D7" s="17" t="n">
        <v>96</v>
      </c>
      <c r="E7" s="25" t="n">
        <v>24</v>
      </c>
    </row>
    <row r="8">
      <c r="B8" s="12" t="inlineStr">
        <is>
          <t>Net Leverage Ratio (x)</t>
        </is>
      </c>
      <c r="C8" s="26" t="n">
        <v>4.82</v>
      </c>
      <c r="D8" s="26" t="n">
        <v>6.03</v>
      </c>
      <c r="E8" s="27" t="n">
        <v>8.92</v>
      </c>
    </row>
    <row r="9">
      <c r="B9" s="5" t="inlineStr">
        <is>
          <t>Interest Coverage Ratio (x)</t>
        </is>
      </c>
      <c r="C9" s="26" t="n">
        <v>2.12</v>
      </c>
      <c r="D9" s="26" t="n">
        <v>1.65</v>
      </c>
      <c r="E9" s="27" t="n">
        <v>0.95</v>
      </c>
    </row>
    <row r="10">
      <c r="B10" s="12" t="inlineStr">
        <is>
          <t>Implied Senior Paper Trading / Recovery ($)</t>
        </is>
      </c>
      <c r="C10" s="12" t="inlineStr">
        <is>
          <t>$95.00</t>
        </is>
      </c>
      <c r="D10" s="12" t="inlineStr">
        <is>
          <t>$70.00</t>
        </is>
      </c>
      <c r="E10" s="28" t="inlineStr">
        <is>
          <t>$58.00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