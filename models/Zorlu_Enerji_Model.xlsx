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comments/comment1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omments/comment2.xml" ContentType="application/vnd.openxmlformats-officedocument.spreadsheetml.comments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redit Summary &amp; Memo" sheetId="1" state="visible" r:id="rId1"/>
    <sheet xmlns:r="http://schemas.openxmlformats.org/officeDocument/2006/relationships" name="Operational Drivers &amp; Segments" sheetId="2" state="visible" r:id="rId2"/>
    <sheet xmlns:r="http://schemas.openxmlformats.org/officeDocument/2006/relationships" name="Income Statement (P&amp;L)" sheetId="3" state="visible" r:id="rId3"/>
    <sheet xmlns:r="http://schemas.openxmlformats.org/officeDocument/2006/relationships" name="Balance Sheet" sheetId="4" state="visible" r:id="rId4"/>
    <sheet xmlns:r="http://schemas.openxmlformats.org/officeDocument/2006/relationships" name="Cash Flow Statement" sheetId="5" state="visible" r:id="rId5"/>
    <sheet xmlns:r="http://schemas.openxmlformats.org/officeDocument/2006/relationships" name="Debt Schedule &amp; Tranches" sheetId="6" state="visible" r:id="rId6"/>
    <sheet xmlns:r="http://schemas.openxmlformats.org/officeDocument/2006/relationships" name="Credit Metrics &amp; Ratios" sheetId="7" state="visible" r:id="rId7"/>
    <sheet xmlns:r="http://schemas.openxmlformats.org/officeDocument/2006/relationships" name="Downside Stress &amp; Recovery" sheetId="8" state="visible" r:id="rId8"/>
    <sheet xmlns:r="http://schemas.openxmlformats.org/officeDocument/2006/relationships" name="Earnings Deck &amp; Guidance" sheetId="9" state="visible" r:id="rId9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$#,##0.0"/>
    <numFmt numFmtId="165" formatCode="0.0%"/>
    <numFmt numFmtId="166" formatCode="0.00x"/>
    <numFmt numFmtId="167" formatCode="#,##0.0"/>
    <numFmt numFmtId="168" formatCode="$#,##0.00"/>
  </numFmts>
  <fonts count="8">
    <font>
      <name val="Calibri"/>
      <family val="2"/>
      <color theme="1"/>
      <sz val="11"/>
      <scheme val="minor"/>
    </font>
    <font>
      <name val="Calibri"/>
      <b val="1"/>
      <color rgb="00FFFFFF"/>
      <sz val="14"/>
    </font>
    <font>
      <name val="Calibri"/>
      <i val="1"/>
      <color rgb="0094A3B8"/>
      <sz val="9"/>
    </font>
    <font>
      <name val="Calibri"/>
      <b val="1"/>
      <color rgb="00F59E0B"/>
      <sz val="11"/>
    </font>
    <font>
      <name val="Calibri"/>
      <color rgb="00000000"/>
      <sz val="10"/>
    </font>
    <font>
      <name val="Calibri"/>
      <b val="1"/>
      <color rgb="00FFFFFF"/>
      <sz val="10"/>
    </font>
    <font>
      <name val="Calibri"/>
      <b val="1"/>
      <color rgb="00000000"/>
      <sz val="10"/>
    </font>
    <font>
      <name val="Calibri"/>
      <color rgb="0064748B"/>
      <sz val="9"/>
    </font>
  </fonts>
  <fills count="7">
    <fill>
      <patternFill/>
    </fill>
    <fill>
      <patternFill patternType="gray125"/>
    </fill>
    <fill>
      <patternFill patternType="solid">
        <fgColor rgb="001E293B"/>
        <bgColor rgb="001E293B"/>
      </patternFill>
    </fill>
    <fill>
      <patternFill patternType="solid">
        <fgColor rgb="000F172A"/>
        <bgColor rgb="000F172A"/>
      </patternFill>
    </fill>
    <fill>
      <patternFill patternType="solid">
        <fgColor rgb="00F1F5F9"/>
        <bgColor rgb="00F1F5F9"/>
      </patternFill>
    </fill>
    <fill>
      <patternFill patternType="solid">
        <fgColor rgb="00FEF3C7"/>
        <bgColor rgb="00FEF3C7"/>
      </patternFill>
    </fill>
    <fill>
      <patternFill patternType="solid">
        <fgColor rgb="00FEE2E2"/>
        <bgColor rgb="00FEE2E2"/>
      </patternFill>
    </fill>
  </fills>
  <borders count="2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left" vertical="center"/>
    </xf>
    <xf numFmtId="0" fontId="4" fillId="0" borderId="1" applyAlignment="1" pivotButton="0" quotePrefix="0" xfId="0">
      <alignment vertical="top" wrapText="1"/>
    </xf>
    <xf numFmtId="0" fontId="5" fillId="2" borderId="1" applyAlignment="1" pivotButton="0" quotePrefix="0" xfId="0">
      <alignment horizontal="left" vertical="center"/>
    </xf>
    <xf numFmtId="0" fontId="5" fillId="2" borderId="1" applyAlignment="1" pivotButton="0" quotePrefix="0" xfId="0">
      <alignment horizontal="right" vertical="center"/>
    </xf>
    <xf numFmtId="0" fontId="4" fillId="0" borderId="1" applyAlignment="1" pivotButton="0" quotePrefix="0" xfId="0">
      <alignment horizontal="left" vertical="center"/>
    </xf>
    <xf numFmtId="164" fontId="4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left" vertical="center"/>
    </xf>
    <xf numFmtId="165" fontId="4" fillId="0" borderId="1" applyAlignment="1" pivotButton="0" quotePrefix="0" xfId="0">
      <alignment horizontal="right" vertical="center"/>
    </xf>
    <xf numFmtId="166" fontId="6" fillId="0" borderId="1" applyAlignment="1" pivotButton="0" quotePrefix="0" xfId="0">
      <alignment horizontal="right" vertical="center"/>
    </xf>
    <xf numFmtId="166" fontId="4" fillId="0" borderId="1" applyAlignment="1" pivotButton="0" quotePrefix="0" xfId="0">
      <alignment horizontal="right" vertical="center"/>
    </xf>
    <xf numFmtId="3" fontId="4" fillId="0" borderId="1" applyAlignment="1" pivotButton="0" quotePrefix="0" xfId="0">
      <alignment horizontal="right" vertical="center"/>
    </xf>
    <xf numFmtId="167" fontId="4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left" vertical="center"/>
    </xf>
    <xf numFmtId="164" fontId="6" fillId="4" borderId="1" applyAlignment="1" pivotButton="0" quotePrefix="0" xfId="0">
      <alignment horizontal="right" vertical="center"/>
    </xf>
    <xf numFmtId="0" fontId="7" fillId="0" borderId="1" applyAlignment="1" pivotButton="0" quotePrefix="0" xfId="0">
      <alignment horizontal="left" vertical="center"/>
    </xf>
    <xf numFmtId="0" fontId="7" fillId="0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left" vertical="center"/>
    </xf>
    <xf numFmtId="164" fontId="6" fillId="5" borderId="1" applyAlignment="1" pivotButton="0" quotePrefix="0" xfId="0">
      <alignment horizontal="right" vertical="center"/>
    </xf>
    <xf numFmtId="164" fontId="6" fillId="0" borderId="1" applyAlignment="1" pivotButton="0" quotePrefix="0" xfId="0">
      <alignment horizontal="right" vertical="center"/>
    </xf>
    <xf numFmtId="165" fontId="6" fillId="0" borderId="1" applyAlignment="1" pivotButton="0" quotePrefix="0" xfId="0">
      <alignment horizontal="right" vertical="center"/>
    </xf>
    <xf numFmtId="165" fontId="7" fillId="0" borderId="1" applyAlignment="1" pivotButton="0" quotePrefix="0" xfId="0">
      <alignment horizontal="right" vertical="center"/>
    </xf>
    <xf numFmtId="164" fontId="7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center" vertical="center"/>
    </xf>
    <xf numFmtId="0" fontId="7" fillId="0" borderId="1" applyAlignment="1" pivotButton="0" quotePrefix="0" xfId="0">
      <alignment vertical="center" wrapText="1"/>
    </xf>
    <xf numFmtId="168" fontId="5" fillId="2" borderId="1" applyAlignment="1" pivotButton="0" quotePrefix="0" xfId="0">
      <alignment horizontal="right" vertical="center"/>
    </xf>
    <xf numFmtId="0" fontId="5" fillId="2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right" vertical="center"/>
    </xf>
    <xf numFmtId="168" fontId="4" fillId="0" borderId="1" applyAlignment="1" pivotButton="0" quotePrefix="0" xfId="0">
      <alignment horizontal="right" vertical="center"/>
    </xf>
    <xf numFmtId="10" fontId="4" fillId="0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center" vertical="center"/>
    </xf>
    <xf numFmtId="166" fontId="6" fillId="5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center" vertical="center"/>
    </xf>
    <xf numFmtId="0" fontId="4" fillId="0" borderId="1" applyAlignment="1" pivotButton="0" quotePrefix="0" xfId="0">
      <alignment vertical="center" wrapText="1"/>
    </xf>
    <xf numFmtId="0" fontId="6" fillId="6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comments/comment1.xml><?xml version="1.0" encoding="utf-8"?>
<comments xmlns="http://schemas.openxmlformats.org/spreadsheetml/2006/main">
  <authors>
    <author>CEMBI Credit Desk</author>
  </authors>
  <commentList>
    <comment ref="C10" authorId="0" shapeId="0">
      <text>
        <t>CEMBI Credit Analyst Observation (2021A):
Revenues supported by high baseload geothermal availability; early stages of TRY volatility.</t>
      </text>
    </comment>
    <comment ref="D10" authorId="0" shapeId="0">
      <text>
        <t>CEMBI Credit Analyst Observation (2022A):
Top-line expanded +18.5% YoY to $980M as power demand and regional electricity consumption surged.</t>
      </text>
    </comment>
    <comment ref="E10" authorId="0" shapeId="0">
      <text>
        <t>CEMBI Credit Analyst Observation (2023A):
Consolidated revenue reached $1,100M supported by OEDAS 4th tariff period indexation.</t>
      </text>
    </comment>
    <comment ref="F10" authorId="0" shapeId="0">
      <text>
        <t>CEMBI Credit Analyst Observation (2024A):
Revenue achieved $1,200M (+9.1% YoY) anchored by 1.95M OEDAS customers and 305 MW geothermal baseload fleet.</t>
      </text>
    </comment>
    <comment ref="G10" authorId="0" shapeId="0">
      <text>
        <t>CEMBI Credit Analyst Observation (2025E):
Forecast revenue of $1,296M (+8.0% YoY) reflecting high geothermal capacity factor (88.5%) and RAB growth.</t>
      </text>
    </comment>
    <comment ref="H10" authorId="0" shapeId="0">
      <text>
        <t>CEMBI Credit Analyst Observation (2026E):
Revenue anticipated at $1,375M driven by expanded ZES EV charging network and growing regional power demand.</t>
      </text>
    </comment>
    <comment ref="I10" authorId="0" shapeId="0">
      <text>
        <t>CEMBI Credit Analyst Observation (2027E):
Revenue reaches $1,440M with international power assets (Dorad Israel / Pakistan) contributing steady dividends.</t>
      </text>
    </comment>
    <comment ref="C22" authorId="0" shapeId="0">
      <text>
        <t>CEMBI Credit Analyst Observation (2021A):
EBITDA margin of 27.2% anchored by Kizildere I/II YEKDEM dollar-denominated feed-in tariffs.</t>
      </text>
    </comment>
    <comment ref="D22" authorId="0" shapeId="0">
      <text>
        <t>CEMBI Credit Analyst Observation (2022A):
EBITDA rose to $270M; YEKDEM dollar cash receipts ($105-$132/MWh) insulated generation profitability.</t>
      </text>
    </comment>
    <comment ref="E22" authorId="0" shapeId="0">
      <text>
        <t>CEMBI Credit Analyst Observation (2023A):
EBITDA expanded to $295M; commercial operations of hybrid solar capacity provided peak summer revenue.</t>
      </text>
    </comment>
    <comment ref="F22" authorId="0" shapeId="0">
      <text>
        <t>CEMBI Credit Analyst Observation (2024A):
EBITDA reached $320M; 68.5% of generation EBITDA earned in US Dollars directly under statutory YEKDEM.</t>
      </text>
    </comment>
    <comment ref="G22" authorId="0" shapeId="0">
      <text>
        <t>CEMBI Credit Analyst Observation (2025E):
EBITDA projected at $352M (27.2% margin) supported by locked-in YEKDEM dollar tariffs.</t>
      </text>
    </comment>
    <comment ref="H22" authorId="0" shapeId="0">
      <text>
        <t>CEMBI Credit Analyst Observation (2026E):
EBITDA reaches $378M; ZES fast-charging network transitions into a high-margin recurring cash flow contributor.</t>
      </text>
    </comment>
    <comment ref="I22" authorId="0" shapeId="0">
      <text>
        <t>CEMBI Credit Analyst Observation (2027E):
EBITDA of $398M reflects mature low-cost baseload geothermal and wind generation infrastructure.</t>
      </text>
    </comment>
    <comment ref="C36" authorId="0" shapeId="0">
      <text>
        <t>CEMBI Credit Desk EBITDA Audit (2021A):
Material Add-backs: Reported EBITDA includes +$15.6M (+7.5%) addback for unrealized FX provisions on foreign currency trade debt and equity dividends from Dorad Energy (Israel); Standardized Credit Desk Calculated EBITDA isolates pure Turkish renewable generation and regulated OEDAS grid cash flow.</t>
      </text>
    </comment>
    <comment ref="D36" authorId="0" shapeId="0">
      <text>
        <t>CEMBI Credit Desk EBITDA Audit (2022A):
Material Add-backs: Reported EBITDA includes +$19.2M (+7.5%) addback for unrealized FX provisions on foreign currency trade debt and equity dividends from Dorad Energy (Israel); Standardized Credit Desk Calculated EBITDA isolates pure Turkish renewable generation and regulated OEDAS grid cash flow.</t>
      </text>
    </comment>
    <comment ref="E36" authorId="0" shapeId="0">
      <text>
        <t>CEMBI Credit Desk EBITDA Audit (2023A):
Material Add-backs: Reported EBITDA includes +$21.6M (+7.5%) addback for unrealized FX provisions on foreign currency trade debt and equity dividends from Dorad Energy (Israel); Standardized Credit Desk Calculated EBITDA isolates pure Turkish renewable generation and regulated OEDAS grid cash flow.</t>
      </text>
    </comment>
    <comment ref="F36" authorId="0" shapeId="0">
      <text>
        <t>CEMBI Credit Desk EBITDA Audit (2024A):
Material Add-backs: Reported EBITDA includes +$24.0M (+7.5%) addback for unrealized FX provisions on foreign currency trade debt and equity dividends from Dorad Energy (Israel); Standardized Credit Desk Calculated EBITDA isolates pure Turkish renewable generation and regulated OEDAS grid cash flow.</t>
      </text>
    </comment>
    <comment ref="G36" authorId="0" shapeId="0">
      <text>
        <t>CEMBI Credit Desk EBITDA Audit (2025E):
Material Add-backs: Reported EBITDA includes +$26.4M (+7.5%) addback for unrealized FX provisions on foreign currency trade debt and equity dividends from Dorad Energy (Israel); Standardized Credit Desk Calculated EBITDA isolates pure Turkish renewable generation and regulated OEDAS grid cash flow.</t>
      </text>
    </comment>
    <comment ref="H36" authorId="0" shapeId="0">
      <text>
        <t>CEMBI Credit Desk EBITDA Audit (2026E):
Material Add-backs: Reported EBITDA includes +$28.3M (+7.5%) addback for unrealized FX provisions on foreign currency trade debt and equity dividends from Dorad Energy (Israel); Standardized Credit Desk Calculated EBITDA isolates pure Turkish renewable generation and regulated OEDAS grid cash flow.</t>
      </text>
    </comment>
    <comment ref="I36" authorId="0" shapeId="0">
      <text>
        <t>CEMBI Credit Desk EBITDA Audit (2027E):
Material Add-backs: Reported EBITDA includes +$29.8M (+7.5%) addback for unrealized FX provisions on foreign currency trade debt and equity dividends from Dorad Energy (Israel); Standardized Credit Desk Calculated EBITDA isolates pure Turkish renewable generation and regulated OEDAS grid cash flow.</t>
      </text>
    </comment>
  </commentList>
</comments>
</file>

<file path=xl/comments/comment2.xml><?xml version="1.0" encoding="utf-8"?>
<comments xmlns="http://schemas.openxmlformats.org/spreadsheetml/2006/main">
  <authors>
    <author>CEMBI Credit Desk</author>
  </authors>
  <commentList>
    <comment ref="C8" authorId="0" shapeId="0">
      <text>
        <t>CEMBI Credit Desk Calculated Leverage Commentary (2021A):
Net leverage at 4.73x; unhedged foreign currency debt tracking Turkish Lira movements.</t>
      </text>
    </comment>
    <comment ref="D8" authorId="0" shapeId="0">
      <text>
        <t>CEMBI Credit Desk Calculated Leverage Commentary (2022A):
Net leverage held at 4.80x despite TRY depreciation due to strong USD generation cash conversion.</t>
      </text>
    </comment>
    <comment ref="E8" authorId="0" shapeId="0">
      <text>
        <t>CEMBI Credit Desk Calculated Leverage Commentary (2023A):
Net leverage stabilized at 4.75x; preliminary plans drafted for renewable subsidiary equity monetization.</t>
      </text>
    </comment>
    <comment ref="F8" authorId="0" shapeId="0">
      <text>
        <t>CEMBI Credit Desk Calculated Leverage Commentary (2024A):
Net leverage at 4.82x (restricting debt incurrence covenant); management prioritizes de-leveraging to &lt;3.5x.</t>
      </text>
    </comment>
    <comment ref="G8" authorId="0" shapeId="0">
      <text>
        <t>CEMBI Credit Desk Calculated Leverage Commentary (2025E):
Net leverage expected to decrease to 3.90x assisted by operating cash generation and targeted asset sales.</t>
      </text>
    </comment>
    <comment ref="H8" authorId="0" shapeId="0">
      <text>
        <t>CEMBI Credit Desk Calculated Leverage Commentary (2026E):
Net leverage improves to 3.37x; covenant headroom restores fully across all bank facilities.</t>
      </text>
    </comment>
    <comment ref="I8" authorId="0" shapeId="0">
      <text>
        <t>CEMBI Credit Desk Calculated Leverage Commentary (2027E):
Net leverage falls to conservative 2.87x, positioning Zorlu Enerji for sovereign-ceiling rating upgrades.</t>
      </text>
    </comment>
    <comment ref="C9" authorId="0" shapeId="0">
      <text>
        <t>CEMBI Credit Desk Reported Leverage Commentary (2021A):
Material Add-backs: Reported EBITDA includes +$15.6M (+7.5%) addback for unrealized FX provisions on foreign currency trade debt and equity dividends from Dorad Energy (Israel); Standardized Credit Desk Calculated EBITDA isolates pure Turkish renewable generation and regulated OEDAS grid cash flow.</t>
      </text>
    </comment>
    <comment ref="D9" authorId="0" shapeId="0">
      <text>
        <t>CEMBI Credit Desk Reported Leverage Commentary (2022A):
Material Add-backs: Reported EBITDA includes +$19.2M (+7.5%) addback for unrealized FX provisions on foreign currency trade debt and equity dividends from Dorad Energy (Israel); Standardized Credit Desk Calculated EBITDA isolates pure Turkish renewable generation and regulated OEDAS grid cash flow.</t>
      </text>
    </comment>
    <comment ref="E9" authorId="0" shapeId="0">
      <text>
        <t>CEMBI Credit Desk Reported Leverage Commentary (2023A):
Material Add-backs: Reported EBITDA includes +$21.6M (+7.5%) addback for unrealized FX provisions on foreign currency trade debt and equity dividends from Dorad Energy (Israel); Standardized Credit Desk Calculated EBITDA isolates pure Turkish renewable generation and regulated OEDAS grid cash flow.</t>
      </text>
    </comment>
    <comment ref="F9" authorId="0" shapeId="0">
      <text>
        <t>CEMBI Credit Desk Reported Leverage Commentary (2024A):
Material Add-backs: Reported EBITDA includes +$24.0M (+7.5%) addback for unrealized FX provisions on foreign currency trade debt and equity dividends from Dorad Energy (Israel); Standardized Credit Desk Calculated EBITDA isolates pure Turkish renewable generation and regulated OEDAS grid cash flow.</t>
      </text>
    </comment>
    <comment ref="G9" authorId="0" shapeId="0">
      <text>
        <t>CEMBI Credit Desk Reported Leverage Commentary (2025E):
Material Add-backs: Reported EBITDA includes +$26.4M (+7.5%) addback for unrealized FX provisions on foreign currency trade debt and equity dividends from Dorad Energy (Israel); Standardized Credit Desk Calculated EBITDA isolates pure Turkish renewable generation and regulated OEDAS grid cash flow.</t>
      </text>
    </comment>
    <comment ref="H9" authorId="0" shapeId="0">
      <text>
        <t>CEMBI Credit Desk Reported Leverage Commentary (2026E):
Material Add-backs: Reported EBITDA includes +$28.3M (+7.5%) addback for unrealized FX provisions on foreign currency trade debt and equity dividends from Dorad Energy (Israel); Standardized Credit Desk Calculated EBITDA isolates pure Turkish renewable generation and regulated OEDAS grid cash flow.</t>
      </text>
    </comment>
    <comment ref="I9" authorId="0" shapeId="0">
      <text>
        <t>CEMBI Credit Desk Reported Leverage Commentary (2027E):
Material Add-backs: Reported EBITDA includes +$29.8M (+7.5%) addback for unrealized FX provisions on foreign currency trade debt and equity dividends from Dorad Energy (Israel); Standardized Credit Desk Calculated EBITDA isolates pure Turkish renewable generation and regulated OEDAS grid cash flow.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7.xml.rels><Relationships xmlns="http://schemas.openxmlformats.org/package/2006/relationships"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2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7" customWidth="1" min="3" max="3"/>
    <col width="14" customWidth="1" min="4" max="4"/>
    <col width="20" customWidth="1" min="5" max="5"/>
    <col width="16" customWidth="1" min="6" max="6"/>
    <col width="14" customWidth="1" min="7" max="7"/>
    <col width="14" customWidth="1" min="8" max="8"/>
    <col width="20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Zorlu Enerji (ZOREN) — Institutional Credit Model</t>
        </is>
      </c>
    </row>
    <row r="3">
      <c r="B3" s="2" t="inlineStr">
        <is>
          <t>Sector: Utilities | Country: Turkey | Rating: B- / CCC+ | Benchmark: ZOREN 9.00% 2026 @ $94.50 (11.20% YTM / +680 bp)</t>
        </is>
      </c>
    </row>
    <row r="4"/>
    <row r="5">
      <c r="B5" s="3" t="inlineStr">
        <is>
          <t>I. EXECUTIVE CREDIT THESIS &amp; MANDATE</t>
        </is>
      </c>
    </row>
    <row r="6">
      <c r="B6" s="4" t="inlineStr">
        <is>
          <t>High geothermal/hydro cash margins; AlJomaih asset divestment and deleveraging underway.</t>
        </is>
      </c>
    </row>
    <row r="7"/>
    <row r="8"/>
    <row r="9">
      <c r="B9" s="3" t="inlineStr">
        <is>
          <t>II. 7-YEAR MULTI-PERIOD FINANCIAL SCORECARD (USD M)</t>
        </is>
      </c>
    </row>
    <row r="10">
      <c r="B10" s="5" t="inlineStr">
        <is>
          <t>Metric</t>
        </is>
      </c>
      <c r="C10" s="6" t="inlineStr">
        <is>
          <t>2021A</t>
        </is>
      </c>
      <c r="D10" s="6" t="inlineStr">
        <is>
          <t>2022A</t>
        </is>
      </c>
      <c r="E10" s="6" t="inlineStr">
        <is>
          <t>2023A</t>
        </is>
      </c>
      <c r="F10" s="6" t="inlineStr">
        <is>
          <t>2024A</t>
        </is>
      </c>
      <c r="G10" s="6" t="inlineStr">
        <is>
          <t>2025E</t>
        </is>
      </c>
      <c r="H10" s="6" t="inlineStr">
        <is>
          <t>2026E</t>
        </is>
      </c>
      <c r="I10" s="6" t="inlineStr">
        <is>
          <t>2027E</t>
        </is>
      </c>
    </row>
    <row r="11">
      <c r="B11" s="7" t="inlineStr">
        <is>
          <t>Gross Revenue</t>
        </is>
      </c>
      <c r="C11" s="8">
        <f>'Income Statement (P&amp;L)'!C10</f>
        <v/>
      </c>
      <c r="D11" s="8">
        <f>'Income Statement (P&amp;L)'!D10</f>
        <v/>
      </c>
      <c r="E11" s="8">
        <f>'Income Statement (P&amp;L)'!E10</f>
        <v/>
      </c>
      <c r="F11" s="8">
        <f>'Income Statement (P&amp;L)'!F10</f>
        <v/>
      </c>
      <c r="G11" s="8">
        <f>'Income Statement (P&amp;L)'!G10</f>
        <v/>
      </c>
      <c r="H11" s="8">
        <f>'Income Statement (P&amp;L)'!H10</f>
        <v/>
      </c>
      <c r="I11" s="8">
        <f>'Income Statement (P&amp;L)'!I10</f>
        <v/>
      </c>
    </row>
    <row r="12">
      <c r="B12" s="9" t="inlineStr">
        <is>
          <t>Calculated Cash EBITDA</t>
        </is>
      </c>
      <c r="C12" s="8">
        <f>'Income Statement (P&amp;L)'!C22</f>
        <v/>
      </c>
      <c r="D12" s="8">
        <f>'Income Statement (P&amp;L)'!D22</f>
        <v/>
      </c>
      <c r="E12" s="8">
        <f>'Income Statement (P&amp;L)'!E22</f>
        <v/>
      </c>
      <c r="F12" s="8">
        <f>'Income Statement (P&amp;L)'!F22</f>
        <v/>
      </c>
      <c r="G12" s="8">
        <f>'Income Statement (P&amp;L)'!G22</f>
        <v/>
      </c>
      <c r="H12" s="8">
        <f>'Income Statement (P&amp;L)'!H22</f>
        <v/>
      </c>
      <c r="I12" s="8">
        <f>'Income Statement (P&amp;L)'!I22</f>
        <v/>
      </c>
    </row>
    <row r="13">
      <c r="B13" s="9" t="inlineStr">
        <is>
          <t>Reported Headline EBITDA</t>
        </is>
      </c>
      <c r="C13" s="8">
        <f>'Income Statement (P&amp;L)'!C36</f>
        <v/>
      </c>
      <c r="D13" s="8">
        <f>'Income Statement (P&amp;L)'!D36</f>
        <v/>
      </c>
      <c r="E13" s="8">
        <f>'Income Statement (P&amp;L)'!E36</f>
        <v/>
      </c>
      <c r="F13" s="8">
        <f>'Income Statement (P&amp;L)'!F36</f>
        <v/>
      </c>
      <c r="G13" s="8">
        <f>'Income Statement (P&amp;L)'!G36</f>
        <v/>
      </c>
      <c r="H13" s="8">
        <f>'Income Statement (P&amp;L)'!H36</f>
        <v/>
      </c>
      <c r="I13" s="8">
        <f>'Income Statement (P&amp;L)'!I36</f>
        <v/>
      </c>
    </row>
    <row r="14">
      <c r="B14" s="9" t="inlineStr">
        <is>
          <t>EBITDA Margin (%)</t>
        </is>
      </c>
      <c r="C14" s="10">
        <f>'Income Statement (P&amp;L)'!C23</f>
        <v/>
      </c>
      <c r="D14" s="10">
        <f>'Income Statement (P&amp;L)'!D23</f>
        <v/>
      </c>
      <c r="E14" s="10">
        <f>'Income Statement (P&amp;L)'!E23</f>
        <v/>
      </c>
      <c r="F14" s="10">
        <f>'Income Statement (P&amp;L)'!F23</f>
        <v/>
      </c>
      <c r="G14" s="10">
        <f>'Income Statement (P&amp;L)'!G23</f>
        <v/>
      </c>
      <c r="H14" s="10">
        <f>'Income Statement (P&amp;L)'!H23</f>
        <v/>
      </c>
      <c r="I14" s="10">
        <f>'Income Statement (P&amp;L)'!I23</f>
        <v/>
      </c>
    </row>
    <row r="15">
      <c r="B15" s="7" t="inlineStr">
        <is>
          <t>Cash Flow from Operations (CFO)</t>
        </is>
      </c>
      <c r="C15" s="8">
        <f>'Cash Flow Statement'!C14</f>
        <v/>
      </c>
      <c r="D15" s="8">
        <f>'Cash Flow Statement'!D14</f>
        <v/>
      </c>
      <c r="E15" s="8">
        <f>'Cash Flow Statement'!E14</f>
        <v/>
      </c>
      <c r="F15" s="8">
        <f>'Cash Flow Statement'!F14</f>
        <v/>
      </c>
      <c r="G15" s="8">
        <f>'Cash Flow Statement'!G14</f>
        <v/>
      </c>
      <c r="H15" s="8">
        <f>'Cash Flow Statement'!H14</f>
        <v/>
      </c>
      <c r="I15" s="8">
        <f>'Cash Flow Statement'!I14</f>
        <v/>
      </c>
    </row>
    <row r="16">
      <c r="B16" s="7" t="inlineStr">
        <is>
          <t>Capital Expenditures (Capex)</t>
        </is>
      </c>
      <c r="C16" s="8">
        <f>'Cash Flow Statement'!C16</f>
        <v/>
      </c>
      <c r="D16" s="8">
        <f>'Cash Flow Statement'!D16</f>
        <v/>
      </c>
      <c r="E16" s="8">
        <f>'Cash Flow Statement'!E16</f>
        <v/>
      </c>
      <c r="F16" s="8">
        <f>'Cash Flow Statement'!F16</f>
        <v/>
      </c>
      <c r="G16" s="8">
        <f>'Cash Flow Statement'!G16</f>
        <v/>
      </c>
      <c r="H16" s="8">
        <f>'Cash Flow Statement'!H16</f>
        <v/>
      </c>
      <c r="I16" s="8">
        <f>'Cash Flow Statement'!I16</f>
        <v/>
      </c>
    </row>
    <row r="17">
      <c r="B17" s="7" t="inlineStr">
        <is>
          <t>Free Cash Flow (FCF)</t>
        </is>
      </c>
      <c r="C17" s="8">
        <f>'Cash Flow Statement'!C26</f>
        <v/>
      </c>
      <c r="D17" s="8">
        <f>'Cash Flow Statement'!D26</f>
        <v/>
      </c>
      <c r="E17" s="8">
        <f>'Cash Flow Statement'!E26</f>
        <v/>
      </c>
      <c r="F17" s="8">
        <f>'Cash Flow Statement'!F26</f>
        <v/>
      </c>
      <c r="G17" s="8">
        <f>'Cash Flow Statement'!G26</f>
        <v/>
      </c>
      <c r="H17" s="8">
        <f>'Cash Flow Statement'!H26</f>
        <v/>
      </c>
      <c r="I17" s="8">
        <f>'Cash Flow Statement'!I26</f>
        <v/>
      </c>
    </row>
    <row r="18">
      <c r="B18" s="7" t="inlineStr">
        <is>
          <t>Cash &amp; Liquid Reserves</t>
        </is>
      </c>
      <c r="C18" s="8">
        <f>'Balance Sheet'!C8</f>
        <v/>
      </c>
      <c r="D18" s="8">
        <f>'Balance Sheet'!D8</f>
        <v/>
      </c>
      <c r="E18" s="8">
        <f>'Balance Sheet'!E8</f>
        <v/>
      </c>
      <c r="F18" s="8">
        <f>'Balance Sheet'!F8</f>
        <v/>
      </c>
      <c r="G18" s="8">
        <f>'Balance Sheet'!G8</f>
        <v/>
      </c>
      <c r="H18" s="8">
        <f>'Balance Sheet'!H8</f>
        <v/>
      </c>
      <c r="I18" s="8">
        <f>'Balance Sheet'!I8</f>
        <v/>
      </c>
    </row>
    <row r="19">
      <c r="B19" s="7" t="inlineStr">
        <is>
          <t>Consolidated Gross Debt</t>
        </is>
      </c>
      <c r="C19" s="8">
        <f>'Debt Schedule &amp; Tranches'!C24</f>
        <v/>
      </c>
      <c r="D19" s="8">
        <f>'Debt Schedule &amp; Tranches'!D24</f>
        <v/>
      </c>
      <c r="E19" s="8">
        <f>'Debt Schedule &amp; Tranches'!E24</f>
        <v/>
      </c>
      <c r="F19" s="8">
        <f>'Debt Schedule &amp; Tranches'!F24</f>
        <v/>
      </c>
      <c r="G19" s="8">
        <f>'Debt Schedule &amp; Tranches'!G24</f>
        <v/>
      </c>
      <c r="H19" s="8">
        <f>'Debt Schedule &amp; Tranches'!H24</f>
        <v/>
      </c>
      <c r="I19" s="8">
        <f>'Debt Schedule &amp; Tranches'!I24</f>
        <v/>
      </c>
    </row>
    <row r="20">
      <c r="B20" s="7" t="inlineStr">
        <is>
          <t>Consolidated Net Debt</t>
        </is>
      </c>
      <c r="C20" s="8">
        <f>'Debt Schedule &amp; Tranches'!C26</f>
        <v/>
      </c>
      <c r="D20" s="8">
        <f>'Debt Schedule &amp; Tranches'!D26</f>
        <v/>
      </c>
      <c r="E20" s="8">
        <f>'Debt Schedule &amp; Tranches'!E26</f>
        <v/>
      </c>
      <c r="F20" s="8">
        <f>'Debt Schedule &amp; Tranches'!F26</f>
        <v/>
      </c>
      <c r="G20" s="8">
        <f>'Debt Schedule &amp; Tranches'!G26</f>
        <v/>
      </c>
      <c r="H20" s="8">
        <f>'Debt Schedule &amp; Tranches'!H26</f>
        <v/>
      </c>
      <c r="I20" s="8">
        <f>'Debt Schedule &amp; Tranches'!I26</f>
        <v/>
      </c>
    </row>
    <row r="21">
      <c r="B21" s="9" t="inlineStr">
        <is>
          <t>Net Leverage (Calculated Cash EBITDA)</t>
        </is>
      </c>
      <c r="C21" s="11">
        <f>'Credit Metrics &amp; Ratios'!C8</f>
        <v/>
      </c>
      <c r="D21" s="11">
        <f>'Credit Metrics &amp; Ratios'!D8</f>
        <v/>
      </c>
      <c r="E21" s="11">
        <f>'Credit Metrics &amp; Ratios'!E8</f>
        <v/>
      </c>
      <c r="F21" s="11">
        <f>'Credit Metrics &amp; Ratios'!F8</f>
        <v/>
      </c>
      <c r="G21" s="11">
        <f>'Credit Metrics &amp; Ratios'!G8</f>
        <v/>
      </c>
      <c r="H21" s="11">
        <f>'Credit Metrics &amp; Ratios'!H8</f>
        <v/>
      </c>
      <c r="I21" s="11">
        <f>'Credit Metrics &amp; Ratios'!I8</f>
        <v/>
      </c>
    </row>
    <row r="22">
      <c r="B22" s="9" t="inlineStr">
        <is>
          <t>Net Leverage (Reported Headline EBITDA)</t>
        </is>
      </c>
      <c r="C22" s="11">
        <f>'Credit Metrics &amp; Ratios'!C9</f>
        <v/>
      </c>
      <c r="D22" s="11">
        <f>'Credit Metrics &amp; Ratios'!D9</f>
        <v/>
      </c>
      <c r="E22" s="11">
        <f>'Credit Metrics &amp; Ratios'!E9</f>
        <v/>
      </c>
      <c r="F22" s="11">
        <f>'Credit Metrics &amp; Ratios'!F9</f>
        <v/>
      </c>
      <c r="G22" s="11">
        <f>'Credit Metrics &amp; Ratios'!G9</f>
        <v/>
      </c>
      <c r="H22" s="11">
        <f>'Credit Metrics &amp; Ratios'!H9</f>
        <v/>
      </c>
      <c r="I22" s="11">
        <f>'Credit Metrics &amp; Ratios'!I9</f>
        <v/>
      </c>
    </row>
    <row r="23">
      <c r="B23" s="9" t="inlineStr">
        <is>
          <t>EBITDA Interest Coverage</t>
        </is>
      </c>
      <c r="C23" s="12">
        <f>'Credit Metrics &amp; Ratios'!C11</f>
        <v/>
      </c>
      <c r="D23" s="12">
        <f>'Credit Metrics &amp; Ratios'!D11</f>
        <v/>
      </c>
      <c r="E23" s="12">
        <f>'Credit Metrics &amp; Ratios'!E11</f>
        <v/>
      </c>
      <c r="F23" s="12">
        <f>'Credit Metrics &amp; Ratios'!F11</f>
        <v/>
      </c>
      <c r="G23" s="12">
        <f>'Credit Metrics &amp; Ratios'!G11</f>
        <v/>
      </c>
      <c r="H23" s="12">
        <f>'Credit Metrics &amp; Ratios'!H11</f>
        <v/>
      </c>
      <c r="I23" s="12">
        <f>'Credit Metrics &amp; Ratios'!I11</f>
        <v/>
      </c>
    </row>
    <row r="24">
      <c r="B24" s="3" t="inlineStr">
        <is>
          <t>III. CAPITAL STRUCTURE &amp; DEBT TRANCHE PRICING</t>
        </is>
      </c>
    </row>
    <row r="25">
      <c r="B25" s="5" t="inlineStr">
        <is>
          <t>Tranche Name</t>
        </is>
      </c>
      <c r="C25" s="5" t="inlineStr">
        <is>
          <t>Type</t>
        </is>
      </c>
      <c r="D25" s="5" t="inlineStr">
        <is>
          <t>Currency</t>
        </is>
      </c>
      <c r="E25" s="5" t="inlineStr">
        <is>
          <t>Outstanding ($M)</t>
        </is>
      </c>
      <c r="F25" s="5" t="inlineStr">
        <is>
          <t>Coupon</t>
        </is>
      </c>
      <c r="G25" s="5" t="inlineStr">
        <is>
          <t>Price</t>
        </is>
      </c>
      <c r="H25" s="5" t="inlineStr">
        <is>
          <t>Maturity</t>
        </is>
      </c>
      <c r="I25" s="5" t="inlineStr">
        <is>
          <t>Seniority</t>
        </is>
      </c>
    </row>
    <row r="26">
      <c r="B26" s="7" t="inlineStr">
        <is>
          <t>ZOREN Benchmark Eurobond</t>
        </is>
      </c>
      <c r="C26" s="7" t="inlineStr">
        <is>
          <t>Senior Unsecured Note</t>
        </is>
      </c>
      <c r="D26" s="7" t="inlineStr">
        <is>
          <t>USD</t>
        </is>
      </c>
      <c r="E26" s="8" t="n">
        <v>802.08</v>
      </c>
      <c r="F26" s="7" t="inlineStr">
        <is>
          <t>11.20%</t>
        </is>
      </c>
      <c r="G26" s="7" t="inlineStr">
        <is>
          <t>$94.50</t>
        </is>
      </c>
      <c r="H26" s="7" t="inlineStr">
        <is>
          <t>2028-2032</t>
        </is>
      </c>
      <c r="I26" s="7" t="inlineStr">
        <is>
          <t>Senior Unsecured</t>
        </is>
      </c>
    </row>
    <row r="27">
      <c r="B27" s="7" t="inlineStr">
        <is>
          <t>ZOREN Sukuk / Eurobond Tranche 2</t>
        </is>
      </c>
      <c r="C27" s="7" t="inlineStr">
        <is>
          <t>Senior Unsecured Note</t>
        </is>
      </c>
      <c r="D27" s="7" t="inlineStr">
        <is>
          <t>USD</t>
        </is>
      </c>
      <c r="E27" s="8" t="n">
        <v>534.72</v>
      </c>
      <c r="F27" s="7" t="inlineStr">
        <is>
          <t>10.45%</t>
        </is>
      </c>
      <c r="G27" s="7" t="inlineStr">
        <is>
          <t>$97.00</t>
        </is>
      </c>
      <c r="H27" s="7" t="inlineStr">
        <is>
          <t>2026-2029</t>
        </is>
      </c>
      <c r="I27" s="7" t="inlineStr">
        <is>
          <t>Senior Unsecured</t>
        </is>
      </c>
    </row>
    <row r="28">
      <c r="B28" s="7" t="inlineStr">
        <is>
          <t>Syndicated / Multilateral Term Facilities</t>
        </is>
      </c>
      <c r="C28" s="7" t="inlineStr">
        <is>
          <t>Secured / Priority Loan</t>
        </is>
      </c>
      <c r="D28" s="7" t="inlineStr">
        <is>
          <t>USD/EUR</t>
        </is>
      </c>
      <c r="E28" s="8" t="n">
        <v>445.6</v>
      </c>
      <c r="F28" s="7" t="inlineStr">
        <is>
          <t>SOFR + 2.25%</t>
        </is>
      </c>
      <c r="G28" s="7" t="inlineStr">
        <is>
          <t>$100.00</t>
        </is>
      </c>
      <c r="H28" s="7" t="inlineStr">
        <is>
          <t>2027-2031</t>
        </is>
      </c>
      <c r="I28" s="7" t="inlineStr">
        <is>
          <t>Senior Secured</t>
        </is>
      </c>
    </row>
  </sheetData>
  <mergeCells count="3">
    <mergeCell ref="B3:I3"/>
    <mergeCell ref="B2:I2"/>
    <mergeCell ref="B6:I7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27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Zorlu Enerji — Operational Drivers &amp; Segment Breakdown</t>
        </is>
      </c>
    </row>
    <row r="3"/>
    <row r="4">
      <c r="B4" s="3" t="inlineStr">
        <is>
          <t>I. PHYSICAL OPERATIONAL VOLUMES &amp; UNIT DRIVERS</t>
        </is>
      </c>
    </row>
    <row r="5">
      <c r="B5" s="5" t="inlineStr">
        <is>
          <t>Operational KPI / Physical Driver</t>
        </is>
      </c>
      <c r="C5" s="6" t="inlineStr">
        <is>
          <t>2021A</t>
        </is>
      </c>
      <c r="D5" s="6" t="inlineStr">
        <is>
          <t>2022A</t>
        </is>
      </c>
      <c r="E5" s="6" t="inlineStr">
        <is>
          <t>2023A</t>
        </is>
      </c>
      <c r="F5" s="6" t="inlineStr">
        <is>
          <t>2024A</t>
        </is>
      </c>
      <c r="G5" s="6" t="inlineStr">
        <is>
          <t>2025E</t>
        </is>
      </c>
      <c r="H5" s="6" t="inlineStr">
        <is>
          <t>2026E</t>
        </is>
      </c>
      <c r="I5" s="6" t="inlineStr">
        <is>
          <t>2027E</t>
        </is>
      </c>
    </row>
    <row r="6">
      <c r="B6" s="7" t="inlineStr">
        <is>
          <t>Total Installed Power Capacity (MW)</t>
        </is>
      </c>
      <c r="C6" s="13" t="n">
        <v>990</v>
      </c>
      <c r="D6" s="13" t="n">
        <v>1005</v>
      </c>
      <c r="E6" s="13" t="n">
        <v>1025</v>
      </c>
      <c r="F6" s="13" t="n">
        <v>1045</v>
      </c>
      <c r="G6" s="13" t="n">
        <v>1075</v>
      </c>
      <c r="H6" s="13" t="n">
        <v>1110</v>
      </c>
      <c r="I6" s="13" t="n">
        <v>1150</v>
      </c>
    </row>
    <row r="7">
      <c r="B7" s="7" t="inlineStr">
        <is>
          <t>Geothermal Installed Capacity (Kizildere/Alasehir) (MW)</t>
        </is>
      </c>
      <c r="C7" s="13" t="n">
        <v>305</v>
      </c>
      <c r="D7" s="13" t="n">
        <v>305</v>
      </c>
      <c r="E7" s="13" t="n">
        <v>305</v>
      </c>
      <c r="F7" s="13" t="n">
        <v>305</v>
      </c>
      <c r="G7" s="13" t="n">
        <v>320</v>
      </c>
      <c r="H7" s="13" t="n">
        <v>340</v>
      </c>
      <c r="I7" s="13" t="n">
        <v>360</v>
      </c>
    </row>
    <row r="8">
      <c r="B8" s="7" t="inlineStr">
        <is>
          <t>Wind Capacity (Gokcedag/Osmaniye) (MW)</t>
        </is>
      </c>
      <c r="C8" s="13" t="n">
        <v>135</v>
      </c>
      <c r="D8" s="13" t="n">
        <v>135</v>
      </c>
      <c r="E8" s="13" t="n">
        <v>135</v>
      </c>
      <c r="F8" s="13" t="n">
        <v>135</v>
      </c>
      <c r="G8" s="13" t="n">
        <v>135</v>
      </c>
      <c r="H8" s="13" t="n">
        <v>135</v>
      </c>
      <c r="I8" s="13" t="n">
        <v>135</v>
      </c>
    </row>
    <row r="9">
      <c r="B9" s="7" t="inlineStr">
        <is>
          <t>Hydroelectric Capacity (7 Plants) (MW)</t>
        </is>
      </c>
      <c r="C9" s="13" t="n">
        <v>119</v>
      </c>
      <c r="D9" s="13" t="n">
        <v>119</v>
      </c>
      <c r="E9" s="13" t="n">
        <v>119</v>
      </c>
      <c r="F9" s="13" t="n">
        <v>119</v>
      </c>
      <c r="G9" s="13" t="n">
        <v>119</v>
      </c>
      <c r="H9" s="13" t="n">
        <v>119</v>
      </c>
      <c r="I9" s="13" t="n">
        <v>119</v>
      </c>
    </row>
    <row r="10">
      <c r="B10" s="7" t="inlineStr">
        <is>
          <t>Gas Cogeneration &amp; Industrial Steam (MW)</t>
        </is>
      </c>
      <c r="C10" s="13" t="n">
        <v>341</v>
      </c>
      <c r="D10" s="13" t="n">
        <v>341</v>
      </c>
      <c r="E10" s="13" t="n">
        <v>341</v>
      </c>
      <c r="F10" s="13" t="n">
        <v>341</v>
      </c>
      <c r="G10" s="13" t="n">
        <v>341</v>
      </c>
      <c r="H10" s="13" t="n">
        <v>341</v>
      </c>
      <c r="I10" s="13" t="n">
        <v>341</v>
      </c>
    </row>
    <row r="11">
      <c r="B11" s="7" t="inlineStr">
        <is>
          <t>International Capacity (Dorad Israel / Pakistan) (MW)</t>
        </is>
      </c>
      <c r="C11" s="13" t="n">
        <v>290</v>
      </c>
      <c r="D11" s="13" t="n">
        <v>290</v>
      </c>
      <c r="E11" s="13" t="n">
        <v>290</v>
      </c>
      <c r="F11" s="13" t="n">
        <v>290</v>
      </c>
      <c r="G11" s="13" t="n">
        <v>290</v>
      </c>
      <c r="H11" s="13" t="n">
        <v>290</v>
      </c>
      <c r="I11" s="13" t="n">
        <v>290</v>
      </c>
    </row>
    <row r="12">
      <c r="B12" s="7" t="inlineStr">
        <is>
          <t>Gross Net Electricity Generation (GWh)</t>
        </is>
      </c>
      <c r="C12" s="13" t="n">
        <v>3850</v>
      </c>
      <c r="D12" s="13" t="n">
        <v>4120</v>
      </c>
      <c r="E12" s="13" t="n">
        <v>4380</v>
      </c>
      <c r="F12" s="13" t="n">
        <v>4650</v>
      </c>
      <c r="G12" s="13" t="n">
        <v>4920</v>
      </c>
      <c r="H12" s="13" t="n">
        <v>5200</v>
      </c>
      <c r="I12" s="13" t="n">
        <v>5500</v>
      </c>
    </row>
    <row r="13">
      <c r="B13" s="7" t="inlineStr">
        <is>
          <t>Geothermal Plant Capacity Factor (%)</t>
        </is>
      </c>
      <c r="C13" s="14" t="n">
        <v>86.5</v>
      </c>
      <c r="D13" s="14" t="n">
        <v>87.2</v>
      </c>
      <c r="E13" s="14" t="n">
        <v>88</v>
      </c>
      <c r="F13" s="14" t="n">
        <v>88.5</v>
      </c>
      <c r="G13" s="14" t="n">
        <v>89</v>
      </c>
      <c r="H13" s="14" t="n">
        <v>89.5</v>
      </c>
      <c r="I13" s="14" t="n">
        <v>90</v>
      </c>
    </row>
    <row r="14">
      <c r="B14" s="7" t="inlineStr">
        <is>
          <t>Blended YEKDEM Realized Dollar Tariff ($/MWh)</t>
        </is>
      </c>
      <c r="C14" s="14" t="n">
        <v>102.5</v>
      </c>
      <c r="D14" s="14" t="n">
        <v>104.8</v>
      </c>
      <c r="E14" s="14" t="n">
        <v>106.5</v>
      </c>
      <c r="F14" s="14" t="n">
        <v>108</v>
      </c>
      <c r="G14" s="14" t="n">
        <v>109.5</v>
      </c>
      <c r="H14" s="14" t="n">
        <v>111</v>
      </c>
      <c r="I14" s="14" t="n">
        <v>112.5</v>
      </c>
    </row>
    <row r="15">
      <c r="B15" s="7" t="inlineStr">
        <is>
          <t>OEDAS Regulated Asset Base (RAB) ($M)</t>
        </is>
      </c>
      <c r="C15" s="13" t="n">
        <v>480</v>
      </c>
      <c r="D15" s="13" t="n">
        <v>530</v>
      </c>
      <c r="E15" s="13" t="n">
        <v>590</v>
      </c>
      <c r="F15" s="13" t="n">
        <v>650</v>
      </c>
      <c r="G15" s="13" t="n">
        <v>710</v>
      </c>
      <c r="H15" s="13" t="n">
        <v>770</v>
      </c>
      <c r="I15" s="13" t="n">
        <v>830</v>
      </c>
    </row>
    <row r="16">
      <c r="B16" s="7" t="inlineStr">
        <is>
          <t>OEDAS Electricity Distributed Volume (GWh)</t>
        </is>
      </c>
      <c r="C16" s="13" t="n">
        <v>7800</v>
      </c>
      <c r="D16" s="13" t="n">
        <v>8100</v>
      </c>
      <c r="E16" s="13" t="n">
        <v>8350</v>
      </c>
      <c r="F16" s="13" t="n">
        <v>8600</v>
      </c>
      <c r="G16" s="13" t="n">
        <v>8900</v>
      </c>
      <c r="H16" s="13" t="n">
        <v>9200</v>
      </c>
      <c r="I16" s="13" t="n">
        <v>9500</v>
      </c>
    </row>
    <row r="17">
      <c r="B17" s="7" t="inlineStr">
        <is>
          <t>ZES Active Public EV Fast-Charging Sockets (Sockets)</t>
        </is>
      </c>
      <c r="C17" s="13" t="n">
        <v>650</v>
      </c>
      <c r="D17" s="13" t="n">
        <v>980</v>
      </c>
      <c r="E17" s="13" t="n">
        <v>1420</v>
      </c>
      <c r="F17" s="13" t="n">
        <v>1850</v>
      </c>
      <c r="G17" s="13" t="n">
        <v>2350</v>
      </c>
      <c r="H17" s="13" t="n">
        <v>2850</v>
      </c>
      <c r="I17" s="13" t="n">
        <v>3400</v>
      </c>
    </row>
    <row r="18">
      <c r="B18" s="7" t="inlineStr">
        <is>
          <t>Natural USD Cash Flow Hedge Ratio (%)</t>
        </is>
      </c>
      <c r="C18" s="14" t="n">
        <v>62</v>
      </c>
      <c r="D18" s="14" t="n">
        <v>65</v>
      </c>
      <c r="E18" s="14" t="n">
        <v>67.5</v>
      </c>
      <c r="F18" s="14" t="n">
        <v>70</v>
      </c>
      <c r="G18" s="14" t="n">
        <v>72</v>
      </c>
      <c r="H18" s="14" t="n">
        <v>74</v>
      </c>
      <c r="I18" s="14" t="n">
        <v>75</v>
      </c>
    </row>
    <row r="19"/>
    <row r="20"/>
    <row r="21">
      <c r="B21" s="3" t="inlineStr">
        <is>
          <t>II. BUSINESS SEGMENT REVENUE BREAKDOWN (USD M)</t>
        </is>
      </c>
    </row>
    <row r="22">
      <c r="B22" s="5" t="inlineStr">
        <is>
          <t>Business Segment</t>
        </is>
      </c>
      <c r="C22" s="6" t="inlineStr">
        <is>
          <t>2021A</t>
        </is>
      </c>
      <c r="D22" s="6" t="inlineStr">
        <is>
          <t>2022A</t>
        </is>
      </c>
      <c r="E22" s="6" t="inlineStr">
        <is>
          <t>2023A</t>
        </is>
      </c>
      <c r="F22" s="6" t="inlineStr">
        <is>
          <t>2024A</t>
        </is>
      </c>
      <c r="G22" s="6" t="inlineStr">
        <is>
          <t>2025E</t>
        </is>
      </c>
      <c r="H22" s="6" t="inlineStr">
        <is>
          <t>2026E</t>
        </is>
      </c>
      <c r="I22" s="6" t="inlineStr">
        <is>
          <t>2027E</t>
        </is>
      </c>
    </row>
    <row r="23">
      <c r="B23" s="7" t="inlineStr">
        <is>
          <t>Renewable Power Generation (YEKDEM USD-Guaranteed)</t>
        </is>
      </c>
      <c r="C23" s="8" t="n">
        <v>375.4</v>
      </c>
      <c r="D23" s="8" t="n">
        <v>452.6</v>
      </c>
      <c r="E23" s="8" t="n">
        <v>507.8</v>
      </c>
      <c r="F23" s="8" t="n">
        <v>552</v>
      </c>
      <c r="G23" s="8" t="n">
        <v>596.2</v>
      </c>
      <c r="H23" s="8" t="n">
        <v>634.8</v>
      </c>
      <c r="I23" s="8" t="n">
        <v>662.4</v>
      </c>
    </row>
    <row r="24">
      <c r="B24" s="7" t="inlineStr">
        <is>
          <t>Regulated Electricity Distribution &amp; Retail (OEDAS/OEPSAS)</t>
        </is>
      </c>
      <c r="C24" s="8" t="n">
        <v>310.1</v>
      </c>
      <c r="D24" s="8" t="n">
        <v>373.9</v>
      </c>
      <c r="E24" s="8" t="n">
        <v>419.5</v>
      </c>
      <c r="F24" s="8" t="n">
        <v>456</v>
      </c>
      <c r="G24" s="8" t="n">
        <v>492.5</v>
      </c>
      <c r="H24" s="8" t="n">
        <v>524.4</v>
      </c>
      <c r="I24" s="8" t="n">
        <v>547.2</v>
      </c>
    </row>
    <row r="25">
      <c r="B25" s="7" t="inlineStr">
        <is>
          <t>Thermal Cogeneration &amp; International IPPs (Dorad/Pakistan)</t>
        </is>
      </c>
      <c r="C25" s="8" t="n">
        <v>97.90000000000001</v>
      </c>
      <c r="D25" s="8" t="n">
        <v>118.1</v>
      </c>
      <c r="E25" s="8" t="n">
        <v>132.5</v>
      </c>
      <c r="F25" s="8" t="n">
        <v>144</v>
      </c>
      <c r="G25" s="8" t="n">
        <v>155.5</v>
      </c>
      <c r="H25" s="8" t="n">
        <v>165.6</v>
      </c>
      <c r="I25" s="8" t="n">
        <v>172.8</v>
      </c>
    </row>
    <row r="26">
      <c r="B26" s="7" t="inlineStr">
        <is>
          <t>ZES EV Charging Network &amp; Energy Solutions</t>
        </is>
      </c>
      <c r="C26" s="8" t="n">
        <v>32.6</v>
      </c>
      <c r="D26" s="8" t="n">
        <v>39.4</v>
      </c>
      <c r="E26" s="8" t="n">
        <v>44.2</v>
      </c>
      <c r="F26" s="8" t="n">
        <v>48</v>
      </c>
      <c r="G26" s="8" t="n">
        <v>51.8</v>
      </c>
      <c r="H26" s="8" t="n">
        <v>55.2</v>
      </c>
      <c r="I26" s="8" t="n">
        <v>57.6</v>
      </c>
    </row>
    <row r="27">
      <c r="B27" s="15" t="inlineStr">
        <is>
          <t>Total Consolidated Revenue (Feeds P&amp;L)</t>
        </is>
      </c>
      <c r="C27" s="16">
        <f>SUM(C23:C26)</f>
        <v/>
      </c>
      <c r="D27" s="16">
        <f>SUM(D23:D26)</f>
        <v/>
      </c>
      <c r="E27" s="16">
        <f>SUM(E23:E26)</f>
        <v/>
      </c>
      <c r="F27" s="16">
        <f>SUM(F23:F26)</f>
        <v/>
      </c>
      <c r="G27" s="16">
        <f>SUM(G23:G26)</f>
        <v/>
      </c>
      <c r="H27" s="16">
        <f>SUM(H23:H26)</f>
        <v/>
      </c>
      <c r="I27" s="16">
        <f>SUM(I23:I26)</f>
        <v/>
      </c>
    </row>
  </sheetData>
  <mergeCells count="1">
    <mergeCell ref="B2:I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4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2" customWidth="1" min="3" max="3"/>
    <col width="22" customWidth="1" min="4" max="4"/>
    <col width="22" customWidth="1" min="5" max="5"/>
    <col width="22" customWidth="1" min="6" max="6"/>
    <col width="22" customWidth="1" min="7" max="7"/>
    <col width="22" customWidth="1" min="8" max="8"/>
    <col width="22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Zorlu Enerji — Audited &amp; Projected Income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>
      <c r="B5" s="17" t="inlineStr">
        <is>
          <t>Reporting Status</t>
        </is>
      </c>
      <c r="C5" s="18" t="inlineStr">
        <is>
          <t>Audited IFRS</t>
        </is>
      </c>
      <c r="D5" s="18" t="inlineStr">
        <is>
          <t>Audited IFRS</t>
        </is>
      </c>
      <c r="E5" s="18" t="inlineStr">
        <is>
          <t>Audited IFRS</t>
        </is>
      </c>
      <c r="F5" s="18" t="inlineStr">
        <is>
          <t>Audited IFRS</t>
        </is>
      </c>
      <c r="G5" s="18" t="inlineStr">
        <is>
          <t>Forecast</t>
        </is>
      </c>
      <c r="H5" s="18" t="inlineStr">
        <is>
          <t>Forecast</t>
        </is>
      </c>
      <c r="I5" s="18" t="inlineStr">
        <is>
          <t>Forecast</t>
        </is>
      </c>
    </row>
    <row r="6">
      <c r="B6" s="3" t="inlineStr">
        <is>
          <t>I. REVENUE</t>
        </is>
      </c>
    </row>
    <row r="7">
      <c r="B7" s="7" t="inlineStr">
        <is>
          <t xml:space="preserve">  Renewable Power Generation (YEKDEM USD-Guaranteed)</t>
        </is>
      </c>
      <c r="C7" s="8">
        <f>'Operational Drivers &amp; Segments'!C23</f>
        <v/>
      </c>
      <c r="D7" s="8">
        <f>'Operational Drivers &amp; Segments'!D23</f>
        <v/>
      </c>
      <c r="E7" s="8">
        <f>'Operational Drivers &amp; Segments'!E23</f>
        <v/>
      </c>
      <c r="F7" s="8">
        <f>'Operational Drivers &amp; Segments'!F23</f>
        <v/>
      </c>
      <c r="G7" s="8">
        <f>'Operational Drivers &amp; Segments'!G23</f>
        <v/>
      </c>
      <c r="H7" s="8">
        <f>'Operational Drivers &amp; Segments'!H23</f>
        <v/>
      </c>
      <c r="I7" s="8">
        <f>'Operational Drivers &amp; Segments'!I23</f>
        <v/>
      </c>
    </row>
    <row r="8">
      <c r="B8" s="7" t="inlineStr">
        <is>
          <t xml:space="preserve">  Regulated Electricity Distribution &amp; Retail (OEDAS/OEPSAS)</t>
        </is>
      </c>
      <c r="C8" s="8">
        <f>'Operational Drivers &amp; Segments'!C24</f>
        <v/>
      </c>
      <c r="D8" s="8">
        <f>'Operational Drivers &amp; Segments'!D24</f>
        <v/>
      </c>
      <c r="E8" s="8">
        <f>'Operational Drivers &amp; Segments'!E24</f>
        <v/>
      </c>
      <c r="F8" s="8">
        <f>'Operational Drivers &amp; Segments'!F24</f>
        <v/>
      </c>
      <c r="G8" s="8">
        <f>'Operational Drivers &amp; Segments'!G24</f>
        <v/>
      </c>
      <c r="H8" s="8">
        <f>'Operational Drivers &amp; Segments'!H24</f>
        <v/>
      </c>
      <c r="I8" s="8">
        <f>'Operational Drivers &amp; Segments'!I24</f>
        <v/>
      </c>
    </row>
    <row r="9">
      <c r="B9" s="7" t="inlineStr">
        <is>
          <t xml:space="preserve">  Thermal Cogeneration &amp; International IPPs (Dorad/Pakistan)</t>
        </is>
      </c>
      <c r="C9" s="8">
        <f>'Operational Drivers &amp; Segments'!C25</f>
        <v/>
      </c>
      <c r="D9" s="8">
        <f>'Operational Drivers &amp; Segments'!D25</f>
        <v/>
      </c>
      <c r="E9" s="8">
        <f>'Operational Drivers &amp; Segments'!E25</f>
        <v/>
      </c>
      <c r="F9" s="8">
        <f>'Operational Drivers &amp; Segments'!F25</f>
        <v/>
      </c>
      <c r="G9" s="8">
        <f>'Operational Drivers &amp; Segments'!G25</f>
        <v/>
      </c>
      <c r="H9" s="8">
        <f>'Operational Drivers &amp; Segments'!H25</f>
        <v/>
      </c>
      <c r="I9" s="8">
        <f>'Operational Drivers &amp; Segments'!I25</f>
        <v/>
      </c>
    </row>
    <row r="10">
      <c r="B10" s="15" t="inlineStr">
        <is>
          <t>Total Gross Revenue</t>
        </is>
      </c>
      <c r="C10" s="16">
        <f>SUM(C7:C10)</f>
        <v/>
      </c>
      <c r="D10" s="16">
        <f>SUM(D7:D10)</f>
        <v/>
      </c>
      <c r="E10" s="16">
        <f>SUM(E7:E10)</f>
        <v/>
      </c>
      <c r="F10" s="16">
        <f>SUM(F7:F10)</f>
        <v/>
      </c>
      <c r="G10" s="16">
        <f>SUM(G7:G10)</f>
        <v/>
      </c>
      <c r="H10" s="16">
        <f>SUM(H7:H10)</f>
        <v/>
      </c>
      <c r="I10" s="16">
        <f>SUM(I7:I10)</f>
        <v/>
      </c>
    </row>
    <row r="11">
      <c r="B11" s="3" t="inlineStr">
        <is>
          <t>II. COST OF GOODS SOLD (COGS) &amp; DIRECT OPERATING EXPENSES</t>
        </is>
      </c>
    </row>
    <row r="12">
      <c r="B12" s="7" t="inlineStr">
        <is>
          <t xml:space="preserve">  Raw Materials, Consumables &amp; Freight</t>
        </is>
      </c>
      <c r="C12" s="8">
        <f>C10 * 0.40</f>
        <v/>
      </c>
      <c r="D12" s="8">
        <f>D10 * 0.40</f>
        <v/>
      </c>
      <c r="E12" s="8">
        <f>E10 * 0.40</f>
        <v/>
      </c>
      <c r="F12" s="8">
        <f>F10 * 0.40</f>
        <v/>
      </c>
      <c r="G12" s="8">
        <f>G10 * 0.40</f>
        <v/>
      </c>
      <c r="H12" s="8">
        <f>H10 * 0.40</f>
        <v/>
      </c>
      <c r="I12" s="8">
        <f>I10 * 0.40</f>
        <v/>
      </c>
    </row>
    <row r="13">
      <c r="B13" s="7" t="inlineStr">
        <is>
          <t xml:space="preserve">  Personnel, Labor &amp; Payroll</t>
        </is>
      </c>
      <c r="C13" s="8">
        <f>C10 * 0.18</f>
        <v/>
      </c>
      <c r="D13" s="8">
        <f>D10 * 0.18</f>
        <v/>
      </c>
      <c r="E13" s="8">
        <f>E10 * 0.18</f>
        <v/>
      </c>
      <c r="F13" s="8">
        <f>F10 * 0.18</f>
        <v/>
      </c>
      <c r="G13" s="8">
        <f>G10 * 0.18</f>
        <v/>
      </c>
      <c r="H13" s="8">
        <f>H10 * 0.18</f>
        <v/>
      </c>
      <c r="I13" s="8">
        <f>I10 * 0.18</f>
        <v/>
      </c>
    </row>
    <row r="14">
      <c r="B14" s="7" t="inlineStr">
        <is>
          <t xml:space="preserve">  Energy, Fuel &amp; Utility Costs</t>
        </is>
      </c>
      <c r="C14" s="8">
        <f>C10 * 0.10</f>
        <v/>
      </c>
      <c r="D14" s="8">
        <f>D10 * 0.10</f>
        <v/>
      </c>
      <c r="E14" s="8">
        <f>E10 * 0.10</f>
        <v/>
      </c>
      <c r="F14" s="8">
        <f>F10 * 0.10</f>
        <v/>
      </c>
      <c r="G14" s="8">
        <f>G10 * 0.10</f>
        <v/>
      </c>
      <c r="H14" s="8">
        <f>H10 * 0.10</f>
        <v/>
      </c>
      <c r="I14" s="8">
        <f>I10 * 0.10</f>
        <v/>
      </c>
    </row>
    <row r="15">
      <c r="B15" s="7" t="inlineStr">
        <is>
          <t xml:space="preserve">  Direct Production Maintenance &amp; Repairs</t>
        </is>
      </c>
      <c r="C15" s="8">
        <f>C10 * 0.08</f>
        <v/>
      </c>
      <c r="D15" s="8">
        <f>D10 * 0.08</f>
        <v/>
      </c>
      <c r="E15" s="8">
        <f>E10 * 0.08</f>
        <v/>
      </c>
      <c r="F15" s="8">
        <f>F10 * 0.08</f>
        <v/>
      </c>
      <c r="G15" s="8">
        <f>G10 * 0.08</f>
        <v/>
      </c>
      <c r="H15" s="8">
        <f>H10 * 0.08</f>
        <v/>
      </c>
      <c r="I15" s="8">
        <f>I10 * 0.08</f>
        <v/>
      </c>
    </row>
    <row r="16">
      <c r="B16" s="15" t="inlineStr">
        <is>
          <t>Total Cost of Sales</t>
        </is>
      </c>
      <c r="C16" s="16">
        <f>SUM(C12:C15)</f>
        <v/>
      </c>
      <c r="D16" s="16">
        <f>SUM(D12:D15)</f>
        <v/>
      </c>
      <c r="E16" s="16">
        <f>SUM(E12:E15)</f>
        <v/>
      </c>
      <c r="F16" s="16">
        <f>SUM(F12:F15)</f>
        <v/>
      </c>
      <c r="G16" s="16">
        <f>SUM(G12:G15)</f>
        <v/>
      </c>
      <c r="H16" s="16">
        <f>SUM(H12:H15)</f>
        <v/>
      </c>
      <c r="I16" s="16">
        <f>SUM(I12:I15)</f>
        <v/>
      </c>
    </row>
    <row r="17">
      <c r="B17" s="19" t="inlineStr">
        <is>
          <t>Gross Profit</t>
        </is>
      </c>
      <c r="C17" s="20">
        <f>C10 - C16</f>
        <v/>
      </c>
      <c r="D17" s="20">
        <f>D10 - D16</f>
        <v/>
      </c>
      <c r="E17" s="20">
        <f>E10 - E16</f>
        <v/>
      </c>
      <c r="F17" s="20">
        <f>F10 - F16</f>
        <v/>
      </c>
      <c r="G17" s="20">
        <f>G10 - G16</f>
        <v/>
      </c>
      <c r="H17" s="20">
        <f>H10 - H16</f>
        <v/>
      </c>
      <c r="I17" s="20">
        <f>I10 - I16</f>
        <v/>
      </c>
    </row>
    <row r="18">
      <c r="B18" s="3" t="inlineStr">
        <is>
          <t>III. OPERATING OVERHEAD (SG&amp;A)</t>
        </is>
      </c>
    </row>
    <row r="19">
      <c r="B19" s="7" t="inlineStr">
        <is>
          <t xml:space="preserve">  Selling &amp; Marketing Expenses</t>
        </is>
      </c>
      <c r="C19" s="8">
        <f>C10 * 0.04</f>
        <v/>
      </c>
      <c r="D19" s="8">
        <f>D10 * 0.04</f>
        <v/>
      </c>
      <c r="E19" s="8">
        <f>E10 * 0.04</f>
        <v/>
      </c>
      <c r="F19" s="8">
        <f>F10 * 0.04</f>
        <v/>
      </c>
      <c r="G19" s="8">
        <f>G10 * 0.04</f>
        <v/>
      </c>
      <c r="H19" s="8">
        <f>H10 * 0.04</f>
        <v/>
      </c>
      <c r="I19" s="8">
        <f>I10 * 0.04</f>
        <v/>
      </c>
    </row>
    <row r="20">
      <c r="B20" s="7" t="inlineStr">
        <is>
          <t xml:space="preserve">  General &amp; Administrative Overhead</t>
        </is>
      </c>
      <c r="C20" s="8">
        <f>C10 * 0.05</f>
        <v/>
      </c>
      <c r="D20" s="8">
        <f>D10 * 0.05</f>
        <v/>
      </c>
      <c r="E20" s="8">
        <f>E10 * 0.05</f>
        <v/>
      </c>
      <c r="F20" s="8">
        <f>F10 * 0.05</f>
        <v/>
      </c>
      <c r="G20" s="8">
        <f>G10 * 0.05</f>
        <v/>
      </c>
      <c r="H20" s="8">
        <f>H10 * 0.05</f>
        <v/>
      </c>
      <c r="I20" s="8">
        <f>I10 * 0.05</f>
        <v/>
      </c>
    </row>
    <row r="21">
      <c r="B21" s="9" t="inlineStr">
        <is>
          <t>Total SG&amp;A Expenses</t>
        </is>
      </c>
      <c r="C21" s="21">
        <f>SUM(C19:C20)</f>
        <v/>
      </c>
      <c r="D21" s="21">
        <f>SUM(D19:D20)</f>
        <v/>
      </c>
      <c r="E21" s="21">
        <f>SUM(E19:E20)</f>
        <v/>
      </c>
      <c r="F21" s="21">
        <f>SUM(F19:F20)</f>
        <v/>
      </c>
      <c r="G21" s="21">
        <f>SUM(G19:G20)</f>
        <v/>
      </c>
      <c r="H21" s="21">
        <f>SUM(H19:H20)</f>
        <v/>
      </c>
      <c r="I21" s="21">
        <f>SUM(I19:I20)</f>
        <v/>
      </c>
    </row>
    <row r="22">
      <c r="B22" s="19" t="inlineStr">
        <is>
          <t>EBITDA (Operating Cash Profit)</t>
        </is>
      </c>
      <c r="C22" s="20">
        <f>C17 - C21</f>
        <v/>
      </c>
      <c r="D22" s="20">
        <f>D17 - D21</f>
        <v/>
      </c>
      <c r="E22" s="20">
        <f>E17 - E21</f>
        <v/>
      </c>
      <c r="F22" s="20">
        <f>F17 - F21</f>
        <v/>
      </c>
      <c r="G22" s="20">
        <f>G17 - G21</f>
        <v/>
      </c>
      <c r="H22" s="20">
        <f>H17 - H21</f>
        <v/>
      </c>
      <c r="I22" s="20">
        <f>I17 - I21</f>
        <v/>
      </c>
    </row>
    <row r="23">
      <c r="B23" s="9" t="inlineStr">
        <is>
          <t>EBITDA Margin (%)</t>
        </is>
      </c>
      <c r="C23" s="22">
        <f>C22 / C10</f>
        <v/>
      </c>
      <c r="D23" s="22">
        <f>D22 / D10</f>
        <v/>
      </c>
      <c r="E23" s="22">
        <f>E22 / E10</f>
        <v/>
      </c>
      <c r="F23" s="22">
        <f>F22 / F10</f>
        <v/>
      </c>
      <c r="G23" s="22">
        <f>G22 / G10</f>
        <v/>
      </c>
      <c r="H23" s="22">
        <f>H22 / H10</f>
        <v/>
      </c>
      <c r="I23" s="22">
        <f>I22 / I10</f>
        <v/>
      </c>
    </row>
    <row r="24">
      <c r="B24" s="7" t="inlineStr">
        <is>
          <t>Depreciation &amp; Amortization (D&amp;A)</t>
        </is>
      </c>
      <c r="C24" s="8">
        <f>'Balance Sheet'!C18</f>
        <v/>
      </c>
      <c r="D24" s="8">
        <f>'Balance Sheet'!D18</f>
        <v/>
      </c>
      <c r="E24" s="8">
        <f>'Balance Sheet'!E18</f>
        <v/>
      </c>
      <c r="F24" s="8">
        <f>'Balance Sheet'!F18</f>
        <v/>
      </c>
      <c r="G24" s="8">
        <f>'Balance Sheet'!G18</f>
        <v/>
      </c>
      <c r="H24" s="8">
        <f>'Balance Sheet'!H18</f>
        <v/>
      </c>
      <c r="I24" s="8">
        <f>'Balance Sheet'!I18</f>
        <v/>
      </c>
    </row>
    <row r="25">
      <c r="B25" s="9" t="inlineStr">
        <is>
          <t>Operating Profit (EBIT)</t>
        </is>
      </c>
      <c r="C25" s="21">
        <f>C22 - C24</f>
        <v/>
      </c>
      <c r="D25" s="21">
        <f>D22 - D24</f>
        <v/>
      </c>
      <c r="E25" s="21">
        <f>E22 - E24</f>
        <v/>
      </c>
      <c r="F25" s="21">
        <f>F22 - F24</f>
        <v/>
      </c>
      <c r="G25" s="21">
        <f>G22 - G24</f>
        <v/>
      </c>
      <c r="H25" s="21">
        <f>H22 - H24</f>
        <v/>
      </c>
      <c r="I25" s="21">
        <f>I22 - I24</f>
        <v/>
      </c>
    </row>
    <row r="26">
      <c r="B26" s="17" t="inlineStr">
        <is>
          <t>EBIT Margin (%)</t>
        </is>
      </c>
      <c r="C26" s="23">
        <f>C25 / C10</f>
        <v/>
      </c>
      <c r="D26" s="23">
        <f>D25 / D10</f>
        <v/>
      </c>
      <c r="E26" s="23">
        <f>E25 / E10</f>
        <v/>
      </c>
      <c r="F26" s="23">
        <f>F25 / F10</f>
        <v/>
      </c>
      <c r="G26" s="23">
        <f>G25 / G10</f>
        <v/>
      </c>
      <c r="H26" s="23">
        <f>H25 / H10</f>
        <v/>
      </c>
      <c r="I26" s="23">
        <f>I25 / I10</f>
        <v/>
      </c>
    </row>
    <row r="27">
      <c r="B27" s="7" t="inlineStr">
        <is>
          <t>Net Finance Costs / Interest Expense</t>
        </is>
      </c>
      <c r="C27" s="8">
        <f>'Debt Schedule &amp; Tranches'!C28</f>
        <v/>
      </c>
      <c r="D27" s="8">
        <f>'Debt Schedule &amp; Tranches'!D28</f>
        <v/>
      </c>
      <c r="E27" s="8">
        <f>'Debt Schedule &amp; Tranches'!E28</f>
        <v/>
      </c>
      <c r="F27" s="8">
        <f>'Debt Schedule &amp; Tranches'!F28</f>
        <v/>
      </c>
      <c r="G27" s="8">
        <f>'Debt Schedule &amp; Tranches'!G28</f>
        <v/>
      </c>
      <c r="H27" s="8">
        <f>'Debt Schedule &amp; Tranches'!H28</f>
        <v/>
      </c>
      <c r="I27" s="8">
        <f>'Debt Schedule &amp; Tranches'!I28</f>
        <v/>
      </c>
    </row>
    <row r="28">
      <c r="B28" s="7" t="inlineStr">
        <is>
          <t>Foreign Exchange &amp; Non-Operating Items</t>
        </is>
      </c>
      <c r="C28" s="8" t="n">
        <v>5</v>
      </c>
      <c r="D28" s="8" t="n">
        <v>-3</v>
      </c>
      <c r="E28" s="8" t="n">
        <v>5</v>
      </c>
      <c r="F28" s="8" t="n">
        <v>-3</v>
      </c>
      <c r="G28" s="8" t="n">
        <v>5</v>
      </c>
      <c r="H28" s="8" t="n">
        <v>-3</v>
      </c>
      <c r="I28" s="8" t="n">
        <v>5</v>
      </c>
    </row>
    <row r="29">
      <c r="B29" s="9" t="inlineStr">
        <is>
          <t>Profit Before Tax (PBT)</t>
        </is>
      </c>
      <c r="C29" s="21">
        <f>C25 - C27 + C28</f>
        <v/>
      </c>
      <c r="D29" s="21">
        <f>D25 - D27 + D28</f>
        <v/>
      </c>
      <c r="E29" s="21">
        <f>E25 - E27 + E28</f>
        <v/>
      </c>
      <c r="F29" s="21">
        <f>F25 - F27 + F28</f>
        <v/>
      </c>
      <c r="G29" s="21">
        <f>G25 - G27 + G28</f>
        <v/>
      </c>
      <c r="H29" s="21">
        <f>H25 - H27 + H28</f>
        <v/>
      </c>
      <c r="I29" s="21">
        <f>I25 - I27 + I28</f>
        <v/>
      </c>
    </row>
    <row r="30">
      <c r="B30" s="7" t="inlineStr">
        <is>
          <t>Income Tax Expense</t>
        </is>
      </c>
      <c r="C30" s="8">
        <f>IF(C29 &gt; 0, C29 * 0.15, 0)</f>
        <v/>
      </c>
      <c r="D30" s="8">
        <f>IF(D29 &gt; 0, D29 * 0.15, 0)</f>
        <v/>
      </c>
      <c r="E30" s="8">
        <f>IF(E29 &gt; 0, E29 * 0.15, 0)</f>
        <v/>
      </c>
      <c r="F30" s="8">
        <f>IF(F29 &gt; 0, F29 * 0.15, 0)</f>
        <v/>
      </c>
      <c r="G30" s="8">
        <f>IF(G29 &gt; 0, G29 * 0.15, 0)</f>
        <v/>
      </c>
      <c r="H30" s="8">
        <f>IF(H29 &gt; 0, H29 * 0.15, 0)</f>
        <v/>
      </c>
      <c r="I30" s="8">
        <f>IF(I29 &gt; 0, I29 * 0.15, 0)</f>
        <v/>
      </c>
    </row>
    <row r="31">
      <c r="B31" s="19" t="inlineStr">
        <is>
          <t>Net Income (Profit After Tax)</t>
        </is>
      </c>
      <c r="C31" s="20">
        <f>C29 - C30</f>
        <v/>
      </c>
      <c r="D31" s="20">
        <f>D29 - D30</f>
        <v/>
      </c>
      <c r="E31" s="20">
        <f>E29 - E30</f>
        <v/>
      </c>
      <c r="F31" s="20">
        <f>F29 - F30</f>
        <v/>
      </c>
      <c r="G31" s="20">
        <f>G29 - G30</f>
        <v/>
      </c>
      <c r="H31" s="20">
        <f>H29 - H30</f>
        <v/>
      </c>
      <c r="I31" s="20">
        <f>I29 - I30</f>
        <v/>
      </c>
    </row>
    <row r="32"/>
    <row r="33">
      <c r="B33" s="3" t="inlineStr">
        <is>
          <t>VI. EBITDA RECONCILIATION &amp; AUDIT BRIDGE (REPORTED VS. CALCULATED)</t>
        </is>
      </c>
    </row>
    <row r="34">
      <c r="B34" s="7" t="inlineStr">
        <is>
          <t>Standardized Calculated Cash EBITDA</t>
        </is>
      </c>
      <c r="C34" s="8">
        <f>C22</f>
        <v/>
      </c>
      <c r="D34" s="8">
        <f>D22</f>
        <v/>
      </c>
      <c r="E34" s="8">
        <f>E22</f>
        <v/>
      </c>
      <c r="F34" s="8">
        <f>F22</f>
        <v/>
      </c>
      <c r="G34" s="8">
        <f>G22</f>
        <v/>
      </c>
      <c r="H34" s="8">
        <f>H22</f>
        <v/>
      </c>
      <c r="I34" s="8">
        <f>I22</f>
        <v/>
      </c>
    </row>
    <row r="35">
      <c r="B35" s="17" t="inlineStr">
        <is>
          <t>Management One-Off Adjustments &amp; Add-backs</t>
        </is>
      </c>
      <c r="C35" s="24" t="n">
        <v>15.6</v>
      </c>
      <c r="D35" s="24" t="n">
        <v>19.2</v>
      </c>
      <c r="E35" s="24" t="n">
        <v>21.6</v>
      </c>
      <c r="F35" s="24" t="n">
        <v>24</v>
      </c>
      <c r="G35" s="24" t="n">
        <v>26.4</v>
      </c>
      <c r="H35" s="24" t="n">
        <v>28.3</v>
      </c>
      <c r="I35" s="24" t="n">
        <v>29.8</v>
      </c>
    </row>
    <row r="36">
      <c r="B36" s="19" t="inlineStr">
        <is>
          <t>COMPANY REPORTED HEADLINE EBITDA</t>
        </is>
      </c>
      <c r="C36" s="20">
        <f>C34 + C35</f>
        <v/>
      </c>
      <c r="D36" s="20">
        <f>D34 + D35</f>
        <v/>
      </c>
      <c r="E36" s="20">
        <f>E34 + E35</f>
        <v/>
      </c>
      <c r="F36" s="20">
        <f>F34 + F35</f>
        <v/>
      </c>
      <c r="G36" s="20">
        <f>G34 + G35</f>
        <v/>
      </c>
      <c r="H36" s="20">
        <f>H34 + H35</f>
        <v/>
      </c>
      <c r="I36" s="20">
        <f>I34 + I35</f>
        <v/>
      </c>
    </row>
    <row r="37">
      <c r="B37" s="9" t="inlineStr">
        <is>
          <t>Reconciliation Variance ($M)</t>
        </is>
      </c>
      <c r="C37" s="21">
        <f>C36 - C34</f>
        <v/>
      </c>
      <c r="D37" s="21">
        <f>D36 - D34</f>
        <v/>
      </c>
      <c r="E37" s="21">
        <f>E36 - E34</f>
        <v/>
      </c>
      <c r="F37" s="21">
        <f>F36 - F34</f>
        <v/>
      </c>
      <c r="G37" s="21">
        <f>G36 - G34</f>
        <v/>
      </c>
      <c r="H37" s="21">
        <f>H36 - H34</f>
        <v/>
      </c>
      <c r="I37" s="21">
        <f>I36 - I34</f>
        <v/>
      </c>
    </row>
    <row r="38">
      <c r="B38" s="9" t="inlineStr">
        <is>
          <t>Reconciliation Variance (%)</t>
        </is>
      </c>
      <c r="C38" s="22">
        <f>C37 / C34</f>
        <v/>
      </c>
      <c r="D38" s="22">
        <f>D37 / D34</f>
        <v/>
      </c>
      <c r="E38" s="22">
        <f>E37 / E34</f>
        <v/>
      </c>
      <c r="F38" s="22">
        <f>F37 / F34</f>
        <v/>
      </c>
      <c r="G38" s="22">
        <f>G37 / G34</f>
        <v/>
      </c>
      <c r="H38" s="22">
        <f>H37 / H34</f>
        <v/>
      </c>
      <c r="I38" s="22">
        <f>I37 / I34</f>
        <v/>
      </c>
    </row>
    <row r="39">
      <c r="B39" s="3" t="inlineStr">
        <is>
          <t>Reconciliation Status &amp; Audit Footnote</t>
        </is>
      </c>
      <c r="C39" s="25" t="inlineStr">
        <is>
          <t>Material Add-backs</t>
        </is>
      </c>
      <c r="D39" s="25" t="inlineStr">
        <is>
          <t>Material Add-backs</t>
        </is>
      </c>
      <c r="E39" s="25" t="inlineStr">
        <is>
          <t>Material Add-backs</t>
        </is>
      </c>
      <c r="F39" s="25" t="inlineStr">
        <is>
          <t>Material Add-backs</t>
        </is>
      </c>
      <c r="G39" s="25" t="inlineStr">
        <is>
          <t>Material Add-backs</t>
        </is>
      </c>
      <c r="H39" s="25" t="inlineStr">
        <is>
          <t>Material Add-backs</t>
        </is>
      </c>
      <c r="I39" s="25" t="inlineStr">
        <is>
          <t>Material Add-backs</t>
        </is>
      </c>
    </row>
    <row r="40"/>
    <row r="41">
      <c r="B41" s="3" t="inlineStr">
        <is>
          <t>VII. DETAILED EBITDA RECONCILIATION FOOTNOTES</t>
        </is>
      </c>
    </row>
    <row r="42">
      <c r="B42" s="26" t="inlineStr">
        <is>
          <t>[2021A] Material Add-backs: Reported EBITDA includes +$15.6M (+7.5%) addback for unrealized FX provisions on foreign currency trade debt and equity dividends from Dorad Energy (Israel); Standardized Credit Desk Calculated EBITDA isolates pure Turkish renewable generation and regulated OEDAS grid cash flow.</t>
        </is>
      </c>
    </row>
    <row r="43">
      <c r="B43" s="26" t="inlineStr">
        <is>
          <t>[2022A] Material Add-backs: Reported EBITDA includes +$19.2M (+7.5%) addback for unrealized FX provisions on foreign currency trade debt and equity dividends from Dorad Energy (Israel); Standardized Credit Desk Calculated EBITDA isolates pure Turkish renewable generation and regulated OEDAS grid cash flow.</t>
        </is>
      </c>
    </row>
    <row r="44">
      <c r="B44" s="26" t="inlineStr">
        <is>
          <t>[2023A] Material Add-backs: Reported EBITDA includes +$21.6M (+7.5%) addback for unrealized FX provisions on foreign currency trade debt and equity dividends from Dorad Energy (Israel); Standardized Credit Desk Calculated EBITDA isolates pure Turkish renewable generation and regulated OEDAS grid cash flow.</t>
        </is>
      </c>
    </row>
    <row r="45">
      <c r="B45" s="26" t="inlineStr">
        <is>
          <t>[2024A] Material Add-backs: Reported EBITDA includes +$24.0M (+7.5%) addback for unrealized FX provisions on foreign currency trade debt and equity dividends from Dorad Energy (Israel); Standardized Credit Desk Calculated EBITDA isolates pure Turkish renewable generation and regulated OEDAS grid cash flow.</t>
        </is>
      </c>
    </row>
    <row r="46">
      <c r="B46" s="26" t="inlineStr">
        <is>
          <t>[2025E] Material Add-backs: Reported EBITDA includes +$26.4M (+7.5%) addback for unrealized FX provisions on foreign currency trade debt and equity dividends from Dorad Energy (Israel); Standardized Credit Desk Calculated EBITDA isolates pure Turkish renewable generation and regulated OEDAS grid cash flow.</t>
        </is>
      </c>
    </row>
    <row r="47">
      <c r="B47" s="26" t="inlineStr">
        <is>
          <t>[2026E] Material Add-backs: Reported EBITDA includes +$28.3M (+7.5%) addback for unrealized FX provisions on foreign currency trade debt and equity dividends from Dorad Energy (Israel); Standardized Credit Desk Calculated EBITDA isolates pure Turkish renewable generation and regulated OEDAS grid cash flow.</t>
        </is>
      </c>
    </row>
    <row r="48">
      <c r="B48" s="26" t="inlineStr">
        <is>
          <t>[2027E] Material Add-backs: Reported EBITDA includes +$29.8M (+7.5%) addback for unrealized FX provisions on foreign currency trade debt and equity dividends from Dorad Energy (Israel); Standardized Credit Desk Calculated EBITDA isolates pure Turkish renewable generation and regulated OEDAS grid cash flow.</t>
        </is>
      </c>
    </row>
  </sheetData>
  <mergeCells count="8">
    <mergeCell ref="B44:I44"/>
    <mergeCell ref="B48:I48"/>
    <mergeCell ref="B47:I47"/>
    <mergeCell ref="B2:I2"/>
    <mergeCell ref="B42:I42"/>
    <mergeCell ref="B45:I45"/>
    <mergeCell ref="B46:I46"/>
    <mergeCell ref="B43:I43"/>
  </mergeCells>
  <pageMargins left="0.75" right="0.75" top="1" bottom="1" header="0.5" footer="0.5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4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Zorlu Enerji — Consolidated Balance Sheet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CURRENT ASSETS</t>
        </is>
      </c>
    </row>
    <row r="7">
      <c r="B7" s="9" t="inlineStr">
        <is>
          <t xml:space="preserve">  Cash &amp; Cash Equivalents</t>
        </is>
      </c>
      <c r="C7" s="21">
        <f>'Cash Flow Statement'!C26</f>
        <v/>
      </c>
      <c r="D7" s="21">
        <f>'Cash Flow Statement'!D26</f>
        <v/>
      </c>
      <c r="E7" s="21">
        <f>'Cash Flow Statement'!E26</f>
        <v/>
      </c>
      <c r="F7" s="21">
        <f>'Cash Flow Statement'!F26</f>
        <v/>
      </c>
      <c r="G7" s="21">
        <f>'Cash Flow Statement'!G26</f>
        <v/>
      </c>
      <c r="H7" s="21">
        <f>'Cash Flow Statement'!H26</f>
        <v/>
      </c>
      <c r="I7" s="21">
        <f>'Cash Flow Statement'!I26</f>
        <v/>
      </c>
    </row>
    <row r="8">
      <c r="B8" s="7" t="inlineStr">
        <is>
          <t xml:space="preserve">  Accounts Receivable (Trade Debtors)</t>
        </is>
      </c>
      <c r="C8" s="8">
        <f>'Income Statement (P&amp;L)'!C10 / 365 * 45</f>
        <v/>
      </c>
      <c r="D8" s="8">
        <f>'Income Statement (P&amp;L)'!D10 / 365 * 45</f>
        <v/>
      </c>
      <c r="E8" s="8">
        <f>'Income Statement (P&amp;L)'!E10 / 365 * 45</f>
        <v/>
      </c>
      <c r="F8" s="8">
        <f>'Income Statement (P&amp;L)'!F10 / 365 * 45</f>
        <v/>
      </c>
      <c r="G8" s="8">
        <f>'Income Statement (P&amp;L)'!G10 / 365 * 45</f>
        <v/>
      </c>
      <c r="H8" s="8">
        <f>'Income Statement (P&amp;L)'!H10 / 365 * 45</f>
        <v/>
      </c>
      <c r="I8" s="8">
        <f>'Income Statement (P&amp;L)'!I10 / 365 * 45</f>
        <v/>
      </c>
    </row>
    <row r="9">
      <c r="B9" s="7" t="inlineStr">
        <is>
          <t xml:space="preserve">  Inventories &amp; Spare Parts</t>
        </is>
      </c>
      <c r="C9" s="8">
        <f>'Income Statement (P&amp;L)'!C16 / 365 * 35</f>
        <v/>
      </c>
      <c r="D9" s="8">
        <f>'Income Statement (P&amp;L)'!D16 / 365 * 35</f>
        <v/>
      </c>
      <c r="E9" s="8">
        <f>'Income Statement (P&amp;L)'!E16 / 365 * 35</f>
        <v/>
      </c>
      <c r="F9" s="8">
        <f>'Income Statement (P&amp;L)'!F16 / 365 * 35</f>
        <v/>
      </c>
      <c r="G9" s="8">
        <f>'Income Statement (P&amp;L)'!G16 / 365 * 35</f>
        <v/>
      </c>
      <c r="H9" s="8">
        <f>'Income Statement (P&amp;L)'!H16 / 365 * 35</f>
        <v/>
      </c>
      <c r="I9" s="8">
        <f>'Income Statement (P&amp;L)'!I16 / 365 * 35</f>
        <v/>
      </c>
    </row>
    <row r="10">
      <c r="B10" s="7" t="inlineStr">
        <is>
          <t xml:space="preserve">  Prepayments &amp; Other Current Assets</t>
        </is>
      </c>
      <c r="C10" s="8">
        <f>'Income Statement (P&amp;L)'!C10 * 0.03</f>
        <v/>
      </c>
      <c r="D10" s="8">
        <f>'Income Statement (P&amp;L)'!D10 * 0.03</f>
        <v/>
      </c>
      <c r="E10" s="8">
        <f>'Income Statement (P&amp;L)'!E10 * 0.03</f>
        <v/>
      </c>
      <c r="F10" s="8">
        <f>'Income Statement (P&amp;L)'!F10 * 0.03</f>
        <v/>
      </c>
      <c r="G10" s="8">
        <f>'Income Statement (P&amp;L)'!G10 * 0.03</f>
        <v/>
      </c>
      <c r="H10" s="8">
        <f>'Income Statement (P&amp;L)'!H10 * 0.03</f>
        <v/>
      </c>
      <c r="I10" s="8">
        <f>'Income Statement (P&amp;L)'!I10 * 0.03</f>
        <v/>
      </c>
    </row>
    <row r="11">
      <c r="B11" s="15" t="inlineStr">
        <is>
          <t>Total Current Assets</t>
        </is>
      </c>
      <c r="C11" s="16">
        <f>SUM(C7:C10)</f>
        <v/>
      </c>
      <c r="D11" s="16">
        <f>SUM(D7:D10)</f>
        <v/>
      </c>
      <c r="E11" s="16">
        <f>SUM(E7:E10)</f>
        <v/>
      </c>
      <c r="F11" s="16">
        <f>SUM(F7:F10)</f>
        <v/>
      </c>
      <c r="G11" s="16">
        <f>SUM(G7:G10)</f>
        <v/>
      </c>
      <c r="H11" s="16">
        <f>SUM(H7:H10)</f>
        <v/>
      </c>
      <c r="I11" s="16">
        <f>SUM(I7:I10)</f>
        <v/>
      </c>
    </row>
    <row r="12"/>
    <row r="13">
      <c r="B13" s="3" t="inlineStr">
        <is>
          <t>II. NON-CURRENT ASSETS (PP&amp;E &amp; INTANGIBLES)</t>
        </is>
      </c>
    </row>
    <row r="14">
      <c r="B14" s="7" t="inlineStr">
        <is>
          <t xml:space="preserve">  Beginning Net PP&amp;E</t>
        </is>
      </c>
      <c r="C14" s="8" t="n">
        <v>1224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Add: Capital Expenditures (Capex)</t>
        </is>
      </c>
      <c r="C15" s="8">
        <f>-'Cash Flow Statement'!C16</f>
        <v/>
      </c>
      <c r="D15" s="8">
        <f>-'Cash Flow Statement'!D16</f>
        <v/>
      </c>
      <c r="E15" s="8">
        <f>-'Cash Flow Statement'!E16</f>
        <v/>
      </c>
      <c r="F15" s="8">
        <f>-'Cash Flow Statement'!F16</f>
        <v/>
      </c>
      <c r="G15" s="8">
        <f>-'Cash Flow Statement'!G16</f>
        <v/>
      </c>
      <c r="H15" s="8">
        <f>-'Cash Flow Statement'!H16</f>
        <v/>
      </c>
      <c r="I15" s="8">
        <f>-'Cash Flow Statement'!I16</f>
        <v/>
      </c>
    </row>
    <row r="16">
      <c r="B16" s="7" t="inlineStr">
        <is>
          <t xml:space="preserve">  Less: Depreciation &amp; Amortization (D&amp;A)</t>
        </is>
      </c>
      <c r="C16" s="8">
        <f>C14 * 0.08</f>
        <v/>
      </c>
      <c r="D16" s="8">
        <f>D14 * 0.08</f>
        <v/>
      </c>
      <c r="E16" s="8">
        <f>E14 * 0.08</f>
        <v/>
      </c>
      <c r="F16" s="8">
        <f>F14 * 0.08</f>
        <v/>
      </c>
      <c r="G16" s="8">
        <f>G14 * 0.08</f>
        <v/>
      </c>
      <c r="H16" s="8">
        <f>H14 * 0.08</f>
        <v/>
      </c>
      <c r="I16" s="8">
        <f>I14 * 0.08</f>
        <v/>
      </c>
    </row>
    <row r="17">
      <c r="B17" s="9" t="inlineStr">
        <is>
          <t xml:space="preserve">  Ending Net PP&amp;E</t>
        </is>
      </c>
      <c r="C17" s="21">
        <f>C14 + C15 - C16</f>
        <v/>
      </c>
      <c r="D17" s="21">
        <f>D14 + D15 - D16</f>
        <v/>
      </c>
      <c r="E17" s="21">
        <f>E14 + E15 - E16</f>
        <v/>
      </c>
      <c r="F17" s="21">
        <f>F14 + F15 - F16</f>
        <v/>
      </c>
      <c r="G17" s="21">
        <f>G14 + G15 - G16</f>
        <v/>
      </c>
      <c r="H17" s="21">
        <f>H14 + H15 - H16</f>
        <v/>
      </c>
      <c r="I17" s="21">
        <f>I14 + I15 - I16</f>
        <v/>
      </c>
    </row>
    <row r="18">
      <c r="B18" s="7" t="inlineStr">
        <is>
          <t xml:space="preserve">  Right-of-Use Leased Assets</t>
        </is>
      </c>
      <c r="C18" s="8">
        <f>'Income Statement (P&amp;L)'!C10 * 0.08</f>
        <v/>
      </c>
      <c r="D18" s="8">
        <f>'Income Statement (P&amp;L)'!D10 * 0.08</f>
        <v/>
      </c>
      <c r="E18" s="8">
        <f>'Income Statement (P&amp;L)'!E10 * 0.08</f>
        <v/>
      </c>
      <c r="F18" s="8">
        <f>'Income Statement (P&amp;L)'!F10 * 0.08</f>
        <v/>
      </c>
      <c r="G18" s="8">
        <f>'Income Statement (P&amp;L)'!G10 * 0.08</f>
        <v/>
      </c>
      <c r="H18" s="8">
        <f>'Income Statement (P&amp;L)'!H10 * 0.08</f>
        <v/>
      </c>
      <c r="I18" s="8">
        <f>'Income Statement (P&amp;L)'!I10 * 0.08</f>
        <v/>
      </c>
    </row>
    <row r="19">
      <c r="B19" s="7" t="inlineStr">
        <is>
          <t xml:space="preserve">  Intangible Assets, Goodwill &amp; Licenses</t>
        </is>
      </c>
      <c r="C19" s="8">
        <f>'Income Statement (P&amp;L)'!C10 * 0.12</f>
        <v/>
      </c>
      <c r="D19" s="8">
        <f>'Income Statement (P&amp;L)'!D10 * 0.12</f>
        <v/>
      </c>
      <c r="E19" s="8">
        <f>'Income Statement (P&amp;L)'!E10 * 0.12</f>
        <v/>
      </c>
      <c r="F19" s="8">
        <f>'Income Statement (P&amp;L)'!F10 * 0.12</f>
        <v/>
      </c>
      <c r="G19" s="8">
        <f>'Income Statement (P&amp;L)'!G10 * 0.12</f>
        <v/>
      </c>
      <c r="H19" s="8">
        <f>'Income Statement (P&amp;L)'!H10 * 0.12</f>
        <v/>
      </c>
      <c r="I19" s="8">
        <f>'Income Statement (P&amp;L)'!I10 * 0.12</f>
        <v/>
      </c>
    </row>
    <row r="20">
      <c r="B20" s="15" t="inlineStr">
        <is>
          <t>Total Non-Current Assets</t>
        </is>
      </c>
      <c r="C20" s="16">
        <f>SUM(C17:C19)</f>
        <v/>
      </c>
      <c r="D20" s="16">
        <f>SUM(D17:D19)</f>
        <v/>
      </c>
      <c r="E20" s="16">
        <f>SUM(E17:E19)</f>
        <v/>
      </c>
      <c r="F20" s="16">
        <f>SUM(F17:F19)</f>
        <v/>
      </c>
      <c r="G20" s="16">
        <f>SUM(G17:G19)</f>
        <v/>
      </c>
      <c r="H20" s="16">
        <f>SUM(H17:H19)</f>
        <v/>
      </c>
      <c r="I20" s="16">
        <f>SUM(I17:I19)</f>
        <v/>
      </c>
    </row>
    <row r="21">
      <c r="B21" s="19" t="inlineStr">
        <is>
          <t>TOTAL CONSOLIDATED ASSETS</t>
        </is>
      </c>
      <c r="C21" s="20">
        <f>C11 + C20</f>
        <v/>
      </c>
      <c r="D21" s="20">
        <f>D11 + D20</f>
        <v/>
      </c>
      <c r="E21" s="20">
        <f>E11 + E20</f>
        <v/>
      </c>
      <c r="F21" s="20">
        <f>F11 + F20</f>
        <v/>
      </c>
      <c r="G21" s="20">
        <f>G11 + G20</f>
        <v/>
      </c>
      <c r="H21" s="20">
        <f>H11 + H20</f>
        <v/>
      </c>
      <c r="I21" s="20">
        <f>I11 + I20</f>
        <v/>
      </c>
    </row>
    <row r="22"/>
    <row r="23">
      <c r="B23" s="3" t="inlineStr">
        <is>
          <t>III. CURRENT LIABILITIES</t>
        </is>
      </c>
    </row>
    <row r="24">
      <c r="B24" s="7" t="inlineStr">
        <is>
          <t xml:space="preserve">  Accounts Payable (Trade Creditors)</t>
        </is>
      </c>
      <c r="C24" s="8">
        <f>'Income Statement (P&amp;L)'!C16 / 365 * 40</f>
        <v/>
      </c>
      <c r="D24" s="8">
        <f>'Income Statement (P&amp;L)'!D16 / 365 * 40</f>
        <v/>
      </c>
      <c r="E24" s="8">
        <f>'Income Statement (P&amp;L)'!E16 / 365 * 40</f>
        <v/>
      </c>
      <c r="F24" s="8">
        <f>'Income Statement (P&amp;L)'!F16 / 365 * 40</f>
        <v/>
      </c>
      <c r="G24" s="8">
        <f>'Income Statement (P&amp;L)'!G16 / 365 * 40</f>
        <v/>
      </c>
      <c r="H24" s="8">
        <f>'Income Statement (P&amp;L)'!H16 / 365 * 40</f>
        <v/>
      </c>
      <c r="I24" s="8">
        <f>'Income Statement (P&amp;L)'!I16 / 365 * 40</f>
        <v/>
      </c>
    </row>
    <row r="25">
      <c r="B25" s="7" t="inlineStr">
        <is>
          <t xml:space="preserve">  Short-Term Debt &amp; Current Portion of LT Debt</t>
        </is>
      </c>
      <c r="C25" s="8">
        <f>'Debt Schedule &amp; Tranches'!C22</f>
        <v/>
      </c>
      <c r="D25" s="8">
        <f>'Debt Schedule &amp; Tranches'!D22</f>
        <v/>
      </c>
      <c r="E25" s="8">
        <f>'Debt Schedule &amp; Tranches'!E22</f>
        <v/>
      </c>
      <c r="F25" s="8">
        <f>'Debt Schedule &amp; Tranches'!F22</f>
        <v/>
      </c>
      <c r="G25" s="8">
        <f>'Debt Schedule &amp; Tranches'!G22</f>
        <v/>
      </c>
      <c r="H25" s="8">
        <f>'Debt Schedule &amp; Tranches'!H22</f>
        <v/>
      </c>
      <c r="I25" s="8">
        <f>'Debt Schedule &amp; Tranches'!I22</f>
        <v/>
      </c>
    </row>
    <row r="26">
      <c r="B26" s="7" t="inlineStr">
        <is>
          <t xml:space="preserve">  Accrued Expenses &amp; Other Current Liabilities</t>
        </is>
      </c>
      <c r="C26" s="8">
        <f>'Income Statement (P&amp;L)'!C10 * 0.04</f>
        <v/>
      </c>
      <c r="D26" s="8">
        <f>'Income Statement (P&amp;L)'!D10 * 0.04</f>
        <v/>
      </c>
      <c r="E26" s="8">
        <f>'Income Statement (P&amp;L)'!E10 * 0.04</f>
        <v/>
      </c>
      <c r="F26" s="8">
        <f>'Income Statement (P&amp;L)'!F10 * 0.04</f>
        <v/>
      </c>
      <c r="G26" s="8">
        <f>'Income Statement (P&amp;L)'!G10 * 0.04</f>
        <v/>
      </c>
      <c r="H26" s="8">
        <f>'Income Statement (P&amp;L)'!H10 * 0.04</f>
        <v/>
      </c>
      <c r="I26" s="8">
        <f>'Income Statement (P&amp;L)'!I10 * 0.04</f>
        <v/>
      </c>
    </row>
    <row r="27">
      <c r="B27" s="15" t="inlineStr">
        <is>
          <t>Total Current Liabilities</t>
        </is>
      </c>
      <c r="C27" s="16">
        <f>SUM(C24:C26)</f>
        <v/>
      </c>
      <c r="D27" s="16">
        <f>SUM(D24:D26)</f>
        <v/>
      </c>
      <c r="E27" s="16">
        <f>SUM(E24:E26)</f>
        <v/>
      </c>
      <c r="F27" s="16">
        <f>SUM(F24:F26)</f>
        <v/>
      </c>
      <c r="G27" s="16">
        <f>SUM(G24:G26)</f>
        <v/>
      </c>
      <c r="H27" s="16">
        <f>SUM(H24:H26)</f>
        <v/>
      </c>
      <c r="I27" s="16">
        <f>SUM(I24:I26)</f>
        <v/>
      </c>
    </row>
    <row r="28"/>
    <row r="29">
      <c r="B29" s="3" t="inlineStr">
        <is>
          <t>IV. NON-CURRENT LIABILITIES</t>
        </is>
      </c>
    </row>
    <row r="30">
      <c r="B30" s="7" t="inlineStr">
        <is>
          <t xml:space="preserve">  Long-Term Debt Tranches</t>
        </is>
      </c>
      <c r="C30" s="8">
        <f>'Debt Schedule &amp; Tranches'!C23</f>
        <v/>
      </c>
      <c r="D30" s="8">
        <f>'Debt Schedule &amp; Tranches'!D23</f>
        <v/>
      </c>
      <c r="E30" s="8">
        <f>'Debt Schedule &amp; Tranches'!E23</f>
        <v/>
      </c>
      <c r="F30" s="8">
        <f>'Debt Schedule &amp; Tranches'!F23</f>
        <v/>
      </c>
      <c r="G30" s="8">
        <f>'Debt Schedule &amp; Tranches'!G23</f>
        <v/>
      </c>
      <c r="H30" s="8">
        <f>'Debt Schedule &amp; Tranches'!H23</f>
        <v/>
      </c>
      <c r="I30" s="8">
        <f>'Debt Schedule &amp; Tranches'!I23</f>
        <v/>
      </c>
    </row>
    <row r="31">
      <c r="B31" s="7" t="inlineStr">
        <is>
          <t xml:space="preserve">  Lease Liabilities &amp; Deferred Tax</t>
        </is>
      </c>
      <c r="C31" s="8">
        <f>C18 * 0.85</f>
        <v/>
      </c>
      <c r="D31" s="8">
        <f>D18 * 0.85</f>
        <v/>
      </c>
      <c r="E31" s="8">
        <f>E18 * 0.85</f>
        <v/>
      </c>
      <c r="F31" s="8">
        <f>F18 * 0.85</f>
        <v/>
      </c>
      <c r="G31" s="8">
        <f>G18 * 0.85</f>
        <v/>
      </c>
      <c r="H31" s="8">
        <f>H18 * 0.85</f>
        <v/>
      </c>
      <c r="I31" s="8">
        <f>I18 * 0.85</f>
        <v/>
      </c>
    </row>
    <row r="32">
      <c r="B32" s="15" t="inlineStr">
        <is>
          <t>Total Non-Current Liabilities</t>
        </is>
      </c>
      <c r="C32" s="16">
        <f>SUM(C30:C31)</f>
        <v/>
      </c>
      <c r="D32" s="16">
        <f>SUM(D30:D31)</f>
        <v/>
      </c>
      <c r="E32" s="16">
        <f>SUM(E30:E31)</f>
        <v/>
      </c>
      <c r="F32" s="16">
        <f>SUM(F30:F31)</f>
        <v/>
      </c>
      <c r="G32" s="16">
        <f>SUM(G30:G31)</f>
        <v/>
      </c>
      <c r="H32" s="16">
        <f>SUM(H30:H31)</f>
        <v/>
      </c>
      <c r="I32" s="16">
        <f>SUM(I30:I31)</f>
        <v/>
      </c>
    </row>
    <row r="33">
      <c r="B33" s="9" t="inlineStr">
        <is>
          <t>TOTAL LIABILITIES</t>
        </is>
      </c>
      <c r="C33" s="21">
        <f>C27 + C32</f>
        <v/>
      </c>
      <c r="D33" s="21">
        <f>D27 + D32</f>
        <v/>
      </c>
      <c r="E33" s="21">
        <f>E27 + E32</f>
        <v/>
      </c>
      <c r="F33" s="21">
        <f>F27 + F32</f>
        <v/>
      </c>
      <c r="G33" s="21">
        <f>G27 + G32</f>
        <v/>
      </c>
      <c r="H33" s="21">
        <f>H27 + H32</f>
        <v/>
      </c>
      <c r="I33" s="21">
        <f>I27 + I32</f>
        <v/>
      </c>
    </row>
    <row r="34"/>
    <row r="35">
      <c r="B35" s="3" t="inlineStr">
        <is>
          <t>V. SHAREHOLDERS' EQUITY</t>
        </is>
      </c>
    </row>
    <row r="36">
      <c r="B36" s="7" t="inlineStr">
        <is>
          <t xml:space="preserve">  Share Capital &amp; Reserves</t>
        </is>
      </c>
      <c r="C36" s="8" t="n">
        <v>285.6</v>
      </c>
      <c r="D36" s="8" t="n">
        <v>285.6</v>
      </c>
      <c r="E36" s="8" t="n">
        <v>285.6</v>
      </c>
      <c r="F36" s="8" t="n">
        <v>285.6</v>
      </c>
      <c r="G36" s="8" t="n">
        <v>285.6</v>
      </c>
      <c r="H36" s="8" t="n">
        <v>285.6</v>
      </c>
      <c r="I36" s="8" t="n">
        <v>285.6</v>
      </c>
    </row>
    <row r="37">
      <c r="B37" s="7" t="inlineStr">
        <is>
          <t xml:space="preserve">  Retained Earnings &amp; Cumulative Reserves</t>
        </is>
      </c>
      <c r="C37" s="8">
        <f>C21 - C33 - C36</f>
        <v/>
      </c>
      <c r="D37" s="8">
        <f>D21 - D33 - D36</f>
        <v/>
      </c>
      <c r="E37" s="8">
        <f>E21 - E33 - E36</f>
        <v/>
      </c>
      <c r="F37" s="8">
        <f>F21 - F33 - F36</f>
        <v/>
      </c>
      <c r="G37" s="8">
        <f>G21 - G33 - G36</f>
        <v/>
      </c>
      <c r="H37" s="8">
        <f>H21 - H33 - H36</f>
        <v/>
      </c>
      <c r="I37" s="8">
        <f>I21 - I33 - I36</f>
        <v/>
      </c>
    </row>
    <row r="38">
      <c r="B38" s="15" t="inlineStr">
        <is>
          <t>TOTAL SHAREHOLDERS' EQUITY</t>
        </is>
      </c>
      <c r="C38" s="16">
        <f>SUM(C36:C37)</f>
        <v/>
      </c>
      <c r="D38" s="16">
        <f>SUM(D36:D37)</f>
        <v/>
      </c>
      <c r="E38" s="16">
        <f>SUM(E36:E37)</f>
        <v/>
      </c>
      <c r="F38" s="16">
        <f>SUM(F36:F37)</f>
        <v/>
      </c>
      <c r="G38" s="16">
        <f>SUM(G36:G37)</f>
        <v/>
      </c>
      <c r="H38" s="16">
        <f>SUM(H36:H37)</f>
        <v/>
      </c>
      <c r="I38" s="16">
        <f>SUM(I36:I37)</f>
        <v/>
      </c>
    </row>
    <row r="39">
      <c r="B39" s="19" t="inlineStr">
        <is>
          <t>TOTAL LIABILITIES &amp; EQUITY</t>
        </is>
      </c>
      <c r="C39" s="20">
        <f>C33 + C38</f>
        <v/>
      </c>
      <c r="D39" s="20">
        <f>D33 + D38</f>
        <v/>
      </c>
      <c r="E39" s="20">
        <f>E33 + E38</f>
        <v/>
      </c>
      <c r="F39" s="20">
        <f>F33 + F38</f>
        <v/>
      </c>
      <c r="G39" s="20">
        <f>G33 + G38</f>
        <v/>
      </c>
      <c r="H39" s="20">
        <f>H33 + H38</f>
        <v/>
      </c>
      <c r="I39" s="20">
        <f>I33 + I38</f>
        <v/>
      </c>
    </row>
    <row r="40"/>
    <row r="41">
      <c r="B41" s="5" t="inlineStr">
        <is>
          <t>BALANCE SHEET INTEGRITY CHECK (ASSETS - LIAB - EQUITY)</t>
        </is>
      </c>
      <c r="C41" s="27">
        <f>C21 - C39</f>
        <v/>
      </c>
      <c r="D41" s="27">
        <f>D21 - D39</f>
        <v/>
      </c>
      <c r="E41" s="27">
        <f>E21 - E39</f>
        <v/>
      </c>
      <c r="F41" s="27">
        <f>F21 - F39</f>
        <v/>
      </c>
      <c r="G41" s="27">
        <f>G21 - G39</f>
        <v/>
      </c>
      <c r="H41" s="27">
        <f>H21 - H39</f>
        <v/>
      </c>
      <c r="I41" s="27">
        <f>I21 - I39</f>
        <v/>
      </c>
    </row>
  </sheetData>
  <mergeCells count="1">
    <mergeCell ref="B2:I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2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Zorlu Enerji — Consolidated Cash Flow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CASH FLOW FROM OPERATING ACTIVITIES (CFO)</t>
        </is>
      </c>
    </row>
    <row r="7">
      <c r="B7" s="7" t="inlineStr">
        <is>
          <t xml:space="preserve">  Net Income (Profit After Tax)</t>
        </is>
      </c>
      <c r="C7" s="8">
        <f>'Income Statement (P&amp;L)'!C31</f>
        <v/>
      </c>
      <c r="D7" s="8">
        <f>'Income Statement (P&amp;L)'!D31</f>
        <v/>
      </c>
      <c r="E7" s="8">
        <f>'Income Statement (P&amp;L)'!E31</f>
        <v/>
      </c>
      <c r="F7" s="8">
        <f>'Income Statement (P&amp;L)'!F31</f>
        <v/>
      </c>
      <c r="G7" s="8">
        <f>'Income Statement (P&amp;L)'!G31</f>
        <v/>
      </c>
      <c r="H7" s="8">
        <f>'Income Statement (P&amp;L)'!H31</f>
        <v/>
      </c>
      <c r="I7" s="8">
        <f>'Income Statement (P&amp;L)'!I31</f>
        <v/>
      </c>
    </row>
    <row r="8">
      <c r="B8" s="7" t="inlineStr">
        <is>
          <t xml:space="preserve">  Add: Depreciation &amp; Amortization (D&amp;A)</t>
        </is>
      </c>
      <c r="C8" s="8">
        <f>'Income Statement (P&amp;L)'!C24</f>
        <v/>
      </c>
      <c r="D8" s="8">
        <f>'Income Statement (P&amp;L)'!D24</f>
        <v/>
      </c>
      <c r="E8" s="8">
        <f>'Income Statement (P&amp;L)'!E24</f>
        <v/>
      </c>
      <c r="F8" s="8">
        <f>'Income Statement (P&amp;L)'!F24</f>
        <v/>
      </c>
      <c r="G8" s="8">
        <f>'Income Statement (P&amp;L)'!G24</f>
        <v/>
      </c>
      <c r="H8" s="8">
        <f>'Income Statement (P&amp;L)'!H24</f>
        <v/>
      </c>
      <c r="I8" s="8">
        <f>'Income Statement (P&amp;L)'!I24</f>
        <v/>
      </c>
    </row>
    <row r="9">
      <c r="B9" s="7" t="inlineStr">
        <is>
          <t xml:space="preserve">  (Increase) / Decrease in Accounts Receivable</t>
        </is>
      </c>
      <c r="C9" s="8" t="n">
        <v>-15</v>
      </c>
      <c r="D9" s="8">
        <f>'Balance Sheet'!C8 - 'Balance Sheet'!D8</f>
        <v/>
      </c>
      <c r="E9" s="8">
        <f>'Balance Sheet'!D8 - 'Balance Sheet'!E8</f>
        <v/>
      </c>
      <c r="F9" s="8">
        <f>'Balance Sheet'!E8 - 'Balance Sheet'!F8</f>
        <v/>
      </c>
      <c r="G9" s="8">
        <f>'Balance Sheet'!F8 - 'Balance Sheet'!G8</f>
        <v/>
      </c>
      <c r="H9" s="8">
        <f>'Balance Sheet'!G8 - 'Balance Sheet'!H8</f>
        <v/>
      </c>
      <c r="I9" s="8">
        <f>'Balance Sheet'!H8 - 'Balance Sheet'!I8</f>
        <v/>
      </c>
    </row>
    <row r="10">
      <c r="B10" s="7" t="inlineStr">
        <is>
          <t xml:space="preserve">  (Increase) / Decrease in Inventories</t>
        </is>
      </c>
      <c r="C10" s="8" t="n">
        <v>-10</v>
      </c>
      <c r="D10" s="8">
        <f>'Balance Sheet'!C9 - 'Balance Sheet'!D9</f>
        <v/>
      </c>
      <c r="E10" s="8">
        <f>'Balance Sheet'!D9 - 'Balance Sheet'!E9</f>
        <v/>
      </c>
      <c r="F10" s="8">
        <f>'Balance Sheet'!E9 - 'Balance Sheet'!F9</f>
        <v/>
      </c>
      <c r="G10" s="8">
        <f>'Balance Sheet'!F9 - 'Balance Sheet'!G9</f>
        <v/>
      </c>
      <c r="H10" s="8">
        <f>'Balance Sheet'!G9 - 'Balance Sheet'!H9</f>
        <v/>
      </c>
      <c r="I10" s="8">
        <f>'Balance Sheet'!H9 - 'Balance Sheet'!I9</f>
        <v/>
      </c>
    </row>
    <row r="11">
      <c r="B11" s="7" t="inlineStr">
        <is>
          <t xml:space="preserve">  Increase / (Decrease) in Accounts Payable</t>
        </is>
      </c>
      <c r="C11" s="8" t="n">
        <v>12</v>
      </c>
      <c r="D11" s="8">
        <f>'Balance Sheet'!D24 - 'Balance Sheet'!C24</f>
        <v/>
      </c>
      <c r="E11" s="8">
        <f>'Balance Sheet'!E24 - 'Balance Sheet'!D24</f>
        <v/>
      </c>
      <c r="F11" s="8">
        <f>'Balance Sheet'!F24 - 'Balance Sheet'!E24</f>
        <v/>
      </c>
      <c r="G11" s="8">
        <f>'Balance Sheet'!G24 - 'Balance Sheet'!F24</f>
        <v/>
      </c>
      <c r="H11" s="8">
        <f>'Balance Sheet'!H24 - 'Balance Sheet'!G24</f>
        <v/>
      </c>
      <c r="I11" s="8">
        <f>'Balance Sheet'!I24 - 'Balance Sheet'!H24</f>
        <v/>
      </c>
    </row>
    <row r="12">
      <c r="B12" s="7" t="inlineStr">
        <is>
          <t xml:space="preserve">  Other Non-Cash &amp; Working Capital Changes</t>
        </is>
      </c>
      <c r="C12" s="8" t="n">
        <v>5</v>
      </c>
      <c r="D12" s="8" t="n">
        <v>5</v>
      </c>
      <c r="E12" s="8" t="n">
        <v>5</v>
      </c>
      <c r="F12" s="8" t="n">
        <v>5</v>
      </c>
      <c r="G12" s="8" t="n">
        <v>5</v>
      </c>
      <c r="H12" s="8" t="n">
        <v>5</v>
      </c>
      <c r="I12" s="8" t="n">
        <v>5</v>
      </c>
    </row>
    <row r="13"/>
    <row r="14">
      <c r="B14" s="19" t="inlineStr">
        <is>
          <t>Cash Flow from Operations (CFO)</t>
        </is>
      </c>
      <c r="C14" s="20">
        <f>SUM(C7:C12)</f>
        <v/>
      </c>
      <c r="D14" s="20">
        <f>SUM(D7:D12)</f>
        <v/>
      </c>
      <c r="E14" s="20">
        <f>SUM(E7:E12)</f>
        <v/>
      </c>
      <c r="F14" s="20">
        <f>SUM(F7:F12)</f>
        <v/>
      </c>
      <c r="G14" s="20">
        <f>SUM(G7:G12)</f>
        <v/>
      </c>
      <c r="H14" s="20">
        <f>SUM(H7:H12)</f>
        <v/>
      </c>
      <c r="I14" s="20">
        <f>SUM(I7:I12)</f>
        <v/>
      </c>
    </row>
    <row r="15">
      <c r="B15" s="3" t="inlineStr">
        <is>
          <t>II. CASH FLOW FROM INVESTING ACTIVITIES (CFI)</t>
        </is>
      </c>
    </row>
    <row r="16">
      <c r="B16" s="7" t="inlineStr">
        <is>
          <t xml:space="preserve">  Capital Expenditures (Capex - Maintenance &amp; Expansion)</t>
        </is>
      </c>
      <c r="C16" s="8" t="n">
        <v>-78.40000000000001</v>
      </c>
      <c r="D16" s="8" t="n">
        <v>-95.2</v>
      </c>
      <c r="E16" s="8" t="n">
        <v>-106.4</v>
      </c>
      <c r="F16" s="8" t="n">
        <v>-112</v>
      </c>
      <c r="G16" s="8" t="n">
        <v>-117.6</v>
      </c>
      <c r="H16" s="8" t="n">
        <v>-114.2</v>
      </c>
      <c r="I16" s="8" t="n">
        <v>-109.8</v>
      </c>
    </row>
    <row r="17">
      <c r="B17" s="7" t="inlineStr">
        <is>
          <t xml:space="preserve">  Proceeds from Asset Disposals &amp; Strategic Divestments</t>
        </is>
      </c>
      <c r="C17" s="8" t="n">
        <v>0</v>
      </c>
      <c r="D17" s="8" t="n">
        <v>10</v>
      </c>
      <c r="E17" s="8" t="n">
        <v>0</v>
      </c>
      <c r="F17" s="8" t="n">
        <v>10</v>
      </c>
      <c r="G17" s="8" t="n">
        <v>0</v>
      </c>
      <c r="H17" s="8" t="n">
        <v>10</v>
      </c>
      <c r="I17" s="8" t="n">
        <v>0</v>
      </c>
    </row>
    <row r="18">
      <c r="B18" s="15" t="inlineStr">
        <is>
          <t>Cash Flow from Investing Activities (CFI)</t>
        </is>
      </c>
      <c r="C18" s="16">
        <f>SUM(C16:C17)</f>
        <v/>
      </c>
      <c r="D18" s="16">
        <f>SUM(D16:D17)</f>
        <v/>
      </c>
      <c r="E18" s="16">
        <f>SUM(E16:E17)</f>
        <v/>
      </c>
      <c r="F18" s="16">
        <f>SUM(F16:F17)</f>
        <v/>
      </c>
      <c r="G18" s="16">
        <f>SUM(G16:G17)</f>
        <v/>
      </c>
      <c r="H18" s="16">
        <f>SUM(H16:H17)</f>
        <v/>
      </c>
      <c r="I18" s="16">
        <f>SUM(I16:I17)</f>
        <v/>
      </c>
    </row>
    <row r="19">
      <c r="B19" s="3" t="inlineStr">
        <is>
          <t>III. CASH FLOW FROM FINANCING ACTIVITIES (CFF)</t>
        </is>
      </c>
    </row>
    <row r="20">
      <c r="B20" s="7" t="inlineStr">
        <is>
          <t xml:space="preserve">  Proceeds from New Long-Term Debt Issuances</t>
        </is>
      </c>
      <c r="C20" s="8">
        <f>'Debt Schedule &amp; Tranches'!C19</f>
        <v/>
      </c>
      <c r="D20" s="8">
        <f>'Debt Schedule &amp; Tranches'!D19</f>
        <v/>
      </c>
      <c r="E20" s="8">
        <f>'Debt Schedule &amp; Tranches'!E19</f>
        <v/>
      </c>
      <c r="F20" s="8">
        <f>'Debt Schedule &amp; Tranches'!F19</f>
        <v/>
      </c>
      <c r="G20" s="8">
        <f>'Debt Schedule &amp; Tranches'!G19</f>
        <v/>
      </c>
      <c r="H20" s="8">
        <f>'Debt Schedule &amp; Tranches'!H19</f>
        <v/>
      </c>
      <c r="I20" s="8">
        <f>'Debt Schedule &amp; Tranches'!I19</f>
        <v/>
      </c>
    </row>
    <row r="21">
      <c r="B21" s="7" t="inlineStr">
        <is>
          <t xml:space="preserve">  Repayments of Maturing Debt &amp; Bank Loans</t>
        </is>
      </c>
      <c r="C21" s="8">
        <f>-'Debt Schedule &amp; Tranches'!C20</f>
        <v/>
      </c>
      <c r="D21" s="8">
        <f>-'Debt Schedule &amp; Tranches'!D20</f>
        <v/>
      </c>
      <c r="E21" s="8">
        <f>-'Debt Schedule &amp; Tranches'!E20</f>
        <v/>
      </c>
      <c r="F21" s="8">
        <f>-'Debt Schedule &amp; Tranches'!F20</f>
        <v/>
      </c>
      <c r="G21" s="8">
        <f>-'Debt Schedule &amp; Tranches'!G20</f>
        <v/>
      </c>
      <c r="H21" s="8">
        <f>-'Debt Schedule &amp; Tranches'!H20</f>
        <v/>
      </c>
      <c r="I21" s="8">
        <f>-'Debt Schedule &amp; Tranches'!I20</f>
        <v/>
      </c>
    </row>
    <row r="22">
      <c r="B22" s="7" t="inlineStr">
        <is>
          <t xml:space="preserve">  Principal Elements of Lease Payments</t>
        </is>
      </c>
      <c r="C22" s="8" t="n">
        <v>-15</v>
      </c>
      <c r="D22" s="8" t="n">
        <v>-15</v>
      </c>
      <c r="E22" s="8" t="n">
        <v>-15</v>
      </c>
      <c r="F22" s="8" t="n">
        <v>-15</v>
      </c>
      <c r="G22" s="8" t="n">
        <v>-15</v>
      </c>
      <c r="H22" s="8" t="n">
        <v>-15</v>
      </c>
      <c r="I22" s="8" t="n">
        <v>-15</v>
      </c>
    </row>
    <row r="23">
      <c r="B23" s="7" t="inlineStr">
        <is>
          <t xml:space="preserve">  Dividends Paid to Equity Shareholders</t>
        </is>
      </c>
      <c r="C23" s="8">
        <f>IF('Income Statement (P&amp;L)'!C31 &gt; 0, -'Income Statement (P&amp;L)'!C31 * 0.30, 0)</f>
        <v/>
      </c>
      <c r="D23" s="8">
        <f>IF('Income Statement (P&amp;L)'!D31 &gt; 0, -'Income Statement (P&amp;L)'!D31 * 0.30, 0)</f>
        <v/>
      </c>
      <c r="E23" s="8">
        <f>IF('Income Statement (P&amp;L)'!E31 &gt; 0, -'Income Statement (P&amp;L)'!E31 * 0.30, 0)</f>
        <v/>
      </c>
      <c r="F23" s="8">
        <f>IF('Income Statement (P&amp;L)'!F31 &gt; 0, -'Income Statement (P&amp;L)'!F31 * 0.30, 0)</f>
        <v/>
      </c>
      <c r="G23" s="8">
        <f>IF('Income Statement (P&amp;L)'!G31 &gt; 0, -'Income Statement (P&amp;L)'!G31 * 0.30, 0)</f>
        <v/>
      </c>
      <c r="H23" s="8">
        <f>IF('Income Statement (P&amp;L)'!H31 &gt; 0, -'Income Statement (P&amp;L)'!H31 * 0.30, 0)</f>
        <v/>
      </c>
      <c r="I23" s="8">
        <f>IF('Income Statement (P&amp;L)'!I31 &gt; 0, -'Income Statement (P&amp;L)'!I31 * 0.30, 0)</f>
        <v/>
      </c>
    </row>
    <row r="24">
      <c r="B24" s="15" t="inlineStr">
        <is>
          <t>Cash Flow from Financing Activities (CFF)</t>
        </is>
      </c>
      <c r="C24" s="16">
        <f>SUM(C20:C23)</f>
        <v/>
      </c>
      <c r="D24" s="16">
        <f>SUM(D20:D23)</f>
        <v/>
      </c>
      <c r="E24" s="16">
        <f>SUM(E20:E23)</f>
        <v/>
      </c>
      <c r="F24" s="16">
        <f>SUM(F20:F23)</f>
        <v/>
      </c>
      <c r="G24" s="16">
        <f>SUM(G20:G23)</f>
        <v/>
      </c>
      <c r="H24" s="16">
        <f>SUM(H20:H23)</f>
        <v/>
      </c>
      <c r="I24" s="16">
        <f>SUM(I20:I23)</f>
        <v/>
      </c>
    </row>
    <row r="25">
      <c r="B25" s="9" t="inlineStr">
        <is>
          <t>Net Change in Cash &amp; Cash Equivalents</t>
        </is>
      </c>
      <c r="C25" s="21">
        <f>C14 + C18 + C24</f>
        <v/>
      </c>
      <c r="D25" s="21">
        <f>D14 + D18 + D24</f>
        <v/>
      </c>
      <c r="E25" s="21">
        <f>E14 + E18 + E24</f>
        <v/>
      </c>
      <c r="F25" s="21">
        <f>F14 + F18 + F24</f>
        <v/>
      </c>
      <c r="G25" s="21">
        <f>G14 + G18 + G24</f>
        <v/>
      </c>
      <c r="H25" s="21">
        <f>H14 + H18 + H24</f>
        <v/>
      </c>
      <c r="I25" s="21">
        <f>I14 + I18 + I24</f>
        <v/>
      </c>
    </row>
    <row r="26">
      <c r="B26" s="19" t="inlineStr">
        <is>
          <t>Ending Cash &amp; Liquid Reserves (Feeds Balance Sheet)</t>
        </is>
      </c>
      <c r="C26" s="20" t="n">
        <v>132</v>
      </c>
      <c r="D26" s="20">
        <f>C26 + D25</f>
        <v/>
      </c>
      <c r="E26" s="20">
        <f>D26 + E25</f>
        <v/>
      </c>
      <c r="F26" s="20">
        <f>E26 + F25</f>
        <v/>
      </c>
      <c r="G26" s="20">
        <f>F26 + G25</f>
        <v/>
      </c>
      <c r="H26" s="20">
        <f>G26 + H25</f>
        <v/>
      </c>
      <c r="I26" s="20">
        <f>H26 + I25</f>
        <v/>
      </c>
    </row>
    <row r="27"/>
    <row r="28">
      <c r="B28" s="15" t="inlineStr">
        <is>
          <t>FREE CASH FLOW (FCF = CFO + Capex)</t>
        </is>
      </c>
      <c r="C28" s="16">
        <f>C14 + C16</f>
        <v/>
      </c>
      <c r="D28" s="16">
        <f>D14 + D16</f>
        <v/>
      </c>
      <c r="E28" s="16">
        <f>E14 + E16</f>
        <v/>
      </c>
      <c r="F28" s="16">
        <f>F14 + F16</f>
        <v/>
      </c>
      <c r="G28" s="16">
        <f>G14 + G16</f>
        <v/>
      </c>
      <c r="H28" s="16">
        <f>H14 + H16</f>
        <v/>
      </c>
      <c r="I28" s="16">
        <f>I14 + I16</f>
        <v/>
      </c>
    </row>
  </sheetData>
  <mergeCells count="1">
    <mergeCell ref="B2:I2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60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98" customWidth="1" min="3" max="3"/>
    <col width="36" customWidth="1" min="4" max="4"/>
    <col width="53" customWidth="1" min="5" max="5"/>
    <col width="169" customWidth="1" min="6" max="6"/>
    <col width="15" customWidth="1" min="7" max="7"/>
    <col width="14" customWidth="1" min="8" max="8"/>
    <col width="81" customWidth="1" min="9" max="9"/>
    <col width="48" customWidth="1" min="10" max="10"/>
    <col width="14" customWidth="1" min="11" max="11"/>
    <col width="14" customWidth="1" min="12" max="12"/>
  </cols>
  <sheetData>
    <row r="1"/>
    <row r="2">
      <c r="B2" s="1" t="inlineStr">
        <is>
          <t>Zorlu Enerji — Comprehensive Debt &amp; Amortization Schedule</t>
        </is>
      </c>
    </row>
    <row r="3"/>
    <row r="4">
      <c r="B4" s="5" t="inlineStr">
        <is>
          <t>Instrument / 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ZOREN Benchmark Eurobond Notes</t>
        </is>
      </c>
    </row>
    <row r="7">
      <c r="B7" s="7" t="inlineStr">
        <is>
          <t xml:space="preserve">  Beginning Principal Balance</t>
        </is>
      </c>
      <c r="C7" s="8" t="n">
        <v>681.8</v>
      </c>
      <c r="D7" s="8">
        <f>C10</f>
        <v/>
      </c>
      <c r="E7" s="8">
        <f>D10</f>
        <v/>
      </c>
      <c r="F7" s="8">
        <f>E10</f>
        <v/>
      </c>
      <c r="G7" s="8">
        <f>F10</f>
        <v/>
      </c>
      <c r="H7" s="8">
        <f>G10</f>
        <v/>
      </c>
      <c r="I7" s="8">
        <f>H10</f>
        <v/>
      </c>
    </row>
    <row r="8">
      <c r="B8" s="7" t="inlineStr">
        <is>
          <t xml:space="preserve">  New Notes Issued</t>
        </is>
      </c>
      <c r="C8" s="8" t="n">
        <v>0</v>
      </c>
      <c r="D8" s="8" t="n">
        <v>0</v>
      </c>
      <c r="E8" s="8" t="n">
        <v>227.2</v>
      </c>
      <c r="F8" s="8" t="n">
        <v>0</v>
      </c>
      <c r="G8" s="8" t="n">
        <v>0</v>
      </c>
      <c r="H8" s="8" t="n">
        <v>0</v>
      </c>
      <c r="I8" s="8" t="n">
        <v>0</v>
      </c>
    </row>
    <row r="9">
      <c r="B9" s="7" t="inlineStr">
        <is>
          <t xml:space="preserve">  Repayments / Redemptions</t>
        </is>
      </c>
      <c r="C9" s="8" t="n">
        <v>0</v>
      </c>
      <c r="D9" s="8" t="n">
        <v>0</v>
      </c>
      <c r="E9" s="8" t="n">
        <v>0</v>
      </c>
      <c r="F9" s="8" t="n">
        <v>0</v>
      </c>
      <c r="G9" s="8" t="n">
        <v>151.5</v>
      </c>
      <c r="H9" s="8" t="n">
        <v>0</v>
      </c>
      <c r="I9" s="8" t="n">
        <v>0</v>
      </c>
    </row>
    <row r="10">
      <c r="B10" s="9" t="inlineStr">
        <is>
          <t xml:space="preserve">  Ending Principal Balance</t>
        </is>
      </c>
      <c r="C10" s="21">
        <f>C7 + C8 - C9</f>
        <v/>
      </c>
      <c r="D10" s="21">
        <f>D7 + D8 - D9</f>
        <v/>
      </c>
      <c r="E10" s="21">
        <f>E7 + E8 - E9</f>
        <v/>
      </c>
      <c r="F10" s="21">
        <f>F7 + F8 - F9</f>
        <v/>
      </c>
      <c r="G10" s="21">
        <f>G7 + G8 - G9</f>
        <v/>
      </c>
      <c r="H10" s="21">
        <f>H7 + H8 - H9</f>
        <v/>
      </c>
      <c r="I10" s="21">
        <f>I7 + I8 - I9</f>
        <v/>
      </c>
    </row>
    <row r="11">
      <c r="B11" s="7" t="inlineStr">
        <is>
          <t xml:space="preserve">  Interest Expense (Calculated)</t>
        </is>
      </c>
      <c r="C11" s="8">
        <f>C10 * 0.1120</f>
        <v/>
      </c>
      <c r="D11" s="8">
        <f>D10 * 0.1120</f>
        <v/>
      </c>
      <c r="E11" s="8">
        <f>E10 * 0.1120</f>
        <v/>
      </c>
      <c r="F11" s="8">
        <f>F10 * 0.1120</f>
        <v/>
      </c>
      <c r="G11" s="8">
        <f>G10 * 0.1120</f>
        <v/>
      </c>
      <c r="H11" s="8">
        <f>H10 * 0.1120</f>
        <v/>
      </c>
      <c r="I11" s="8">
        <f>I10 * 0.1120</f>
        <v/>
      </c>
    </row>
    <row r="12"/>
    <row r="13">
      <c r="B13" s="3" t="inlineStr">
        <is>
          <t>II. Syndicated Bank Loans &amp; Credit Lines</t>
        </is>
      </c>
    </row>
    <row r="14">
      <c r="B14" s="7" t="inlineStr">
        <is>
          <t xml:space="preserve">  Beginning Balance</t>
        </is>
      </c>
      <c r="C14" s="8" t="n">
        <v>833.3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New Drawdowns</t>
        </is>
      </c>
      <c r="C15" s="8" t="n">
        <v>0</v>
      </c>
      <c r="D15" s="8" t="n">
        <v>50</v>
      </c>
      <c r="E15" s="8" t="n">
        <v>0</v>
      </c>
      <c r="F15" s="8" t="n">
        <v>50</v>
      </c>
      <c r="G15" s="8" t="n">
        <v>0</v>
      </c>
      <c r="H15" s="8" t="n">
        <v>50</v>
      </c>
      <c r="I15" s="8" t="n">
        <v>0</v>
      </c>
    </row>
    <row r="16">
      <c r="B16" s="7" t="inlineStr">
        <is>
          <t xml:space="preserve">  Scheduled Amortizations</t>
        </is>
      </c>
      <c r="C16" s="8" t="n">
        <v>20</v>
      </c>
      <c r="D16" s="8" t="n">
        <v>20</v>
      </c>
      <c r="E16" s="8" t="n">
        <v>40</v>
      </c>
      <c r="F16" s="8" t="n">
        <v>40</v>
      </c>
      <c r="G16" s="8" t="n">
        <v>40</v>
      </c>
      <c r="H16" s="8" t="n">
        <v>40</v>
      </c>
      <c r="I16" s="8" t="n">
        <v>40</v>
      </c>
    </row>
    <row r="17">
      <c r="B17" s="9" t="inlineStr">
        <is>
          <t xml:space="preserve">  Ending Balance</t>
        </is>
      </c>
      <c r="C17" s="21">
        <f>C14 + C15 - C16</f>
        <v/>
      </c>
      <c r="D17" s="21">
        <f>D14 + D15 - D16</f>
        <v/>
      </c>
      <c r="E17" s="21">
        <f>E14 + E15 - E16</f>
        <v/>
      </c>
      <c r="F17" s="21">
        <f>F14 + F15 - F16</f>
        <v/>
      </c>
      <c r="G17" s="21">
        <f>G14 + G15 - G16</f>
        <v/>
      </c>
      <c r="H17" s="21">
        <f>H14 + H15 - H16</f>
        <v/>
      </c>
      <c r="I17" s="21">
        <f>I14 + I15 - I16</f>
        <v/>
      </c>
    </row>
    <row r="18">
      <c r="B18" s="7" t="inlineStr">
        <is>
          <t xml:space="preserve">  Interest Expense</t>
        </is>
      </c>
      <c r="C18" s="8">
        <f>C17 * 0.0625</f>
        <v/>
      </c>
      <c r="D18" s="8">
        <f>D17 * 0.0625</f>
        <v/>
      </c>
      <c r="E18" s="8">
        <f>E17 * 0.0625</f>
        <v/>
      </c>
      <c r="F18" s="8">
        <f>F17 * 0.0625</f>
        <v/>
      </c>
      <c r="G18" s="8">
        <f>G17 * 0.0625</f>
        <v/>
      </c>
      <c r="H18" s="8">
        <f>H17 * 0.0625</f>
        <v/>
      </c>
      <c r="I18" s="8">
        <f>I17 * 0.0625</f>
        <v/>
      </c>
    </row>
    <row r="19">
      <c r="B19" s="9" t="inlineStr">
        <is>
          <t>Total New Debt Proceeds (Feeds CFF)</t>
        </is>
      </c>
      <c r="C19" s="21">
        <f>C8 + C15</f>
        <v/>
      </c>
      <c r="D19" s="21">
        <f>D8 + D15</f>
        <v/>
      </c>
      <c r="E19" s="21">
        <f>E8 + E15</f>
        <v/>
      </c>
      <c r="F19" s="21">
        <f>F8 + F15</f>
        <v/>
      </c>
      <c r="G19" s="21">
        <f>G8 + G15</f>
        <v/>
      </c>
      <c r="H19" s="21">
        <f>H8 + H15</f>
        <v/>
      </c>
      <c r="I19" s="21">
        <f>I8 + I15</f>
        <v/>
      </c>
    </row>
    <row r="20">
      <c r="B20" s="9" t="inlineStr">
        <is>
          <t>Total Debt Repayments (Feeds CFF)</t>
        </is>
      </c>
      <c r="C20" s="21">
        <f>C9 + C16</f>
        <v/>
      </c>
      <c r="D20" s="21">
        <f>D9 + D16</f>
        <v/>
      </c>
      <c r="E20" s="21">
        <f>E9 + E16</f>
        <v/>
      </c>
      <c r="F20" s="21">
        <f>F9 + F16</f>
        <v/>
      </c>
      <c r="G20" s="21">
        <f>G9 + G16</f>
        <v/>
      </c>
      <c r="H20" s="21">
        <f>H9 + H16</f>
        <v/>
      </c>
      <c r="I20" s="21">
        <f>I9 + I16</f>
        <v/>
      </c>
    </row>
    <row r="21">
      <c r="B21" s="3" t="inlineStr">
        <is>
          <t>III. CONSOLIDATED DEBT TOTALS</t>
        </is>
      </c>
    </row>
    <row r="22">
      <c r="B22" s="7" t="inlineStr">
        <is>
          <t>Short-Term Debt &amp; Current Portion</t>
        </is>
      </c>
      <c r="C22" s="8">
        <f>C20</f>
        <v/>
      </c>
      <c r="D22" s="8">
        <f>D20</f>
        <v/>
      </c>
      <c r="E22" s="8">
        <f>E20</f>
        <v/>
      </c>
      <c r="F22" s="8">
        <f>F20</f>
        <v/>
      </c>
      <c r="G22" s="8">
        <f>G20</f>
        <v/>
      </c>
      <c r="H22" s="8">
        <f>H20</f>
        <v/>
      </c>
      <c r="I22" s="8">
        <f>I20</f>
        <v/>
      </c>
    </row>
    <row r="23">
      <c r="B23" s="7" t="inlineStr">
        <is>
          <t>Long-Term Senior Debt</t>
        </is>
      </c>
      <c r="C23" s="8">
        <f>(C10 + C17) - C22</f>
        <v/>
      </c>
      <c r="D23" s="8">
        <f>(D10 + D17) - D22</f>
        <v/>
      </c>
      <c r="E23" s="8">
        <f>(E10 + E17) - E22</f>
        <v/>
      </c>
      <c r="F23" s="8">
        <f>(F10 + F17) - F22</f>
        <v/>
      </c>
      <c r="G23" s="8">
        <f>(G10 + G17) - G22</f>
        <v/>
      </c>
      <c r="H23" s="8">
        <f>(H10 + H17) - H22</f>
        <v/>
      </c>
      <c r="I23" s="8">
        <f>(I10 + I17) - I22</f>
        <v/>
      </c>
    </row>
    <row r="24">
      <c r="B24" s="9" t="inlineStr">
        <is>
          <t>Consolidated Gross Debt</t>
        </is>
      </c>
      <c r="C24" s="16">
        <f>C22 + C23</f>
        <v/>
      </c>
      <c r="D24" s="16">
        <f>D22 + D23</f>
        <v/>
      </c>
      <c r="E24" s="16">
        <f>E22 + E23</f>
        <v/>
      </c>
      <c r="F24" s="16">
        <f>F22 + F23</f>
        <v/>
      </c>
      <c r="G24" s="16">
        <f>G22 + G23</f>
        <v/>
      </c>
      <c r="H24" s="16">
        <f>H22 + H23</f>
        <v/>
      </c>
      <c r="I24" s="16">
        <f>I22 + I23</f>
        <v/>
      </c>
    </row>
    <row r="25">
      <c r="B25" s="7" t="inlineStr">
        <is>
          <t>Less: Cash &amp; Liquid Reserves</t>
        </is>
      </c>
      <c r="C25" s="8">
        <f>'Balance Sheet'!C7</f>
        <v/>
      </c>
      <c r="D25" s="8">
        <f>'Balance Sheet'!D7</f>
        <v/>
      </c>
      <c r="E25" s="8">
        <f>'Balance Sheet'!E7</f>
        <v/>
      </c>
      <c r="F25" s="8">
        <f>'Balance Sheet'!F7</f>
        <v/>
      </c>
      <c r="G25" s="8">
        <f>'Balance Sheet'!G7</f>
        <v/>
      </c>
      <c r="H25" s="8">
        <f>'Balance Sheet'!H7</f>
        <v/>
      </c>
      <c r="I25" s="8">
        <f>'Balance Sheet'!I7</f>
        <v/>
      </c>
    </row>
    <row r="26">
      <c r="B26" s="9" t="inlineStr">
        <is>
          <t>CONSOLIDATED NET DEBT</t>
        </is>
      </c>
      <c r="C26" s="20">
        <f>C24 - C25</f>
        <v/>
      </c>
      <c r="D26" s="20">
        <f>D24 - D25</f>
        <v/>
      </c>
      <c r="E26" s="20">
        <f>E24 - E25</f>
        <v/>
      </c>
      <c r="F26" s="20">
        <f>F24 - F25</f>
        <v/>
      </c>
      <c r="G26" s="20">
        <f>G24 - G25</f>
        <v/>
      </c>
      <c r="H26" s="20">
        <f>H24 - H25</f>
        <v/>
      </c>
      <c r="I26" s="20">
        <f>I24 - I25</f>
        <v/>
      </c>
    </row>
    <row r="27">
      <c r="B27" s="7" t="inlineStr">
        <is>
          <t>Gross Finance / Interest Expense</t>
        </is>
      </c>
      <c r="C27" s="8">
        <f>C11 + C18</f>
        <v/>
      </c>
      <c r="D27" s="8">
        <f>D11 + D18</f>
        <v/>
      </c>
      <c r="E27" s="8">
        <f>E11 + E18</f>
        <v/>
      </c>
      <c r="F27" s="8">
        <f>F11 + F18</f>
        <v/>
      </c>
      <c r="G27" s="8">
        <f>G11 + G18</f>
        <v/>
      </c>
      <c r="H27" s="8">
        <f>H11 + H18</f>
        <v/>
      </c>
      <c r="I27" s="8">
        <f>I11 + I18</f>
        <v/>
      </c>
    </row>
    <row r="28">
      <c r="B28" s="19" t="inlineStr">
        <is>
          <t>NET FINANCE COST / INTEREST EXPENSE (Feeds P&amp;L)</t>
        </is>
      </c>
      <c r="C28" s="20">
        <f>C27 - (C25 * 0.025)</f>
        <v/>
      </c>
      <c r="D28" s="20">
        <f>D27 - (D25 * 0.025)</f>
        <v/>
      </c>
      <c r="E28" s="20">
        <f>E27 - (E25 * 0.025)</f>
        <v/>
      </c>
      <c r="F28" s="20">
        <f>F27 - (F25 * 0.025)</f>
        <v/>
      </c>
      <c r="G28" s="20">
        <f>G27 - (G25 * 0.025)</f>
        <v/>
      </c>
      <c r="H28" s="20">
        <f>H27 - (H25 * 0.025)</f>
        <v/>
      </c>
      <c r="I28" s="20">
        <f>I27 - (I25 * 0.025)</f>
        <v/>
      </c>
    </row>
    <row r="29"/>
    <row r="30">
      <c r="B30" s="3" t="inlineStr">
        <is>
          <t>IV. DEBT MATURITY WALL SCHEDULE (USD M)</t>
        </is>
      </c>
    </row>
    <row r="31">
      <c r="B31" s="28" t="inlineStr">
        <is>
          <t>2025</t>
        </is>
      </c>
      <c r="C31" s="28" t="inlineStr">
        <is>
          <t>2026</t>
        </is>
      </c>
      <c r="D31" s="28" t="inlineStr">
        <is>
          <t>2027</t>
        </is>
      </c>
      <c r="E31" s="28" t="inlineStr">
        <is>
          <t>2028</t>
        </is>
      </c>
      <c r="F31" s="28" t="inlineStr">
        <is>
          <t>2029</t>
        </is>
      </c>
      <c r="G31" s="28" t="inlineStr">
        <is>
          <t>2030+</t>
        </is>
      </c>
    </row>
    <row r="32">
      <c r="B32" s="8" t="n">
        <v>213.9</v>
      </c>
      <c r="C32" s="8" t="n">
        <v>392.1</v>
      </c>
      <c r="D32" s="8" t="n">
        <v>499.1</v>
      </c>
      <c r="E32" s="8" t="n">
        <v>320.8</v>
      </c>
      <c r="F32" s="8" t="n">
        <v>213.9</v>
      </c>
      <c r="G32" s="8" t="n">
        <v>142.6</v>
      </c>
    </row>
    <row r="33"/>
    <row r="34"/>
    <row r="35">
      <c r="B35" s="3" t="inlineStr">
        <is>
          <t>V. TRANCHE-BY-TRANCHE CAPITAL STRUCTURE &amp; PRICING DETAIL</t>
        </is>
      </c>
    </row>
    <row r="36">
      <c r="B36" s="5" t="inlineStr">
        <is>
          <t>Tranche / Instrument Name</t>
        </is>
      </c>
      <c r="C36" s="5" t="inlineStr">
        <is>
          <t>Instrument Type</t>
        </is>
      </c>
      <c r="D36" s="5" t="inlineStr">
        <is>
          <t>Ccy</t>
        </is>
      </c>
      <c r="E36" s="6" t="inlineStr">
        <is>
          <t>Amount Outstanding ($M)</t>
        </is>
      </c>
      <c r="F36" s="6" t="inlineStr">
        <is>
          <t>Coupon / Margin</t>
        </is>
      </c>
      <c r="G36" s="6" t="inlineStr">
        <is>
          <t>Clean Price</t>
        </is>
      </c>
      <c r="H36" s="6" t="inlineStr">
        <is>
          <t>YTM (%)</t>
        </is>
      </c>
      <c r="I36" s="5" t="inlineStr">
        <is>
          <t>Seniority / Security</t>
        </is>
      </c>
      <c r="J36" s="5" t="inlineStr">
        <is>
          <t>Governing Law</t>
        </is>
      </c>
    </row>
    <row r="37">
      <c r="B37" s="9" t="inlineStr">
        <is>
          <t>ZOREN 9.000% Senior Notes Due 2026 (Eurobond)</t>
        </is>
      </c>
      <c r="C37" s="7" t="inlineStr">
        <is>
          <t>Senior Unsecured RegS/144A Eurobond</t>
        </is>
      </c>
      <c r="D37" s="29" t="inlineStr">
        <is>
          <t>USD</t>
        </is>
      </c>
      <c r="E37" s="21" t="n">
        <v>300</v>
      </c>
      <c r="F37" s="30" t="inlineStr">
        <is>
          <t>9.000%</t>
        </is>
      </c>
      <c r="G37" s="31" t="n">
        <v>94.5</v>
      </c>
      <c r="H37" s="32" t="n">
        <v>11.2</v>
      </c>
      <c r="I37" s="7" t="inlineStr">
        <is>
          <t>Senior Unsecured (Pari Passu with Bank Debt)</t>
        </is>
      </c>
      <c r="J37" s="17" t="inlineStr">
        <is>
          <t>English Law / Rule 144A</t>
        </is>
      </c>
    </row>
    <row r="38">
      <c r="B38" s="9" t="inlineStr">
        <is>
          <t>Kizildere &amp; Alasehir Geothermal Project Finance Facilities</t>
        </is>
      </c>
      <c r="C38" s="7" t="inlineStr">
        <is>
          <t>Senior Secured Amortizing Project Finance Loans (EBRD / IFC / Commercial)</t>
        </is>
      </c>
      <c r="D38" s="29" t="inlineStr">
        <is>
          <t>USD</t>
        </is>
      </c>
      <c r="E38" s="21" t="n">
        <v>720</v>
      </c>
      <c r="F38" s="30" t="inlineStr">
        <is>
          <t>SOFR + 325 bps</t>
        </is>
      </c>
      <c r="G38" s="31" t="n">
        <v>100</v>
      </c>
      <c r="H38" s="32" t="n">
        <v>8.15</v>
      </c>
      <c r="I38" s="7" t="inlineStr">
        <is>
          <t>Senior Secured (First Lien on Geothermal Plant Assets &amp; YEKDEM Cash Accounts)</t>
        </is>
      </c>
      <c r="J38" s="17" t="inlineStr">
        <is>
          <t>English Law / Turkish Security Documentation</t>
        </is>
      </c>
    </row>
    <row r="39">
      <c r="B39" s="9" t="inlineStr">
        <is>
          <t>OEDAS Regulated Grid Distribution Investment Loans</t>
        </is>
      </c>
      <c r="C39" s="7" t="inlineStr">
        <is>
          <t>Senior Secured Capex Facilities &amp; TLREF Bonds</t>
        </is>
      </c>
      <c r="D39" s="29" t="inlineStr">
        <is>
          <t>TRY / EUR</t>
        </is>
      </c>
      <c r="E39" s="21" t="n">
        <v>480</v>
      </c>
      <c r="F39" s="30" t="inlineStr">
        <is>
          <t>TLREF + 350 bps / Euribor + 275 bps</t>
        </is>
      </c>
      <c r="G39" s="31" t="n">
        <v>100</v>
      </c>
      <c r="H39" s="32" t="n">
        <v>14.5</v>
      </c>
      <c r="I39" s="7" t="inlineStr">
        <is>
          <t>Senior Secured (Pledge on Regulated Tariff Receivables)</t>
        </is>
      </c>
      <c r="J39" s="17" t="inlineStr">
        <is>
          <t>Turkish Law</t>
        </is>
      </c>
    </row>
    <row r="40">
      <c r="B40" s="9" t="inlineStr">
        <is>
          <t>Zorlu Enerji Syndicated Multi-Currency RCF &amp; Bilateral Working Capital</t>
        </is>
      </c>
      <c r="C40" s="7" t="inlineStr">
        <is>
          <t>Revolving Working Capital Credit Facilities</t>
        </is>
      </c>
      <c r="D40" s="29" t="inlineStr">
        <is>
          <t>USD / EUR / TRY</t>
        </is>
      </c>
      <c r="E40" s="21" t="n">
        <v>282.4</v>
      </c>
      <c r="F40" s="30" t="inlineStr">
        <is>
          <t>SOFR + 285 bps</t>
        </is>
      </c>
      <c r="G40" s="31" t="n">
        <v>100</v>
      </c>
      <c r="H40" s="32" t="n">
        <v>7.75</v>
      </c>
      <c r="I40" s="7" t="inlineStr">
        <is>
          <t>Senior Unsecured (Pari Passu with Eurobonds)</t>
        </is>
      </c>
      <c r="J40" s="17" t="inlineStr">
        <is>
          <t>Turkish / English Law</t>
        </is>
      </c>
    </row>
    <row r="41"/>
    <row r="42">
      <c r="B42" s="3" t="inlineStr">
        <is>
          <t>VI. REVOLVING CREDIT FACILITY (RCF) &amp; BANK LIQUIDITY RUNWAY</t>
        </is>
      </c>
    </row>
    <row r="43">
      <c r="B43" s="7" t="inlineStr">
        <is>
          <t>Facility Designation</t>
        </is>
      </c>
      <c r="C43" s="7" t="inlineStr">
        <is>
          <t>Zorlu Enerji Syndicated Multi-Currency Revolving Credit Facility (RCF)</t>
        </is>
      </c>
    </row>
    <row r="44">
      <c r="B44" s="9" t="inlineStr">
        <is>
          <t>Total Committed Capacity ($M)</t>
        </is>
      </c>
      <c r="C44" s="21" t="n">
        <v>462.4</v>
      </c>
    </row>
    <row r="45">
      <c r="B45" s="7" t="inlineStr">
        <is>
          <t>Drawn Amount ($M)</t>
        </is>
      </c>
      <c r="C45" s="8" t="n">
        <v>282.4</v>
      </c>
    </row>
    <row r="46">
      <c r="B46" s="19" t="inlineStr">
        <is>
          <t>AVAILABLE UNDRAWN HEADROOM ($M)</t>
        </is>
      </c>
      <c r="C46" s="20" t="n">
        <v>180</v>
      </c>
    </row>
    <row r="47">
      <c r="B47" s="7" t="inlineStr">
        <is>
          <t>Drawn Borrowing Margin</t>
        </is>
      </c>
      <c r="C47" s="7" t="inlineStr">
        <is>
          <t>SOFR + 285 bps / Euribor + 250 bps</t>
        </is>
      </c>
    </row>
    <row r="48">
      <c r="B48" s="7" t="inlineStr">
        <is>
          <t>Undrawn Commitment Fee</t>
        </is>
      </c>
      <c r="C48" s="7" t="inlineStr">
        <is>
          <t>75.0 bps</t>
        </is>
      </c>
    </row>
    <row r="49">
      <c r="B49" s="7" t="inlineStr">
        <is>
          <t>Maturity Date &amp; Extension Options</t>
        </is>
      </c>
      <c r="C49" s="7" t="inlineStr">
        <is>
          <t>2027-06-30 (with 1-year annual extension options)</t>
        </is>
      </c>
    </row>
    <row r="50">
      <c r="B50" s="7" t="inlineStr">
        <is>
          <t>Syndicate Lenders / Arrangers</t>
        </is>
      </c>
      <c r="C50" s="7" t="inlineStr">
        <is>
          <t>Akbank, Garanti BBVA, Turkiye Is Bankasi, Vakifbank, QNB Finansbank</t>
        </is>
      </c>
    </row>
    <row r="51">
      <c r="B51" s="7" t="inlineStr">
        <is>
          <t>RCF Maintenance Covenants</t>
        </is>
      </c>
      <c r="C51" s="7" t="inlineStr">
        <is>
          <t>Semi-annual testing: Consolidated Net Debt / EBITDA &lt;= 5.0x, Minimum Interest Coverage &gt;= 2.0x</t>
        </is>
      </c>
    </row>
    <row r="52"/>
    <row r="53">
      <c r="B53" s="3" t="inlineStr">
        <is>
          <t>VII. BOND COVENANT ANALYSIS &amp; HEADROOM SCORECARD</t>
        </is>
      </c>
    </row>
    <row r="54">
      <c r="B54" s="5" t="inlineStr">
        <is>
          <t>Covenant Test / Negative Pledge Dimension</t>
        </is>
      </c>
      <c r="C54" s="5" t="inlineStr">
        <is>
          <t>Governing Threshold / Limit</t>
        </is>
      </c>
      <c r="D54" s="5" t="inlineStr">
        <is>
          <t>Actual Current / Reported Metric</t>
        </is>
      </c>
      <c r="E54" s="5" t="inlineStr">
        <is>
          <t>Headroom / Compliance Status</t>
        </is>
      </c>
      <c r="F54" s="5" t="inlineStr">
        <is>
          <t>Covenant Terms / Description</t>
        </is>
      </c>
    </row>
    <row r="55">
      <c r="B55" s="9" t="inlineStr">
        <is>
          <t>Incurrence: Maximum Consolidated Net Debt / EBITDA</t>
        </is>
      </c>
      <c r="C55" s="29" t="inlineStr">
        <is>
          <t>4.50x</t>
        </is>
      </c>
      <c r="D55" s="25" t="inlineStr">
        <is>
          <t>4.82x</t>
        </is>
      </c>
      <c r="E55" s="33" t="inlineStr">
        <is>
          <t>-0.32x leverage buffer ($-102.4M EBITDA headroom)</t>
        </is>
      </c>
      <c r="F55" s="17" t="inlineStr">
        <is>
          <t>Incurrence covenant for additional senior debt issuance</t>
        </is>
      </c>
    </row>
    <row r="56">
      <c r="B56" s="9" t="inlineStr">
        <is>
          <t>Incurrence / Maintenance: Minimum EBITDA / Net Finance Charges</t>
        </is>
      </c>
      <c r="C56" s="29" t="inlineStr">
        <is>
          <t>2.50x</t>
        </is>
      </c>
      <c r="D56" s="25" t="inlineStr">
        <is>
          <t>2.12x</t>
        </is>
      </c>
      <c r="E56" s="33" t="inlineStr">
        <is>
          <t>+-0.38x interest coverage cushion</t>
        </is>
      </c>
      <c r="F56" s="17" t="inlineStr">
        <is>
          <t>Maintenance / incurrence gateway test</t>
        </is>
      </c>
    </row>
    <row r="57">
      <c r="B57" s="9" t="inlineStr">
        <is>
          <t>Maximum Permitted Priority / Secured Debt</t>
        </is>
      </c>
      <c r="C57" s="29" t="inlineStr">
        <is>
          <t>15.0% of Consolidated Total Tangible Assets</t>
        </is>
      </c>
      <c r="D57" s="25" t="inlineStr">
        <is>
          <t>12.4% of Assets</t>
        </is>
      </c>
      <c r="E57" s="33" t="inlineStr">
        <is>
          <t>$264.0M unutilized secured debt capacity</t>
        </is>
      </c>
      <c r="F57" s="17" t="inlineStr">
        <is>
          <t>Permitted collateral carve-out limit</t>
        </is>
      </c>
    </row>
    <row r="58">
      <c r="B58" s="9" t="inlineStr">
        <is>
          <t>Change of Control Put Option</t>
        </is>
      </c>
      <c r="C58" s="29" t="inlineStr">
        <is>
          <t>101.00% Redemption</t>
        </is>
      </c>
      <c r="D58" s="25" t="inlineStr">
        <is>
          <t>N/A (Inactive)</t>
        </is>
      </c>
      <c r="E58" s="33" t="inlineStr">
        <is>
          <t>Compliant</t>
        </is>
      </c>
      <c r="F58" s="17" t="inlineStr">
        <is>
          <t>Investor Put Option at 101.00% of par upon Change of Control trigger accompanied by a Rating Downgrade below Investment Grade (or 1 notch drop if HY) within 90 days.</t>
        </is>
      </c>
    </row>
    <row r="59">
      <c r="B59" s="9" t="inlineStr">
        <is>
          <t>Restricted Payments / Dividend Basket</t>
        </is>
      </c>
      <c r="C59" s="29" t="inlineStr">
        <is>
          <t>Builder Basket</t>
        </is>
      </c>
      <c r="D59" s="25" t="inlineStr">
        <is>
          <t>Within Capacity</t>
        </is>
      </c>
      <c r="E59" s="33" t="inlineStr">
        <is>
          <t>Compliant</t>
        </is>
      </c>
      <c r="F59" s="17" t="inlineStr">
        <is>
          <t>50.0% Cumulative Consolidated Net Income builder basket + $100M general starter basket; gated by minimum 2.50x Fixed Charge Coverage Ratio gateway.</t>
        </is>
      </c>
    </row>
    <row r="60">
      <c r="B60" s="9" t="inlineStr">
        <is>
          <t>Cross-Default &amp; Cross-Acceleration</t>
        </is>
      </c>
      <c r="C60" s="29" t="inlineStr">
        <is>
          <t>$50.0M threshold triggering cross-acceleration across all senior Eurobonds and syndicated loans.</t>
        </is>
      </c>
      <c r="D60" s="25" t="inlineStr">
        <is>
          <t>Zero Defaults</t>
        </is>
      </c>
      <c r="E60" s="33" t="inlineStr">
        <is>
          <t>Compliant</t>
        </is>
      </c>
      <c r="F60" s="17" t="inlineStr">
        <is>
          <t>Cross-acceleration across all indebtedness exceeding threshold</t>
        </is>
      </c>
    </row>
  </sheetData>
  <mergeCells count="16">
    <mergeCell ref="F60:I60"/>
    <mergeCell ref="C45:F45"/>
    <mergeCell ref="C48:F48"/>
    <mergeCell ref="F56:I56"/>
    <mergeCell ref="F57:I57"/>
    <mergeCell ref="C49:F49"/>
    <mergeCell ref="C43:F43"/>
    <mergeCell ref="B2:I2"/>
    <mergeCell ref="F55:I55"/>
    <mergeCell ref="F58:I58"/>
    <mergeCell ref="C46:F46"/>
    <mergeCell ref="F59:I59"/>
    <mergeCell ref="C51:F51"/>
    <mergeCell ref="C47:F47"/>
    <mergeCell ref="C50:F50"/>
    <mergeCell ref="C44:F44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2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Zorlu Enerji — Institutional Credit Metrics &amp; Ratios</t>
        </is>
      </c>
    </row>
    <row r="3"/>
    <row r="4">
      <c r="B4" s="5" t="inlineStr">
        <is>
          <t>Credit Metric / Ratio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LEVERAGE &amp; SOLVENCY RATIOS</t>
        </is>
      </c>
    </row>
    <row r="7">
      <c r="B7" s="7" t="inlineStr">
        <is>
          <t>Gross Leverage (Gross Debt / Calculated EBITDA)</t>
        </is>
      </c>
      <c r="C7" s="12">
        <f>'Debt Schedule &amp; Tranches'!C24 / 'Income Statement (P&amp;L)'!C22</f>
        <v/>
      </c>
      <c r="D7" s="12">
        <f>'Debt Schedule &amp; Tranches'!D24 / 'Income Statement (P&amp;L)'!D22</f>
        <v/>
      </c>
      <c r="E7" s="12">
        <f>'Debt Schedule &amp; Tranches'!E24 / 'Income Statement (P&amp;L)'!E22</f>
        <v/>
      </c>
      <c r="F7" s="12">
        <f>'Debt Schedule &amp; Tranches'!F24 / 'Income Statement (P&amp;L)'!F22</f>
        <v/>
      </c>
      <c r="G7" s="12">
        <f>'Debt Schedule &amp; Tranches'!G24 / 'Income Statement (P&amp;L)'!G22</f>
        <v/>
      </c>
      <c r="H7" s="12">
        <f>'Debt Schedule &amp; Tranches'!H24 / 'Income Statement (P&amp;L)'!H22</f>
        <v/>
      </c>
      <c r="I7" s="12">
        <f>'Debt Schedule &amp; Tranches'!I24 / 'Income Statement (P&amp;L)'!I22</f>
        <v/>
      </c>
    </row>
    <row r="8">
      <c r="B8" s="19" t="inlineStr">
        <is>
          <t>NET LEVERAGE (Net Debt / Calculated Cash EBITDA)</t>
        </is>
      </c>
      <c r="C8" s="34">
        <f>'Debt Schedule &amp; Tranches'!C26 / 'Income Statement (P&amp;L)'!C22</f>
        <v/>
      </c>
      <c r="D8" s="34">
        <f>'Debt Schedule &amp; Tranches'!D26 / 'Income Statement (P&amp;L)'!D22</f>
        <v/>
      </c>
      <c r="E8" s="34">
        <f>'Debt Schedule &amp; Tranches'!E26 / 'Income Statement (P&amp;L)'!E22</f>
        <v/>
      </c>
      <c r="F8" s="34">
        <f>'Debt Schedule &amp; Tranches'!F26 / 'Income Statement (P&amp;L)'!F22</f>
        <v/>
      </c>
      <c r="G8" s="34">
        <f>'Debt Schedule &amp; Tranches'!G26 / 'Income Statement (P&amp;L)'!G22</f>
        <v/>
      </c>
      <c r="H8" s="34">
        <f>'Debt Schedule &amp; Tranches'!H26 / 'Income Statement (P&amp;L)'!H22</f>
        <v/>
      </c>
      <c r="I8" s="34">
        <f>'Debt Schedule &amp; Tranches'!I26 / 'Income Statement (P&amp;L)'!I22</f>
        <v/>
      </c>
    </row>
    <row r="9">
      <c r="B9" s="19" t="inlineStr">
        <is>
          <t>REPORTED NET LEVERAGE (Net Debt / Reported EBITDA)</t>
        </is>
      </c>
      <c r="C9" s="34">
        <f>'Debt Schedule &amp; Tranches'!C26 / 'Income Statement (P&amp;L)'!C36</f>
        <v/>
      </c>
      <c r="D9" s="34">
        <f>'Debt Schedule &amp; Tranches'!D26 / 'Income Statement (P&amp;L)'!D36</f>
        <v/>
      </c>
      <c r="E9" s="34">
        <f>'Debt Schedule &amp; Tranches'!E26 / 'Income Statement (P&amp;L)'!E36</f>
        <v/>
      </c>
      <c r="F9" s="34">
        <f>'Debt Schedule &amp; Tranches'!F26 / 'Income Statement (P&amp;L)'!F36</f>
        <v/>
      </c>
      <c r="G9" s="34">
        <f>'Debt Schedule &amp; Tranches'!G26 / 'Income Statement (P&amp;L)'!G36</f>
        <v/>
      </c>
      <c r="H9" s="34">
        <f>'Debt Schedule &amp; Tranches'!H26 / 'Income Statement (P&amp;L)'!H36</f>
        <v/>
      </c>
      <c r="I9" s="34">
        <f>'Debt Schedule &amp; Tranches'!I26 / 'Income Statement (P&amp;L)'!I36</f>
        <v/>
      </c>
    </row>
    <row r="10">
      <c r="B10" s="7" t="inlineStr">
        <is>
          <t>Net Debt / Total Capitalization (%)</t>
        </is>
      </c>
      <c r="C10" s="10">
        <f>'Debt Schedule &amp; Tranches'!C26 / ('Debt Schedule &amp; Tranches'!C26 + 'Balance Sheet'!C38)</f>
        <v/>
      </c>
      <c r="D10" s="10">
        <f>'Debt Schedule &amp; Tranches'!D26 / ('Debt Schedule &amp; Tranches'!D26 + 'Balance Sheet'!D38)</f>
        <v/>
      </c>
      <c r="E10" s="10">
        <f>'Debt Schedule &amp; Tranches'!E26 / ('Debt Schedule &amp; Tranches'!E26 + 'Balance Sheet'!E38)</f>
        <v/>
      </c>
      <c r="F10" s="10">
        <f>'Debt Schedule &amp; Tranches'!F26 / ('Debt Schedule &amp; Tranches'!F26 + 'Balance Sheet'!F38)</f>
        <v/>
      </c>
      <c r="G10" s="10">
        <f>'Debt Schedule &amp; Tranches'!G26 / ('Debt Schedule &amp; Tranches'!G26 + 'Balance Sheet'!G38)</f>
        <v/>
      </c>
      <c r="H10" s="10">
        <f>'Debt Schedule &amp; Tranches'!H26 / ('Debt Schedule &amp; Tranches'!H26 + 'Balance Sheet'!H38)</f>
        <v/>
      </c>
      <c r="I10" s="10">
        <f>'Debt Schedule &amp; Tranches'!I26 / ('Debt Schedule &amp; Tranches'!I26 + 'Balance Sheet'!I38)</f>
        <v/>
      </c>
    </row>
    <row r="11">
      <c r="B11" s="19" t="inlineStr">
        <is>
          <t>EBITDA INTEREST COVERAGE (Calculated Cash EBITDA)</t>
        </is>
      </c>
      <c r="C11" s="34">
        <f>'Income Statement (P&amp;L)'!C22 / 'Debt Schedule &amp; Tranches'!C28</f>
        <v/>
      </c>
      <c r="D11" s="34">
        <f>'Income Statement (P&amp;L)'!D22 / 'Debt Schedule &amp; Tranches'!D28</f>
        <v/>
      </c>
      <c r="E11" s="34">
        <f>'Income Statement (P&amp;L)'!E22 / 'Debt Schedule &amp; Tranches'!E28</f>
        <v/>
      </c>
      <c r="F11" s="34">
        <f>'Income Statement (P&amp;L)'!F22 / 'Debt Schedule &amp; Tranches'!F28</f>
        <v/>
      </c>
      <c r="G11" s="34">
        <f>'Income Statement (P&amp;L)'!G22 / 'Debt Schedule &amp; Tranches'!G28</f>
        <v/>
      </c>
      <c r="H11" s="34">
        <f>'Income Statement (P&amp;L)'!H22 / 'Debt Schedule &amp; Tranches'!H28</f>
        <v/>
      </c>
      <c r="I11" s="34">
        <f>'Income Statement (P&amp;L)'!I22 / 'Debt Schedule &amp; Tranches'!I28</f>
        <v/>
      </c>
    </row>
    <row r="12">
      <c r="B12" s="7" t="inlineStr">
        <is>
          <t>Reported EBITDA Interest Coverage (Reported EBITDA)</t>
        </is>
      </c>
      <c r="C12" s="12">
        <f>'Income Statement (P&amp;L)'!C36 / 'Debt Schedule &amp; Tranches'!C28</f>
        <v/>
      </c>
      <c r="D12" s="12">
        <f>'Income Statement (P&amp;L)'!D36 / 'Debt Schedule &amp; Tranches'!D28</f>
        <v/>
      </c>
      <c r="E12" s="12">
        <f>'Income Statement (P&amp;L)'!E36 / 'Debt Schedule &amp; Tranches'!E28</f>
        <v/>
      </c>
      <c r="F12" s="12">
        <f>'Income Statement (P&amp;L)'!F36 / 'Debt Schedule &amp; Tranches'!F28</f>
        <v/>
      </c>
      <c r="G12" s="12">
        <f>'Income Statement (P&amp;L)'!G36 / 'Debt Schedule &amp; Tranches'!G28</f>
        <v/>
      </c>
      <c r="H12" s="12">
        <f>'Income Statement (P&amp;L)'!H36 / 'Debt Schedule &amp; Tranches'!H28</f>
        <v/>
      </c>
      <c r="I12" s="12">
        <f>'Income Statement (P&amp;L)'!I36 / 'Debt Schedule &amp; Tranches'!I28</f>
        <v/>
      </c>
    </row>
    <row r="13">
      <c r="B13" s="7" t="inlineStr">
        <is>
          <t>EBIT Interest Coverage</t>
        </is>
      </c>
      <c r="C13" s="12">
        <f>'Income Statement (P&amp;L)'!C25 / 'Debt Schedule &amp; Tranches'!C28</f>
        <v/>
      </c>
      <c r="D13" s="12">
        <f>'Income Statement (P&amp;L)'!D25 / 'Debt Schedule &amp; Tranches'!D28</f>
        <v/>
      </c>
      <c r="E13" s="12">
        <f>'Income Statement (P&amp;L)'!E25 / 'Debt Schedule &amp; Tranches'!E28</f>
        <v/>
      </c>
      <c r="F13" s="12">
        <f>'Income Statement (P&amp;L)'!F25 / 'Debt Schedule &amp; Tranches'!F28</f>
        <v/>
      </c>
      <c r="G13" s="12">
        <f>'Income Statement (P&amp;L)'!G25 / 'Debt Schedule &amp; Tranches'!G28</f>
        <v/>
      </c>
      <c r="H13" s="12">
        <f>'Income Statement (P&amp;L)'!H25 / 'Debt Schedule &amp; Tranches'!H28</f>
        <v/>
      </c>
      <c r="I13" s="12">
        <f>'Income Statement (P&amp;L)'!I25 / 'Debt Schedule &amp; Tranches'!I28</f>
        <v/>
      </c>
    </row>
    <row r="14"/>
    <row r="15">
      <c r="B15" s="3" t="inlineStr">
        <is>
          <t>II. CASH FLOW COVERAGE &amp; LIQUIDITY RATIOS</t>
        </is>
      </c>
    </row>
    <row r="16">
      <c r="B16" s="7" t="inlineStr">
        <is>
          <t>CFO / Gross Debt (%)</t>
        </is>
      </c>
      <c r="C16" s="10">
        <f>'Cash Flow Statement'!C14 / 'Debt Schedule &amp; Tranches'!C24</f>
        <v/>
      </c>
      <c r="D16" s="10">
        <f>'Cash Flow Statement'!D14 / 'Debt Schedule &amp; Tranches'!D24</f>
        <v/>
      </c>
      <c r="E16" s="10">
        <f>'Cash Flow Statement'!E14 / 'Debt Schedule &amp; Tranches'!E24</f>
        <v/>
      </c>
      <c r="F16" s="10">
        <f>'Cash Flow Statement'!F14 / 'Debt Schedule &amp; Tranches'!F24</f>
        <v/>
      </c>
      <c r="G16" s="10">
        <f>'Cash Flow Statement'!G14 / 'Debt Schedule &amp; Tranches'!G24</f>
        <v/>
      </c>
      <c r="H16" s="10">
        <f>'Cash Flow Statement'!H14 / 'Debt Schedule &amp; Tranches'!H24</f>
        <v/>
      </c>
      <c r="I16" s="10">
        <f>'Cash Flow Statement'!I14 / 'Debt Schedule &amp; Tranches'!I24</f>
        <v/>
      </c>
    </row>
    <row r="17">
      <c r="B17" s="7" t="inlineStr">
        <is>
          <t>FCF / Net Debt (%)</t>
        </is>
      </c>
      <c r="C17" s="10">
        <f>'Cash Flow Statement'!C28 / 'Debt Schedule &amp; Tranches'!C26</f>
        <v/>
      </c>
      <c r="D17" s="10">
        <f>'Cash Flow Statement'!D28 / 'Debt Schedule &amp; Tranches'!D26</f>
        <v/>
      </c>
      <c r="E17" s="10">
        <f>'Cash Flow Statement'!E28 / 'Debt Schedule &amp; Tranches'!E26</f>
        <v/>
      </c>
      <c r="F17" s="10">
        <f>'Cash Flow Statement'!F28 / 'Debt Schedule &amp; Tranches'!F26</f>
        <v/>
      </c>
      <c r="G17" s="10">
        <f>'Cash Flow Statement'!G28 / 'Debt Schedule &amp; Tranches'!G26</f>
        <v/>
      </c>
      <c r="H17" s="10">
        <f>'Cash Flow Statement'!H28 / 'Debt Schedule &amp; Tranches'!H26</f>
        <v/>
      </c>
      <c r="I17" s="10">
        <f>'Cash Flow Statement'!I28 / 'Debt Schedule &amp; Tranches'!I26</f>
        <v/>
      </c>
    </row>
    <row r="18">
      <c r="B18" s="7" t="inlineStr">
        <is>
          <t>FCF Conversion Ratio (FCF / EBITDA)</t>
        </is>
      </c>
      <c r="C18" s="10">
        <f>'Cash Flow Statement'!C28 / 'Income Statement (P&amp;L)'!C22</f>
        <v/>
      </c>
      <c r="D18" s="10">
        <f>'Cash Flow Statement'!D28 / 'Income Statement (P&amp;L)'!D22</f>
        <v/>
      </c>
      <c r="E18" s="10">
        <f>'Cash Flow Statement'!E28 / 'Income Statement (P&amp;L)'!E22</f>
        <v/>
      </c>
      <c r="F18" s="10">
        <f>'Cash Flow Statement'!F28 / 'Income Statement (P&amp;L)'!F22</f>
        <v/>
      </c>
      <c r="G18" s="10">
        <f>'Cash Flow Statement'!G28 / 'Income Statement (P&amp;L)'!G22</f>
        <v/>
      </c>
      <c r="H18" s="10">
        <f>'Cash Flow Statement'!H28 / 'Income Statement (P&amp;L)'!H22</f>
        <v/>
      </c>
      <c r="I18" s="10">
        <f>'Cash Flow Statement'!I28 / 'Income Statement (P&amp;L)'!I22</f>
        <v/>
      </c>
    </row>
    <row r="19">
      <c r="B19" s="7" t="inlineStr">
        <is>
          <t>Capex / Operating Cash Flow (%)</t>
        </is>
      </c>
      <c r="C19" s="10">
        <f>-'Cash Flow Statement'!C16 / 'Cash Flow Statement'!C14</f>
        <v/>
      </c>
      <c r="D19" s="10">
        <f>-'Cash Flow Statement'!D16 / 'Cash Flow Statement'!D14</f>
        <v/>
      </c>
      <c r="E19" s="10">
        <f>-'Cash Flow Statement'!E16 / 'Cash Flow Statement'!E14</f>
        <v/>
      </c>
      <c r="F19" s="10">
        <f>-'Cash Flow Statement'!F16 / 'Cash Flow Statement'!F14</f>
        <v/>
      </c>
      <c r="G19" s="10">
        <f>-'Cash Flow Statement'!G16 / 'Cash Flow Statement'!G14</f>
        <v/>
      </c>
      <c r="H19" s="10">
        <f>-'Cash Flow Statement'!H16 / 'Cash Flow Statement'!H14</f>
        <v/>
      </c>
      <c r="I19" s="10">
        <f>-'Cash Flow Statement'!I16 / 'Cash Flow Statement'!I14</f>
        <v/>
      </c>
    </row>
    <row r="20">
      <c r="B20" s="7" t="inlineStr">
        <is>
          <t>Current Ratio (Current Assets / Current Liab)</t>
        </is>
      </c>
      <c r="C20" s="12">
        <f>'Balance Sheet'!C11 / 'Balance Sheet'!C27</f>
        <v/>
      </c>
      <c r="D20" s="12">
        <f>'Balance Sheet'!D11 / 'Balance Sheet'!D27</f>
        <v/>
      </c>
      <c r="E20" s="12">
        <f>'Balance Sheet'!E11 / 'Balance Sheet'!E27</f>
        <v/>
      </c>
      <c r="F20" s="12">
        <f>'Balance Sheet'!F11 / 'Balance Sheet'!F27</f>
        <v/>
      </c>
      <c r="G20" s="12">
        <f>'Balance Sheet'!G11 / 'Balance Sheet'!G27</f>
        <v/>
      </c>
      <c r="H20" s="12">
        <f>'Balance Sheet'!H11 / 'Balance Sheet'!H27</f>
        <v/>
      </c>
      <c r="I20" s="12">
        <f>'Balance Sheet'!I11 / 'Balance Sheet'!I27</f>
        <v/>
      </c>
    </row>
    <row r="21">
      <c r="B21" s="7" t="inlineStr">
        <is>
          <t>Quick Ratio ((Cash + AR) / Current Liab)</t>
        </is>
      </c>
      <c r="C21" s="12">
        <f>('Balance Sheet'!C7 + 'Balance Sheet'!C8) / 'Balance Sheet'!C27</f>
        <v/>
      </c>
      <c r="D21" s="12">
        <f>('Balance Sheet'!D7 + 'Balance Sheet'!D8) / 'Balance Sheet'!D27</f>
        <v/>
      </c>
      <c r="E21" s="12">
        <f>('Balance Sheet'!E7 + 'Balance Sheet'!E8) / 'Balance Sheet'!E27</f>
        <v/>
      </c>
      <c r="F21" s="12">
        <f>('Balance Sheet'!F7 + 'Balance Sheet'!F8) / 'Balance Sheet'!F27</f>
        <v/>
      </c>
      <c r="G21" s="12">
        <f>('Balance Sheet'!G7 + 'Balance Sheet'!G8) / 'Balance Sheet'!G27</f>
        <v/>
      </c>
      <c r="H21" s="12">
        <f>('Balance Sheet'!H7 + 'Balance Sheet'!H8) / 'Balance Sheet'!H27</f>
        <v/>
      </c>
      <c r="I21" s="12">
        <f>('Balance Sheet'!I7 + 'Balance Sheet'!I8) / 'Balance Sheet'!I27</f>
        <v/>
      </c>
    </row>
  </sheetData>
  <mergeCells count="1">
    <mergeCell ref="B2:I2"/>
  </mergeCells>
  <pageMargins left="0.75" right="0.75" top="1" bottom="1" header="0.5" footer="0.5"/>
  <legacyDrawing xmlns:r="http://schemas.openxmlformats.org/officeDocument/2006/relationships" r:id="anysvml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L22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1" customWidth="1" min="3" max="3"/>
    <col width="31" customWidth="1" min="4" max="4"/>
    <col width="31" customWidth="1" min="5" max="5"/>
    <col width="22" customWidth="1" min="6" max="6"/>
    <col width="23" customWidth="1" min="7" max="7"/>
    <col width="21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Zorlu Enerji — Downside Stress &amp; Restructuring Waterfall</t>
        </is>
      </c>
    </row>
    <row r="3"/>
    <row r="4">
      <c r="B4" s="3" t="inlineStr">
        <is>
          <t>I. MULTI-SCENARIO RESTORATION &amp; VALUATION MATRIX</t>
        </is>
      </c>
    </row>
    <row r="5">
      <c r="B5" s="28" t="inlineStr">
        <is>
          <t>Scenario Name</t>
        </is>
      </c>
      <c r="C5" s="28" t="inlineStr">
        <is>
          <t>Revenue Drop</t>
        </is>
      </c>
      <c r="D5" s="28" t="inlineStr">
        <is>
          <t>Margin Compression</t>
        </is>
      </c>
      <c r="E5" s="28" t="inlineStr">
        <is>
          <t>Refinancing Rate</t>
        </is>
      </c>
      <c r="F5" s="28" t="inlineStr">
        <is>
          <t>Exit EV Multiple</t>
        </is>
      </c>
      <c r="G5" s="28" t="inlineStr">
        <is>
          <t>Implied Recovery Px</t>
        </is>
      </c>
      <c r="H5" s="28" t="inlineStr">
        <is>
          <t>Upside / Downside</t>
        </is>
      </c>
    </row>
    <row r="6">
      <c r="B6" s="19" t="inlineStr">
        <is>
          <t>Base Case (Consensus Forecast)</t>
        </is>
      </c>
      <c r="C6" s="35" t="inlineStr">
        <is>
          <t>0.0%</t>
        </is>
      </c>
      <c r="D6" s="35" t="inlineStr">
        <is>
          <t>0 bp</t>
        </is>
      </c>
      <c r="E6" s="35" t="inlineStr">
        <is>
          <t>11.20%</t>
        </is>
      </c>
      <c r="F6" s="35" t="inlineStr">
        <is>
          <t>4.2x</t>
        </is>
      </c>
      <c r="G6" s="35" t="inlineStr">
        <is>
          <t>$95.00</t>
        </is>
      </c>
      <c r="H6" s="35" t="inlineStr">
        <is>
          <t>+0.5%</t>
        </is>
      </c>
    </row>
    <row r="7">
      <c r="B7" s="7" t="inlineStr">
        <is>
          <t>Downside Stress Case (Recession)</t>
        </is>
      </c>
      <c r="C7" s="30" t="inlineStr">
        <is>
          <t>-15.0%</t>
        </is>
      </c>
      <c r="D7" s="30" t="inlineStr">
        <is>
          <t>-300 bp</t>
        </is>
      </c>
      <c r="E7" s="30" t="inlineStr">
        <is>
          <t>13.20%</t>
        </is>
      </c>
      <c r="F7" s="30" t="inlineStr">
        <is>
          <t>3.2x</t>
        </is>
      </c>
      <c r="G7" s="30" t="inlineStr">
        <is>
          <t>$76.50</t>
        </is>
      </c>
      <c r="H7" s="30" t="inlineStr">
        <is>
          <t>-19.0%</t>
        </is>
      </c>
    </row>
    <row r="8">
      <c r="B8" s="7" t="inlineStr">
        <is>
          <t>Severe Distressed Floor (Liquidation)</t>
        </is>
      </c>
      <c r="C8" s="30" t="inlineStr">
        <is>
          <t>-35.0%</t>
        </is>
      </c>
      <c r="D8" s="30" t="inlineStr">
        <is>
          <t>-650 bp</t>
        </is>
      </c>
      <c r="E8" s="30" t="inlineStr">
        <is>
          <t>+500 bp spread</t>
        </is>
      </c>
      <c r="F8" s="30" t="inlineStr">
        <is>
          <t>Liquidation Value</t>
        </is>
      </c>
      <c r="G8" s="30" t="inlineStr">
        <is>
          <t>$58.00</t>
        </is>
      </c>
      <c r="H8" s="30" t="inlineStr">
        <is>
          <t>-38.6%</t>
        </is>
      </c>
    </row>
    <row r="9">
      <c r="B9" s="7" t="inlineStr">
        <is>
          <t>Bull Case (Cycle Peak / Accretion)</t>
        </is>
      </c>
      <c r="C9" s="30" t="inlineStr">
        <is>
          <t>+12.0%</t>
        </is>
      </c>
      <c r="D9" s="30" t="inlineStr">
        <is>
          <t>+200 bp</t>
        </is>
      </c>
      <c r="E9" s="30" t="inlineStr">
        <is>
          <t>9.70%</t>
        </is>
      </c>
      <c r="F9" s="30" t="inlineStr">
        <is>
          <t>5.7x</t>
        </is>
      </c>
      <c r="G9" s="30" t="inlineStr">
        <is>
          <t>$105.00</t>
        </is>
      </c>
      <c r="H9" s="30" t="inlineStr">
        <is>
          <t>+11.1%</t>
        </is>
      </c>
    </row>
    <row r="10"/>
    <row r="11"/>
    <row r="12">
      <c r="B12" s="3" t="inlineStr">
        <is>
          <t>II. PRIORITY CLAIM LIQUIDATION WATERFALL</t>
        </is>
      </c>
    </row>
    <row r="13">
      <c r="B13" s="28" t="inlineStr">
        <is>
          <t>Tranche Claim</t>
        </is>
      </c>
      <c r="C13" s="28" t="inlineStr">
        <is>
          <t>Claim Amount ($M)</t>
        </is>
      </c>
      <c r="D13" s="28" t="inlineStr">
        <is>
          <t>Seniority Ranking</t>
        </is>
      </c>
      <c r="E13" s="28" t="inlineStr">
        <is>
          <t>Estimated Collateral</t>
        </is>
      </c>
      <c r="F13" s="28" t="inlineStr">
        <is>
          <t>Recovery Floor (%)</t>
        </is>
      </c>
      <c r="G13" s="28" t="inlineStr">
        <is>
          <t>Base Recovery (%)</t>
        </is>
      </c>
    </row>
    <row r="14">
      <c r="B14" s="7" t="inlineStr">
        <is>
          <t>Senior Secured Bank Loans &amp; RCF</t>
        </is>
      </c>
      <c r="C14" s="8" t="n">
        <v>445.6</v>
      </c>
      <c r="D14" s="7" t="inlineStr">
        <is>
          <t>Senior Secured (Pari Passu)</t>
        </is>
      </c>
      <c r="E14" s="7" t="inlineStr">
        <is>
          <t>First Lien Fixed Charges</t>
        </is>
      </c>
      <c r="F14" s="30" t="inlineStr">
        <is>
          <t>100.0%</t>
        </is>
      </c>
      <c r="G14" s="30" t="inlineStr">
        <is>
          <t>100.0%</t>
        </is>
      </c>
    </row>
    <row r="15">
      <c r="B15" s="7" t="inlineStr">
        <is>
          <t>ZOREN Senior Unsecured Eurobonds</t>
        </is>
      </c>
      <c r="C15" s="8" t="n">
        <v>1336.8</v>
      </c>
      <c r="D15" s="7" t="inlineStr">
        <is>
          <t>Senior Unsecured</t>
        </is>
      </c>
      <c r="E15" s="7" t="inlineStr">
        <is>
          <t>General Corporate Guarantee</t>
        </is>
      </c>
      <c r="F15" s="30" t="inlineStr">
        <is>
          <t>58.0%</t>
        </is>
      </c>
      <c r="G15" s="30" t="inlineStr">
        <is>
          <t>95.0%</t>
        </is>
      </c>
    </row>
    <row r="16">
      <c r="B16" s="7" t="inlineStr">
        <is>
          <t>Subordinated Debt &amp; Intercompany Notes</t>
        </is>
      </c>
      <c r="C16" s="8" t="n">
        <v>267.4</v>
      </c>
      <c r="D16" s="7" t="inlineStr">
        <is>
          <t>Subordinated</t>
        </is>
      </c>
      <c r="E16" s="7" t="inlineStr">
        <is>
          <t>Junior Unsecured Claim</t>
        </is>
      </c>
      <c r="F16" s="30" t="inlineStr">
        <is>
          <t>0.0%</t>
        </is>
      </c>
      <c r="G16" s="30" t="inlineStr">
        <is>
          <t>25.0%</t>
        </is>
      </c>
    </row>
    <row r="17">
      <c r="B17" s="7" t="inlineStr">
        <is>
          <t>Equity Shareholders</t>
        </is>
      </c>
      <c r="C17" s="8" t="n">
        <v>713</v>
      </c>
      <c r="D17" s="7" t="inlineStr">
        <is>
          <t>Residual Equity</t>
        </is>
      </c>
      <c r="E17" s="7" t="inlineStr">
        <is>
          <t>Ordinary Shares</t>
        </is>
      </c>
      <c r="F17" s="30" t="inlineStr">
        <is>
          <t>0.0%</t>
        </is>
      </c>
      <c r="G17" s="30" t="inlineStr">
        <is>
          <t>Residual Only</t>
        </is>
      </c>
    </row>
    <row r="18"/>
    <row r="19"/>
    <row r="20">
      <c r="B20" s="3" t="inlineStr">
        <is>
          <t>III. RESTRUCTURING JURISDICTION &amp; LEGAL FRAMEWORK</t>
        </is>
      </c>
    </row>
    <row r="21">
      <c r="B21" s="4" t="inlineStr">
        <is>
          <t>Governing Jurisdiction: Turkey Commercial &amp; Bankruptcy Code. Trust deeds contain standard negative pledge, cross-acceleration, and collective action clauses (CACs).</t>
        </is>
      </c>
    </row>
    <row r="22"/>
  </sheetData>
  <mergeCells count="2">
    <mergeCell ref="B2:H2"/>
    <mergeCell ref="B21:H22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L67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31" customWidth="1" min="3" max="3"/>
    <col width="44" customWidth="1" min="4" max="4"/>
    <col width="19" customWidth="1" min="5" max="5"/>
    <col width="150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Zorlu Enerji (ZOREN) — Earnings Presentation &amp; Management Guidance</t>
        </is>
      </c>
    </row>
    <row r="3">
      <c r="B3" s="2" t="inlineStr">
        <is>
          <t>Source: Zorlu Enerji FY2024 Strategic Investor Presentation &amp; Borsa Istanbul Capital Markets Day | Reporting Currency: USD / TRY (with natural USD hedge disclosures)</t>
        </is>
      </c>
    </row>
    <row r="4"/>
    <row r="5">
      <c r="B5" s="3" t="inlineStr">
        <is>
          <t>I. MANAGEMENT STRATEGIC GUIDANCE TRACKER &amp; VARIANCE ANALYSIS</t>
        </is>
      </c>
    </row>
    <row r="6">
      <c r="B6" s="5" t="inlineStr">
        <is>
          <t>Strategic Guidance Metric</t>
        </is>
      </c>
      <c r="C6" s="5" t="inlineStr">
        <is>
          <t>Company Target / Commitment</t>
        </is>
      </c>
      <c r="D6" s="5" t="inlineStr">
        <is>
          <t>Current Run-Rate</t>
        </is>
      </c>
      <c r="E6" s="5" t="inlineStr">
        <is>
          <t>Tracking Status</t>
        </is>
      </c>
      <c r="F6" s="5" t="inlineStr">
        <is>
          <t>Guidance Variance Analysis &amp; Operational Commentary</t>
        </is>
      </c>
    </row>
    <row r="7">
      <c r="B7" s="9" t="inlineStr">
        <is>
          <t>2025E Full-Year Consolidated Revenue Target</t>
        </is>
      </c>
      <c r="C7" s="9" t="inlineStr">
        <is>
          <t>$1,280M - $1,320M (+8.0% YoY)</t>
        </is>
      </c>
      <c r="D7" s="36" t="inlineStr">
        <is>
          <t>$1,295M annualized (9M24 actuals)</t>
        </is>
      </c>
      <c r="E7" s="37" t="inlineStr">
        <is>
          <t>On Track</t>
        </is>
      </c>
      <c r="F7" s="38" t="inlineStr">
        <is>
          <t>High geothermal plant availability (88.5%) and steady OEDAS distribution volume (+3.8%) tracking in line with guidance envelope.</t>
        </is>
      </c>
    </row>
    <row r="8">
      <c r="B8" s="9" t="inlineStr">
        <is>
          <t>2025E Consolidated EBITDA Target</t>
        </is>
      </c>
      <c r="C8" s="9" t="inlineStr">
        <is>
          <t>$330M - $350M (26.5% - 27.5% margin)</t>
        </is>
      </c>
      <c r="D8" s="36" t="inlineStr">
        <is>
          <t>$338M annualized run-rate</t>
        </is>
      </c>
      <c r="E8" s="37" t="inlineStr">
        <is>
          <t>On Track</t>
        </is>
      </c>
      <c r="F8" s="38" t="inlineStr">
        <is>
          <t>USD-denominated YEKDEM cash flows ($105-$132/MWh) generated 68.5% of generation EBITDA, protecting margins against TRY depreciation.</t>
        </is>
      </c>
    </row>
    <row r="9">
      <c r="B9" s="9" t="inlineStr">
        <is>
          <t>Consolidated Net Leverage Ceiling</t>
        </is>
      </c>
      <c r="C9" s="9" t="inlineStr">
        <is>
          <t>&lt; 3.50x Net Debt / EBITDA</t>
        </is>
      </c>
      <c r="D9" s="36" t="inlineStr">
        <is>
          <t>4.82x Net Debt / EBITDA (2024A)</t>
        </is>
      </c>
      <c r="E9" s="39" t="inlineStr">
        <is>
          <t>Under Watch</t>
        </is>
      </c>
      <c r="F9" s="38" t="inlineStr">
        <is>
          <t>Elevated leverage due to TRY translation of unhedged debt; deleveraging milestone contingent on executing Zorlu Yenilenebilir equity monetization.</t>
        </is>
      </c>
    </row>
    <row r="10">
      <c r="B10" s="9" t="inlineStr">
        <is>
          <t>2025E Strategic Capex Discipline Envelope</t>
        </is>
      </c>
      <c r="C10" s="9" t="inlineStr">
        <is>
          <t>&lt; $115.0M maximum capex envelope</t>
        </is>
      </c>
      <c r="D10" s="36" t="inlineStr">
        <is>
          <t>$108.2M committed / incurred</t>
        </is>
      </c>
      <c r="E10" s="37" t="inlineStr">
        <is>
          <t>On Track</t>
        </is>
      </c>
      <c r="F10" s="38" t="inlineStr">
        <is>
          <t>Discretionary thermal capex frozen; capital deployed exclusively into regulated OEDAS grid capex (RAB-accretive) and Kizildere hybrid solar.</t>
        </is>
      </c>
    </row>
    <row r="11">
      <c r="B11" s="9" t="inlineStr">
        <is>
          <t>ZES Electric Vehicle Fast-Charging Sockets</t>
        </is>
      </c>
      <c r="C11" s="9" t="inlineStr">
        <is>
          <t>2,200+ public sockets by end-2025</t>
        </is>
      </c>
      <c r="D11" s="36" t="inlineStr">
        <is>
          <t>1,850 sockets active across 81 provinces</t>
        </is>
      </c>
      <c r="E11" s="33" t="inlineStr">
        <is>
          <t>Ahead of Target</t>
        </is>
      </c>
      <c r="F11" s="38" t="inlineStr">
        <is>
          <t>Consolidated #1 market position in Turkey with 38% market share; Electrip international pilot expanding across Italy, France, and Poland.</t>
        </is>
      </c>
    </row>
    <row r="12"/>
    <row r="13">
      <c r="B13" s="3" t="inlineStr">
        <is>
          <t>II. CAPITAL ALLOCATION &amp; STRATEGIC PROJECT PIPELINE</t>
        </is>
      </c>
    </row>
    <row r="14">
      <c r="B14" s="5" t="inlineStr">
        <is>
          <t>Project / Capital Dimension</t>
        </is>
      </c>
      <c r="C14" s="5" t="inlineStr">
        <is>
          <t>Disclosure &amp; Execution Milestone</t>
        </is>
      </c>
    </row>
    <row r="15">
      <c r="B15" s="9" t="inlineStr">
        <is>
          <t>Kizildere Hybrid Solar</t>
        </is>
      </c>
      <c r="C15" s="38" t="inlineStr">
        <is>
          <t>50 MW co-located solar PV under construction at Kizildere to utilize existing transmission capacity and boost summer generation</t>
        </is>
      </c>
    </row>
    <row r="16">
      <c r="B16" s="9" t="inlineStr">
        <is>
          <t>Alasehir Geothermal Expansion</t>
        </is>
      </c>
      <c r="C16" s="38" t="inlineStr">
        <is>
          <t>Preliminary drilling and resource appraisal for Alasehir II geothermal project (potential +30 MW expansion)</t>
        </is>
      </c>
    </row>
    <row r="17">
      <c r="B17" s="9" t="inlineStr">
        <is>
          <t>Oedas Smart Grid Investments</t>
        </is>
      </c>
      <c r="C17" s="38" t="inlineStr">
        <is>
          <t>TRY 3.8B committed grid modernization and digital substation automation under 4th Tariff Period</t>
        </is>
      </c>
    </row>
    <row r="18">
      <c r="B18" s="9" t="inlineStr">
        <is>
          <t>Zes Electrip Europe</t>
        </is>
      </c>
      <c r="C18" s="38" t="inlineStr">
        <is>
          <t>Targeting 500 ultra-fast DC charging hubs across Southern and Central Europe by 2026</t>
        </is>
      </c>
    </row>
    <row r="19"/>
    <row r="20">
      <c r="B20" s="3" t="inlineStr">
        <is>
          <t>III. GEOGRAPHIC &amp; CURRENCY EXPOSURE MATRIX</t>
        </is>
      </c>
    </row>
    <row r="21">
      <c r="B21" s="5" t="inlineStr">
        <is>
          <t>Exposure Category</t>
        </is>
      </c>
      <c r="C21" s="5" t="inlineStr">
        <is>
          <t>Contractual / Balance Sheet Profile</t>
        </is>
      </c>
    </row>
    <row r="22">
      <c r="B22" s="9" t="inlineStr">
        <is>
          <t>Usd Revenue Share</t>
        </is>
      </c>
      <c r="C22" s="38" t="inlineStr">
        <is>
          <t>68.5% of generation EBITDA earned in US Dollars directly under statutory YEKDEM mechanism</t>
        </is>
      </c>
    </row>
    <row r="23">
      <c r="B23" s="9" t="inlineStr">
        <is>
          <t>Try Regulated Revenue Share</t>
        </is>
      </c>
      <c r="C23" s="38" t="inlineStr">
        <is>
          <t>31.5% of revenue earned in Turkish Lira via OEDAS/OEPSAS with full CPI inflation pass-through</t>
        </is>
      </c>
    </row>
    <row r="24">
      <c r="B24" s="9" t="inlineStr">
        <is>
          <t>Debt Currency Denomination</t>
        </is>
      </c>
      <c r="C24" s="38" t="inlineStr">
        <is>
          <t>58% USD, 24% EUR, 18% TRY — natural dollar hedge covers 100% of USD net interest payments</t>
        </is>
      </c>
    </row>
    <row r="25">
      <c r="B25" s="9" t="inlineStr">
        <is>
          <t>Fx Risk Mitigation</t>
        </is>
      </c>
      <c r="C25" s="38" t="inlineStr">
        <is>
          <t>Bilateral FX forward hedges covering next 12-month EUR debt principal amortizations</t>
        </is>
      </c>
    </row>
    <row r="26"/>
    <row r="27">
      <c r="B27" s="3" t="inlineStr">
        <is>
          <t>IV. CONTRACT BACKLOG &amp; COMMERCIAL MOAT</t>
        </is>
      </c>
    </row>
    <row r="28">
      <c r="B28" s="5" t="inlineStr">
        <is>
          <t>Dimension</t>
        </is>
      </c>
      <c r="C28" s="5" t="inlineStr">
        <is>
          <t>Commercial / Asset Metrics</t>
        </is>
      </c>
    </row>
    <row r="29">
      <c r="B29" s="9" t="inlineStr">
        <is>
          <t>Contracted Generation Capacity</t>
        </is>
      </c>
      <c r="C29" s="38" t="inlineStr">
        <is>
          <t>643 MW operating under government-backed take-or-pay feed-in tariffs</t>
        </is>
      </c>
    </row>
    <row r="30">
      <c r="B30" s="9" t="inlineStr">
        <is>
          <t>Offtaker Counterparty</t>
        </is>
      </c>
      <c r="C30" s="38" t="inlineStr">
        <is>
          <t>Republic of Turkey Ministry of Energy and Natural Resources / EPIAS (100% sovereign-backed offtake)</t>
        </is>
      </c>
    </row>
    <row r="31">
      <c r="B31" s="9" t="inlineStr">
        <is>
          <t>Average Concession Life</t>
        </is>
      </c>
      <c r="C31" s="38" t="inlineStr">
        <is>
          <t>Distribution concession through 2036; Geothermal exploration licenses valid through 2041-2047</t>
        </is>
      </c>
    </row>
    <row r="32"/>
    <row r="33">
      <c r="B33" s="3" t="inlineStr">
        <is>
          <t>V. LIQUIDITY WATERFALL &amp; HEADROOM</t>
        </is>
      </c>
    </row>
    <row r="34">
      <c r="B34" s="5" t="inlineStr">
        <is>
          <t>Liquidity Component</t>
        </is>
      </c>
      <c r="C34" s="5" t="inlineStr">
        <is>
          <t>Available Buffer / Runway</t>
        </is>
      </c>
    </row>
    <row r="35">
      <c r="B35" s="9" t="inlineStr">
        <is>
          <t>Unrestricted Cash Reserves</t>
        </is>
      </c>
      <c r="C35" s="38" t="inlineStr">
        <is>
          <t>$240.0M held in tier-1 commercial and state banks (Akbank, Garanti, Isbank)</t>
        </is>
      </c>
    </row>
    <row r="36">
      <c r="B36" s="9" t="inlineStr">
        <is>
          <t>Undrawn Committed Facilities</t>
        </is>
      </c>
      <c r="C36" s="38" t="inlineStr">
        <is>
          <t>$180.0M undrawn revolving credit lines and overdraft limits</t>
        </is>
      </c>
    </row>
    <row r="37">
      <c r="B37" s="9" t="inlineStr">
        <is>
          <t>Next 12M Debt Service</t>
        </is>
      </c>
      <c r="C37" s="38" t="inlineStr">
        <is>
          <t>$260.0M scheduled amortization and coupon payments fully covered by internal operating cash flow ($272M CFO)</t>
        </is>
      </c>
    </row>
    <row r="38">
      <c r="B38" s="3" t="inlineStr">
        <is>
          <t>VI. GENERATION FLEET BREAKDOWN</t>
        </is>
      </c>
    </row>
    <row r="39">
      <c r="B39" s="5" t="inlineStr">
        <is>
          <t>Operational Asset / Disclosure Dimension</t>
        </is>
      </c>
      <c r="C39" s="5" t="inlineStr">
        <is>
          <t>Conference Call &amp; Investor Deck Detail</t>
        </is>
      </c>
    </row>
    <row r="40">
      <c r="B40" s="9" t="inlineStr">
        <is>
          <t>Geothermal Capacity Jes</t>
        </is>
      </c>
      <c r="C40" s="38" t="inlineStr">
        <is>
          <t>305.0 MW total geothermal capacity: Kizildere I (15.0 MW), Kizildere II (80.0 MW), Kizildere III Unit 1 (99.5 MW), Kizildere III Unit 2 (65.5 MW), Alasehir I (45.0 MW) — Turkey's largest and lowest-cost baseload renewable fleet</t>
        </is>
      </c>
    </row>
    <row r="41">
      <c r="B41" s="9" t="inlineStr">
        <is>
          <t>Wind Capacity Res</t>
        </is>
      </c>
      <c r="C41" s="38" t="inlineStr">
        <is>
          <t>135.0 MW Gokcedag Wind Power Plant (Osmaniye) — long-term high wind resource capacity factor (&gt;34%)</t>
        </is>
      </c>
    </row>
    <row r="42">
      <c r="B42" s="9" t="inlineStr">
        <is>
          <t>Hydroelectric Capacity Hes</t>
        </is>
      </c>
      <c r="C42" s="38" t="inlineStr">
        <is>
          <t>118.6 MW across 7 operating run-of-river and reservoir plants (Ikizdere, Atabey, Camlica, Kuzgun, Mercan, Tercan, Beykoy)</t>
        </is>
      </c>
    </row>
    <row r="43">
      <c r="B43" s="9" t="inlineStr">
        <is>
          <t>Solar And Hybrid Capacity</t>
        </is>
      </c>
      <c r="C43" s="38" t="inlineStr">
        <is>
          <t>84.0 MW installed and under development (hybrid solar installations co-located at Kizildere geothermal sites)</t>
        </is>
      </c>
    </row>
    <row r="44">
      <c r="B44" s="9" t="inlineStr">
        <is>
          <t>Thermal And Industrial Cogen</t>
        </is>
      </c>
      <c r="C44" s="38" t="inlineStr">
        <is>
          <t>341.0 MW domestic gas cogeneration and district heating (Bursa, Luleburgaz)</t>
        </is>
      </c>
    </row>
    <row r="45">
      <c r="B45" s="9" t="inlineStr">
        <is>
          <t>International Power Assets</t>
        </is>
      </c>
      <c r="C45" s="38" t="inlineStr">
        <is>
          <t>290.4 MW total international holdings: 56.4 MW Jhimpir Wind (Pakistan, sovereign USD PPA) + 25.0% equity interest in 840 MW Dorad Energy (Israel, 210 MW net share)</t>
        </is>
      </c>
    </row>
    <row r="46"/>
    <row r="47">
      <c r="B47" s="3" t="inlineStr">
        <is>
          <t>VII. YEKDEM FEED IN TARIFF MECHANICS</t>
        </is>
      </c>
    </row>
    <row r="48">
      <c r="B48" s="5" t="inlineStr">
        <is>
          <t>Operational Asset / Disclosure Dimension</t>
        </is>
      </c>
      <c r="C48" s="5" t="inlineStr">
        <is>
          <t>Conference Call &amp; Investor Deck Detail</t>
        </is>
      </c>
    </row>
    <row r="49">
      <c r="B49" s="9" t="inlineStr">
        <is>
          <t>Geothermal Dollar Tariff</t>
        </is>
      </c>
      <c r="C49" s="38" t="inlineStr">
        <is>
          <t>$105.0/MWh base feed-in tariff + up to $27.0/MWh domestic equipment component bonus = $132.0/MWh guaranteed in US Dollars</t>
        </is>
      </c>
    </row>
    <row r="50">
      <c r="B50" s="9" t="inlineStr">
        <is>
          <t>Wind Dollar Tariff</t>
        </is>
      </c>
      <c r="C50" s="38" t="inlineStr">
        <is>
          <t>$73.0/MWh base tariff + up to $21.0/MWh local blade/tower manufacturing bonus = $94.0/MWh guaranteed in US Dollars</t>
        </is>
      </c>
    </row>
    <row r="51">
      <c r="B51" s="9" t="inlineStr">
        <is>
          <t>Dollar Natural Hedge Ratio</t>
        </is>
      </c>
      <c r="C51" s="38" t="inlineStr">
        <is>
          <t>68.5% of total power generation cash EBITDA is received in hard currency US Dollars via YEKDEM settlement, fully covering annual USD debt service on project loans and Eurobonds</t>
        </is>
      </c>
    </row>
    <row r="52">
      <c r="B52" s="9" t="inlineStr">
        <is>
          <t>Yekdem Contract Expiry Schedule</t>
        </is>
      </c>
      <c r="C52" s="38" t="inlineStr">
        <is>
          <t>Kizildere II active through 2026; Alasehir active through 2026; Kizildere III Unit 1 through 2028; Kizildere III Unit 2 through 2029; Gokcedag Wind through 2025 (transitioning to merchant/bilateral contracts)</t>
        </is>
      </c>
    </row>
    <row r="53"/>
    <row r="54">
      <c r="B54" s="3" t="inlineStr">
        <is>
          <t>VIII. DISTRIBUTION AND RETAIL OEDAS</t>
        </is>
      </c>
    </row>
    <row r="55">
      <c r="B55" s="5" t="inlineStr">
        <is>
          <t>Operational Asset / Disclosure Dimension</t>
        </is>
      </c>
      <c r="C55" s="5" t="inlineStr">
        <is>
          <t>Conference Call &amp; Investor Deck Detail</t>
        </is>
      </c>
    </row>
    <row r="56">
      <c r="B56" s="9" t="inlineStr">
        <is>
          <t>Concession Area</t>
        </is>
      </c>
      <c r="C56" s="38" t="inlineStr">
        <is>
          <t>Osmangazi electricity distribution region covering 5 provinces: Afyonkarahisar, Bilecik, Eskisehir, Kutahya, Usak</t>
        </is>
      </c>
    </row>
    <row r="57">
      <c r="B57" s="9" t="inlineStr">
        <is>
          <t>Customer Reach</t>
        </is>
      </c>
      <c r="C57" s="38" t="inlineStr">
        <is>
          <t>1.95 million registered meters serving a regional population of ~2.9 million</t>
        </is>
      </c>
    </row>
    <row r="58">
      <c r="B58" s="9" t="inlineStr">
        <is>
          <t>Annual Volume Distributed</t>
        </is>
      </c>
      <c r="C58" s="38" t="inlineStr">
        <is>
          <t>8,650 GWh distributed electricity volume (+3.8% organic growth in 2024)</t>
        </is>
      </c>
    </row>
    <row r="59">
      <c r="B59" s="9" t="inlineStr">
        <is>
          <t>Regulated Asset Base Rab</t>
        </is>
      </c>
      <c r="C59" s="38" t="inlineStr">
        <is>
          <t>$650.0M equivalent (TRY 22.5B), earning a real pre-tax allowed return on equity (WACC) set by EMRA (12.3% real return)</t>
        </is>
      </c>
    </row>
    <row r="60">
      <c r="B60" s="9" t="inlineStr">
        <is>
          <t>Inflation Protection</t>
        </is>
      </c>
      <c r="C60" s="38" t="inlineStr">
        <is>
          <t>Distribution tariffs and opex/capex allowances are adjusted monthly for Turkish CPI/PPI, shielding real operating margin against currency depreciation</t>
        </is>
      </c>
    </row>
    <row r="62">
      <c r="B62" s="3" t="inlineStr">
        <is>
          <t>IX. ZES ELECTRIC VEHICLE CHARGING NETWORK</t>
        </is>
      </c>
    </row>
    <row r="63">
      <c r="B63" s="5" t="inlineStr">
        <is>
          <t>Operational Asset / Disclosure Dimension</t>
        </is>
      </c>
      <c r="C63" s="5" t="inlineStr">
        <is>
          <t>Conference Call &amp; Investor Deck Detail</t>
        </is>
      </c>
    </row>
    <row r="64">
      <c r="B64" s="9" t="inlineStr">
        <is>
          <t>Active Charging Sockets</t>
        </is>
      </c>
      <c r="C64" s="38" t="inlineStr">
        <is>
          <t>1,850+ public AC/DC fast-charging sockets operating across all 81 provinces of Turkey</t>
        </is>
      </c>
    </row>
    <row r="65">
      <c r="B65" s="9" t="inlineStr">
        <is>
          <t>Market Share</t>
        </is>
      </c>
      <c r="C65" s="38" t="inlineStr">
        <is>
          <t>~35% - 38% market share in public DC fast charging, maintaining clear #1 market leadership in Turkey</t>
        </is>
      </c>
    </row>
    <row r="66">
      <c r="B66" s="9" t="inlineStr">
        <is>
          <t>European Expansion Electrip</t>
        </is>
      </c>
      <c r="C66" s="38" t="inlineStr">
        <is>
          <t>International EV charging rollout under the Electrip brand with active high-power hubs launched in Italy, France, Poland, Bulgaria, and Greece</t>
        </is>
      </c>
    </row>
    <row r="67">
      <c r="B67" s="9" t="inlineStr">
        <is>
          <t>Charging Volume Growth</t>
        </is>
      </c>
      <c r="C67" s="38" t="inlineStr">
        <is>
          <t>+78.0% YoY increase in electricity delivered via charging network (transitioning into high-margin recurring cash flow stream)</t>
        </is>
      </c>
    </row>
  </sheetData>
  <mergeCells count="48">
    <mergeCell ref="C36:I36"/>
    <mergeCell ref="C23:I23"/>
    <mergeCell ref="C52:I52"/>
    <mergeCell ref="F9:I9"/>
    <mergeCell ref="C17:I17"/>
    <mergeCell ref="C48:I48"/>
    <mergeCell ref="C39:I39"/>
    <mergeCell ref="B3:I3"/>
    <mergeCell ref="C67:I67"/>
    <mergeCell ref="C57:I57"/>
    <mergeCell ref="C37:I37"/>
    <mergeCell ref="C28:I28"/>
    <mergeCell ref="C66:I66"/>
    <mergeCell ref="C18:I18"/>
    <mergeCell ref="B2:I2"/>
    <mergeCell ref="C49:I49"/>
    <mergeCell ref="F11:I11"/>
    <mergeCell ref="C34:I34"/>
    <mergeCell ref="C24:I24"/>
    <mergeCell ref="C30:I30"/>
    <mergeCell ref="C42:I42"/>
    <mergeCell ref="C15:I15"/>
    <mergeCell ref="F10:I10"/>
    <mergeCell ref="C58:I58"/>
    <mergeCell ref="C14:I14"/>
    <mergeCell ref="C45:I45"/>
    <mergeCell ref="F7:I7"/>
    <mergeCell ref="C64:I64"/>
    <mergeCell ref="C35:I35"/>
    <mergeCell ref="C29:I29"/>
    <mergeCell ref="C16:I16"/>
    <mergeCell ref="C25:I25"/>
    <mergeCell ref="C63:I63"/>
    <mergeCell ref="C41:I41"/>
    <mergeCell ref="C65:I65"/>
    <mergeCell ref="C55:I55"/>
    <mergeCell ref="C50:I50"/>
    <mergeCell ref="C31:I31"/>
    <mergeCell ref="C44:I44"/>
    <mergeCell ref="C22:I22"/>
    <mergeCell ref="C40:I40"/>
    <mergeCell ref="F8:I8"/>
    <mergeCell ref="C56:I56"/>
    <mergeCell ref="C21:I21"/>
    <mergeCell ref="C59:I59"/>
    <mergeCell ref="C43:I43"/>
    <mergeCell ref="C60:I60"/>
    <mergeCell ref="C51:I5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2026-09-19T21:53:50Z</dcterms:created>
  <dcterms:modified xmlns:dcterms="http://purl.org/dc/terms/" xmlns:xsi="http://www.w3.org/2001/XMLSchema-instance" xsi:type="dcterms:W3CDTF">2026-09-19T21:53:50Z</dcterms:modified>
</cp:coreProperties>
</file>