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(+9.1% YoY) anchored by 1.95M OEDAS customers and 305 MW geothermal baseload fleet.</t>
      </text>
    </comment>
    <comment ref="G10" authorId="0" shapeId="0">
      <text>
        <t>CEMBI Credit Analyst Observation (2025E):
Forecast revenue of $1,296M (+8.0% YoY) reflecting high geothermal capacity factor (88.5%) and RAB growth.</t>
      </text>
    </comment>
    <comment ref="H10" authorId="0" shapeId="0">
      <text>
        <t>CEMBI Credit Analyst Observation (2026E):
Revenue anticipated at $1,375M driven by expanded ZES EV charging network and growing regional power demand.</t>
      </text>
    </comment>
    <comment ref="I10" authorId="0" shapeId="0">
      <text>
        <t>CEMBI Credit Analyst Observation (2027E):
Revenue reaches $1,440M with international power assets (Dorad Israel / Pakistan) contributing steady dividends.</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leverage at 4.82x (restricting debt incurrence covenant); management prioritizes de-leveraging to &lt;3.5x.</t>
      </text>
    </comment>
    <comment ref="G8" authorId="0" shapeId="0">
      <text>
        <t>CEMBI Credit Desk Calculated Leverage Commentary (2025E):
Net leverage expected to decrease to 3.90x assisted by operating cash generation and targeted asset sales.</t>
      </text>
    </comment>
    <comment ref="H8" authorId="0" shapeId="0">
      <text>
        <t>CEMBI Credit Desk Calculated Leverage Commentary (2026E):
Net leverage improves to 3.37x; covenant headroom restores fully across all bank facilities.</t>
      </text>
    </comment>
    <comment ref="I8" authorId="0" shapeId="0">
      <text>
        <t>CEMBI Credit Desk Calculated Leverage Commentary (2027E):
Net leverage falls to conservative 2.87x, positioning Zorlu Enerji for sovereign-ceiling rating upgrades.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9.00% 2026 @ $94.50 (11.20% YTM / +680 bp)</t>
        </is>
      </c>
    </row>
    <row r="4"/>
    <row r="5">
      <c r="B5" s="3" t="inlineStr">
        <is>
          <t>I. EXECUTIVE CREDIT THESIS &amp; MANDATE</t>
        </is>
      </c>
    </row>
    <row r="6">
      <c r="B6" s="4" t="inlineStr">
        <is>
          <t>High geothermal/hydro cash margins; AlJomaih asset divestment and deleveraging underway.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802.08</v>
      </c>
      <c r="F26" s="7" t="inlineStr">
        <is>
          <t>11.20%</t>
        </is>
      </c>
      <c r="G26" s="7" t="inlineStr">
        <is>
          <t>$94.50</t>
        </is>
      </c>
      <c r="H26" s="7" t="inlineStr">
        <is>
          <t>2028-2032</t>
        </is>
      </c>
      <c r="I26" s="7" t="inlineStr">
        <is>
          <t>Senior Unsecured</t>
        </is>
      </c>
    </row>
    <row r="27">
      <c r="B27" s="7" t="inlineStr">
        <is>
          <t>ZOREN Sukuk / Eurobond Tranche 2</t>
        </is>
      </c>
      <c r="C27" s="7" t="inlineStr">
        <is>
          <t>Senior Unsecured Note</t>
        </is>
      </c>
      <c r="D27" s="7" t="inlineStr">
        <is>
          <t>USD</t>
        </is>
      </c>
      <c r="E27" s="8" t="n">
        <v>534.72</v>
      </c>
      <c r="F27" s="7" t="inlineStr">
        <is>
          <t>10.45%</t>
        </is>
      </c>
      <c r="G27" s="7" t="inlineStr">
        <is>
          <t>$97.00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445.6</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-78.40000000000001</v>
      </c>
      <c r="D16" s="8" t="n">
        <v>-95.2</v>
      </c>
      <c r="E16" s="8" t="n">
        <v>-106.4</v>
      </c>
      <c r="F16" s="8" t="n">
        <v>-112</v>
      </c>
      <c r="G16" s="8" t="n">
        <v>-117.6</v>
      </c>
      <c r="H16" s="8" t="n">
        <v>-114.2</v>
      </c>
      <c r="I16" s="8" t="n">
        <v>-109.8</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-59.3</v>
      </c>
      <c r="D32" s="8" t="n">
        <v>-79.40000000000001</v>
      </c>
      <c r="E32" s="8" t="n">
        <v>-97.09999999999999</v>
      </c>
      <c r="F32" s="8" t="n">
        <v>-113.9</v>
      </c>
      <c r="G32" s="8" t="n">
        <v>-107.3</v>
      </c>
      <c r="H32" s="8" t="n">
        <v>-101</v>
      </c>
      <c r="I32" s="8" t="n">
        <v>-97.7</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0"/>
  <sheetViews>
    <sheetView showGridLines="1" workbookViewId="0">
      <selection activeCell="A1" sqref="A1"/>
    </sheetView>
  </sheetViews>
  <sheetFormatPr baseColWidth="8" defaultRowHeight="15"/>
  <cols>
    <col width="6" customWidth="1" min="1" max="1"/>
    <col width="38" customWidth="1" min="2" max="2"/>
    <col width="98" customWidth="1" min="3" max="3"/>
    <col width="36" customWidth="1" min="4" max="4"/>
    <col width="53" customWidth="1" min="5" max="5"/>
    <col width="169" customWidth="1" min="6" max="6"/>
    <col width="15" customWidth="1" min="7" max="7"/>
    <col width="14" customWidth="1" min="8" max="8"/>
    <col width="81" customWidth="1" min="9" max="9"/>
    <col width="48"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0.1120</f>
        <v/>
      </c>
      <c r="D11" s="8">
        <f>D10 * 0.1120</f>
        <v/>
      </c>
      <c r="E11" s="8">
        <f>E10 * 0.1120</f>
        <v/>
      </c>
      <c r="F11" s="8">
        <f>F10 * 0.1120</f>
        <v/>
      </c>
      <c r="G11" s="8">
        <f>G10 * 0.1120</f>
        <v/>
      </c>
      <c r="H11" s="8">
        <f>H10 * 0.1120</f>
        <v/>
      </c>
      <c r="I11" s="8">
        <f>I10 * 0.1120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213.9</v>
      </c>
      <c r="C32" s="8" t="n">
        <v>392.1</v>
      </c>
      <c r="D32" s="8" t="n">
        <v>499.1</v>
      </c>
      <c r="E32" s="8" t="n">
        <v>320.8</v>
      </c>
      <c r="F32" s="8" t="n">
        <v>213.9</v>
      </c>
      <c r="G32" s="8" t="n">
        <v>142.6</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9.000% Senior Notes Due 2026 (Eurobond)</t>
        </is>
      </c>
      <c r="C37" s="7" t="inlineStr">
        <is>
          <t>Senior Unsecured RegS/144A Eurobond</t>
        </is>
      </c>
      <c r="D37" s="29" t="inlineStr">
        <is>
          <t>USD</t>
        </is>
      </c>
      <c r="E37" s="21" t="n">
        <v>300</v>
      </c>
      <c r="F37" s="30" t="inlineStr">
        <is>
          <t>9.000%</t>
        </is>
      </c>
      <c r="G37" s="31" t="n">
        <v>94.5</v>
      </c>
      <c r="H37" s="32" t="n">
        <v>11.2</v>
      </c>
      <c r="I37" s="7" t="inlineStr">
        <is>
          <t>Senior Unsecured (Pari Passu with Bank Debt)</t>
        </is>
      </c>
      <c r="J37" s="17" t="inlineStr">
        <is>
          <t>English Law / Rule 144A</t>
        </is>
      </c>
    </row>
    <row r="38">
      <c r="B38" s="9" t="inlineStr">
        <is>
          <t>Kizildere &amp; Alasehir Geothermal Project Finance Facilities</t>
        </is>
      </c>
      <c r="C38" s="7" t="inlineStr">
        <is>
          <t>Senior Secured Amortizing Project Finance Loans (EBRD / IFC / Commercial)</t>
        </is>
      </c>
      <c r="D38" s="29" t="inlineStr">
        <is>
          <t>USD</t>
        </is>
      </c>
      <c r="E38" s="21" t="n">
        <v>720</v>
      </c>
      <c r="F38" s="30" t="inlineStr">
        <is>
          <t>SOFR + 325 bps</t>
        </is>
      </c>
      <c r="G38" s="31" t="n">
        <v>100</v>
      </c>
      <c r="H38" s="32" t="n">
        <v>8.15</v>
      </c>
      <c r="I38" s="7" t="inlineStr">
        <is>
          <t>Senior Secured (First Lien on Geothermal Plant Assets &amp; YEKDEM Cash Accounts)</t>
        </is>
      </c>
      <c r="J38" s="17" t="inlineStr">
        <is>
          <t>English Law / Turkish Security Documentation</t>
        </is>
      </c>
    </row>
    <row r="39">
      <c r="B39" s="9" t="inlineStr">
        <is>
          <t>OEDAS Regulated Grid Distribution Investment Loans</t>
        </is>
      </c>
      <c r="C39" s="7" t="inlineStr">
        <is>
          <t>Senior Secured Capex Facilities &amp; TLREF Bonds</t>
        </is>
      </c>
      <c r="D39" s="29" t="inlineStr">
        <is>
          <t>TRY / EUR</t>
        </is>
      </c>
      <c r="E39" s="21" t="n">
        <v>480</v>
      </c>
      <c r="F39" s="30" t="inlineStr">
        <is>
          <t>TLREF + 350 bps / Euribor + 275 bps</t>
        </is>
      </c>
      <c r="G39" s="31" t="n">
        <v>100</v>
      </c>
      <c r="H39" s="32" t="n">
        <v>14.5</v>
      </c>
      <c r="I39" s="7" t="inlineStr">
        <is>
          <t>Senior Secured (Pledge on Regulated Tariff Receivables)</t>
        </is>
      </c>
      <c r="J39" s="17" t="inlineStr">
        <is>
          <t>Turkish Law</t>
        </is>
      </c>
    </row>
    <row r="40">
      <c r="B40" s="9" t="inlineStr">
        <is>
          <t>Zorlu Enerji Syndicated Multi-Currency RCF &amp; Bilateral Working Capital</t>
        </is>
      </c>
      <c r="C40" s="7" t="inlineStr">
        <is>
          <t>Revolving Working Capital Credit Facilities</t>
        </is>
      </c>
      <c r="D40" s="29" t="inlineStr">
        <is>
          <t>USD / EUR / TRY</t>
        </is>
      </c>
      <c r="E40" s="21" t="n">
        <v>282.4</v>
      </c>
      <c r="F40" s="30" t="inlineStr">
        <is>
          <t>SOFR + 285 bps</t>
        </is>
      </c>
      <c r="G40" s="31" t="n">
        <v>100</v>
      </c>
      <c r="H40" s="32" t="n">
        <v>7.75</v>
      </c>
      <c r="I40" s="7" t="inlineStr">
        <is>
          <t>Senior Unsecured (Pari Passu with Eurobonds)</t>
        </is>
      </c>
      <c r="J40" s="17" t="inlineStr">
        <is>
          <t>Turkish / English Law</t>
        </is>
      </c>
    </row>
    <row r="41"/>
    <row r="42">
      <c r="B42" s="3" t="inlineStr">
        <is>
          <t>VI. REVOLVING CREDIT FACILITY (RCF) &amp; BANK LIQUIDITY RUNWAY</t>
        </is>
      </c>
    </row>
    <row r="43">
      <c r="B43" s="7" t="inlineStr">
        <is>
          <t>Facility Designation</t>
        </is>
      </c>
      <c r="C43" s="7" t="inlineStr">
        <is>
          <t>Zorlu Enerji Syndicated Multi-Currency Revolving Credit Facility (RCF)</t>
        </is>
      </c>
    </row>
    <row r="44">
      <c r="B44" s="9" t="inlineStr">
        <is>
          <t>Total Committed Capacity ($M)</t>
        </is>
      </c>
      <c r="C44" s="21" t="n">
        <v>462.4</v>
      </c>
    </row>
    <row r="45">
      <c r="B45" s="7" t="inlineStr">
        <is>
          <t>Drawn Amount ($M)</t>
        </is>
      </c>
      <c r="C45" s="8" t="n">
        <v>282.4</v>
      </c>
    </row>
    <row r="46">
      <c r="B46" s="19" t="inlineStr">
        <is>
          <t>AVAILABLE UNDRAWN HEADROOM ($M)</t>
        </is>
      </c>
      <c r="C46" s="20" t="n">
        <v>180</v>
      </c>
    </row>
    <row r="47">
      <c r="B47" s="7" t="inlineStr">
        <is>
          <t>Drawn Borrowing Margin</t>
        </is>
      </c>
      <c r="C47" s="7" t="inlineStr">
        <is>
          <t>SOFR + 285 bps / Euribor + 250 bps</t>
        </is>
      </c>
    </row>
    <row r="48">
      <c r="B48" s="7" t="inlineStr">
        <is>
          <t>Undrawn Commitment Fee</t>
        </is>
      </c>
      <c r="C48" s="7" t="inlineStr">
        <is>
          <t>75.0 bps</t>
        </is>
      </c>
    </row>
    <row r="49">
      <c r="B49" s="7" t="inlineStr">
        <is>
          <t>Maturity Date &amp; Extension Options</t>
        </is>
      </c>
      <c r="C49" s="7" t="inlineStr">
        <is>
          <t>2027-06-30 (with 1-year annual extension options)</t>
        </is>
      </c>
    </row>
    <row r="50">
      <c r="B50" s="7" t="inlineStr">
        <is>
          <t>Syndicate Lenders / Arrangers</t>
        </is>
      </c>
      <c r="C50" s="7" t="inlineStr">
        <is>
          <t>Akbank, Garanti BBVA, Turkiye Is Bankasi, Vakifbank, QNB Finansbank</t>
        </is>
      </c>
    </row>
    <row r="51">
      <c r="B51" s="7" t="inlineStr">
        <is>
          <t>RCF Maintenance Covenants</t>
        </is>
      </c>
      <c r="C51" s="7" t="inlineStr">
        <is>
          <t>Semi-annual testing: Consolidated Net Debt / EBITDA &lt;= 5.0x, Minimum Interest Coverage &gt;= 2.0x</t>
        </is>
      </c>
    </row>
    <row r="52"/>
    <row r="53">
      <c r="B53" s="3" t="inlineStr">
        <is>
          <t>VII. BOND COVENANT ANALYSIS &amp; HEADROOM SCORECARD</t>
        </is>
      </c>
    </row>
    <row r="54">
      <c r="B54" s="5" t="inlineStr">
        <is>
          <t>Covenant Test / Negative Pledge Dimension</t>
        </is>
      </c>
      <c r="C54" s="5" t="inlineStr">
        <is>
          <t>Governing Threshold / Limit</t>
        </is>
      </c>
      <c r="D54" s="5" t="inlineStr">
        <is>
          <t>Actual Current / Reported Metric</t>
        </is>
      </c>
      <c r="E54" s="5" t="inlineStr">
        <is>
          <t>Headroom / Compliance Status</t>
        </is>
      </c>
      <c r="F54" s="5" t="inlineStr">
        <is>
          <t>Covenant Terms / Description</t>
        </is>
      </c>
    </row>
    <row r="55">
      <c r="B55" s="9" t="inlineStr">
        <is>
          <t>Incurrence: Maximum Consolidated Net Debt / EBITDA</t>
        </is>
      </c>
      <c r="C55" s="29" t="inlineStr">
        <is>
          <t>4.50x</t>
        </is>
      </c>
      <c r="D55" s="25" t="inlineStr">
        <is>
          <t>4.82x</t>
        </is>
      </c>
      <c r="E55" s="33" t="inlineStr">
        <is>
          <t>-0.32x leverage buffer ($-102.4M EBITDA headroom)</t>
        </is>
      </c>
      <c r="F55" s="17" t="inlineStr">
        <is>
          <t>Incurrence covenant for additional senior debt issuance</t>
        </is>
      </c>
    </row>
    <row r="56">
      <c r="B56" s="9" t="inlineStr">
        <is>
          <t>Incurrence / Maintenance: Minimum EBITDA / Net Finance Charges</t>
        </is>
      </c>
      <c r="C56" s="29" t="inlineStr">
        <is>
          <t>2.50x</t>
        </is>
      </c>
      <c r="D56" s="25" t="inlineStr">
        <is>
          <t>2.12x</t>
        </is>
      </c>
      <c r="E56" s="33" t="inlineStr">
        <is>
          <t>+-0.38x interest coverage cushion</t>
        </is>
      </c>
      <c r="F56" s="17" t="inlineStr">
        <is>
          <t>Maintenance / incurrence gateway test</t>
        </is>
      </c>
    </row>
    <row r="57">
      <c r="B57" s="9" t="inlineStr">
        <is>
          <t>Maximum Permitted Priority / Secured Debt</t>
        </is>
      </c>
      <c r="C57" s="29" t="inlineStr">
        <is>
          <t>15.0% of Consolidated Total Tangible Assets</t>
        </is>
      </c>
      <c r="D57" s="25" t="inlineStr">
        <is>
          <t>12.4% of Assets</t>
        </is>
      </c>
      <c r="E57" s="33" t="inlineStr">
        <is>
          <t>$264.0M unutilized secured debt capacity</t>
        </is>
      </c>
      <c r="F57" s="17" t="inlineStr">
        <is>
          <t>Permitted collateral carve-out limit</t>
        </is>
      </c>
    </row>
    <row r="58">
      <c r="B58" s="9" t="inlineStr">
        <is>
          <t>Change of Control Put Option</t>
        </is>
      </c>
      <c r="C58" s="29" t="inlineStr">
        <is>
          <t>101.00% Redemption</t>
        </is>
      </c>
      <c r="D58" s="25" t="inlineStr">
        <is>
          <t>N/A (Inactive)</t>
        </is>
      </c>
      <c r="E58" s="33" t="inlineStr">
        <is>
          <t>Compliant</t>
        </is>
      </c>
      <c r="F58" s="17" t="inlineStr">
        <is>
          <t>Investor Put Option at 101.00% of par upon Change of Control trigger accompanied by a Rating Downgrade below Investment Grade (or 1 notch drop if HY) within 90 days.</t>
        </is>
      </c>
    </row>
    <row r="59">
      <c r="B59" s="9" t="inlineStr">
        <is>
          <t>Restricted Payments / Dividend Basket</t>
        </is>
      </c>
      <c r="C59" s="29" t="inlineStr">
        <is>
          <t>Builder Basket</t>
        </is>
      </c>
      <c r="D59" s="25" t="inlineStr">
        <is>
          <t>Within Capacity</t>
        </is>
      </c>
      <c r="E59" s="33" t="inlineStr">
        <is>
          <t>Compliant</t>
        </is>
      </c>
      <c r="F59" s="17" t="inlineStr">
        <is>
          <t>50.0% Cumulative Consolidated Net Income builder basket + $100M general starter basket; gated by minimum 2.50x Fixed Charge Coverage Ratio gateway.</t>
        </is>
      </c>
    </row>
    <row r="60">
      <c r="B60" s="9" t="inlineStr">
        <is>
          <t>Cross-Default &amp; Cross-Acceleration</t>
        </is>
      </c>
      <c r="C60" s="29" t="inlineStr">
        <is>
          <t>$50.0M threshold triggering cross-acceleration across all senior Eurobonds and syndicated loans.</t>
        </is>
      </c>
      <c r="D60" s="25" t="inlineStr">
        <is>
          <t>Zero Defaults</t>
        </is>
      </c>
      <c r="E60" s="33" t="inlineStr">
        <is>
          <t>Compliant</t>
        </is>
      </c>
      <c r="F60" s="17" t="inlineStr">
        <is>
          <t>Cross-acceleration across all indebtedness exceeding threshold</t>
        </is>
      </c>
    </row>
  </sheetData>
  <mergeCells count="16">
    <mergeCell ref="F60:I60"/>
    <mergeCell ref="C45:F45"/>
    <mergeCell ref="C48:F48"/>
    <mergeCell ref="F56:I56"/>
    <mergeCell ref="F57:I57"/>
    <mergeCell ref="C49:F49"/>
    <mergeCell ref="C43:F43"/>
    <mergeCell ref="B2:I2"/>
    <mergeCell ref="F55:I55"/>
    <mergeCell ref="F58:I58"/>
    <mergeCell ref="C46:F46"/>
    <mergeCell ref="F59:I59"/>
    <mergeCell ref="C51:F51"/>
    <mergeCell ref="C47:F47"/>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11.20%</t>
        </is>
      </c>
      <c r="F6" s="35" t="inlineStr">
        <is>
          <t>4.2x</t>
        </is>
      </c>
      <c r="G6" s="35" t="inlineStr">
        <is>
          <t>$95.00</t>
        </is>
      </c>
      <c r="H6" s="35" t="inlineStr">
        <is>
          <t>+0.5%</t>
        </is>
      </c>
    </row>
    <row r="7">
      <c r="B7" s="7" t="inlineStr">
        <is>
          <t>Downside Stress Case (Recession)</t>
        </is>
      </c>
      <c r="C7" s="30" t="inlineStr">
        <is>
          <t>-15.0%</t>
        </is>
      </c>
      <c r="D7" s="30" t="inlineStr">
        <is>
          <t>-300 bp</t>
        </is>
      </c>
      <c r="E7" s="30" t="inlineStr">
        <is>
          <t>13.20%</t>
        </is>
      </c>
      <c r="F7" s="30" t="inlineStr">
        <is>
          <t>3.2x</t>
        </is>
      </c>
      <c r="G7" s="30" t="inlineStr">
        <is>
          <t>$76.50</t>
        </is>
      </c>
      <c r="H7" s="30" t="inlineStr">
        <is>
          <t>-19.0%</t>
        </is>
      </c>
    </row>
    <row r="8">
      <c r="B8" s="7" t="inlineStr">
        <is>
          <t>Severe Distressed Floor (Liquidation)</t>
        </is>
      </c>
      <c r="C8" s="30" t="inlineStr">
        <is>
          <t>-35.0%</t>
        </is>
      </c>
      <c r="D8" s="30" t="inlineStr">
        <is>
          <t>-650 bp</t>
        </is>
      </c>
      <c r="E8" s="30" t="inlineStr">
        <is>
          <t>+500 bp spread</t>
        </is>
      </c>
      <c r="F8" s="30" t="inlineStr">
        <is>
          <t>Liquidation Value</t>
        </is>
      </c>
      <c r="G8" s="30" t="inlineStr">
        <is>
          <t>$58.00</t>
        </is>
      </c>
      <c r="H8" s="30" t="inlineStr">
        <is>
          <t>-38.6%</t>
        </is>
      </c>
    </row>
    <row r="9">
      <c r="B9" s="7" t="inlineStr">
        <is>
          <t>Bull Case (Cycle Peak / Accretion)</t>
        </is>
      </c>
      <c r="C9" s="30" t="inlineStr">
        <is>
          <t>+12.0%</t>
        </is>
      </c>
      <c r="D9" s="30" t="inlineStr">
        <is>
          <t>+200 bp</t>
        </is>
      </c>
      <c r="E9" s="30" t="inlineStr">
        <is>
          <t>9.70%</t>
        </is>
      </c>
      <c r="F9" s="30" t="inlineStr">
        <is>
          <t>5.7x</t>
        </is>
      </c>
      <c r="G9" s="30" t="inlineStr">
        <is>
          <t>$105.00</t>
        </is>
      </c>
      <c r="H9" s="30" t="inlineStr">
        <is>
          <t>+11.1%</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445.6</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1336.8</v>
      </c>
      <c r="D15" s="7" t="inlineStr">
        <is>
          <t>Senior Unsecured</t>
        </is>
      </c>
      <c r="E15" s="7" t="inlineStr">
        <is>
          <t>General Corporate Guarantee</t>
        </is>
      </c>
      <c r="F15" s="30" t="inlineStr">
        <is>
          <t>58.0%</t>
        </is>
      </c>
      <c r="G15" s="30" t="inlineStr">
        <is>
          <t>95.0%</t>
        </is>
      </c>
    </row>
    <row r="16">
      <c r="B16" s="7" t="inlineStr">
        <is>
          <t>Subordinated Debt &amp; Intercompany Notes</t>
        </is>
      </c>
      <c r="C16" s="8" t="n">
        <v>267.4</v>
      </c>
      <c r="D16" s="7" t="inlineStr">
        <is>
          <t>Subordinated</t>
        </is>
      </c>
      <c r="E16" s="7" t="inlineStr">
        <is>
          <t>Junior Unsecured Claim</t>
        </is>
      </c>
      <c r="F16" s="30" t="inlineStr">
        <is>
          <t>0.0%</t>
        </is>
      </c>
      <c r="G16" s="30" t="inlineStr">
        <is>
          <t>25.0%</t>
        </is>
      </c>
    </row>
    <row r="17">
      <c r="B17" s="7" t="inlineStr">
        <is>
          <t>Equity Shareholders</t>
        </is>
      </c>
      <c r="C17" s="8" t="n">
        <v>713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Commercial &amp; Bankruptcy Code.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2026-09-20T18:03:56Z</dcterms:created>
  <dcterms:modified xmlns:dcterms="http://purl.org/dc/terms/" xmlns:xsi="http://www.w3.org/2001/XMLSchema-instance" xsi:type="dcterms:W3CDTF">2026-09-20T18:03:56Z</dcterms:modified>
</cp:coreProperties>
</file>