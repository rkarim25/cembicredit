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Revenues supported by high baseload geothermal availability; early stages of TRY volatility.</t>
      </text>
    </comment>
    <comment ref="D10" authorId="0" shapeId="0">
      <text>
        <t>CEMBI Credit Analyst Observation (2022A):
Top-line expanded +18.5% YoY to $980M as power demand and regional electricity consumption surged.</t>
      </text>
    </comment>
    <comment ref="E10" authorId="0" shapeId="0">
      <text>
        <t>CEMBI Credit Analyst Observation (2023A):
Consolidated revenue reached $1,100M supported by OEDAS 4th tariff period indexation.</t>
      </text>
    </comment>
    <comment ref="F10" authorId="0" shapeId="0">
      <text>
        <t>CEMBI Credit Analyst Observation (2024A):
Revenue achieved $1,200M anchored by OEDAŞ distribution network and 305 MW baseload geothermal fleet.</t>
      </text>
    </comment>
    <comment ref="G10" authorId="0" shapeId="0">
      <text>
        <t>CEMBI Credit Analyst Observation (2025E):
Revenue of $1,296M reflecting high geothermal availability (88.5%) and locked-in statutory USD YEKDEM feed-in tariffs.</t>
      </text>
    </comment>
    <comment ref="H10" authorId="0" shapeId="0">
      <text>
        <t>CEMBI Credit Analyst Observation (2026E):
Revenue at $1,380M; EV fast-charging (ZES) and renewable generation provide recurring cash flow amidst TRY volatility.</t>
      </text>
    </comment>
    <comment ref="I10" authorId="0" shapeId="0">
      <text>
        <t>CEMBI Credit Analyst Observation (2027E):
Revenue reaches $1,440M under post-restructuring steady-state renewable generation.</t>
      </text>
    </comment>
    <comment ref="C22" authorId="0" shapeId="0">
      <text>
        <t>CEMBI Credit Analyst Observation (2021A):
EBITDA margin of 27.2% anchored by Kizildere I/II YEKDEM dollar-denominated feed-in tariffs.</t>
      </text>
    </comment>
    <comment ref="D22" authorId="0" shapeId="0">
      <text>
        <t>CEMBI Credit Analyst Observation (2022A):
EBITDA rose to $270M; YEKDEM dollar cash receipts ($105-$132/MWh) insulated generation profitability.</t>
      </text>
    </comment>
    <comment ref="E22" authorId="0" shapeId="0">
      <text>
        <t>CEMBI Credit Analyst Observation (2023A):
EBITDA expanded to $295M; commercial operations of hybrid solar capacity provided peak summer revenue.</t>
      </text>
    </comment>
    <comment ref="F22" authorId="0" shapeId="0">
      <text>
        <t>CEMBI Credit Analyst Observation (2024A):
EBITDA reached $320M; 68.5% of generation EBITDA earned in US Dollars directly under statutory YEKDEM.</t>
      </text>
    </comment>
    <comment ref="G22" authorId="0" shapeId="0">
      <text>
        <t>CEMBI Credit Analyst Observation (2025E):
EBITDA projected at $352M (27.2% margin) supported by locked-in YEKDEM dollar tariffs.</t>
      </text>
    </comment>
    <comment ref="H22" authorId="0" shapeId="0">
      <text>
        <t>CEMBI Credit Analyst Observation (2026E):
EBITDA reaches $378M; ZES fast-charging network transitions into a high-margin recurring cash flow contributor.</t>
      </text>
    </comment>
    <comment ref="I22" authorId="0" shapeId="0">
      <text>
        <t>CEMBI Credit Analyst Observation (2027E):
EBITDA of $398M reflects mature low-cost baseload geothermal and wind generation infrastructure.</t>
      </text>
    </comment>
    <comment ref="C36" authorId="0" shapeId="0">
      <text>
        <t>CEMBI Credit Desk EBITDA Audit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36" authorId="0" shapeId="0">
      <text>
        <t>CEMBI Credit Desk EBITDA Audit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36" authorId="0" shapeId="0">
      <text>
        <t>CEMBI Credit Desk EBITDA Audit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36" authorId="0" shapeId="0">
      <text>
        <t>CEMBI Credit Desk EBITDA Audit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36" authorId="0" shapeId="0">
      <text>
        <t>CEMBI Credit Desk EBITDA Audit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36" authorId="0" shapeId="0">
      <text>
        <t>CEMBI Credit Desk EBITDA Audit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36" authorId="0" shapeId="0">
      <text>
        <t>CEMBI Credit Desk EBITDA Audit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of $114M generated, funding interest payments and early turbine maintenance.</t>
      </text>
    </comment>
    <comment ref="D34" authorId="0" shapeId="0">
      <text>
        <t>CEMBI Credit Desk FCF Bridge (2022A):
Formula: EBITDA - Capex - Cash Interest - ΔNWC - Tax
Strong operating cash flow ($225M) enabled $128M in free cash flow after all capex commitments.</t>
      </text>
    </comment>
    <comment ref="E34" authorId="0" shapeId="0">
      <text>
        <t>CEMBI Credit Desk FCF Bridge (2023A):
Formula: EBITDA - Capex - Cash Interest - ΔNWC - Tax
FCF generation reached $142M, allowing scheduled project finance amortization payments.</t>
      </text>
    </comment>
    <comment ref="F34" authorId="0" shapeId="0">
      <text>
        <t>CEMBI Credit Desk FCF Bridge (2024A):
Formula: EBITDA - Capex - Cash Interest - ΔNWC - Tax
Strong FCF of $160M generated, maintaining unrestricted cash reserves at $240M across partner banks.</t>
      </text>
    </comment>
    <comment ref="G34" authorId="0" shapeId="0">
      <text>
        <t>CEMBI Credit Desk FCF Bridge (2025E):
Formula: EBITDA - Capex - Cash Interest - ΔNWC - Tax
Projected FCF of $181.4M provides robust liquidity runway covering 100% of upcoming debt service.</t>
      </text>
    </comment>
    <comment ref="H34" authorId="0" shapeId="0">
      <text>
        <t>CEMBI Credit Desk FCF Bridge (2026E):
Formula: EBITDA - Capex - Cash Interest - ΔNWC - Tax
Free cash flow expands to $207M, providing substantial balance sheet flexibility for Eurobond refinancing.</t>
      </text>
    </comment>
    <comment ref="I34" authorId="0" shapeId="0">
      <text>
        <t>CEMBI Credit Desk FCF Bridge (2027E):
Formula: EBITDA - Capex - Cash Interest - ΔNWC - Tax
FCF generation hits $229M, completely self-funding all ongoing operational and capital requirements.</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at 4.73x; unhedged foreign currency debt tracking Turkish Lira movements.</t>
      </text>
    </comment>
    <comment ref="D8" authorId="0" shapeId="0">
      <text>
        <t>CEMBI Credit Desk Calculated Leverage Commentary (2022A):
Net leverage held at 4.80x despite TRY depreciation due to strong USD generation cash conversion.</t>
      </text>
    </comment>
    <comment ref="E8" authorId="0" shapeId="0">
      <text>
        <t>CEMBI Credit Desk Calculated Leverage Commentary (2023A):
Net leverage stabilized at 4.75x; preliminary plans drafted for renewable subsidiary equity monetization.</t>
      </text>
    </comment>
    <comment ref="F8" authorId="0" shapeId="0">
      <text>
        <t>CEMBI Credit Desk Calculated Leverage Commentary (2024A):
Net financial debt reported at $1,350M (3.62x net leverage) following March 2024 Gazdaş gas distribution divestment and initial $800M 2030 bond issuance.</t>
      </text>
    </comment>
    <comment ref="G8" authorId="0" shapeId="0">
      <text>
        <t>CEMBI Credit Desk Calculated Leverage Commentary (2025E):
Net financial debt decreased to $1,168M (~$1.17bn) assisted by the completion of the Dorad Energy (Israel) 25% stake sale for 424M NIS.</t>
      </text>
    </comment>
    <comment ref="H8" authorId="0" shapeId="0">
      <text>
        <t>CEMBI Credit Desk Calculated Leverage Commentary (2026E):
1H26 net debt of $1.25B with LTM net leverage rising to 4.91x; Houlihan Lokey and Servo Capital appointed in Sep 2026 to advise on debt restructuring options.</t>
      </text>
    </comment>
    <comment ref="I8" authorId="0" shapeId="0">
      <text>
        <t>CEMBI Credit Desk Calculated Leverage Commentary (2027E):
Net leverage amortizes down toward 3.00x under consensual term extension and dedicated cash sweeps.</t>
      </text>
    </comment>
    <comment ref="C9" authorId="0" shapeId="0">
      <text>
        <t>CEMBI Credit Desk Reported Leverage Commentary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9" authorId="0" shapeId="0">
      <text>
        <t>CEMBI Credit Desk Reported Leverage Commentary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9" authorId="0" shapeId="0">
      <text>
        <t>CEMBI Credit Desk Reported Leverage Commentary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9" authorId="0" shapeId="0">
      <text>
        <t>CEMBI Credit Desk Reported Leverage Commentary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9" authorId="0" shapeId="0">
      <text>
        <t>CEMBI Credit Desk Reported Leverage Commentary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9" authorId="0" shapeId="0">
      <text>
        <t>CEMBI Credit Desk Reported Leverage Commentary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9" authorId="0" shapeId="0">
      <text>
        <t>CEMBI Credit Desk Reported Leverage Commentary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offset by .8M related-party leakage to Zorlu Holding, - working capital deficit, and .2M Turkish bank senior security over EPİAŞ/EPDK cashflows. In Group Contagion, Eurobond recovery compresses to 52.0c-64.8c, directly matching 63.5c market trading.</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715.5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477</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397.5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375.4</v>
      </c>
      <c r="D23" s="8" t="n">
        <v>452.6</v>
      </c>
      <c r="E23" s="8" t="n">
        <v>507.8</v>
      </c>
      <c r="F23" s="8" t="n">
        <v>552</v>
      </c>
      <c r="G23" s="8" t="n">
        <v>596.2</v>
      </c>
      <c r="H23" s="8" t="n">
        <v>634.8</v>
      </c>
      <c r="I23" s="8" t="n">
        <v>662.4</v>
      </c>
    </row>
    <row r="24">
      <c r="B24" s="7" t="inlineStr">
        <is>
          <t>Regulated Electricity Distribution &amp; Retail (OEDAS/OEPSAS)</t>
        </is>
      </c>
      <c r="C24" s="8" t="n">
        <v>310.1</v>
      </c>
      <c r="D24" s="8" t="n">
        <v>373.9</v>
      </c>
      <c r="E24" s="8" t="n">
        <v>419.5</v>
      </c>
      <c r="F24" s="8" t="n">
        <v>456</v>
      </c>
      <c r="G24" s="8" t="n">
        <v>492.5</v>
      </c>
      <c r="H24" s="8" t="n">
        <v>524.4</v>
      </c>
      <c r="I24" s="8" t="n">
        <v>547.2</v>
      </c>
    </row>
    <row r="25">
      <c r="B25" s="7" t="inlineStr">
        <is>
          <t>Thermal Cogeneration &amp; International IPPs (Dorad/Pakistan)</t>
        </is>
      </c>
      <c r="C25" s="8" t="n">
        <v>97.90000000000001</v>
      </c>
      <c r="D25" s="8" t="n">
        <v>118.1</v>
      </c>
      <c r="E25" s="8" t="n">
        <v>132.5</v>
      </c>
      <c r="F25" s="8" t="n">
        <v>144</v>
      </c>
      <c r="G25" s="8" t="n">
        <v>155.5</v>
      </c>
      <c r="H25" s="8" t="n">
        <v>165.6</v>
      </c>
      <c r="I25" s="8" t="n">
        <v>172.8</v>
      </c>
    </row>
    <row r="26">
      <c r="B26" s="7" t="inlineStr">
        <is>
          <t>ZES EV Charging Network &amp; Energy Solutions</t>
        </is>
      </c>
      <c r="C26" s="8" t="n">
        <v>32.6</v>
      </c>
      <c r="D26" s="8" t="n">
        <v>39.4</v>
      </c>
      <c r="E26" s="8" t="n">
        <v>44.2</v>
      </c>
      <c r="F26" s="8" t="n">
        <v>48</v>
      </c>
      <c r="G26" s="8" t="n">
        <v>51.8</v>
      </c>
      <c r="H26" s="8" t="n">
        <v>55.2</v>
      </c>
      <c r="I26" s="8" t="n">
        <v>57.6</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22" customWidth="1" min="3" max="3"/>
    <col width="22" customWidth="1" min="4" max="4"/>
    <col width="22" customWidth="1" min="5" max="5"/>
    <col width="22" customWidth="1" min="6" max="6"/>
    <col width="22" customWidth="1" min="7" max="7"/>
    <col width="22" customWidth="1" min="8" max="8"/>
    <col width="22"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15.6</v>
      </c>
      <c r="D35" s="24" t="n">
        <v>19.2</v>
      </c>
      <c r="E35" s="24" t="n">
        <v>21.6</v>
      </c>
      <c r="F35" s="24" t="n">
        <v>24</v>
      </c>
      <c r="G35" s="24" t="n">
        <v>26.4</v>
      </c>
      <c r="H35" s="24" t="n">
        <v>28.3</v>
      </c>
      <c r="I35" s="24" t="n">
        <v>29.8</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Material Add-backs</t>
        </is>
      </c>
      <c r="D39" s="25" t="inlineStr">
        <is>
          <t>Material Add-backs</t>
        </is>
      </c>
      <c r="E39" s="25" t="inlineStr">
        <is>
          <t>Material Add-backs</t>
        </is>
      </c>
      <c r="F39" s="25" t="inlineStr">
        <is>
          <t>Material Add-backs</t>
        </is>
      </c>
      <c r="G39" s="25" t="inlineStr">
        <is>
          <t>Material Add-backs</t>
        </is>
      </c>
      <c r="H39" s="25" t="inlineStr">
        <is>
          <t>Material Add-backs</t>
        </is>
      </c>
      <c r="I39" s="25" t="inlineStr">
        <is>
          <t>Material Add-backs</t>
        </is>
      </c>
    </row>
    <row r="40"/>
    <row r="41">
      <c r="B41" s="3" t="inlineStr">
        <is>
          <t>VII. DETAILED EBITDA RECONCILIATION FOOTNOTES</t>
        </is>
      </c>
    </row>
    <row r="42">
      <c r="B42" s="26" t="inlineStr">
        <is>
          <t>[2021A]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is>
      </c>
    </row>
    <row r="43">
      <c r="B43" s="26" t="inlineStr">
        <is>
          <t>[2022A]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is>
      </c>
    </row>
    <row r="44">
      <c r="B44" s="26" t="inlineStr">
        <is>
          <t>[2023A]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is>
      </c>
    </row>
    <row r="45">
      <c r="B45" s="26" t="inlineStr">
        <is>
          <t>[2024A]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is>
      </c>
    </row>
    <row r="46">
      <c r="B46" s="26" t="inlineStr">
        <is>
          <t>[2025E]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is>
      </c>
    </row>
    <row r="47">
      <c r="B47" s="26" t="inlineStr">
        <is>
          <t>[2026E]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is>
      </c>
    </row>
    <row r="48">
      <c r="B48" s="26" t="inlineStr">
        <is>
          <t>[2027E]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1224</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285.6</v>
      </c>
      <c r="D36" s="8" t="n">
        <v>285.6</v>
      </c>
      <c r="E36" s="8" t="n">
        <v>285.6</v>
      </c>
      <c r="F36" s="8" t="n">
        <v>285.6</v>
      </c>
      <c r="G36" s="8" t="n">
        <v>285.6</v>
      </c>
      <c r="H36" s="8" t="n">
        <v>285.6</v>
      </c>
      <c r="I36" s="8" t="n">
        <v>285.6</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-168</v>
      </c>
      <c r="D16" s="8" t="n">
        <v>-293.8</v>
      </c>
      <c r="E16" s="8" t="n">
        <v>-330.5</v>
      </c>
      <c r="F16" s="8" t="n">
        <v>-312.8</v>
      </c>
      <c r="G16" s="8" t="n">
        <v>-284.2</v>
      </c>
      <c r="H16" s="8" t="n">
        <v>-304.9</v>
      </c>
      <c r="I16" s="8" t="n">
        <v>-320.4</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132</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27.9</v>
      </c>
      <c r="D32" s="8" t="n">
        <v>54.9</v>
      </c>
      <c r="E32" s="8" t="n">
        <v>62.8</v>
      </c>
      <c r="F32" s="8" t="n">
        <v>43.4</v>
      </c>
      <c r="G32" s="8" t="n">
        <v>44.1</v>
      </c>
      <c r="H32" s="8" t="n">
        <v>44.5</v>
      </c>
      <c r="I32" s="8" t="n">
        <v>44.5</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FCF of $114M generated, funding interest payments and early turbine maintenance.</t>
        </is>
      </c>
    </row>
    <row r="39">
      <c r="B39" s="26" t="inlineStr">
        <is>
          <t>[2022A] Strong operating cash flow ($225M) enabled $128M in free cash flow after all capex commitments.</t>
        </is>
      </c>
    </row>
    <row r="40">
      <c r="B40" s="26" t="inlineStr">
        <is>
          <t>[2023A] FCF generation reached $142M, allowing scheduled project finance amortization payments.</t>
        </is>
      </c>
    </row>
    <row r="41">
      <c r="B41" s="26" t="inlineStr">
        <is>
          <t>[2024A] Strong FCF of $160M generated, maintaining unrestricted cash reserves at $240M across partner banks.</t>
        </is>
      </c>
    </row>
    <row r="42">
      <c r="B42" s="26" t="inlineStr">
        <is>
          <t>[2025E] Projected FCF of $181.4M provides robust liquidity runway covering 100% of upcoming debt service.</t>
        </is>
      </c>
    </row>
    <row r="43">
      <c r="B43" s="26" t="inlineStr">
        <is>
          <t>[2026E] Free cash flow expands to $207M, providing substantial balance sheet flexibility for Eurobond refinancing.</t>
        </is>
      </c>
    </row>
    <row r="44">
      <c r="B44" s="26" t="inlineStr">
        <is>
          <t>[2027E] FCF generation hits $229M, completely self-funding all ongoing operational and capital requirements.</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3"/>
  <sheetViews>
    <sheetView showGridLines="1" workbookViewId="0">
      <selection activeCell="A1" sqref="A1"/>
    </sheetView>
  </sheetViews>
  <sheetFormatPr baseColWidth="8" defaultRowHeight="15"/>
  <cols>
    <col width="6" customWidth="1" min="1" max="1"/>
    <col width="38" customWidth="1" min="2" max="2"/>
    <col width="98" customWidth="1" min="3" max="3"/>
    <col width="45" customWidth="1" min="4" max="4"/>
    <col width="78" customWidth="1" min="5" max="5"/>
    <col width="59" customWidth="1" min="6" max="6"/>
    <col width="15" customWidth="1" min="7" max="7"/>
    <col width="14" customWidth="1" min="8" max="8"/>
    <col width="77"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681.8</v>
      </c>
      <c r="D7" s="8">
        <f>C10</f>
        <v/>
      </c>
      <c r="E7" s="8">
        <f>D10</f>
        <v/>
      </c>
      <c r="F7" s="8">
        <f>E10</f>
        <v/>
      </c>
      <c r="G7" s="8">
        <f>F10</f>
        <v/>
      </c>
      <c r="H7" s="8">
        <f>G10</f>
        <v/>
      </c>
      <c r="I7" s="8">
        <f>H10</f>
        <v/>
      </c>
    </row>
    <row r="8">
      <c r="B8" s="7" t="inlineStr">
        <is>
          <t xml:space="preserve">  New Notes Issued</t>
        </is>
      </c>
      <c r="C8" s="8" t="n">
        <v>0</v>
      </c>
      <c r="D8" s="8" t="n">
        <v>0</v>
      </c>
      <c r="E8" s="8" t="n">
        <v>227.2</v>
      </c>
      <c r="F8" s="8" t="n">
        <v>0</v>
      </c>
      <c r="G8" s="8" t="n">
        <v>0</v>
      </c>
      <c r="H8" s="8" t="n">
        <v>0</v>
      </c>
      <c r="I8" s="8" t="n">
        <v>0</v>
      </c>
    </row>
    <row r="9">
      <c r="B9" s="7" t="inlineStr">
        <is>
          <t xml:space="preserve">  Repayments / Redemptions</t>
        </is>
      </c>
      <c r="C9" s="8" t="n">
        <v>0</v>
      </c>
      <c r="D9" s="8" t="n">
        <v>0</v>
      </c>
      <c r="E9" s="8" t="n">
        <v>0</v>
      </c>
      <c r="F9" s="8" t="n">
        <v>0</v>
      </c>
      <c r="G9" s="8" t="n">
        <v>151.5</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833.3</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190.8</v>
      </c>
      <c r="C32" s="8" t="n">
        <v>349.8</v>
      </c>
      <c r="D32" s="8" t="n">
        <v>445.2</v>
      </c>
      <c r="E32" s="8" t="n">
        <v>286.2</v>
      </c>
      <c r="F32" s="8" t="n">
        <v>190.8</v>
      </c>
      <c r="G32" s="8" t="n">
        <v>127.2</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Unsecured HoldCo (Structurally Subordinated)</t>
        </is>
      </c>
      <c r="J37" s="17" t="inlineStr">
        <is>
          <t>English Law / Euronext Dublin (ISIN: XS2926261426)</t>
        </is>
      </c>
    </row>
    <row r="38">
      <c r="B38" s="9" t="inlineStr">
        <is>
          <t>ADB Distribution Rehabilitation Concessional Loan</t>
        </is>
      </c>
      <c r="C38" s="7" t="inlineStr">
        <is>
          <t>Multilateral DFI Concessional Loan (Asian Development Bank)</t>
        </is>
      </c>
      <c r="D38" s="29" t="inlineStr">
        <is>
          <t>TRY</t>
        </is>
      </c>
      <c r="E38" s="21" t="n">
        <v>115</v>
      </c>
      <c r="F38" s="30" t="inlineStr">
        <is>
          <t>Concessional Reference + Margin</t>
        </is>
      </c>
      <c r="G38" s="31" t="n">
        <v>100</v>
      </c>
      <c r="H38" s="32" t="n">
        <v>6.5</v>
      </c>
      <c r="I38" s="7" t="inlineStr">
        <is>
          <t>OpCo Senior Secured (OEDAŞ Grid Receivables &amp; IFRIC 12 Assets)</t>
        </is>
      </c>
      <c r="J38" s="17" t="inlineStr">
        <is>
          <t>English / Turkish Law</t>
        </is>
      </c>
    </row>
    <row r="39">
      <c r="B39" s="9" t="inlineStr">
        <is>
          <t>Turkish Commercial Bank Project Finance Facilities (Akbank, Garanti, İşbank)</t>
        </is>
      </c>
      <c r="C39" s="7" t="inlineStr">
        <is>
          <t>Syndicated &amp; Bilateral Project Finance Facilities</t>
        </is>
      </c>
      <c r="D39" s="29" t="inlineStr">
        <is>
          <t>TRY / USD</t>
        </is>
      </c>
      <c r="E39" s="21" t="n">
        <v>265</v>
      </c>
      <c r="F39" s="30" t="inlineStr">
        <is>
          <t>SOFR + 3.75% / Fixed 12.5%</t>
        </is>
      </c>
      <c r="G39" s="31" t="n">
        <v>100</v>
      </c>
      <c r="H39" s="32" t="n">
        <v>8.5</v>
      </c>
      <c r="I39" s="7" t="inlineStr">
        <is>
          <t>Senior Secured OpCo / Commercial Enterprise Pledge (Ticari İşletme Rehni)</t>
        </is>
      </c>
      <c r="J39" s="17" t="inlineStr">
        <is>
          <t>Turkish Law</t>
        </is>
      </c>
    </row>
    <row r="40">
      <c r="B40" s="9" t="inlineStr">
        <is>
          <t>Geothermal &amp; Wind Operating Project Loans (Kızıldere / Alaşehir)</t>
        </is>
      </c>
      <c r="C40" s="7" t="inlineStr">
        <is>
          <t>Senior Secured Project Finance</t>
        </is>
      </c>
      <c r="D40" s="29" t="inlineStr">
        <is>
          <t>USD</t>
        </is>
      </c>
      <c r="E40" s="21" t="n">
        <v>80</v>
      </c>
      <c r="F40" s="30" t="inlineStr">
        <is>
          <t>SOFR + 3.75%</t>
        </is>
      </c>
      <c r="G40" s="31" t="n">
        <v>100</v>
      </c>
      <c r="H40" s="32" t="n">
        <v>8.199999999999999</v>
      </c>
      <c r="I40" s="7" t="inlineStr">
        <is>
          <t>Senior Secured (1st Mortgages on Geothermal Fleet)</t>
        </is>
      </c>
      <c r="J40" s="17" t="inlineStr">
        <is>
          <t>Turkish / English Law</t>
        </is>
      </c>
    </row>
    <row r="41">
      <c r="B41" s="9" t="inlineStr">
        <is>
          <t>Local TL Corporate Bonds &amp; Sukuk (Özel Sektör Tahvili - ÖST)</t>
        </is>
      </c>
      <c r="C41" s="7" t="inlineStr">
        <is>
          <t>Domestic Turkish Lira Corporate Bonds &amp; Sukuk</t>
        </is>
      </c>
      <c r="D41" s="29" t="inlineStr">
        <is>
          <t>TRY</t>
        </is>
      </c>
      <c r="E41" s="21" t="n">
        <v>75</v>
      </c>
      <c r="F41" s="30" t="inlineStr">
        <is>
          <t>TLREF + 3.50%</t>
        </is>
      </c>
      <c r="G41" s="31" t="n">
        <v>92</v>
      </c>
      <c r="H41" s="32" t="n">
        <v>48.5</v>
      </c>
      <c r="I41" s="7" t="inlineStr">
        <is>
          <t>Senior Unsecured Issuer Level (Pari Passu with Eurobond)</t>
        </is>
      </c>
      <c r="J41" s="17" t="inlineStr">
        <is>
          <t>Turkish Capital Markets Law (SPK / BIST)</t>
        </is>
      </c>
    </row>
    <row r="42">
      <c r="B42" s="9" t="inlineStr">
        <is>
          <t>HoldCo Bilateral Bank Lines &amp; Overdrafts</t>
        </is>
      </c>
      <c r="C42" s="7" t="inlineStr">
        <is>
          <t>Short-Term Commercial Facilities &amp; Bank Credit Lines</t>
        </is>
      </c>
      <c r="D42" s="29" t="inlineStr">
        <is>
          <t>TRY / USD</t>
        </is>
      </c>
      <c r="E42" s="21" t="n">
        <v>50</v>
      </c>
      <c r="F42" s="30" t="inlineStr">
        <is>
          <t>Commercial Floating</t>
        </is>
      </c>
      <c r="G42" s="31" t="n">
        <v>100</v>
      </c>
      <c r="H42" s="32" t="n">
        <v>12</v>
      </c>
      <c r="I42" s="7" t="inlineStr">
        <is>
          <t>Senior Unsecured Issuer Level</t>
        </is>
      </c>
      <c r="J42" s="17" t="inlineStr">
        <is>
          <t>Turkish Commercial Code</t>
        </is>
      </c>
    </row>
    <row r="43">
      <c r="B43" s="9" t="inlineStr">
        <is>
          <t>Lease Liabilities (TFRS 16)</t>
        </is>
      </c>
      <c r="C43" s="7" t="inlineStr">
        <is>
          <t>Capital &amp; Operating Lease Obligations</t>
        </is>
      </c>
      <c r="D43" s="29" t="inlineStr">
        <is>
          <t>TRY</t>
        </is>
      </c>
      <c r="E43" s="21" t="n">
        <v>5.2</v>
      </c>
      <c r="F43" s="30" t="inlineStr">
        <is>
          <t>Implied Discount Rate</t>
        </is>
      </c>
      <c r="G43" s="31" t="n">
        <v>100</v>
      </c>
      <c r="H43" s="32" t="n">
        <v>7</v>
      </c>
      <c r="I43" s="7" t="inlineStr">
        <is>
          <t>Senior Operating Liabilities</t>
        </is>
      </c>
      <c r="J43" s="17" t="inlineStr">
        <is>
          <t>Turkish Law</t>
        </is>
      </c>
    </row>
    <row r="44"/>
    <row r="45">
      <c r="B45" s="3" t="inlineStr">
        <is>
          <t>VI. REVOLVING CREDIT FACILITY (RCF) &amp; BANK LIQUIDITY RUNWAY</t>
        </is>
      </c>
    </row>
    <row r="46">
      <c r="B46" s="7" t="inlineStr">
        <is>
          <t>Facility Designation</t>
        </is>
      </c>
      <c r="C46" s="7" t="inlineStr">
        <is>
          <t>Zorlu Enerji Syndicated Multi-Currency Revolving Credit Facility (RCF)</t>
        </is>
      </c>
    </row>
    <row r="47">
      <c r="B47" s="9" t="inlineStr">
        <is>
          <t>Total Committed Capacity ($M)</t>
        </is>
      </c>
      <c r="C47" s="21" t="n">
        <v>462.4</v>
      </c>
    </row>
    <row r="48">
      <c r="B48" s="7" t="inlineStr">
        <is>
          <t>Drawn Amount ($M)</t>
        </is>
      </c>
      <c r="C48" s="8" t="n">
        <v>282.4</v>
      </c>
    </row>
    <row r="49">
      <c r="B49" s="19" t="inlineStr">
        <is>
          <t>AVAILABLE UNDRAWN HEADROOM ($M)</t>
        </is>
      </c>
      <c r="C49" s="20" t="n">
        <v>180</v>
      </c>
    </row>
    <row r="50">
      <c r="B50" s="7" t="inlineStr">
        <is>
          <t>Drawn Borrowing Margin</t>
        </is>
      </c>
      <c r="C50" s="7" t="inlineStr">
        <is>
          <t>SOFR + 285 bps / Euribor + 250 bps</t>
        </is>
      </c>
    </row>
    <row r="51">
      <c r="B51" s="7" t="inlineStr">
        <is>
          <t>Undrawn Commitment Fee</t>
        </is>
      </c>
      <c r="C51" s="7" t="inlineStr">
        <is>
          <t>75.0 bps</t>
        </is>
      </c>
    </row>
    <row r="52">
      <c r="B52" s="7" t="inlineStr">
        <is>
          <t>Maturity Date &amp; Extension Options</t>
        </is>
      </c>
      <c r="C52" s="7" t="inlineStr">
        <is>
          <t>2027-06-30 (with 1-year annual extension options)</t>
        </is>
      </c>
    </row>
    <row r="53">
      <c r="B53" s="7" t="inlineStr">
        <is>
          <t>Syndicate Lenders / Arrangers</t>
        </is>
      </c>
      <c r="C53" s="7" t="inlineStr">
        <is>
          <t>Akbank, Garanti BBVA, Turkiye Is Bankasi, Vakifbank, QNB Finansbank</t>
        </is>
      </c>
    </row>
    <row r="54">
      <c r="B54" s="7" t="inlineStr">
        <is>
          <t>RCF Maintenance Covenants</t>
        </is>
      </c>
      <c r="C54" s="7" t="inlineStr">
        <is>
          <t>Semi-annual testing: Consolidated Net Debt / EBITDA &lt;= 5.0x, Minimum Interest Coverage &gt;= 2.0x</t>
        </is>
      </c>
    </row>
    <row r="55"/>
    <row r="56">
      <c r="B56" s="3" t="inlineStr">
        <is>
          <t>VII. BOND COVENANT ANALYSIS &amp; HEADROOM SCORECARD</t>
        </is>
      </c>
    </row>
    <row r="57">
      <c r="B57" s="5" t="inlineStr">
        <is>
          <t>Covenant Test / Negative Pledge Dimension</t>
        </is>
      </c>
      <c r="C57" s="5" t="inlineStr">
        <is>
          <t>Governing Threshold / Limit</t>
        </is>
      </c>
      <c r="D57" s="5" t="inlineStr">
        <is>
          <t>Actual Current / Reported Metric</t>
        </is>
      </c>
      <c r="E57" s="5" t="inlineStr">
        <is>
          <t>Headroom / Compliance Status</t>
        </is>
      </c>
      <c r="F57" s="5" t="inlineStr">
        <is>
          <t>Covenant Terms / Description</t>
        </is>
      </c>
    </row>
    <row r="58">
      <c r="B58" s="9" t="inlineStr">
        <is>
          <t>Incurrence: Maximum Consolidated Net Debt / EBITDA</t>
        </is>
      </c>
      <c r="C58" s="29" t="inlineStr">
        <is>
          <t>4.50x</t>
        </is>
      </c>
      <c r="D58" s="25" t="inlineStr">
        <is>
          <t>3.62x (FY24) / 3.82x (FY25) / 4.91x (LTM)</t>
        </is>
      </c>
      <c r="E58" s="33" t="inlineStr">
        <is>
          <t>Covenant buffer restricted amidst TRY depreciation and LTM EBITDA pressure</t>
        </is>
      </c>
      <c r="F58" s="17" t="inlineStr">
        <is>
          <t>Incurrence covenant for additional senior debt issuance</t>
        </is>
      </c>
    </row>
    <row r="59">
      <c r="B59" s="9" t="inlineStr">
        <is>
          <t>Incurrence / Maintenance: Minimum EBITDA / Net Finance Charges</t>
        </is>
      </c>
      <c r="C59" s="29" t="inlineStr">
        <is>
          <t>2.50x</t>
        </is>
      </c>
      <c r="D59" s="25" t="inlineStr">
        <is>
          <t>2.12x</t>
        </is>
      </c>
      <c r="E59" s="33" t="inlineStr">
        <is>
          <t>+-0.38x interest coverage cushion</t>
        </is>
      </c>
      <c r="F59" s="17" t="inlineStr">
        <is>
          <t>Maintenance / incurrence gateway test</t>
        </is>
      </c>
    </row>
    <row r="60">
      <c r="B60" s="9" t="inlineStr">
        <is>
          <t>Maximum Permitted Priority / Secured Debt</t>
        </is>
      </c>
      <c r="C60" s="29" t="inlineStr">
        <is>
          <t>15.0% of Consolidated Total Tangible Assets</t>
        </is>
      </c>
      <c r="D60" s="25" t="inlineStr">
        <is>
          <t>12.4% of Assets</t>
        </is>
      </c>
      <c r="E60" s="33" t="inlineStr">
        <is>
          <t>$264.0M unutilized secured debt capacity</t>
        </is>
      </c>
      <c r="F60" s="17" t="inlineStr">
        <is>
          <t>Permitted collateral carve-out limit</t>
        </is>
      </c>
    </row>
    <row r="61">
      <c r="B61" s="9" t="inlineStr">
        <is>
          <t>Change of Control Put Option</t>
        </is>
      </c>
      <c r="C61" s="29" t="inlineStr">
        <is>
          <t>101.00% Redemption</t>
        </is>
      </c>
      <c r="D61" s="25" t="inlineStr">
        <is>
          <t>N/A (Inactive)</t>
        </is>
      </c>
      <c r="E61" s="33" t="inlineStr">
        <is>
          <t>Compliant</t>
        </is>
      </c>
      <c r="F61" s="17" t="inlineStr">
        <is>
          <t>Investor Put Option at 101.00% of par upon Change of Control trigger accompanied by a Rating Downgrade below Investment Grade (or 1 notch drop if HY) within 90 days.</t>
        </is>
      </c>
    </row>
    <row r="62">
      <c r="B62" s="9" t="inlineStr">
        <is>
          <t>Restricted Payments / Dividend Basket</t>
        </is>
      </c>
      <c r="C62" s="29" t="inlineStr">
        <is>
          <t>Builder Basket</t>
        </is>
      </c>
      <c r="D62" s="25" t="inlineStr">
        <is>
          <t>Within Capacity</t>
        </is>
      </c>
      <c r="E62" s="33" t="inlineStr">
        <is>
          <t>Compliant</t>
        </is>
      </c>
      <c r="F62" s="17" t="inlineStr">
        <is>
          <t>50.0% Cumulative Consolidated Net Income builder basket + $100M general starter basket; gated by minimum 2.50x Fixed Charge Coverage Ratio gateway.</t>
        </is>
      </c>
    </row>
    <row r="63">
      <c r="B63" s="9" t="inlineStr">
        <is>
          <t>Cross-Default &amp; Cross-Acceleration</t>
        </is>
      </c>
      <c r="C63" s="29" t="inlineStr">
        <is>
          <t>$50.0M threshold triggering cross-acceleration across all senior Eurobonds and syndicated loans.</t>
        </is>
      </c>
      <c r="D63" s="25" t="inlineStr">
        <is>
          <t>Zero Defaults</t>
        </is>
      </c>
      <c r="E63" s="33" t="inlineStr">
        <is>
          <t>Compliant</t>
        </is>
      </c>
      <c r="F63" s="17" t="inlineStr">
        <is>
          <t>Cross-acceleration across all indebtedness exceeding threshold</t>
        </is>
      </c>
    </row>
  </sheetData>
  <mergeCells count="16">
    <mergeCell ref="F60:I60"/>
    <mergeCell ref="C52:F52"/>
    <mergeCell ref="C53:F53"/>
    <mergeCell ref="C48:F48"/>
    <mergeCell ref="C49:F49"/>
    <mergeCell ref="F61:I61"/>
    <mergeCell ref="B2:I2"/>
    <mergeCell ref="F58:I58"/>
    <mergeCell ref="F63:I63"/>
    <mergeCell ref="C46:F46"/>
    <mergeCell ref="F62:I62"/>
    <mergeCell ref="C54:F54"/>
    <mergeCell ref="F59:I59"/>
    <mergeCell ref="C51:F51"/>
    <mergeCell ref="C47:F47"/>
    <mergeCell ref="C50:F5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4.5x</t>
        </is>
      </c>
      <c r="G6" s="35" t="inlineStr">
        <is>
          <t>$75.00</t>
        </is>
      </c>
      <c r="H6" s="35" t="inlineStr">
        <is>
          <t>+18.1%</t>
        </is>
      </c>
    </row>
    <row r="7">
      <c r="B7" s="7" t="inlineStr">
        <is>
          <t>Downside Stress Case (Recession)</t>
        </is>
      </c>
      <c r="C7" s="30" t="inlineStr">
        <is>
          <t>-15.0%</t>
        </is>
      </c>
      <c r="D7" s="30" t="inlineStr">
        <is>
          <t>-300 bp</t>
        </is>
      </c>
      <c r="E7" s="30" t="inlineStr">
        <is>
          <t>29.20%</t>
        </is>
      </c>
      <c r="F7" s="30" t="inlineStr">
        <is>
          <t>3.5x</t>
        </is>
      </c>
      <c r="G7" s="30" t="inlineStr">
        <is>
          <t>$63.50</t>
        </is>
      </c>
      <c r="H7" s="30" t="inlineStr">
        <is>
          <t>+0.0%</t>
        </is>
      </c>
    </row>
    <row r="8">
      <c r="B8" s="7" t="inlineStr">
        <is>
          <t>Severe Distressed Floor (Liquidation)</t>
        </is>
      </c>
      <c r="C8" s="30" t="inlineStr">
        <is>
          <t>-35.0%</t>
        </is>
      </c>
      <c r="D8" s="30" t="inlineStr">
        <is>
          <t>-650 bp</t>
        </is>
      </c>
      <c r="E8" s="30" t="inlineStr">
        <is>
          <t>+500 bp spread</t>
        </is>
      </c>
      <c r="F8" s="30" t="inlineStr">
        <is>
          <t>Liquidation Value</t>
        </is>
      </c>
      <c r="G8" s="30" t="inlineStr">
        <is>
          <t>$52.00</t>
        </is>
      </c>
      <c r="H8" s="30" t="inlineStr">
        <is>
          <t>-18.1%</t>
        </is>
      </c>
    </row>
    <row r="9">
      <c r="B9" s="7" t="inlineStr">
        <is>
          <t>Bull Case (Cycle Peak / Accretion)</t>
        </is>
      </c>
      <c r="C9" s="30" t="inlineStr">
        <is>
          <t>+12.0%</t>
        </is>
      </c>
      <c r="D9" s="30" t="inlineStr">
        <is>
          <t>+200 bp</t>
        </is>
      </c>
      <c r="E9" s="30" t="inlineStr">
        <is>
          <t>25.70%</t>
        </is>
      </c>
      <c r="F9" s="30" t="inlineStr">
        <is>
          <t>6.0x</t>
        </is>
      </c>
      <c r="G9" s="30" t="inlineStr">
        <is>
          <t>$88.50</t>
        </is>
      </c>
      <c r="H9" s="30" t="inlineStr">
        <is>
          <t>+39.4%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397.5</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1192.5</v>
      </c>
      <c r="D15" s="7" t="inlineStr">
        <is>
          <t>Senior Unsecured</t>
        </is>
      </c>
      <c r="E15" s="7" t="inlineStr">
        <is>
          <t>General Corporate Guarantee</t>
        </is>
      </c>
      <c r="F15" s="30" t="inlineStr">
        <is>
          <t>52.0%</t>
        </is>
      </c>
      <c r="G15" s="30" t="inlineStr">
        <is>
          <t>75.0%</t>
        </is>
      </c>
    </row>
    <row r="16">
      <c r="B16" s="7" t="inlineStr">
        <is>
          <t>Subordinated Debt &amp; Intercompany Notes</t>
        </is>
      </c>
      <c r="C16" s="8" t="n">
        <v>238.5</v>
      </c>
      <c r="D16" s="7" t="inlineStr">
        <is>
          <t>Subordinated</t>
        </is>
      </c>
      <c r="E16" s="7" t="inlineStr">
        <is>
          <t>Junior Unsecured Claim</t>
        </is>
      </c>
      <c r="F16" s="30" t="inlineStr">
        <is>
          <t>0.0%</t>
        </is>
      </c>
      <c r="G16" s="30" t="inlineStr">
        <is>
          <t>25.0%</t>
        </is>
      </c>
    </row>
    <row r="17">
      <c r="B17" s="7" t="inlineStr">
        <is>
          <t>Equity Shareholders</t>
        </is>
      </c>
      <c r="C17" s="8" t="n">
        <v>636</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Enforcement &amp; Bankruptcy Code / BDDK Financial Restructuring (FYY).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2026-10-08T04:22:57Z</dcterms:created>
  <dcterms:modified xmlns:dcterms="http://purl.org/dc/terms/" xmlns:xsi="http://www.w3.org/2001/XMLSchema-instance" xsi:type="dcterms:W3CDTF">2026-10-08T04:22:57Z</dcterms:modified>
</cp:coreProperties>
</file>