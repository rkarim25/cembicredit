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Revenues supported by high baseload geothermal availability; early stages of TRY volatility.</t>
      </text>
    </comment>
    <comment ref="D10" authorId="0" shapeId="0">
      <text>
        <t>CEMBI Credit Analyst Observation (2022A):
Top-line expanded +18.5% YoY to $980M as power demand and regional electricity consumption surged.</t>
      </text>
    </comment>
    <comment ref="E10" authorId="0" shapeId="0">
      <text>
        <t>CEMBI Credit Analyst Observation (2023A):
Consolidated revenue reached $1,100M supported by OEDAS 4th tariff period indexation.</t>
      </text>
    </comment>
    <comment ref="F10" authorId="0" shapeId="0">
      <text>
        <t>CEMBI Credit Analyst Observation (2024A):
Revenue achieved $1,200M (+9.1% YoY) anchored by 1.95M OEDAS customers and 305 MW geothermal baseload fleet.</t>
      </text>
    </comment>
    <comment ref="G10" authorId="0" shapeId="0">
      <text>
        <t>CEMBI Credit Analyst Observation (2025E):
Forecast revenue of $1,296M (+8.0% YoY) reflecting high geothermal capacity factor (88.5%) and RAB growth.</t>
      </text>
    </comment>
    <comment ref="H10" authorId="0" shapeId="0">
      <text>
        <t>CEMBI Credit Analyst Observation (2026E):
Revenue anticipated at $1,375M driven by expanded ZES EV charging network and growing regional power demand.</t>
      </text>
    </comment>
    <comment ref="I10" authorId="0" shapeId="0">
      <text>
        <t>CEMBI Credit Analyst Observation (2027E):
Revenue reaches $1,440M with international power assets (Dorad Israel / Pakistan) contributing steady dividends.</t>
      </text>
    </comment>
    <comment ref="C22" authorId="0" shapeId="0">
      <text>
        <t>CEMBI Credit Analyst Observation (2021A):
EBITDA margin of 27.2% anchored by Kizildere I/II YEKDEM dollar-denominated feed-in tariffs.</t>
      </text>
    </comment>
    <comment ref="D22" authorId="0" shapeId="0">
      <text>
        <t>CEMBI Credit Analyst Observation (2022A):
EBITDA rose to $270M; YEKDEM dollar cash receipts ($105-$132/MWh) insulated generation profitability.</t>
      </text>
    </comment>
    <comment ref="E22" authorId="0" shapeId="0">
      <text>
        <t>CEMBI Credit Analyst Observation (2023A):
EBITDA expanded to $295M; commercial operations of hybrid solar capacity provided peak summer revenue.</t>
      </text>
    </comment>
    <comment ref="F22" authorId="0" shapeId="0">
      <text>
        <t>CEMBI Credit Analyst Observation (2024A):
EBITDA reached $320M; 68.5% of generation EBITDA earned in US Dollars directly under statutory YEKDEM.</t>
      </text>
    </comment>
    <comment ref="G22" authorId="0" shapeId="0">
      <text>
        <t>CEMBI Credit Analyst Observation (2025E):
EBITDA projected at $352M (27.2% margin) supported by locked-in YEKDEM dollar tariffs.</t>
      </text>
    </comment>
    <comment ref="H22" authorId="0" shapeId="0">
      <text>
        <t>CEMBI Credit Analyst Observation (2026E):
EBITDA reaches $378M; ZES fast-charging network transitions into a high-margin recurring cash flow contributor.</t>
      </text>
    </comment>
    <comment ref="I22" authorId="0" shapeId="0">
      <text>
        <t>CEMBI Credit Analyst Observation (2027E):
EBITDA of $398M reflects mature low-cost baseload geothermal and wind generation infrastructure.</t>
      </text>
    </comment>
    <comment ref="C36" authorId="0" shapeId="0">
      <text>
        <t>CEMBI Credit Desk EBITDA Audit (2021A):
Material Add-backs: Reported EBITDA includes +$15.6M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D36" authorId="0" shapeId="0">
      <text>
        <t>CEMBI Credit Desk EBITDA Audit (2022A):
Material Add-backs: Reported EBITDA includes +$19.2M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E36" authorId="0" shapeId="0">
      <text>
        <t>CEMBI Credit Desk EBITDA Audit (2023A):
Material Add-backs: Reported EBITDA includes +$21.6M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F36" authorId="0" shapeId="0">
      <text>
        <t>CEMBI Credit Desk EBITDA Audit (2024A):
Material Add-backs: Reported EBITDA includes +$24.0M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G36" authorId="0" shapeId="0">
      <text>
        <t>CEMBI Credit Desk EBITDA Audit (2025E):
Material Add-backs: Reported EBITDA includes +$26.4M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H36" authorId="0" shapeId="0">
      <text>
        <t>CEMBI Credit Desk EBITDA Audit (2026E):
Material Add-backs: Reported EBITDA includes +$28.3M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I36" authorId="0" shapeId="0">
      <text>
        <t>CEMBI Credit Desk EBITDA Audit (2027E):
Material Add-backs: Reported EBITDA includes +$29.8M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of $114M generated, funding interest payments and early turbine maintenance.</t>
      </text>
    </comment>
    <comment ref="D34" authorId="0" shapeId="0">
      <text>
        <t>CEMBI Credit Desk FCF Bridge (2022A):
Formula: EBITDA - Capex - Cash Interest - ΔNWC - Tax
Strong operating cash flow ($225M) enabled $128M in free cash flow after all capex commitments.</t>
      </text>
    </comment>
    <comment ref="E34" authorId="0" shapeId="0">
      <text>
        <t>CEMBI Credit Desk FCF Bridge (2023A):
Formula: EBITDA - Capex - Cash Interest - ΔNWC - Tax
FCF generation reached $142M, allowing scheduled project finance amortization payments.</t>
      </text>
    </comment>
    <comment ref="F34" authorId="0" shapeId="0">
      <text>
        <t>CEMBI Credit Desk FCF Bridge (2024A):
Formula: EBITDA - Capex - Cash Interest - ΔNWC - Tax
Strong FCF of $160M generated, maintaining unrestricted cash reserves at $240M across partner banks.</t>
      </text>
    </comment>
    <comment ref="G34" authorId="0" shapeId="0">
      <text>
        <t>CEMBI Credit Desk FCF Bridge (2025E):
Formula: EBITDA - Capex - Cash Interest - ΔNWC - Tax
Projected FCF of $181.4M provides robust liquidity runway covering 100% of upcoming debt service.</t>
      </text>
    </comment>
    <comment ref="H34" authorId="0" shapeId="0">
      <text>
        <t>CEMBI Credit Desk FCF Bridge (2026E):
Formula: EBITDA - Capex - Cash Interest - ΔNWC - Tax
Free cash flow expands to $207M, providing substantial balance sheet flexibility for Eurobond refinancing.</t>
      </text>
    </comment>
    <comment ref="I34" authorId="0" shapeId="0">
      <text>
        <t>CEMBI Credit Desk FCF Bridge (2027E):
Formula: EBITDA - Capex - Cash Interest - ΔNWC - Tax
FCF generation hits $229M, completely self-funding all ongoing operational and capital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at 4.73x; unhedged foreign currency debt tracking Turkish Lira movements.</t>
      </text>
    </comment>
    <comment ref="D8" authorId="0" shapeId="0">
      <text>
        <t>CEMBI Credit Desk Calculated Leverage Commentary (2022A):
Net leverage held at 4.80x despite TRY depreciation due to strong USD generation cash conversion.</t>
      </text>
    </comment>
    <comment ref="E8" authorId="0" shapeId="0">
      <text>
        <t>CEMBI Credit Desk Calculated Leverage Commentary (2023A):
Net leverage stabilized at 4.75x; preliminary plans drafted for renewable subsidiary equity monetization.</t>
      </text>
    </comment>
    <comment ref="F8" authorId="0" shapeId="0">
      <text>
        <t>CEMBI Credit Desk Calculated Leverage Commentary (2024A):
Net leverage at 4.82x (restricting debt incurrence covenant); management prioritizes de-leveraging to &lt;3.5x.</t>
      </text>
    </comment>
    <comment ref="G8" authorId="0" shapeId="0">
      <text>
        <t>CEMBI Credit Desk Calculated Leverage Commentary (2025E):
Net leverage expected to decrease to 3.90x assisted by operating cash generation and targeted asset sales.</t>
      </text>
    </comment>
    <comment ref="H8" authorId="0" shapeId="0">
      <text>
        <t>CEMBI Credit Desk Calculated Leverage Commentary (2026E):
Net leverage improves to 3.37x; covenant headroom restores fully across all bank facilities.</t>
      </text>
    </comment>
    <comment ref="I8" authorId="0" shapeId="0">
      <text>
        <t>CEMBI Credit Desk Calculated Leverage Commentary (2027E):
Net leverage falls to conservative 2.87x, positioning Zorlu Enerji for sovereign-ceiling rating upgrades.</t>
      </text>
    </comment>
    <comment ref="C9" authorId="0" shapeId="0">
      <text>
        <t>CEMBI Credit Desk Reported Leverage Commentary (2021A):
Material Add-backs: Reported EBITDA includes +$15.6M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D9" authorId="0" shapeId="0">
      <text>
        <t>CEMBI Credit Desk Reported Leverage Commentary (2022A):
Material Add-backs: Reported EBITDA includes +$19.2M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E9" authorId="0" shapeId="0">
      <text>
        <t>CEMBI Credit Desk Reported Leverage Commentary (2023A):
Material Add-backs: Reported EBITDA includes +$21.6M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F9" authorId="0" shapeId="0">
      <text>
        <t>CEMBI Credit Desk Reported Leverage Commentary (2024A):
Material Add-backs: Reported EBITDA includes +$24.0M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G9" authorId="0" shapeId="0">
      <text>
        <t>CEMBI Credit Desk Reported Leverage Commentary (2025E):
Material Add-backs: Reported EBITDA includes +$26.4M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H9" authorId="0" shapeId="0">
      <text>
        <t>CEMBI Credit Desk Reported Leverage Commentary (2026E):
Material Add-backs: Reported EBITDA includes +$28.3M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I9" authorId="0" shapeId="0">
      <text>
        <t>CEMBI Credit Desk Reported Leverage Commentary (2027E):
Material Add-backs: Reported EBITDA includes +$29.8M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(ZOREN) — Institutional Credit Model</t>
        </is>
      </c>
    </row>
    <row r="3">
      <c r="B3" s="2" t="inlineStr">
        <is>
          <t>Sector: Utilities | Country: Turkey | Rating: B- / CCC+ | Benchmark: ZOREN 9.00% 2026 @ $94.50 (11.20% YTM / +680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geothermal/hydro cash margins; AlJomaih asset divestment and deleveraging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ZOREN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802.08</v>
      </c>
      <c r="F26" s="7" t="inlineStr">
        <is>
          <t>11.20%</t>
        </is>
      </c>
      <c r="G26" s="7" t="inlineStr">
        <is>
          <t>$94.50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ZOREN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534.72</v>
      </c>
      <c r="F27" s="7" t="inlineStr">
        <is>
          <t>10.45%</t>
        </is>
      </c>
      <c r="G27" s="7" t="inlineStr">
        <is>
          <t>$97.00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Installed Power Capacity (MW)</t>
        </is>
      </c>
      <c r="C6" s="13" t="n">
        <v>990</v>
      </c>
      <c r="D6" s="13" t="n">
        <v>1005</v>
      </c>
      <c r="E6" s="13" t="n">
        <v>1025</v>
      </c>
      <c r="F6" s="13" t="n">
        <v>1045</v>
      </c>
      <c r="G6" s="13" t="n">
        <v>1075</v>
      </c>
      <c r="H6" s="13" t="n">
        <v>1110</v>
      </c>
      <c r="I6" s="13" t="n">
        <v>1150</v>
      </c>
    </row>
    <row r="7">
      <c r="B7" s="7" t="inlineStr">
        <is>
          <t>Geothermal Installed Capacity (Kizildere/Alasehir) (MW)</t>
        </is>
      </c>
      <c r="C7" s="13" t="n">
        <v>305</v>
      </c>
      <c r="D7" s="13" t="n">
        <v>305</v>
      </c>
      <c r="E7" s="13" t="n">
        <v>305</v>
      </c>
      <c r="F7" s="13" t="n">
        <v>305</v>
      </c>
      <c r="G7" s="13" t="n">
        <v>320</v>
      </c>
      <c r="H7" s="13" t="n">
        <v>340</v>
      </c>
      <c r="I7" s="13" t="n">
        <v>360</v>
      </c>
    </row>
    <row r="8">
      <c r="B8" s="7" t="inlineStr">
        <is>
          <t>Wind Capacity (Gokcedag/Osmaniye) (MW)</t>
        </is>
      </c>
      <c r="C8" s="13" t="n">
        <v>135</v>
      </c>
      <c r="D8" s="13" t="n">
        <v>135</v>
      </c>
      <c r="E8" s="13" t="n">
        <v>135</v>
      </c>
      <c r="F8" s="13" t="n">
        <v>135</v>
      </c>
      <c r="G8" s="13" t="n">
        <v>135</v>
      </c>
      <c r="H8" s="13" t="n">
        <v>135</v>
      </c>
      <c r="I8" s="13" t="n">
        <v>135</v>
      </c>
    </row>
    <row r="9">
      <c r="B9" s="7" t="inlineStr">
        <is>
          <t>Hydroelectric Capacity (7 Plants) (MW)</t>
        </is>
      </c>
      <c r="C9" s="13" t="n">
        <v>119</v>
      </c>
      <c r="D9" s="13" t="n">
        <v>119</v>
      </c>
      <c r="E9" s="13" t="n">
        <v>119</v>
      </c>
      <c r="F9" s="13" t="n">
        <v>119</v>
      </c>
      <c r="G9" s="13" t="n">
        <v>119</v>
      </c>
      <c r="H9" s="13" t="n">
        <v>119</v>
      </c>
      <c r="I9" s="13" t="n">
        <v>119</v>
      </c>
    </row>
    <row r="10">
      <c r="B10" s="7" t="inlineStr">
        <is>
          <t>Gas Cogeneration &amp; Industrial Steam (MW)</t>
        </is>
      </c>
      <c r="C10" s="13" t="n">
        <v>341</v>
      </c>
      <c r="D10" s="13" t="n">
        <v>341</v>
      </c>
      <c r="E10" s="13" t="n">
        <v>341</v>
      </c>
      <c r="F10" s="13" t="n">
        <v>341</v>
      </c>
      <c r="G10" s="13" t="n">
        <v>341</v>
      </c>
      <c r="H10" s="13" t="n">
        <v>341</v>
      </c>
      <c r="I10" s="13" t="n">
        <v>341</v>
      </c>
    </row>
    <row r="11">
      <c r="B11" s="7" t="inlineStr">
        <is>
          <t>International Capacity (Dorad Israel / Pakistan) (MW)</t>
        </is>
      </c>
      <c r="C11" s="13" t="n">
        <v>290</v>
      </c>
      <c r="D11" s="13" t="n">
        <v>290</v>
      </c>
      <c r="E11" s="13" t="n">
        <v>290</v>
      </c>
      <c r="F11" s="13" t="n">
        <v>290</v>
      </c>
      <c r="G11" s="13" t="n">
        <v>290</v>
      </c>
      <c r="H11" s="13" t="n">
        <v>290</v>
      </c>
      <c r="I11" s="13" t="n">
        <v>290</v>
      </c>
    </row>
    <row r="12">
      <c r="B12" s="7" t="inlineStr">
        <is>
          <t>Gross Net Electricity Generation (GWh)</t>
        </is>
      </c>
      <c r="C12" s="13" t="n">
        <v>3850</v>
      </c>
      <c r="D12" s="13" t="n">
        <v>4120</v>
      </c>
      <c r="E12" s="13" t="n">
        <v>4380</v>
      </c>
      <c r="F12" s="13" t="n">
        <v>4650</v>
      </c>
      <c r="G12" s="13" t="n">
        <v>4920</v>
      </c>
      <c r="H12" s="13" t="n">
        <v>5200</v>
      </c>
      <c r="I12" s="13" t="n">
        <v>5500</v>
      </c>
    </row>
    <row r="13">
      <c r="B13" s="7" t="inlineStr">
        <is>
          <t>Geothermal Plant Capacity Factor (%)</t>
        </is>
      </c>
      <c r="C13" s="14" t="n">
        <v>86.5</v>
      </c>
      <c r="D13" s="14" t="n">
        <v>87.2</v>
      </c>
      <c r="E13" s="14" t="n">
        <v>88</v>
      </c>
      <c r="F13" s="14" t="n">
        <v>88.5</v>
      </c>
      <c r="G13" s="14" t="n">
        <v>89</v>
      </c>
      <c r="H13" s="14" t="n">
        <v>89.5</v>
      </c>
      <c r="I13" s="14" t="n">
        <v>90</v>
      </c>
    </row>
    <row r="14">
      <c r="B14" s="7" t="inlineStr">
        <is>
          <t>Blended YEKDEM Realized Dollar Tariff ($/MWh)</t>
        </is>
      </c>
      <c r="C14" s="14" t="n">
        <v>102.5</v>
      </c>
      <c r="D14" s="14" t="n">
        <v>104.8</v>
      </c>
      <c r="E14" s="14" t="n">
        <v>106.5</v>
      </c>
      <c r="F14" s="14" t="n">
        <v>108</v>
      </c>
      <c r="G14" s="14" t="n">
        <v>109.5</v>
      </c>
      <c r="H14" s="14" t="n">
        <v>111</v>
      </c>
      <c r="I14" s="14" t="n">
        <v>112.5</v>
      </c>
    </row>
    <row r="15">
      <c r="B15" s="7" t="inlineStr">
        <is>
          <t>OEDAS Regulated Asset Base (RAB) ($M)</t>
        </is>
      </c>
      <c r="C15" s="13" t="n">
        <v>480</v>
      </c>
      <c r="D15" s="13" t="n">
        <v>530</v>
      </c>
      <c r="E15" s="13" t="n">
        <v>590</v>
      </c>
      <c r="F15" s="13" t="n">
        <v>650</v>
      </c>
      <c r="G15" s="13" t="n">
        <v>710</v>
      </c>
      <c r="H15" s="13" t="n">
        <v>770</v>
      </c>
      <c r="I15" s="13" t="n">
        <v>830</v>
      </c>
    </row>
    <row r="16">
      <c r="B16" s="7" t="inlineStr">
        <is>
          <t>OEDAS Electricity Distributed Volume (GWh)</t>
        </is>
      </c>
      <c r="C16" s="13" t="n">
        <v>7800</v>
      </c>
      <c r="D16" s="13" t="n">
        <v>8100</v>
      </c>
      <c r="E16" s="13" t="n">
        <v>8350</v>
      </c>
      <c r="F16" s="13" t="n">
        <v>8600</v>
      </c>
      <c r="G16" s="13" t="n">
        <v>8900</v>
      </c>
      <c r="H16" s="13" t="n">
        <v>9200</v>
      </c>
      <c r="I16" s="13" t="n">
        <v>9500</v>
      </c>
    </row>
    <row r="17">
      <c r="B17" s="7" t="inlineStr">
        <is>
          <t>ZES Active Public EV Fast-Charging Sockets (Sockets)</t>
        </is>
      </c>
      <c r="C17" s="13" t="n">
        <v>650</v>
      </c>
      <c r="D17" s="13" t="n">
        <v>980</v>
      </c>
      <c r="E17" s="13" t="n">
        <v>1420</v>
      </c>
      <c r="F17" s="13" t="n">
        <v>1850</v>
      </c>
      <c r="G17" s="13" t="n">
        <v>2350</v>
      </c>
      <c r="H17" s="13" t="n">
        <v>2850</v>
      </c>
      <c r="I17" s="13" t="n">
        <v>3400</v>
      </c>
    </row>
    <row r="18">
      <c r="B18" s="7" t="inlineStr">
        <is>
          <t>Natural USD Cash Flow Hedge Ratio (%)</t>
        </is>
      </c>
      <c r="C18" s="14" t="n">
        <v>62</v>
      </c>
      <c r="D18" s="14" t="n">
        <v>65</v>
      </c>
      <c r="E18" s="14" t="n">
        <v>67.5</v>
      </c>
      <c r="F18" s="14" t="n">
        <v>70</v>
      </c>
      <c r="G18" s="14" t="n">
        <v>72</v>
      </c>
      <c r="H18" s="14" t="n">
        <v>74</v>
      </c>
      <c r="I18" s="14" t="n">
        <v>75</v>
      </c>
    </row>
    <row r="19"/>
    <row r="20"/>
    <row r="21">
      <c r="B21" s="3" t="inlineStr">
        <is>
          <t>II. BUSINESS SEGMENT REVENUE BREAKDOWN (USD M)</t>
        </is>
      </c>
    </row>
    <row r="22">
      <c r="B22" s="5" t="inlineStr">
        <is>
          <t>Business Segment</t>
        </is>
      </c>
      <c r="C22" s="6" t="inlineStr">
        <is>
          <t>2021A</t>
        </is>
      </c>
      <c r="D22" s="6" t="inlineStr">
        <is>
          <t>2022A</t>
        </is>
      </c>
      <c r="E22" s="6" t="inlineStr">
        <is>
          <t>2023A</t>
        </is>
      </c>
      <c r="F22" s="6" t="inlineStr">
        <is>
          <t>2024A</t>
        </is>
      </c>
      <c r="G22" s="6" t="inlineStr">
        <is>
          <t>2025E</t>
        </is>
      </c>
      <c r="H22" s="6" t="inlineStr">
        <is>
          <t>2026E</t>
        </is>
      </c>
      <c r="I22" s="6" t="inlineStr">
        <is>
          <t>2027E</t>
        </is>
      </c>
    </row>
    <row r="23">
      <c r="B23" s="7" t="inlineStr">
        <is>
          <t>Renewable Power Generation (YEKDEM USD-Guaranteed)</t>
        </is>
      </c>
      <c r="C23" s="8" t="n">
        <v>375.4</v>
      </c>
      <c r="D23" s="8" t="n">
        <v>452.6</v>
      </c>
      <c r="E23" s="8" t="n">
        <v>507.8</v>
      </c>
      <c r="F23" s="8" t="n">
        <v>552</v>
      </c>
      <c r="G23" s="8" t="n">
        <v>596.2</v>
      </c>
      <c r="H23" s="8" t="n">
        <v>634.8</v>
      </c>
      <c r="I23" s="8" t="n">
        <v>662.4</v>
      </c>
    </row>
    <row r="24">
      <c r="B24" s="7" t="inlineStr">
        <is>
          <t>Regulated Electricity Distribution &amp; Retail (OEDAS/OEPSAS)</t>
        </is>
      </c>
      <c r="C24" s="8" t="n">
        <v>310.1</v>
      </c>
      <c r="D24" s="8" t="n">
        <v>373.9</v>
      </c>
      <c r="E24" s="8" t="n">
        <v>419.5</v>
      </c>
      <c r="F24" s="8" t="n">
        <v>456</v>
      </c>
      <c r="G24" s="8" t="n">
        <v>492.5</v>
      </c>
      <c r="H24" s="8" t="n">
        <v>524.4</v>
      </c>
      <c r="I24" s="8" t="n">
        <v>547.2</v>
      </c>
    </row>
    <row r="25">
      <c r="B25" s="7" t="inlineStr">
        <is>
          <t>Thermal Cogeneration &amp; International IPPs (Dorad/Pakistan)</t>
        </is>
      </c>
      <c r="C25" s="8" t="n">
        <v>97.90000000000001</v>
      </c>
      <c r="D25" s="8" t="n">
        <v>118.1</v>
      </c>
      <c r="E25" s="8" t="n">
        <v>132.5</v>
      </c>
      <c r="F25" s="8" t="n">
        <v>144</v>
      </c>
      <c r="G25" s="8" t="n">
        <v>155.5</v>
      </c>
      <c r="H25" s="8" t="n">
        <v>165.6</v>
      </c>
      <c r="I25" s="8" t="n">
        <v>172.8</v>
      </c>
    </row>
    <row r="26">
      <c r="B26" s="7" t="inlineStr">
        <is>
          <t>ZES EV Charging Network &amp; Energy Solutions</t>
        </is>
      </c>
      <c r="C26" s="8" t="n">
        <v>32.6</v>
      </c>
      <c r="D26" s="8" t="n">
        <v>39.4</v>
      </c>
      <c r="E26" s="8" t="n">
        <v>44.2</v>
      </c>
      <c r="F26" s="8" t="n">
        <v>48</v>
      </c>
      <c r="G26" s="8" t="n">
        <v>51.8</v>
      </c>
      <c r="H26" s="8" t="n">
        <v>55.2</v>
      </c>
      <c r="I26" s="8" t="n">
        <v>57.6</v>
      </c>
    </row>
    <row r="27">
      <c r="B27" s="15" t="inlineStr">
        <is>
          <t>Total Consolidated Revenue (Feeds P&amp;L)</t>
        </is>
      </c>
      <c r="C27" s="16">
        <f>SUM(C23:C26)</f>
        <v/>
      </c>
      <c r="D27" s="16">
        <f>SUM(D23:D26)</f>
        <v/>
      </c>
      <c r="E27" s="16">
        <f>SUM(E23:E26)</f>
        <v/>
      </c>
      <c r="F27" s="16">
        <f>SUM(F23:F26)</f>
        <v/>
      </c>
      <c r="G27" s="16">
        <f>SUM(G23:G26)</f>
        <v/>
      </c>
      <c r="H27" s="16">
        <f>SUM(H23:H26)</f>
        <v/>
      </c>
      <c r="I27" s="16">
        <f>SUM(I23:I26)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Renewable Power Generation (YEKDEM USD-Guaranteed)</t>
        </is>
      </c>
      <c r="C7" s="8">
        <f>'Operational Drivers &amp; Segments'!C23</f>
        <v/>
      </c>
      <c r="D7" s="8">
        <f>'Operational Drivers &amp; Segments'!D23</f>
        <v/>
      </c>
      <c r="E7" s="8">
        <f>'Operational Drivers &amp; Segments'!E23</f>
        <v/>
      </c>
      <c r="F7" s="8">
        <f>'Operational Drivers &amp; Segments'!F23</f>
        <v/>
      </c>
      <c r="G7" s="8">
        <f>'Operational Drivers &amp; Segments'!G23</f>
        <v/>
      </c>
      <c r="H7" s="8">
        <f>'Operational Drivers &amp; Segments'!H23</f>
        <v/>
      </c>
      <c r="I7" s="8">
        <f>'Operational Drivers &amp; Segments'!I23</f>
        <v/>
      </c>
    </row>
    <row r="8">
      <c r="B8" s="7" t="inlineStr">
        <is>
          <t xml:space="preserve">  Regulated Electricity Distribution &amp; Retail (OEDAS/OEPSAS)</t>
        </is>
      </c>
      <c r="C8" s="8">
        <f>'Operational Drivers &amp; Segments'!C24</f>
        <v/>
      </c>
      <c r="D8" s="8">
        <f>'Operational Drivers &amp; Segments'!D24</f>
        <v/>
      </c>
      <c r="E8" s="8">
        <f>'Operational Drivers &amp; Segments'!E24</f>
        <v/>
      </c>
      <c r="F8" s="8">
        <f>'Operational Drivers &amp; Segments'!F24</f>
        <v/>
      </c>
      <c r="G8" s="8">
        <f>'Operational Drivers &amp; Segments'!G24</f>
        <v/>
      </c>
      <c r="H8" s="8">
        <f>'Operational Drivers &amp; Segments'!H24</f>
        <v/>
      </c>
      <c r="I8" s="8">
        <f>'Operational Drivers &amp; Segments'!I24</f>
        <v/>
      </c>
    </row>
    <row r="9">
      <c r="B9" s="7" t="inlineStr">
        <is>
          <t xml:space="preserve">  Thermal Cogeneration &amp; International IPPs (Dorad/Pakistan)</t>
        </is>
      </c>
      <c r="C9" s="8">
        <f>'Operational Drivers &amp; Segments'!C25</f>
        <v/>
      </c>
      <c r="D9" s="8">
        <f>'Operational Drivers &amp; Segments'!D25</f>
        <v/>
      </c>
      <c r="E9" s="8">
        <f>'Operational Drivers &amp; Segments'!E25</f>
        <v/>
      </c>
      <c r="F9" s="8">
        <f>'Operational Drivers &amp; Segments'!F25</f>
        <v/>
      </c>
      <c r="G9" s="8">
        <f>'Operational Drivers &amp; Segments'!G25</f>
        <v/>
      </c>
      <c r="H9" s="8">
        <f>'Operational Drivers &amp; Segments'!H25</f>
        <v/>
      </c>
      <c r="I9" s="8">
        <f>'Operational Drivers &amp; Segments'!I25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15.6</v>
      </c>
      <c r="D35" s="24" t="n">
        <v>19.2</v>
      </c>
      <c r="E35" s="24" t="n">
        <v>21.6</v>
      </c>
      <c r="F35" s="24" t="n">
        <v>24</v>
      </c>
      <c r="G35" s="24" t="n">
        <v>26.4</v>
      </c>
      <c r="H35" s="24" t="n">
        <v>28.3</v>
      </c>
      <c r="I35" s="24" t="n">
        <v>29.8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Material Add-backs: Reported EBITDA includes +$15.6M (+7.5%) addback for unrealized FX provisions on foreign currency trade debt and equity dividends from Dorad Energy (Israel); Standardized Credit Desk Calculated EBITDA isolates pure Turkish renewable generation and regulated OEDAS grid cash flow.</t>
        </is>
      </c>
    </row>
    <row r="43">
      <c r="B43" s="26" t="inlineStr">
        <is>
          <t>[2022A] Material Add-backs: Reported EBITDA includes +$19.2M (+7.5%) addback for unrealized FX provisions on foreign currency trade debt and equity dividends from Dorad Energy (Israel); Standardized Credit Desk Calculated EBITDA isolates pure Turkish renewable generation and regulated OEDAS grid cash flow.</t>
        </is>
      </c>
    </row>
    <row r="44">
      <c r="B44" s="26" t="inlineStr">
        <is>
          <t>[2023A] Material Add-backs: Reported EBITDA includes +$21.6M (+7.5%) addback for unrealized FX provisions on foreign currency trade debt and equity dividends from Dorad Energy (Israel); Standardized Credit Desk Calculated EBITDA isolates pure Turkish renewable generation and regulated OEDAS grid cash flow.</t>
        </is>
      </c>
    </row>
    <row r="45">
      <c r="B45" s="26" t="inlineStr">
        <is>
          <t>[2024A] Material Add-backs: Reported EBITDA includes +$24.0M (+7.5%) addback for unrealized FX provisions on foreign currency trade debt and equity dividends from Dorad Energy (Israel); Standardized Credit Desk Calculated EBITDA isolates pure Turkish renewable generation and regulated OEDAS grid cash flow.</t>
        </is>
      </c>
    </row>
    <row r="46">
      <c r="B46" s="26" t="inlineStr">
        <is>
          <t>[2025E] Material Add-backs: Reported EBITDA includes +$26.4M (+7.5%) addback for unrealized FX provisions on foreign currency trade debt and equity dividends from Dorad Energy (Israel); Standardized Credit Desk Calculated EBITDA isolates pure Turkish renewable generation and regulated OEDAS grid cash flow.</t>
        </is>
      </c>
    </row>
    <row r="47">
      <c r="B47" s="26" t="inlineStr">
        <is>
          <t>[2026E] Material Add-backs: Reported EBITDA includes +$28.3M (+7.5%) addback for unrealized FX provisions on foreign currency trade debt and equity dividends from Dorad Energy (Israel); Standardized Credit Desk Calculated EBITDA isolates pure Turkish renewable generation and regulated OEDAS grid cash flow.</t>
        </is>
      </c>
    </row>
    <row r="48">
      <c r="B48" s="26" t="inlineStr">
        <is>
          <t>[2027E] Material Add-backs: Reported EBITDA includes +$29.8M (+7.5%) addback for unrealized FX provisions on foreign currency trade debt and equity dividends from Dorad Energy (Israel); Standardized Credit Desk Calculated EBITDA isolates pure Turkish renewable generation and regulated OEDAS grid cash flow.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285.6</v>
      </c>
      <c r="D36" s="8" t="n">
        <v>285.6</v>
      </c>
      <c r="E36" s="8" t="n">
        <v>285.6</v>
      </c>
      <c r="F36" s="8" t="n">
        <v>285.6</v>
      </c>
      <c r="G36" s="8" t="n">
        <v>285.6</v>
      </c>
      <c r="H36" s="8" t="n">
        <v>285.6</v>
      </c>
      <c r="I36" s="8" t="n">
        <v>285.6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-78.40000000000001</v>
      </c>
      <c r="D16" s="8" t="n">
        <v>-95.2</v>
      </c>
      <c r="E16" s="8" t="n">
        <v>-106.4</v>
      </c>
      <c r="F16" s="8" t="n">
        <v>-112</v>
      </c>
      <c r="G16" s="8" t="n">
        <v>-117.6</v>
      </c>
      <c r="H16" s="8" t="n">
        <v>-114.2</v>
      </c>
      <c r="I16" s="8" t="n">
        <v>-109.8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-59.3</v>
      </c>
      <c r="D32" s="8" t="n">
        <v>-79.40000000000001</v>
      </c>
      <c r="E32" s="8" t="n">
        <v>-97.09999999999999</v>
      </c>
      <c r="F32" s="8" t="n">
        <v>-113.9</v>
      </c>
      <c r="G32" s="8" t="n">
        <v>-107.3</v>
      </c>
      <c r="H32" s="8" t="n">
        <v>-101</v>
      </c>
      <c r="I32" s="8" t="n">
        <v>-97.7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FCF of $114M generated, funding interest payments and early turbine maintenance.</t>
        </is>
      </c>
    </row>
    <row r="39">
      <c r="B39" s="26" t="inlineStr">
        <is>
          <t>[2022A] Strong operating cash flow ($225M) enabled $128M in free cash flow after all capex commitments.</t>
        </is>
      </c>
    </row>
    <row r="40">
      <c r="B40" s="26" t="inlineStr">
        <is>
          <t>[2023A] FCF generation reached $142M, allowing scheduled project finance amortization payments.</t>
        </is>
      </c>
    </row>
    <row r="41">
      <c r="B41" s="26" t="inlineStr">
        <is>
          <t>[2024A] Strong FCF of $160M generated, maintaining unrestricted cash reserves at $240M across partner banks.</t>
        </is>
      </c>
    </row>
    <row r="42">
      <c r="B42" s="26" t="inlineStr">
        <is>
          <t>[2025E] Projected FCF of $181.4M provides robust liquidity runway covering 100% of upcoming debt service.</t>
        </is>
      </c>
    </row>
    <row r="43">
      <c r="B43" s="26" t="inlineStr">
        <is>
          <t>[2026E] Free cash flow expands to $207M, providing substantial balance sheet flexibility for Eurobond refinancing.</t>
        </is>
      </c>
    </row>
    <row r="44">
      <c r="B44" s="26" t="inlineStr">
        <is>
          <t>[2027E] FCF generation hits $229M, completely self-funding all ongoing operational and capital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81" customWidth="1" min="9" max="9"/>
    <col width="48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ZOREN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0.1120</f>
        <v/>
      </c>
      <c r="D11" s="8">
        <f>D10 * 0.1120</f>
        <v/>
      </c>
      <c r="E11" s="8">
        <f>E10 * 0.1120</f>
        <v/>
      </c>
      <c r="F11" s="8">
        <f>F10 * 0.1120</f>
        <v/>
      </c>
      <c r="G11" s="8">
        <f>G10 * 0.1120</f>
        <v/>
      </c>
      <c r="H11" s="8">
        <f>H10 * 0.1120</f>
        <v/>
      </c>
      <c r="I11" s="8">
        <f>I10 * 0.1120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ZOREN 9.000% Senior Notes Due 2026 (Eurobond)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300</v>
      </c>
      <c r="F37" s="30" t="inlineStr">
        <is>
          <t>9.000%</t>
        </is>
      </c>
      <c r="G37" s="31" t="n">
        <v>94.5</v>
      </c>
      <c r="H37" s="32" t="n">
        <v>11.2</v>
      </c>
      <c r="I37" s="7" t="inlineStr">
        <is>
          <t>Senior Unsecured (Pari Passu with Bank Debt)</t>
        </is>
      </c>
      <c r="J37" s="17" t="inlineStr">
        <is>
          <t>English Law / Rule 144A</t>
        </is>
      </c>
    </row>
    <row r="38">
      <c r="B38" s="9" t="inlineStr">
        <is>
          <t>Kizildere &amp; Alasehir Geothermal Project Finance Facilities</t>
        </is>
      </c>
      <c r="C38" s="7" t="inlineStr">
        <is>
          <t>Senior Secured Amortizing Project Finance Loans (EBRD / IFC / Commercial)</t>
        </is>
      </c>
      <c r="D38" s="29" t="inlineStr">
        <is>
          <t>USD</t>
        </is>
      </c>
      <c r="E38" s="21" t="n">
        <v>720</v>
      </c>
      <c r="F38" s="30" t="inlineStr">
        <is>
          <t>SOFR + 325 bps</t>
        </is>
      </c>
      <c r="G38" s="31" t="n">
        <v>100</v>
      </c>
      <c r="H38" s="32" t="n">
        <v>8.15</v>
      </c>
      <c r="I38" s="7" t="inlineStr">
        <is>
          <t>Senior Secured (First Lien on Geothermal Plant Assets &amp; YEKDEM Cash Accounts)</t>
        </is>
      </c>
      <c r="J38" s="17" t="inlineStr">
        <is>
          <t>English Law / Turkish Security Documentation</t>
        </is>
      </c>
    </row>
    <row r="39">
      <c r="B39" s="9" t="inlineStr">
        <is>
          <t>OEDAS Regulated Grid Distribution Investment Loans</t>
        </is>
      </c>
      <c r="C39" s="7" t="inlineStr">
        <is>
          <t>Senior Secured Capex Facilities &amp; TLREF Bonds</t>
        </is>
      </c>
      <c r="D39" s="29" t="inlineStr">
        <is>
          <t>TRY / EUR</t>
        </is>
      </c>
      <c r="E39" s="21" t="n">
        <v>480</v>
      </c>
      <c r="F39" s="30" t="inlineStr">
        <is>
          <t>TLREF + 350 bps / Euribor + 275 bps</t>
        </is>
      </c>
      <c r="G39" s="31" t="n">
        <v>100</v>
      </c>
      <c r="H39" s="32" t="n">
        <v>14.5</v>
      </c>
      <c r="I39" s="7" t="inlineStr">
        <is>
          <t>Senior Secured (Pledge on Regulated Tariff Receivables)</t>
        </is>
      </c>
      <c r="J39" s="17" t="inlineStr">
        <is>
          <t>Turkish Law</t>
        </is>
      </c>
    </row>
    <row r="40">
      <c r="B40" s="9" t="inlineStr">
        <is>
          <t>Zorlu Enerji Syndicated Multi-Currency RCF &amp; Bilateral Working Capital</t>
        </is>
      </c>
      <c r="C40" s="7" t="inlineStr">
        <is>
          <t>Revolving Working Capital Credit Facilities</t>
        </is>
      </c>
      <c r="D40" s="29" t="inlineStr">
        <is>
          <t>USD / EUR / TRY</t>
        </is>
      </c>
      <c r="E40" s="21" t="n">
        <v>282.4</v>
      </c>
      <c r="F40" s="30" t="inlineStr">
        <is>
          <t>SOFR + 285 bps</t>
        </is>
      </c>
      <c r="G40" s="31" t="n">
        <v>100</v>
      </c>
      <c r="H40" s="32" t="n">
        <v>7.75</v>
      </c>
      <c r="I40" s="7" t="inlineStr">
        <is>
          <t>Senior Unsecured (Pari Passu with Eurobonds)</t>
        </is>
      </c>
      <c r="J40" s="17" t="inlineStr">
        <is>
          <t>Turkish / 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Zorlu Enerji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462.4</v>
      </c>
    </row>
    <row r="45">
      <c r="B45" s="7" t="inlineStr">
        <is>
          <t>Drawn Amount ($M)</t>
        </is>
      </c>
      <c r="C45" s="8" t="n">
        <v>282.4</v>
      </c>
    </row>
    <row r="46">
      <c r="B46" s="19" t="inlineStr">
        <is>
          <t>AVAILABLE UNDRAWN HEADROOM ($M)</t>
        </is>
      </c>
      <c r="C46" s="20" t="n">
        <v>180</v>
      </c>
    </row>
    <row r="47">
      <c r="B47" s="7" t="inlineStr">
        <is>
          <t>Drawn Borrowing Margin</t>
        </is>
      </c>
      <c r="C47" s="7" t="inlineStr">
        <is>
          <t>SOFR + 285 bps / Euribor + 250 bps</t>
        </is>
      </c>
    </row>
    <row r="48">
      <c r="B48" s="7" t="inlineStr">
        <is>
          <t>Undrawn Commitment Fee</t>
        </is>
      </c>
      <c r="C48" s="7" t="inlineStr">
        <is>
          <t>75.0 bps</t>
        </is>
      </c>
    </row>
    <row r="49">
      <c r="B49" s="7" t="inlineStr">
        <is>
          <t>Maturity Date &amp; Extension Options</t>
        </is>
      </c>
      <c r="C49" s="7" t="inlineStr">
        <is>
          <t>2027-06-30 (with 1-year annual extension options)</t>
        </is>
      </c>
    </row>
    <row r="50">
      <c r="B50" s="7" t="inlineStr">
        <is>
          <t>Syndicate Lenders / Arrangers</t>
        </is>
      </c>
      <c r="C50" s="7" t="inlineStr">
        <is>
          <t>Akbank, Garanti BBVA, Turkiye Is Bankasi, Vakifbank, QNB Finansbank</t>
        </is>
      </c>
    </row>
    <row r="51">
      <c r="B51" s="7" t="inlineStr">
        <is>
          <t>RCF Maintenance Covenants</t>
        </is>
      </c>
      <c r="C51" s="7" t="inlineStr">
        <is>
          <t>Semi-annual testing: Consolidated Net Debt / EBITDA &lt;= 5.0x, Minimum Interest Coverage &gt;= 2.0x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4.82x</t>
        </is>
      </c>
      <c r="E55" s="33" t="inlineStr">
        <is>
          <t>-0.32x leverage buffer ($-102.4M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2.12x</t>
        </is>
      </c>
      <c r="E56" s="33" t="inlineStr">
        <is>
          <t>+-0.38x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12.4% of Assets</t>
        </is>
      </c>
      <c r="E57" s="33" t="inlineStr">
        <is>
          <t>$264.0M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11.20%</t>
        </is>
      </c>
      <c r="F6" s="35" t="inlineStr">
        <is>
          <t>4.2x</t>
        </is>
      </c>
      <c r="G6" s="35" t="inlineStr">
        <is>
          <t>$95.00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13.20%</t>
        </is>
      </c>
      <c r="F7" s="30" t="inlineStr">
        <is>
          <t>3.2x</t>
        </is>
      </c>
      <c r="G7" s="30" t="inlineStr">
        <is>
          <t>$76.50</t>
        </is>
      </c>
      <c r="H7" s="30" t="inlineStr">
        <is>
          <t>-19.0%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$58.00</t>
        </is>
      </c>
      <c r="H8" s="30" t="inlineStr">
        <is>
          <t>-38.6%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9.70%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+11.1%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ZOREN Senior Unsecured Eurobonds</t>
        </is>
      </c>
      <c r="C15" s="8" t="n">
        <v>1336.8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58.0%</t>
        </is>
      </c>
      <c r="G15" s="30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1" customWidth="1" min="3" max="3"/>
    <col width="44" customWidth="1" min="4" max="4"/>
    <col width="19" customWidth="1" min="5" max="5"/>
    <col width="150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(ZOREN) — Earnings Presentation &amp; Management Guidance</t>
        </is>
      </c>
    </row>
    <row r="3">
      <c r="B3" s="2" t="inlineStr">
        <is>
          <t>Source: Zorlu Enerji FY2024 Strategic Investor Presentation &amp; Borsa Istanbul Capital Markets Day | Reporting Currency: USD / TRY (with natural USD hedge disclosures)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Consolidated Revenue Target</t>
        </is>
      </c>
      <c r="C7" s="9" t="inlineStr">
        <is>
          <t>$1,280M - $1,320M (+8.0% YoY)</t>
        </is>
      </c>
      <c r="D7" s="36" t="inlineStr">
        <is>
          <t>$1,295M annualized (9M24 actuals)</t>
        </is>
      </c>
      <c r="E7" s="37" t="inlineStr">
        <is>
          <t>On Track</t>
        </is>
      </c>
      <c r="F7" s="38" t="inlineStr">
        <is>
          <t>High geothermal plant availability (88.5%) and steady OEDAS distribution volume (+3.8%) tracking in line with guidance envelope.</t>
        </is>
      </c>
    </row>
    <row r="8">
      <c r="B8" s="9" t="inlineStr">
        <is>
          <t>2025E Consolidated EBITDA Target</t>
        </is>
      </c>
      <c r="C8" s="9" t="inlineStr">
        <is>
          <t>$330M - $350M (26.5% - 27.5% margin)</t>
        </is>
      </c>
      <c r="D8" s="36" t="inlineStr">
        <is>
          <t>$338M annualized run-rate</t>
        </is>
      </c>
      <c r="E8" s="37" t="inlineStr">
        <is>
          <t>On Track</t>
        </is>
      </c>
      <c r="F8" s="38" t="inlineStr">
        <is>
          <t>USD-denominated YEKDEM cash flows ($105-$132/MWh) generated 68.5% of generation EBITDA, protecting margins against TRY depreciation.</t>
        </is>
      </c>
    </row>
    <row r="9">
      <c r="B9" s="9" t="inlineStr">
        <is>
          <t>Consolidated Net Leverage Ceiling</t>
        </is>
      </c>
      <c r="C9" s="9" t="inlineStr">
        <is>
          <t>&lt; 3.50x Net Debt / EBITDA</t>
        </is>
      </c>
      <c r="D9" s="36" t="inlineStr">
        <is>
          <t>4.82x Net Debt / EBITDA (2024A)</t>
        </is>
      </c>
      <c r="E9" s="39" t="inlineStr">
        <is>
          <t>Under Watch</t>
        </is>
      </c>
      <c r="F9" s="38" t="inlineStr">
        <is>
          <t>Elevated leverage due to TRY translation of unhedged debt; deleveraging milestone contingent on executing Zorlu Yenilenebilir equity monetization.</t>
        </is>
      </c>
    </row>
    <row r="10">
      <c r="B10" s="9" t="inlineStr">
        <is>
          <t>2025E Strategic Capex Discipline Envelope</t>
        </is>
      </c>
      <c r="C10" s="9" t="inlineStr">
        <is>
          <t>&lt; $115.0M maximum capex envelope</t>
        </is>
      </c>
      <c r="D10" s="36" t="inlineStr">
        <is>
          <t>$108.2M committed / incurred</t>
        </is>
      </c>
      <c r="E10" s="37" t="inlineStr">
        <is>
          <t>On Track</t>
        </is>
      </c>
      <c r="F10" s="38" t="inlineStr">
        <is>
          <t>Discretionary thermal capex frozen; capital deployed exclusively into regulated OEDAS grid capex (RAB-accretive) and Kizildere hybrid solar.</t>
        </is>
      </c>
    </row>
    <row r="11">
      <c r="B11" s="9" t="inlineStr">
        <is>
          <t>ZES Electric Vehicle Fast-Charging Sockets</t>
        </is>
      </c>
      <c r="C11" s="9" t="inlineStr">
        <is>
          <t>2,200+ public sockets by end-2025</t>
        </is>
      </c>
      <c r="D11" s="36" t="inlineStr">
        <is>
          <t>1,850 sockets active across 81 provinces</t>
        </is>
      </c>
      <c r="E11" s="33" t="inlineStr">
        <is>
          <t>Ahead of Target</t>
        </is>
      </c>
      <c r="F11" s="38" t="inlineStr">
        <is>
          <t>Consolidated #1 market position in Turkey with 38% market share; Electrip international pilot expanding across Italy, France, and Poland.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Kizildere Hybrid Solar</t>
        </is>
      </c>
      <c r="C15" s="38" t="inlineStr">
        <is>
          <t>50 MW co-located solar PV under construction at Kizildere to utilize existing transmission capacity and boost summer generation</t>
        </is>
      </c>
    </row>
    <row r="16">
      <c r="B16" s="9" t="inlineStr">
        <is>
          <t>Alasehir Geothermal Expansion</t>
        </is>
      </c>
      <c r="C16" s="38" t="inlineStr">
        <is>
          <t>Preliminary drilling and resource appraisal for Alasehir II geothermal project (potential +30 MW expansion)</t>
        </is>
      </c>
    </row>
    <row r="17">
      <c r="B17" s="9" t="inlineStr">
        <is>
          <t>Oedas Smart Grid Investments</t>
        </is>
      </c>
      <c r="C17" s="38" t="inlineStr">
        <is>
          <t>TRY 3.8B committed grid modernization and digital substation automation under 4th Tariff Period</t>
        </is>
      </c>
    </row>
    <row r="18">
      <c r="B18" s="9" t="inlineStr">
        <is>
          <t>Zes Electrip Europe</t>
        </is>
      </c>
      <c r="C18" s="38" t="inlineStr">
        <is>
          <t>Targeting 500 ultra-fast DC charging hubs across Southern and Central Europe by 2026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Revenue Share</t>
        </is>
      </c>
      <c r="C22" s="38" t="inlineStr">
        <is>
          <t>68.5% of generation EBITDA earned in US Dollars directly under statutory YEKDEM mechanism</t>
        </is>
      </c>
    </row>
    <row r="23">
      <c r="B23" s="9" t="inlineStr">
        <is>
          <t>Try Regulated Revenue Share</t>
        </is>
      </c>
      <c r="C23" s="38" t="inlineStr">
        <is>
          <t>31.5% of revenue earned in Turkish Lira via OEDAS/OEPSAS with full CPI inflation pass-through</t>
        </is>
      </c>
    </row>
    <row r="24">
      <c r="B24" s="9" t="inlineStr">
        <is>
          <t>Debt Currency Denomination</t>
        </is>
      </c>
      <c r="C24" s="38" t="inlineStr">
        <is>
          <t>58% USD, 24% EUR, 18% TRY — natural dollar hedge covers 100% of USD net interest payments</t>
        </is>
      </c>
    </row>
    <row r="25">
      <c r="B25" s="9" t="inlineStr">
        <is>
          <t>Fx Risk Mitigation</t>
        </is>
      </c>
      <c r="C25" s="38" t="inlineStr">
        <is>
          <t>Bilateral FX forward hedges covering next 12-month EUR debt principal amortizations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Contracted Generation Capacity</t>
        </is>
      </c>
      <c r="C29" s="38" t="inlineStr">
        <is>
          <t>643 MW operating under government-backed take-or-pay feed-in tariffs</t>
        </is>
      </c>
    </row>
    <row r="30">
      <c r="B30" s="9" t="inlineStr">
        <is>
          <t>Offtaker Counterparty</t>
        </is>
      </c>
      <c r="C30" s="38" t="inlineStr">
        <is>
          <t>Republic of Turkey Ministry of Energy and Natural Resources / EPIAS (100% sovereign-backed offtake)</t>
        </is>
      </c>
    </row>
    <row r="31">
      <c r="B31" s="9" t="inlineStr">
        <is>
          <t>Average Concession Life</t>
        </is>
      </c>
      <c r="C31" s="38" t="inlineStr">
        <is>
          <t>Distribution concession through 2036; Geothermal exploration licenses valid through 2041-2047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Cash Reserves</t>
        </is>
      </c>
      <c r="C35" s="38" t="inlineStr">
        <is>
          <t>$240.0M held in tier-1 commercial and state banks (Akbank, Garanti, Isbank)</t>
        </is>
      </c>
    </row>
    <row r="36">
      <c r="B36" s="9" t="inlineStr">
        <is>
          <t>Undrawn Committed Facilities</t>
        </is>
      </c>
      <c r="C36" s="38" t="inlineStr">
        <is>
          <t>$180.0M undrawn revolving credit lines and overdraft limits</t>
        </is>
      </c>
    </row>
    <row r="37">
      <c r="B37" s="9" t="inlineStr">
        <is>
          <t>Next 12M Debt Service</t>
        </is>
      </c>
      <c r="C37" s="38" t="inlineStr">
        <is>
          <t>$260.0M scheduled amortization and coupon payments fully covered by internal operating cash flow ($272M CFO)</t>
        </is>
      </c>
    </row>
    <row r="38">
      <c r="B38" s="3" t="inlineStr">
        <is>
          <t>VI. GENERATION FLEET BREAKDOWN</t>
        </is>
      </c>
    </row>
    <row r="39">
      <c r="B39" s="5" t="inlineStr">
        <is>
          <t>Operational Asset / Disclosure Dimension</t>
        </is>
      </c>
      <c r="C39" s="5" t="inlineStr">
        <is>
          <t>Conference Call &amp; Investor Deck Detail</t>
        </is>
      </c>
    </row>
    <row r="40">
      <c r="B40" s="9" t="inlineStr">
        <is>
          <t>Geothermal Capacity Jes</t>
        </is>
      </c>
      <c r="C40" s="38" t="inlineStr">
        <is>
          <t>305.0 MW total geothermal capacity: Kizildere I (15.0 MW), Kizildere II (80.0 MW), Kizildere III Unit 1 (99.5 MW), Kizildere III Unit 2 (65.5 MW), Alasehir I (45.0 MW) — Turkey's largest and lowest-cost baseload renewable fleet</t>
        </is>
      </c>
    </row>
    <row r="41">
      <c r="B41" s="9" t="inlineStr">
        <is>
          <t>Wind Capacity Res</t>
        </is>
      </c>
      <c r="C41" s="38" t="inlineStr">
        <is>
          <t>135.0 MW Gokcedag Wind Power Plant (Osmaniye) — long-term high wind resource capacity factor (&gt;34%)</t>
        </is>
      </c>
    </row>
    <row r="42">
      <c r="B42" s="9" t="inlineStr">
        <is>
          <t>Hydroelectric Capacity Hes</t>
        </is>
      </c>
      <c r="C42" s="38" t="inlineStr">
        <is>
          <t>118.6 MW across 7 operating run-of-river and reservoir plants (Ikizdere, Atabey, Camlica, Kuzgun, Mercan, Tercan, Beykoy)</t>
        </is>
      </c>
    </row>
    <row r="43">
      <c r="B43" s="9" t="inlineStr">
        <is>
          <t>Solar And Hybrid Capacity</t>
        </is>
      </c>
      <c r="C43" s="38" t="inlineStr">
        <is>
          <t>84.0 MW installed and under development (hybrid solar installations co-located at Kizildere geothermal sites)</t>
        </is>
      </c>
    </row>
    <row r="44">
      <c r="B44" s="9" t="inlineStr">
        <is>
          <t>Thermal And Industrial Cogen</t>
        </is>
      </c>
      <c r="C44" s="38" t="inlineStr">
        <is>
          <t>341.0 MW domestic gas cogeneration and district heating (Bursa, Luleburgaz)</t>
        </is>
      </c>
    </row>
    <row r="45">
      <c r="B45" s="9" t="inlineStr">
        <is>
          <t>International Power Assets</t>
        </is>
      </c>
      <c r="C45" s="38" t="inlineStr">
        <is>
          <t>290.4 MW total international holdings: 56.4 MW Jhimpir Wind (Pakistan, sovereign USD PPA) + 25.0% equity interest in 840 MW Dorad Energy (Israel, 210 MW net share)</t>
        </is>
      </c>
    </row>
    <row r="46"/>
    <row r="47">
      <c r="B47" s="3" t="inlineStr">
        <is>
          <t>VII. YEKDEM FEED IN TARIFF MECHANICS</t>
        </is>
      </c>
    </row>
    <row r="48">
      <c r="B48" s="5" t="inlineStr">
        <is>
          <t>Operational Asset / Disclosure Dimension</t>
        </is>
      </c>
      <c r="C48" s="5" t="inlineStr">
        <is>
          <t>Conference Call &amp; Investor Deck Detail</t>
        </is>
      </c>
    </row>
    <row r="49">
      <c r="B49" s="9" t="inlineStr">
        <is>
          <t>Geothermal Dollar Tariff</t>
        </is>
      </c>
      <c r="C49" s="38" t="inlineStr">
        <is>
          <t>$105.0/MWh base feed-in tariff + up to $27.0/MWh domestic equipment component bonus = $132.0/MWh guaranteed in US Dollars</t>
        </is>
      </c>
    </row>
    <row r="50">
      <c r="B50" s="9" t="inlineStr">
        <is>
          <t>Wind Dollar Tariff</t>
        </is>
      </c>
      <c r="C50" s="38" t="inlineStr">
        <is>
          <t>$73.0/MWh base tariff + up to $21.0/MWh local blade/tower manufacturing bonus = $94.0/MWh guaranteed in US Dollars</t>
        </is>
      </c>
    </row>
    <row r="51">
      <c r="B51" s="9" t="inlineStr">
        <is>
          <t>Dollar Natural Hedge Ratio</t>
        </is>
      </c>
      <c r="C51" s="38" t="inlineStr">
        <is>
          <t>68.5% of total power generation cash EBITDA is received in hard currency US Dollars via YEKDEM settlement, fully covering annual USD debt service on project loans and Eurobonds</t>
        </is>
      </c>
    </row>
    <row r="52">
      <c r="B52" s="9" t="inlineStr">
        <is>
          <t>Yekdem Contract Expiry Schedule</t>
        </is>
      </c>
      <c r="C52" s="38" t="inlineStr">
        <is>
          <t>Kizildere II active through 2026; Alasehir active through 2026; Kizildere III Unit 1 through 2028; Kizildere III Unit 2 through 2029; Gokcedag Wind through 2025 (transitioning to merchant/bilateral contracts)</t>
        </is>
      </c>
    </row>
    <row r="53"/>
    <row r="54">
      <c r="B54" s="3" t="inlineStr">
        <is>
          <t>VIII. DISTRIBUTION AND RETAIL OEDAS</t>
        </is>
      </c>
    </row>
    <row r="55">
      <c r="B55" s="5" t="inlineStr">
        <is>
          <t>Operational Asset / Disclosure Dimension</t>
        </is>
      </c>
      <c r="C55" s="5" t="inlineStr">
        <is>
          <t>Conference Call &amp; Investor Deck Detail</t>
        </is>
      </c>
    </row>
    <row r="56">
      <c r="B56" s="9" t="inlineStr">
        <is>
          <t>Concession Area</t>
        </is>
      </c>
      <c r="C56" s="38" t="inlineStr">
        <is>
          <t>Osmangazi electricity distribution region covering 5 provinces: Afyonkarahisar, Bilecik, Eskisehir, Kutahya, Usak</t>
        </is>
      </c>
    </row>
    <row r="57">
      <c r="B57" s="9" t="inlineStr">
        <is>
          <t>Customer Reach</t>
        </is>
      </c>
      <c r="C57" s="38" t="inlineStr">
        <is>
          <t>1.95 million registered meters serving a regional population of ~2.9 million</t>
        </is>
      </c>
    </row>
    <row r="58">
      <c r="B58" s="9" t="inlineStr">
        <is>
          <t>Annual Volume Distributed</t>
        </is>
      </c>
      <c r="C58" s="38" t="inlineStr">
        <is>
          <t>8,650 GWh distributed electricity volume (+3.8% organic growth in 2024)</t>
        </is>
      </c>
    </row>
    <row r="59">
      <c r="B59" s="9" t="inlineStr">
        <is>
          <t>Regulated Asset Base Rab</t>
        </is>
      </c>
      <c r="C59" s="38" t="inlineStr">
        <is>
          <t>$650.0M equivalent (TRY 22.5B), earning a real pre-tax allowed return on equity (WACC) set by EMRA (12.3% real return)</t>
        </is>
      </c>
    </row>
    <row r="60">
      <c r="B60" s="9" t="inlineStr">
        <is>
          <t>Inflation Protection</t>
        </is>
      </c>
      <c r="C60" s="38" t="inlineStr">
        <is>
          <t>Distribution tariffs and opex/capex allowances are adjusted monthly for Turkish CPI/PPI, shielding real operating margin against currency depreciation</t>
        </is>
      </c>
    </row>
    <row r="62">
      <c r="B62" s="3" t="inlineStr">
        <is>
          <t>IX. ZES ELECTRIC VEHICLE CHARGING NETWORK</t>
        </is>
      </c>
    </row>
    <row r="63">
      <c r="B63" s="5" t="inlineStr">
        <is>
          <t>Operational Asset / Disclosure Dimension</t>
        </is>
      </c>
      <c r="C63" s="5" t="inlineStr">
        <is>
          <t>Conference Call &amp; Investor Deck Detail</t>
        </is>
      </c>
    </row>
    <row r="64">
      <c r="B64" s="9" t="inlineStr">
        <is>
          <t>Active Charging Sockets</t>
        </is>
      </c>
      <c r="C64" s="38" t="inlineStr">
        <is>
          <t>1,850+ public AC/DC fast-charging sockets operating across all 81 provinces of Turkey</t>
        </is>
      </c>
    </row>
    <row r="65">
      <c r="B65" s="9" t="inlineStr">
        <is>
          <t>Market Share</t>
        </is>
      </c>
      <c r="C65" s="38" t="inlineStr">
        <is>
          <t>~35% - 38% market share in public DC fast charging, maintaining clear #1 market leadership in Turkey</t>
        </is>
      </c>
    </row>
    <row r="66">
      <c r="B66" s="9" t="inlineStr">
        <is>
          <t>European Expansion Electrip</t>
        </is>
      </c>
      <c r="C66" s="38" t="inlineStr">
        <is>
          <t>International EV charging rollout under the Electrip brand with active high-power hubs launched in Italy, France, Poland, Bulgaria, and Greece</t>
        </is>
      </c>
    </row>
    <row r="67">
      <c r="B67" s="9" t="inlineStr">
        <is>
          <t>Charging Volume Growth</t>
        </is>
      </c>
      <c r="C67" s="38" t="inlineStr">
        <is>
          <t>+78.0% YoY increase in electricity delivered via charging network (transitioning into high-margin recurring cash flow stream)</t>
        </is>
      </c>
    </row>
  </sheetData>
  <mergeCells count="48">
    <mergeCell ref="C36:I36"/>
    <mergeCell ref="C23:I23"/>
    <mergeCell ref="C52:I52"/>
    <mergeCell ref="F9:I9"/>
    <mergeCell ref="C17:I17"/>
    <mergeCell ref="C48:I48"/>
    <mergeCell ref="C39:I39"/>
    <mergeCell ref="B3:I3"/>
    <mergeCell ref="C67:I67"/>
    <mergeCell ref="C57:I57"/>
    <mergeCell ref="C37:I37"/>
    <mergeCell ref="C28:I28"/>
    <mergeCell ref="C66:I66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F10:I10"/>
    <mergeCell ref="C58:I58"/>
    <mergeCell ref="C14:I14"/>
    <mergeCell ref="C45:I45"/>
    <mergeCell ref="F7:I7"/>
    <mergeCell ref="C64:I64"/>
    <mergeCell ref="C35:I35"/>
    <mergeCell ref="C29:I29"/>
    <mergeCell ref="C16:I16"/>
    <mergeCell ref="C25:I25"/>
    <mergeCell ref="C63:I63"/>
    <mergeCell ref="C41:I41"/>
    <mergeCell ref="C65:I65"/>
    <mergeCell ref="C55:I55"/>
    <mergeCell ref="C50:I50"/>
    <mergeCell ref="C31:I31"/>
    <mergeCell ref="C44:I44"/>
    <mergeCell ref="C22:I22"/>
    <mergeCell ref="C40:I40"/>
    <mergeCell ref="F8:I8"/>
    <mergeCell ref="C56:I56"/>
    <mergeCell ref="C21:I21"/>
    <mergeCell ref="C59:I59"/>
    <mergeCell ref="C43:I43"/>
    <mergeCell ref="C60:I60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2026-09-19T22:01:34Z</dcterms:created>
  <dcterms:modified xmlns:dcterms="http://purl.org/dc/terms/" xmlns:xsi="http://www.w3.org/2001/XMLSchema-instance" xsi:type="dcterms:W3CDTF">2026-09-19T22:01:34Z</dcterms:modified>
</cp:coreProperties>
</file>