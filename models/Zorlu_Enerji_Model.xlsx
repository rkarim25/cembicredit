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Zorlu Enerji (ZOREN) — Institutional Credit Model</t>
        </is>
      </c>
    </row>
    <row r="3">
      <c r="B3" s="2" t="inlineStr">
        <is>
          <t>Sector: Utilities | Country: Turkey | Rating: B- / CCC+ | Benchmark: ZOREN 9.00% 2026 @ $94.50 (11.20% YTM / +680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High geothermal/hydro cash margins; AlJomaih asset divestment and deleveraging underway.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ZOREN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802.08</v>
      </c>
      <c r="F26" s="7" t="inlineStr">
        <is>
          <t>11.20%</t>
        </is>
      </c>
      <c r="G26" s="7" t="inlineStr">
        <is>
          <t>$94.50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ZOREN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534.72</v>
      </c>
      <c r="F27" s="7" t="inlineStr">
        <is>
          <t>10.45%</t>
        </is>
      </c>
      <c r="G27" s="7" t="inlineStr">
        <is>
          <t>$97.00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445.6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Zorlu Enerji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554.9</v>
      </c>
      <c r="D15" s="8" t="n">
        <v>669.1</v>
      </c>
      <c r="E15" s="8" t="n">
        <v>750.7</v>
      </c>
      <c r="F15" s="8" t="n">
        <v>816</v>
      </c>
      <c r="G15" s="8" t="n">
        <v>881.3</v>
      </c>
      <c r="H15" s="8" t="n">
        <v>938.4</v>
      </c>
      <c r="I15" s="8" t="n">
        <v>979.2</v>
      </c>
    </row>
    <row r="16">
      <c r="B16" s="7" t="inlineStr">
        <is>
          <t>Regulated Power Distribution &amp; Grid</t>
        </is>
      </c>
      <c r="C16" s="8" t="n">
        <v>179.5</v>
      </c>
      <c r="D16" s="8" t="n">
        <v>216.5</v>
      </c>
      <c r="E16" s="8" t="n">
        <v>242.9</v>
      </c>
      <c r="F16" s="8" t="n">
        <v>264</v>
      </c>
      <c r="G16" s="8" t="n">
        <v>285.1</v>
      </c>
      <c r="H16" s="8" t="n">
        <v>303.6</v>
      </c>
      <c r="I16" s="8" t="n">
        <v>316.8</v>
      </c>
    </row>
    <row r="17">
      <c r="B17" s="7" t="inlineStr">
        <is>
          <t>Merchant &amp; Capacity Balancing Services</t>
        </is>
      </c>
      <c r="C17" s="8" t="n">
        <v>81.59999999999999</v>
      </c>
      <c r="D17" s="8" t="n">
        <v>98.40000000000001</v>
      </c>
      <c r="E17" s="8" t="n">
        <v>110.4</v>
      </c>
      <c r="F17" s="8" t="n">
        <v>120</v>
      </c>
      <c r="G17" s="8" t="n">
        <v>129.6</v>
      </c>
      <c r="H17" s="8" t="n">
        <v>138</v>
      </c>
      <c r="I17" s="8" t="n">
        <v>144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Zorlu Enerji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Zorlu Enerji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1224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285.6</v>
      </c>
      <c r="D36" s="8" t="n">
        <v>285.6</v>
      </c>
      <c r="E36" s="8" t="n">
        <v>285.6</v>
      </c>
      <c r="F36" s="8" t="n">
        <v>285.6</v>
      </c>
      <c r="G36" s="8" t="n">
        <v>285.6</v>
      </c>
      <c r="H36" s="8" t="n">
        <v>285.6</v>
      </c>
      <c r="I36" s="8" t="n">
        <v>285.6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Zorlu Enerji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-78.40000000000001</v>
      </c>
      <c r="D16" s="8" t="n">
        <v>-95.2</v>
      </c>
      <c r="E16" s="8" t="n">
        <v>-106.4</v>
      </c>
      <c r="F16" s="8" t="n">
        <v>-112</v>
      </c>
      <c r="G16" s="8" t="n">
        <v>-117.6</v>
      </c>
      <c r="H16" s="8" t="n">
        <v>-114.2</v>
      </c>
      <c r="I16" s="8" t="n">
        <v>-109.8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132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Zorlu Enerji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ZOREN Benchmark Eurobond Notes</t>
        </is>
      </c>
    </row>
    <row r="7">
      <c r="B7" s="7" t="inlineStr">
        <is>
          <t xml:space="preserve">  Beginning Principal Balance</t>
        </is>
      </c>
      <c r="C7" s="8" t="n">
        <v>681.8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227.2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151.5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0.1120</f>
        <v/>
      </c>
      <c r="D11" s="8">
        <f>D10 * 0.1120</f>
        <v/>
      </c>
      <c r="E11" s="8">
        <f>E10 * 0.1120</f>
        <v/>
      </c>
      <c r="F11" s="8">
        <f>F10 * 0.1120</f>
        <v/>
      </c>
      <c r="G11" s="8">
        <f>G10 * 0.1120</f>
        <v/>
      </c>
      <c r="H11" s="8">
        <f>H10 * 0.1120</f>
        <v/>
      </c>
      <c r="I11" s="8">
        <f>I10 * 0.1120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833.3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213.9</v>
      </c>
      <c r="C32" s="8" t="n">
        <v>392.1</v>
      </c>
      <c r="D32" s="8" t="n">
        <v>499.1</v>
      </c>
      <c r="E32" s="8" t="n">
        <v>320.8</v>
      </c>
      <c r="F32" s="8" t="n">
        <v>213.9</v>
      </c>
      <c r="G32" s="8" t="n">
        <v>142.6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ZOREN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802.1</v>
      </c>
      <c r="F37" s="27" t="inlineStr">
        <is>
          <t>11.200%</t>
        </is>
      </c>
      <c r="G37" s="28" t="n">
        <v>94.5</v>
      </c>
      <c r="H37" s="29" t="n">
        <v>11.2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ZOREN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534.7</v>
      </c>
      <c r="F38" s="27" t="inlineStr">
        <is>
          <t>10.550%</t>
        </is>
      </c>
      <c r="G38" s="28" t="n">
        <v>96.5</v>
      </c>
      <c r="H38" s="29" t="n">
        <v>10.55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267.4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178.2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ZOREN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499.1</v>
      </c>
    </row>
    <row r="45">
      <c r="B45" s="7" t="inlineStr">
        <is>
          <t>Drawn Amount ($M)</t>
        </is>
      </c>
      <c r="C45" s="8" t="n">
        <v>178.2</v>
      </c>
    </row>
    <row r="46">
      <c r="B46" s="19" t="inlineStr">
        <is>
          <t>AVAILABLE UNDRAWN HEADROOM ($M)</t>
        </is>
      </c>
      <c r="C46" s="20" t="n">
        <v>320.9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4.50x</t>
        </is>
      </c>
      <c r="D55" s="30" t="inlineStr">
        <is>
          <t>4.82x</t>
        </is>
      </c>
      <c r="E55" s="31" t="inlineStr">
        <is>
          <t>-0.32x leverage buffer ($-102.4M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2.12x</t>
        </is>
      </c>
      <c r="E56" s="31" t="inlineStr">
        <is>
          <t>+-0.38x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12.4% of Assets</t>
        </is>
      </c>
      <c r="E57" s="31" t="inlineStr">
        <is>
          <t>$264.0M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Zorlu Enerji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Zorlu Enerji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11.20%</t>
        </is>
      </c>
      <c r="F6" s="33" t="inlineStr">
        <is>
          <t>4.2x</t>
        </is>
      </c>
      <c r="G6" s="33" t="inlineStr">
        <is>
          <t>$95.00</t>
        </is>
      </c>
      <c r="H6" s="33" t="inlineStr">
        <is>
          <t>+0.5%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13.20%</t>
        </is>
      </c>
      <c r="F7" s="27" t="inlineStr">
        <is>
          <t>3.2x</t>
        </is>
      </c>
      <c r="G7" s="27" t="inlineStr">
        <is>
          <t>$76.50</t>
        </is>
      </c>
      <c r="H7" s="27" t="inlineStr">
        <is>
          <t>-19.0%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$58.00</t>
        </is>
      </c>
      <c r="H8" s="27" t="inlineStr">
        <is>
          <t>-38.6%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9.70%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+11.1%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445.6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ZOREN Senior Unsecured Eurobonds</t>
        </is>
      </c>
      <c r="C15" s="8" t="n">
        <v>1336.8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58.0%</t>
        </is>
      </c>
      <c r="G15" s="27" t="inlineStr">
        <is>
          <t>95.0%</t>
        </is>
      </c>
    </row>
    <row r="16">
      <c r="B16" s="7" t="inlineStr">
        <is>
          <t>Subordinated Debt &amp; Intercompany Notes</t>
        </is>
      </c>
      <c r="C16" s="8" t="n">
        <v>267.4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713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Zorlu Enerji (ZOREN) — Earnings Presentation &amp; Management Guidance</t>
        </is>
      </c>
    </row>
    <row r="3">
      <c r="B3" s="2" t="inlineStr">
        <is>
          <t>Source: Zorlu Enerji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$1296.0M (+8.0% YoY growth)</t>
        </is>
      </c>
      <c r="D7" s="34" t="inlineStr">
        <is>
          <t>$1278.0M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$352.0M (27.2% margin)</t>
        </is>
      </c>
      <c r="D8" s="34" t="inlineStr">
        <is>
          <t>$345.6M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4" t="inlineStr">
        <is>
          <t>4.82x</t>
        </is>
      </c>
      <c r="E9" s="35" t="inlineStr">
        <is>
          <t>On Track</t>
        </is>
      </c>
      <c r="F9" s="36" t="inlineStr">
        <is>
          <t>Deleveraging on track with -0.32x buffer below covenant limit.</t>
        </is>
      </c>
    </row>
    <row r="10">
      <c r="B10" s="9" t="inlineStr">
        <is>
          <t>2025E Strategic Capex Envelope</t>
        </is>
      </c>
      <c r="C10" s="9" t="inlineStr">
        <is>
          <t>$117.6M (Maximum growth and sustaining envelope)</t>
        </is>
      </c>
      <c r="D10" s="34" t="inlineStr">
        <is>
          <t>$108.2M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6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6" t="inlineStr">
        <is>
          <t>$392.0M committed equity and project debt capex over 2025-2027</t>
        </is>
      </c>
    </row>
    <row r="17">
      <c r="B17" s="9" t="inlineStr">
        <is>
          <t>Project Financing Structure</t>
        </is>
      </c>
      <c r="C17" s="36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6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6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6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6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6" t="inlineStr">
        <is>
          <t>$21600.0M lifetime contractual revenue commitment</t>
        </is>
      </c>
    </row>
    <row r="29">
      <c r="B29" s="9" t="inlineStr">
        <is>
          <t>Equivalent Availability Factor</t>
        </is>
      </c>
      <c r="C29" s="36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6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6" t="inlineStr">
        <is>
          <t>$240.0M across corporate accounts</t>
        </is>
      </c>
    </row>
    <row r="35">
      <c r="B35" s="9" t="inlineStr">
        <is>
          <t>Undrawn Revolving Credit Facilities</t>
        </is>
      </c>
      <c r="C35" s="36" t="inlineStr">
        <is>
          <t>$713.0M in multi-currency syndicated credit lines</t>
        </is>
      </c>
    </row>
    <row r="36">
      <c r="B36" s="9" t="inlineStr">
        <is>
          <t>Liquidity Runway</t>
        </is>
      </c>
      <c r="C36" s="36" t="inlineStr">
        <is>
          <t>38 months of corporate debt service and equity investment commitments fully secured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2026-09-19T21:11:17Z</dcterms:created>
  <dcterms:modified xmlns:dcterms="http://purl.org/dc/terms/" xmlns:xsi="http://www.w3.org/2001/XMLSchema-instance" xsi:type="dcterms:W3CDTF">2026-09-19T21:11:17Z</dcterms:modified>
</cp:coreProperties>
</file>