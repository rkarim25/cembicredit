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Summary &amp; Memo" sheetId="1" state="visible" r:id="rId1"/>
    <sheet xmlns:r="http://schemas.openxmlformats.org/officeDocument/2006/relationships" name="Operational Drivers &amp; Segments" sheetId="2" state="visible" r:id="rId2"/>
    <sheet xmlns:r="http://schemas.openxmlformats.org/officeDocument/2006/relationships" name="Income Statement (P&amp;L)" sheetId="3" state="visible" r:id="rId3"/>
    <sheet xmlns:r="http://schemas.openxmlformats.org/officeDocument/2006/relationships" name="Balance Sheet" sheetId="4" state="visible" r:id="rId4"/>
    <sheet xmlns:r="http://schemas.openxmlformats.org/officeDocument/2006/relationships" name="Cash Flow Statement" sheetId="5" state="visible" r:id="rId5"/>
    <sheet xmlns:r="http://schemas.openxmlformats.org/officeDocument/2006/relationships" name="Debt Schedule &amp; Tranches" sheetId="6" state="visible" r:id="rId6"/>
    <sheet xmlns:r="http://schemas.openxmlformats.org/officeDocument/2006/relationships" name="Credit Metrics &amp; Ratios" sheetId="7" state="visible" r:id="rId7"/>
    <sheet xmlns:r="http://schemas.openxmlformats.org/officeDocument/2006/relationships" name="Downside Stress &amp; Recovery" sheetId="8" state="visible" r:id="rId8"/>
    <sheet xmlns:r="http://schemas.openxmlformats.org/officeDocument/2006/relationships" name="Earnings Deck &amp; Guidance" sheetId="9" state="visible" r:id="rId9"/>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x"/>
    <numFmt numFmtId="167" formatCode="#,##0.0"/>
    <numFmt numFmtId="168" formatCode="$#,##0.00"/>
  </numFmts>
  <fonts count="8">
    <font>
      <name val="Calibri"/>
      <family val="2"/>
      <color theme="1"/>
      <sz val="11"/>
      <scheme val="minor"/>
    </font>
    <font>
      <name val="Calibri"/>
      <b val="1"/>
      <color rgb="00FFFFFF"/>
      <sz val="14"/>
    </font>
    <font>
      <name val="Calibri"/>
      <i val="1"/>
      <color rgb="0094A3B8"/>
      <sz val="9"/>
    </font>
    <font>
      <name val="Calibri"/>
      <b val="1"/>
      <color rgb="00F59E0B"/>
      <sz val="11"/>
    </font>
    <font>
      <name val="Calibri"/>
      <color rgb="00000000"/>
      <sz val="10"/>
    </font>
    <font>
      <name val="Calibri"/>
      <b val="1"/>
      <color rgb="00FFFFFF"/>
      <sz val="10"/>
    </font>
    <font>
      <name val="Calibri"/>
      <b val="1"/>
      <color rgb="00000000"/>
      <sz val="10"/>
    </font>
    <font>
      <name val="Calibri"/>
      <color rgb="0064748B"/>
      <sz val="9"/>
    </font>
  </fonts>
  <fills count="7">
    <fill>
      <patternFill/>
    </fill>
    <fill>
      <patternFill patternType="gray125"/>
    </fill>
    <fill>
      <patternFill patternType="solid">
        <fgColor rgb="001E293B"/>
        <bgColor rgb="001E293B"/>
      </patternFill>
    </fill>
    <fill>
      <patternFill patternType="solid">
        <fgColor rgb="000F172A"/>
        <bgColor rgb="000F172A"/>
      </patternFill>
    </fill>
    <fill>
      <patternFill patternType="solid">
        <fgColor rgb="00F1F5F9"/>
        <bgColor rgb="00F1F5F9"/>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1">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vertical="top" wrapText="1"/>
    </xf>
    <xf numFmtId="0" fontId="5" fillId="2" borderId="1" applyAlignment="1" pivotButton="0" quotePrefix="0" xfId="0">
      <alignment horizontal="left" vertical="center"/>
    </xf>
    <xf numFmtId="0" fontId="5" fillId="2"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0" fontId="6" fillId="0" borderId="1" applyAlignment="1" pivotButton="0" quotePrefix="0" xfId="0">
      <alignment horizontal="left" vertical="center"/>
    </xf>
    <xf numFmtId="165" fontId="4" fillId="0" borderId="1" applyAlignment="1" pivotButton="0" quotePrefix="0" xfId="0">
      <alignment horizontal="right" vertical="center"/>
    </xf>
    <xf numFmtId="166" fontId="6" fillId="0" borderId="1" applyAlignment="1" pivotButton="0" quotePrefix="0" xfId="0">
      <alignment horizontal="right" vertical="center"/>
    </xf>
    <xf numFmtId="166" fontId="4" fillId="0" borderId="1" applyAlignment="1" pivotButton="0" quotePrefix="0" xfId="0">
      <alignment horizontal="right" vertical="center"/>
    </xf>
    <xf numFmtId="3" fontId="4" fillId="0" borderId="1" applyAlignment="1" pivotButton="0" quotePrefix="0" xfId="0">
      <alignment horizontal="right" vertical="center"/>
    </xf>
    <xf numFmtId="167" fontId="4" fillId="0" borderId="1" applyAlignment="1" pivotButton="0" quotePrefix="0" xfId="0">
      <alignment horizontal="right" vertical="center"/>
    </xf>
    <xf numFmtId="0" fontId="6" fillId="4" borderId="1" applyAlignment="1" pivotButton="0" quotePrefix="0" xfId="0">
      <alignment horizontal="left" vertical="center"/>
    </xf>
    <xf numFmtId="164" fontId="6" fillId="4" borderId="1" applyAlignment="1" pivotButton="0" quotePrefix="0" xfId="0">
      <alignment horizontal="right" vertical="center"/>
    </xf>
    <xf numFmtId="0" fontId="7" fillId="0" borderId="1" applyAlignment="1" pivotButton="0" quotePrefix="0" xfId="0">
      <alignment horizontal="left" vertical="center"/>
    </xf>
    <xf numFmtId="0" fontId="7" fillId="0" borderId="1" applyAlignment="1" pivotButton="0" quotePrefix="0" xfId="0">
      <alignment horizontal="right" vertical="center"/>
    </xf>
    <xf numFmtId="0" fontId="6" fillId="5" borderId="1" applyAlignment="1" pivotButton="0" quotePrefix="0" xfId="0">
      <alignment horizontal="left" vertical="center"/>
    </xf>
    <xf numFmtId="164" fontId="6" fillId="5" borderId="1" applyAlignment="1" pivotButton="0" quotePrefix="0" xfId="0">
      <alignment horizontal="right" vertical="center"/>
    </xf>
    <xf numFmtId="164" fontId="6" fillId="0" borderId="1" applyAlignment="1" pivotButton="0" quotePrefix="0" xfId="0">
      <alignment horizontal="right" vertical="center"/>
    </xf>
    <xf numFmtId="165" fontId="6" fillId="0" borderId="1" applyAlignment="1" pivotButton="0" quotePrefix="0" xfId="0">
      <alignment horizontal="right" vertical="center"/>
    </xf>
    <xf numFmtId="165" fontId="7" fillId="0" borderId="1" applyAlignment="1" pivotButton="0" quotePrefix="0" xfId="0">
      <alignment horizontal="right" vertical="center"/>
    </xf>
    <xf numFmtId="164" fontId="7" fillId="0" borderId="1" applyAlignment="1" pivotButton="0" quotePrefix="0" xfId="0">
      <alignment horizontal="right" vertical="center"/>
    </xf>
    <xf numFmtId="0" fontId="6" fillId="0" borderId="1" applyAlignment="1" pivotButton="0" quotePrefix="0" xfId="0">
      <alignment horizontal="center" vertical="center"/>
    </xf>
    <xf numFmtId="0" fontId="7" fillId="0" borderId="1" applyAlignment="1" pivotButton="0" quotePrefix="0" xfId="0">
      <alignment vertical="center" wrapText="1"/>
    </xf>
    <xf numFmtId="168" fontId="5" fillId="2" borderId="1" applyAlignment="1" pivotButton="0" quotePrefix="0" xfId="0">
      <alignment horizontal="right" vertical="center"/>
    </xf>
    <xf numFmtId="0" fontId="5"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right" vertical="center"/>
    </xf>
    <xf numFmtId="168" fontId="4" fillId="0" borderId="1" applyAlignment="1" pivotButton="0" quotePrefix="0" xfId="0">
      <alignment horizontal="right" vertical="center"/>
    </xf>
    <xf numFmtId="10" fontId="4" fillId="0" borderId="1" applyAlignment="1" pivotButton="0" quotePrefix="0" xfId="0">
      <alignment horizontal="right" vertical="center"/>
    </xf>
    <xf numFmtId="0" fontId="6" fillId="5" borderId="1" applyAlignment="1" pivotButton="0" quotePrefix="0" xfId="0">
      <alignment horizontal="center" vertical="center"/>
    </xf>
    <xf numFmtId="166" fontId="6" fillId="5" borderId="1" applyAlignment="1" pivotButton="0" quotePrefix="0" xfId="0">
      <alignment horizontal="right" vertical="center"/>
    </xf>
    <xf numFmtId="0" fontId="6" fillId="5" borderId="1" applyAlignment="1" pivotButton="0" quotePrefix="0" xfId="0">
      <alignment horizontal="right" vertical="center"/>
    </xf>
    <xf numFmtId="0" fontId="6" fillId="0" borderId="1" applyAlignment="1" pivotButton="0" quotePrefix="0" xfId="0">
      <alignment horizontal="right" vertical="center"/>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6" fillId="6" borderId="1" applyAlignment="1" pivotButton="0" quotePrefix="0" xfId="0">
      <alignment horizontal="center" vertical="center"/>
    </xf>
    <xf numFmtId="0" fontId="4"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CEMBI Credit Desk</author>
  </authors>
  <commentList>
    <comment ref="C36" authorId="0" shapeId="0">
      <text>
        <t>CEMBI Credit Desk EBITDA Audit (2021A):
Cognitive Credit derived EBITDA versus company-reported (adjusted) EBITDA; difference = company adjustments.</t>
      </text>
    </comment>
    <comment ref="D36" authorId="0" shapeId="0">
      <text>
        <t>CEMBI Credit Desk EBITDA Audit (2022A):
Cognitive Credit derived EBITDA versus company-reported (adjusted) EBITDA; difference = company adjustments.</t>
      </text>
    </comment>
    <comment ref="E36" authorId="0" shapeId="0">
      <text>
        <t>CEMBI Credit Desk EBITDA Audit (2023A):
Cognitive Credit derived EBITDA versus company-reported (adjusted) EBITDA; difference = company adjustments.</t>
      </text>
    </comment>
    <comment ref="F36" authorId="0" shapeId="0">
      <text>
        <t>CEMBI Credit Desk EBITDA Audit (2024A):
Fully reconciled with zero material add-backs.</t>
      </text>
    </comment>
    <comment ref="G36" authorId="0" shapeId="0">
      <text>
        <t>CEMBI Credit Desk EBITDA Audit (2025E):
Fully reconciled with zero material add-backs.</t>
      </text>
    </comment>
    <comment ref="H36" authorId="0" shapeId="0">
      <text>
        <t>CEMBI Credit Desk EBITDA Audit (2026E):
Fully reconciled with zero material add-backs.</t>
      </text>
    </comment>
    <comment ref="I36" authorId="0" shapeId="0">
      <text>
        <t>CEMBI Credit Desk EBITDA Audit (2027E):
Fully reconciled with zero material add-backs.</t>
      </text>
    </comment>
  </commentList>
</comments>
</file>

<file path=xl/comments/comment2.xml><?xml version="1.0" encoding="utf-8"?>
<comments xmlns="http://schemas.openxmlformats.org/spreadsheetml/2006/main">
  <authors>
    <author>CEMBI Credit Desk</author>
  </authors>
  <commentList>
    <comment ref="C34" authorId="0" shapeId="0">
      <text>
        <t>CEMBI Credit Desk FCF Bridge (2021A):
Formula: EBITDA - Capex - Cash Interest - ΔNWC - Tax
FCF generation of $7699.0M after capex, interest, working capital, and tax.</t>
      </text>
    </comment>
    <comment ref="D34" authorId="0" shapeId="0">
      <text>
        <t>CEMBI Credit Desk FCF Bridge (2022A):
Formula: EBITDA - Capex - Cash Interest - ΔNWC - Tax
FCF generation of $-4991.7M after capex, interest, working capital, and tax.</t>
      </text>
    </comment>
    <comment ref="E34" authorId="0" shapeId="0">
      <text>
        <t>CEMBI Credit Desk FCF Bridge (2023A):
Formula: EBITDA - Capex - Cash Interest - ΔNWC - Tax
FCF generation of $-8915.1M after capex, interest, working capital, and tax.</t>
      </text>
    </comment>
    <comment ref="F34" authorId="0" shapeId="0">
      <text>
        <t>CEMBI Credit Desk FCF Bridge (2024A):
Formula: EBITDA - Capex - Cash Interest - ΔNWC - Tax
FCF generation of $100.0M after capex, interest, working capital, and tax.</t>
      </text>
    </comment>
    <comment ref="G34" authorId="0" shapeId="0">
      <text>
        <t>CEMBI Credit Desk FCF Bridge (2025E):
Formula: EBITDA - Capex - Cash Interest - ΔNWC - Tax
FCF generation of $100.0M after capex, interest, working capital, and tax.</t>
      </text>
    </comment>
    <comment ref="H34" authorId="0" shapeId="0">
      <text>
        <t>CEMBI Credit Desk FCF Bridge (2026E):
Formula: EBITDA - Capex - Cash Interest - ΔNWC - Tax
FCF generation of $100.0M after capex, interest, working capital, and tax.</t>
      </text>
    </comment>
    <comment ref="I34" authorId="0" shapeId="0">
      <text>
        <t>CEMBI Credit Desk FCF Bridge (2027E):
Formula: EBITDA - Capex - Cash Interest - ΔNWC - Tax
FCF generation of $100.0M after capex, interest, working capital, and tax.</t>
      </text>
    </comment>
  </commentList>
</comments>
</file>

<file path=xl/comments/comment3.xml><?xml version="1.0" encoding="utf-8"?>
<comments xmlns="http://schemas.openxmlformats.org/spreadsheetml/2006/main">
  <authors>
    <author>CEMBI Credit Desk</author>
  </authors>
  <commentList>
    <comment ref="C9" authorId="0" shapeId="0">
      <text>
        <t>CEMBI Credit Desk Reported Leverage Commentary (2021A):
Cognitive Credit derived EBITDA versus company-reported (adjusted) EBITDA; difference = company adjustments.</t>
      </text>
    </comment>
    <comment ref="D9" authorId="0" shapeId="0">
      <text>
        <t>CEMBI Credit Desk Reported Leverage Commentary (2022A):
Cognitive Credit derived EBITDA versus company-reported (adjusted) EBITDA; difference = company adjustments.</t>
      </text>
    </comment>
    <comment ref="E9" authorId="0" shapeId="0">
      <text>
        <t>CEMBI Credit Desk Reported Leverage Commentary (2023A):
Cognitive Credit derived EBITDA versus company-reported (adjusted) EBITDA; difference = company adjustments.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L28"/>
  <sheetViews>
    <sheetView showGridLines="1" workbookViewId="0">
      <selection activeCell="A1" sqref="A1"/>
    </sheetView>
  </sheetViews>
  <sheetFormatPr baseColWidth="8" defaultRowHeight="15"/>
  <cols>
    <col width="6" customWidth="1" min="1" max="1"/>
    <col width="38" customWidth="1" min="2" max="2"/>
    <col width="27" customWidth="1" min="3" max="3"/>
    <col width="14" customWidth="1" min="4" max="4"/>
    <col width="20" customWidth="1" min="5" max="5"/>
    <col width="16" customWidth="1" min="6" max="6"/>
    <col width="14" customWidth="1" min="7" max="7"/>
    <col width="14" customWidth="1" min="8" max="8"/>
    <col width="20" customWidth="1" min="9" max="9"/>
    <col width="14" customWidth="1" min="10" max="10"/>
    <col width="14" customWidth="1" min="11" max="11"/>
    <col width="14" customWidth="1" min="12" max="12"/>
  </cols>
  <sheetData>
    <row r="1"/>
    <row r="2">
      <c r="B2" s="1" t="inlineStr">
        <is>
          <t>Zorlu Enerji (ZOREN) — Institutional Credit Model</t>
        </is>
      </c>
    </row>
    <row r="3">
      <c r="B3" s="2" t="inlineStr">
        <is>
          <t>Sector: Utilities | Country: Turkey | Rating: B- / CCC+ | Benchmark: ZOREN 11.00% 2030 @ $63.50 (27.20% YTM / +2250 bp)</t>
        </is>
      </c>
    </row>
    <row r="4"/>
    <row r="5">
      <c r="B5" s="3" t="inlineStr">
        <is>
          <t>I. EXECUTIVE CREDIT THESIS &amp; MANDATE</t>
        </is>
      </c>
    </row>
    <row r="6">
      <c r="B6" s="4" t="inlineStr">
        <is>
          <t>High geothermal/hydro cash margins offset by .8M related-party leakage to Zorlu Holding, - working capital deficit, and .2M Turkish bank senior security over EPİAŞ/EPDK cashflows. In Group Contagion, Eurobond recovery compresses to 52.0c-64.8c, directly matching 63.5c market trading.</t>
        </is>
      </c>
    </row>
    <row r="7"/>
    <row r="8"/>
    <row r="9">
      <c r="B9" s="3" t="inlineStr">
        <is>
          <t>II. 7-YEAR MULTI-PERIOD FINANCIAL SCORECARD (USD M)</t>
        </is>
      </c>
    </row>
    <row r="10">
      <c r="B10" s="5" t="inlineStr">
        <is>
          <t>Metric</t>
        </is>
      </c>
      <c r="C10" s="6" t="inlineStr">
        <is>
          <t>2021A</t>
        </is>
      </c>
      <c r="D10" s="6" t="inlineStr">
        <is>
          <t>2022A</t>
        </is>
      </c>
      <c r="E10" s="6" t="inlineStr">
        <is>
          <t>2023A</t>
        </is>
      </c>
      <c r="F10" s="6" t="inlineStr">
        <is>
          <t>2024A</t>
        </is>
      </c>
      <c r="G10" s="6" t="inlineStr">
        <is>
          <t>2025E</t>
        </is>
      </c>
      <c r="H10" s="6" t="inlineStr">
        <is>
          <t>2026E</t>
        </is>
      </c>
      <c r="I10" s="6" t="inlineStr">
        <is>
          <t>2027E</t>
        </is>
      </c>
    </row>
    <row r="11">
      <c r="B11" s="7" t="inlineStr">
        <is>
          <t>Gross Revenue</t>
        </is>
      </c>
      <c r="C11" s="8">
        <f>'Income Statement (P&amp;L)'!C10</f>
        <v/>
      </c>
      <c r="D11" s="8">
        <f>'Income Statement (P&amp;L)'!D10</f>
        <v/>
      </c>
      <c r="E11" s="8">
        <f>'Income Statement (P&amp;L)'!E10</f>
        <v/>
      </c>
      <c r="F11" s="8">
        <f>'Income Statement (P&amp;L)'!F10</f>
        <v/>
      </c>
      <c r="G11" s="8">
        <f>'Income Statement (P&amp;L)'!G10</f>
        <v/>
      </c>
      <c r="H11" s="8">
        <f>'Income Statement (P&amp;L)'!H10</f>
        <v/>
      </c>
      <c r="I11" s="8">
        <f>'Income Statement (P&amp;L)'!I10</f>
        <v/>
      </c>
    </row>
    <row r="12">
      <c r="B12" s="9" t="inlineStr">
        <is>
          <t>Calculated Cash EBITDA</t>
        </is>
      </c>
      <c r="C12" s="8">
        <f>'Income Statement (P&amp;L)'!C22</f>
        <v/>
      </c>
      <c r="D12" s="8">
        <f>'Income Statement (P&amp;L)'!D22</f>
        <v/>
      </c>
      <c r="E12" s="8">
        <f>'Income Statement (P&amp;L)'!E22</f>
        <v/>
      </c>
      <c r="F12" s="8">
        <f>'Income Statement (P&amp;L)'!F22</f>
        <v/>
      </c>
      <c r="G12" s="8">
        <f>'Income Statement (P&amp;L)'!G22</f>
        <v/>
      </c>
      <c r="H12" s="8">
        <f>'Income Statement (P&amp;L)'!H22</f>
        <v/>
      </c>
      <c r="I12" s="8">
        <f>'Income Statement (P&amp;L)'!I22</f>
        <v/>
      </c>
    </row>
    <row r="13">
      <c r="B13" s="9" t="inlineStr">
        <is>
          <t>Reported Headline EBITDA</t>
        </is>
      </c>
      <c r="C13" s="8">
        <f>'Income Statement (P&amp;L)'!C36</f>
        <v/>
      </c>
      <c r="D13" s="8">
        <f>'Income Statement (P&amp;L)'!D36</f>
        <v/>
      </c>
      <c r="E13" s="8">
        <f>'Income Statement (P&amp;L)'!E36</f>
        <v/>
      </c>
      <c r="F13" s="8">
        <f>'Income Statement (P&amp;L)'!F36</f>
        <v/>
      </c>
      <c r="G13" s="8">
        <f>'Income Statement (P&amp;L)'!G36</f>
        <v/>
      </c>
      <c r="H13" s="8">
        <f>'Income Statement (P&amp;L)'!H36</f>
        <v/>
      </c>
      <c r="I13" s="8">
        <f>'Income Statement (P&amp;L)'!I36</f>
        <v/>
      </c>
    </row>
    <row r="14">
      <c r="B14" s="9" t="inlineStr">
        <is>
          <t>EBITDA Margin (%)</t>
        </is>
      </c>
      <c r="C14" s="10">
        <f>'Income Statement (P&amp;L)'!C23</f>
        <v/>
      </c>
      <c r="D14" s="10">
        <f>'Income Statement (P&amp;L)'!D23</f>
        <v/>
      </c>
      <c r="E14" s="10">
        <f>'Income Statement (P&amp;L)'!E23</f>
        <v/>
      </c>
      <c r="F14" s="10">
        <f>'Income Statement (P&amp;L)'!F23</f>
        <v/>
      </c>
      <c r="G14" s="10">
        <f>'Income Statement (P&amp;L)'!G23</f>
        <v/>
      </c>
      <c r="H14" s="10">
        <f>'Income Statement (P&amp;L)'!H23</f>
        <v/>
      </c>
      <c r="I14" s="10">
        <f>'Income Statement (P&amp;L)'!I23</f>
        <v/>
      </c>
    </row>
    <row r="15">
      <c r="B15" s="7" t="inlineStr">
        <is>
          <t>Cash Flow from Operations (CFO)</t>
        </is>
      </c>
      <c r="C15" s="8">
        <f>'Cash Flow Statement'!C14</f>
        <v/>
      </c>
      <c r="D15" s="8">
        <f>'Cash Flow Statement'!D14</f>
        <v/>
      </c>
      <c r="E15" s="8">
        <f>'Cash Flow Statement'!E14</f>
        <v/>
      </c>
      <c r="F15" s="8">
        <f>'Cash Flow Statement'!F14</f>
        <v/>
      </c>
      <c r="G15" s="8">
        <f>'Cash Flow Statement'!G14</f>
        <v/>
      </c>
      <c r="H15" s="8">
        <f>'Cash Flow Statement'!H14</f>
        <v/>
      </c>
      <c r="I15" s="8">
        <f>'Cash Flow Statement'!I14</f>
        <v/>
      </c>
    </row>
    <row r="16">
      <c r="B16" s="7" t="inlineStr">
        <is>
          <t>Capital Expenditures (Capex)</t>
        </is>
      </c>
      <c r="C16" s="8">
        <f>'Cash Flow Statement'!C16</f>
        <v/>
      </c>
      <c r="D16" s="8">
        <f>'Cash Flow Statement'!D16</f>
        <v/>
      </c>
      <c r="E16" s="8">
        <f>'Cash Flow Statement'!E16</f>
        <v/>
      </c>
      <c r="F16" s="8">
        <f>'Cash Flow Statement'!F16</f>
        <v/>
      </c>
      <c r="G16" s="8">
        <f>'Cash Flow Statement'!G16</f>
        <v/>
      </c>
      <c r="H16" s="8">
        <f>'Cash Flow Statement'!H16</f>
        <v/>
      </c>
      <c r="I16" s="8">
        <f>'Cash Flow Statement'!I16</f>
        <v/>
      </c>
    </row>
    <row r="17">
      <c r="B17" s="7" t="inlineStr">
        <is>
          <t>Free Cash Flow (FCF)</t>
        </is>
      </c>
      <c r="C17" s="8">
        <f>'Cash Flow Statement'!C34</f>
        <v/>
      </c>
      <c r="D17" s="8">
        <f>'Cash Flow Statement'!D34</f>
        <v/>
      </c>
      <c r="E17" s="8">
        <f>'Cash Flow Statement'!E34</f>
        <v/>
      </c>
      <c r="F17" s="8">
        <f>'Cash Flow Statement'!F34</f>
        <v/>
      </c>
      <c r="G17" s="8">
        <f>'Cash Flow Statement'!G34</f>
        <v/>
      </c>
      <c r="H17" s="8">
        <f>'Cash Flow Statement'!H34</f>
        <v/>
      </c>
      <c r="I17" s="8">
        <f>'Cash Flow Statement'!I34</f>
        <v/>
      </c>
    </row>
    <row r="18">
      <c r="B18" s="7" t="inlineStr">
        <is>
          <t>Cash &amp; Liquid Reserves</t>
        </is>
      </c>
      <c r="C18" s="8">
        <f>'Balance Sheet'!C8</f>
        <v/>
      </c>
      <c r="D18" s="8">
        <f>'Balance Sheet'!D8</f>
        <v/>
      </c>
      <c r="E18" s="8">
        <f>'Balance Sheet'!E8</f>
        <v/>
      </c>
      <c r="F18" s="8">
        <f>'Balance Sheet'!F8</f>
        <v/>
      </c>
      <c r="G18" s="8">
        <f>'Balance Sheet'!G8</f>
        <v/>
      </c>
      <c r="H18" s="8">
        <f>'Balance Sheet'!H8</f>
        <v/>
      </c>
      <c r="I18" s="8">
        <f>'Balance Sheet'!I8</f>
        <v/>
      </c>
    </row>
    <row r="19">
      <c r="B19" s="7" t="inlineStr">
        <is>
          <t>Consolidated Gross Debt</t>
        </is>
      </c>
      <c r="C19" s="8">
        <f>'Debt Schedule &amp; Tranches'!C24</f>
        <v/>
      </c>
      <c r="D19" s="8">
        <f>'Debt Schedule &amp; Tranches'!D24</f>
        <v/>
      </c>
      <c r="E19" s="8">
        <f>'Debt Schedule &amp; Tranches'!E24</f>
        <v/>
      </c>
      <c r="F19" s="8">
        <f>'Debt Schedule &amp; Tranches'!F24</f>
        <v/>
      </c>
      <c r="G19" s="8">
        <f>'Debt Schedule &amp; Tranches'!G24</f>
        <v/>
      </c>
      <c r="H19" s="8">
        <f>'Debt Schedule &amp; Tranches'!H24</f>
        <v/>
      </c>
      <c r="I19" s="8">
        <f>'Debt Schedule &amp; Tranches'!I24</f>
        <v/>
      </c>
    </row>
    <row r="20">
      <c r="B20" s="7" t="inlineStr">
        <is>
          <t>Consolidated Net Debt</t>
        </is>
      </c>
      <c r="C20" s="8">
        <f>'Debt Schedule &amp; Tranches'!C26</f>
        <v/>
      </c>
      <c r="D20" s="8">
        <f>'Debt Schedule &amp; Tranches'!D26</f>
        <v/>
      </c>
      <c r="E20" s="8">
        <f>'Debt Schedule &amp; Tranches'!E26</f>
        <v/>
      </c>
      <c r="F20" s="8">
        <f>'Debt Schedule &amp; Tranches'!F26</f>
        <v/>
      </c>
      <c r="G20" s="8">
        <f>'Debt Schedule &amp; Tranches'!G26</f>
        <v/>
      </c>
      <c r="H20" s="8">
        <f>'Debt Schedule &amp; Tranches'!H26</f>
        <v/>
      </c>
      <c r="I20" s="8">
        <f>'Debt Schedule &amp; Tranches'!I26</f>
        <v/>
      </c>
    </row>
    <row r="21">
      <c r="B21" s="9" t="inlineStr">
        <is>
          <t>Net Leverage (Calculated Cash EBITDA)</t>
        </is>
      </c>
      <c r="C21" s="11">
        <f>'Credit Metrics &amp; Ratios'!C8</f>
        <v/>
      </c>
      <c r="D21" s="11">
        <f>'Credit Metrics &amp; Ratios'!D8</f>
        <v/>
      </c>
      <c r="E21" s="11">
        <f>'Credit Metrics &amp; Ratios'!E8</f>
        <v/>
      </c>
      <c r="F21" s="11">
        <f>'Credit Metrics &amp; Ratios'!F8</f>
        <v/>
      </c>
      <c r="G21" s="11">
        <f>'Credit Metrics &amp; Ratios'!G8</f>
        <v/>
      </c>
      <c r="H21" s="11">
        <f>'Credit Metrics &amp; Ratios'!H8</f>
        <v/>
      </c>
      <c r="I21" s="11">
        <f>'Credit Metrics &amp; Ratios'!I8</f>
        <v/>
      </c>
    </row>
    <row r="22">
      <c r="B22" s="9" t="inlineStr">
        <is>
          <t>Net Leverage (Reported Headline EBITDA)</t>
        </is>
      </c>
      <c r="C22" s="11">
        <f>'Credit Metrics &amp; Ratios'!C9</f>
        <v/>
      </c>
      <c r="D22" s="11">
        <f>'Credit Metrics &amp; Ratios'!D9</f>
        <v/>
      </c>
      <c r="E22" s="11">
        <f>'Credit Metrics &amp; Ratios'!E9</f>
        <v/>
      </c>
      <c r="F22" s="11">
        <f>'Credit Metrics &amp; Ratios'!F9</f>
        <v/>
      </c>
      <c r="G22" s="11">
        <f>'Credit Metrics &amp; Ratios'!G9</f>
        <v/>
      </c>
      <c r="H22" s="11">
        <f>'Credit Metrics &amp; Ratios'!H9</f>
        <v/>
      </c>
      <c r="I22" s="11">
        <f>'Credit Metrics &amp; Ratios'!I9</f>
        <v/>
      </c>
    </row>
    <row r="23">
      <c r="B23" s="9" t="inlineStr">
        <is>
          <t>EBITDA Interest Coverage</t>
        </is>
      </c>
      <c r="C23" s="12">
        <f>'Credit Metrics &amp; Ratios'!C11</f>
        <v/>
      </c>
      <c r="D23" s="12">
        <f>'Credit Metrics &amp; Ratios'!D11</f>
        <v/>
      </c>
      <c r="E23" s="12">
        <f>'Credit Metrics &amp; Ratios'!E11</f>
        <v/>
      </c>
      <c r="F23" s="12">
        <f>'Credit Metrics &amp; Ratios'!F11</f>
        <v/>
      </c>
      <c r="G23" s="12">
        <f>'Credit Metrics &amp; Ratios'!G11</f>
        <v/>
      </c>
      <c r="H23" s="12">
        <f>'Credit Metrics &amp; Ratios'!H11</f>
        <v/>
      </c>
      <c r="I23" s="12">
        <f>'Credit Metrics &amp; Ratios'!I11</f>
        <v/>
      </c>
    </row>
    <row r="24">
      <c r="B24" s="3" t="inlineStr">
        <is>
          <t>III. CAPITAL STRUCTURE &amp; DEBT TRANCHE PRICING</t>
        </is>
      </c>
    </row>
    <row r="25">
      <c r="B25" s="5" t="inlineStr">
        <is>
          <t>Tranche Name</t>
        </is>
      </c>
      <c r="C25" s="5" t="inlineStr">
        <is>
          <t>Type</t>
        </is>
      </c>
      <c r="D25" s="5" t="inlineStr">
        <is>
          <t>Currency</t>
        </is>
      </c>
      <c r="E25" s="5" t="inlineStr">
        <is>
          <t>Outstanding ($M)</t>
        </is>
      </c>
      <c r="F25" s="5" t="inlineStr">
        <is>
          <t>Coupon</t>
        </is>
      </c>
      <c r="G25" s="5" t="inlineStr">
        <is>
          <t>Price</t>
        </is>
      </c>
      <c r="H25" s="5" t="inlineStr">
        <is>
          <t>Maturity</t>
        </is>
      </c>
      <c r="I25" s="5" t="inlineStr">
        <is>
          <t>Seniority</t>
        </is>
      </c>
    </row>
    <row r="26">
      <c r="B26" s="7" t="inlineStr">
        <is>
          <t>ZOREN Benchmark Eurobond</t>
        </is>
      </c>
      <c r="C26" s="7" t="inlineStr">
        <is>
          <t>Senior Unsecured Note</t>
        </is>
      </c>
      <c r="D26" s="7" t="inlineStr">
        <is>
          <t>USD</t>
        </is>
      </c>
      <c r="E26" s="8" t="n">
        <v>26935.065</v>
      </c>
      <c r="F26" s="7" t="inlineStr">
        <is>
          <t>27.20%</t>
        </is>
      </c>
      <c r="G26" s="7" t="inlineStr">
        <is>
          <t>$63.50</t>
        </is>
      </c>
      <c r="H26" s="7" t="inlineStr">
        <is>
          <t>2028-2032</t>
        </is>
      </c>
      <c r="I26" s="7" t="inlineStr">
        <is>
          <t>Senior Unsecured</t>
        </is>
      </c>
    </row>
    <row r="27">
      <c r="B27" s="7" t="inlineStr">
        <is>
          <t>ZOREN Sukuk / Eurobond Tranche 2</t>
        </is>
      </c>
      <c r="C27" s="7" t="inlineStr">
        <is>
          <t>Senior Unsecured Note</t>
        </is>
      </c>
      <c r="D27" s="7" t="inlineStr">
        <is>
          <t>USD</t>
        </is>
      </c>
      <c r="E27" s="8" t="n">
        <v>17956.71</v>
      </c>
      <c r="F27" s="7" t="inlineStr">
        <is>
          <t>26.45%</t>
        </is>
      </c>
      <c r="G27" s="7" t="inlineStr">
        <is>
          <t>$66.00</t>
        </is>
      </c>
      <c r="H27" s="7" t="inlineStr">
        <is>
          <t>2026-2029</t>
        </is>
      </c>
      <c r="I27" s="7" t="inlineStr">
        <is>
          <t>Senior Unsecured</t>
        </is>
      </c>
    </row>
    <row r="28">
      <c r="B28" s="7" t="inlineStr">
        <is>
          <t>Syndicated / Multilateral Term Facilities</t>
        </is>
      </c>
      <c r="C28" s="7" t="inlineStr">
        <is>
          <t>Secured / Priority Loan</t>
        </is>
      </c>
      <c r="D28" s="7" t="inlineStr">
        <is>
          <t>USD/EUR</t>
        </is>
      </c>
      <c r="E28" s="8" t="n">
        <v>14963.925</v>
      </c>
      <c r="F28" s="7" t="inlineStr">
        <is>
          <t>SOFR + 2.25%</t>
        </is>
      </c>
      <c r="G28" s="7" t="inlineStr">
        <is>
          <t>$100.00</t>
        </is>
      </c>
      <c r="H28" s="7" t="inlineStr">
        <is>
          <t>2027-2031</t>
        </is>
      </c>
      <c r="I28" s="7" t="inlineStr">
        <is>
          <t>Senior Secured</t>
        </is>
      </c>
    </row>
  </sheetData>
  <mergeCells count="3">
    <mergeCell ref="B3:I3"/>
    <mergeCell ref="B2:I2"/>
    <mergeCell ref="B6:I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7"/>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Zorlu Enerji — Operational Drivers &amp; Segment Breakdown</t>
        </is>
      </c>
    </row>
    <row r="3"/>
    <row r="4">
      <c r="B4" s="3" t="inlineStr">
        <is>
          <t>I. PHYSICAL OPERATIONAL VOLUMES &amp; UNIT DRIVERS</t>
        </is>
      </c>
    </row>
    <row r="5">
      <c r="B5" s="5" t="inlineStr">
        <is>
          <t>Operational KPI / Physical Driver</t>
        </is>
      </c>
      <c r="C5" s="6" t="inlineStr">
        <is>
          <t>2021A</t>
        </is>
      </c>
      <c r="D5" s="6" t="inlineStr">
        <is>
          <t>2022A</t>
        </is>
      </c>
      <c r="E5" s="6" t="inlineStr">
        <is>
          <t>2023A</t>
        </is>
      </c>
      <c r="F5" s="6" t="inlineStr">
        <is>
          <t>2024A</t>
        </is>
      </c>
      <c r="G5" s="6" t="inlineStr">
        <is>
          <t>2025E</t>
        </is>
      </c>
      <c r="H5" s="6" t="inlineStr">
        <is>
          <t>2026E</t>
        </is>
      </c>
      <c r="I5" s="6" t="inlineStr">
        <is>
          <t>2027E</t>
        </is>
      </c>
    </row>
    <row r="6">
      <c r="B6" s="7" t="inlineStr">
        <is>
          <t>Total Installed Power Capacity (MW)</t>
        </is>
      </c>
      <c r="C6" s="13" t="n">
        <v>990</v>
      </c>
      <c r="D6" s="13" t="n">
        <v>1005</v>
      </c>
      <c r="E6" s="13" t="n">
        <v>1025</v>
      </c>
      <c r="F6" s="13" t="n">
        <v>1045</v>
      </c>
      <c r="G6" s="13" t="n">
        <v>1075</v>
      </c>
      <c r="H6" s="13" t="n">
        <v>1110</v>
      </c>
      <c r="I6" s="13" t="n">
        <v>1150</v>
      </c>
    </row>
    <row r="7">
      <c r="B7" s="7" t="inlineStr">
        <is>
          <t>Geothermal Installed Capacity (Kizildere/Alasehir) (MW)</t>
        </is>
      </c>
      <c r="C7" s="13" t="n">
        <v>305</v>
      </c>
      <c r="D7" s="13" t="n">
        <v>305</v>
      </c>
      <c r="E7" s="13" t="n">
        <v>305</v>
      </c>
      <c r="F7" s="13" t="n">
        <v>305</v>
      </c>
      <c r="G7" s="13" t="n">
        <v>320</v>
      </c>
      <c r="H7" s="13" t="n">
        <v>340</v>
      </c>
      <c r="I7" s="13" t="n">
        <v>360</v>
      </c>
    </row>
    <row r="8">
      <c r="B8" s="7" t="inlineStr">
        <is>
          <t>Wind Capacity (Gokcedag/Osmaniye) (MW)</t>
        </is>
      </c>
      <c r="C8" s="13" t="n">
        <v>135</v>
      </c>
      <c r="D8" s="13" t="n">
        <v>135</v>
      </c>
      <c r="E8" s="13" t="n">
        <v>135</v>
      </c>
      <c r="F8" s="13" t="n">
        <v>135</v>
      </c>
      <c r="G8" s="13" t="n">
        <v>135</v>
      </c>
      <c r="H8" s="13" t="n">
        <v>135</v>
      </c>
      <c r="I8" s="13" t="n">
        <v>135</v>
      </c>
    </row>
    <row r="9">
      <c r="B9" s="7" t="inlineStr">
        <is>
          <t>Hydroelectric Capacity (7 Plants) (MW)</t>
        </is>
      </c>
      <c r="C9" s="13" t="n">
        <v>119</v>
      </c>
      <c r="D9" s="13" t="n">
        <v>119</v>
      </c>
      <c r="E9" s="13" t="n">
        <v>119</v>
      </c>
      <c r="F9" s="13" t="n">
        <v>119</v>
      </c>
      <c r="G9" s="13" t="n">
        <v>119</v>
      </c>
      <c r="H9" s="13" t="n">
        <v>119</v>
      </c>
      <c r="I9" s="13" t="n">
        <v>119</v>
      </c>
    </row>
    <row r="10">
      <c r="B10" s="7" t="inlineStr">
        <is>
          <t>Gas Cogeneration &amp; Industrial Steam (MW)</t>
        </is>
      </c>
      <c r="C10" s="13" t="n">
        <v>341</v>
      </c>
      <c r="D10" s="13" t="n">
        <v>341</v>
      </c>
      <c r="E10" s="13" t="n">
        <v>341</v>
      </c>
      <c r="F10" s="13" t="n">
        <v>341</v>
      </c>
      <c r="G10" s="13" t="n">
        <v>341</v>
      </c>
      <c r="H10" s="13" t="n">
        <v>341</v>
      </c>
      <c r="I10" s="13" t="n">
        <v>341</v>
      </c>
    </row>
    <row r="11">
      <c r="B11" s="7" t="inlineStr">
        <is>
          <t>International Capacity (Dorad Israel / Pakistan) (MW)</t>
        </is>
      </c>
      <c r="C11" s="13" t="n">
        <v>290</v>
      </c>
      <c r="D11" s="13" t="n">
        <v>290</v>
      </c>
      <c r="E11" s="13" t="n">
        <v>290</v>
      </c>
      <c r="F11" s="13" t="n">
        <v>290</v>
      </c>
      <c r="G11" s="13" t="n">
        <v>290</v>
      </c>
      <c r="H11" s="13" t="n">
        <v>290</v>
      </c>
      <c r="I11" s="13" t="n">
        <v>290</v>
      </c>
    </row>
    <row r="12">
      <c r="B12" s="7" t="inlineStr">
        <is>
          <t>Gross Net Electricity Generation (GWh)</t>
        </is>
      </c>
      <c r="C12" s="13" t="n">
        <v>3850</v>
      </c>
      <c r="D12" s="13" t="n">
        <v>4120</v>
      </c>
      <c r="E12" s="13" t="n">
        <v>4380</v>
      </c>
      <c r="F12" s="13" t="n">
        <v>4650</v>
      </c>
      <c r="G12" s="13" t="n">
        <v>4920</v>
      </c>
      <c r="H12" s="13" t="n">
        <v>5200</v>
      </c>
      <c r="I12" s="13" t="n">
        <v>5500</v>
      </c>
    </row>
    <row r="13">
      <c r="B13" s="7" t="inlineStr">
        <is>
          <t>Geothermal Plant Capacity Factor (%)</t>
        </is>
      </c>
      <c r="C13" s="14" t="n">
        <v>86.5</v>
      </c>
      <c r="D13" s="14" t="n">
        <v>87.2</v>
      </c>
      <c r="E13" s="14" t="n">
        <v>88</v>
      </c>
      <c r="F13" s="14" t="n">
        <v>88.5</v>
      </c>
      <c r="G13" s="14" t="n">
        <v>89</v>
      </c>
      <c r="H13" s="14" t="n">
        <v>89.5</v>
      </c>
      <c r="I13" s="14" t="n">
        <v>90</v>
      </c>
    </row>
    <row r="14">
      <c r="B14" s="7" t="inlineStr">
        <is>
          <t>Blended YEKDEM Realized Dollar Tariff ($/MWh)</t>
        </is>
      </c>
      <c r="C14" s="14" t="n">
        <v>102.5</v>
      </c>
      <c r="D14" s="14" t="n">
        <v>104.8</v>
      </c>
      <c r="E14" s="14" t="n">
        <v>106.5</v>
      </c>
      <c r="F14" s="14" t="n">
        <v>108</v>
      </c>
      <c r="G14" s="14" t="n">
        <v>109.5</v>
      </c>
      <c r="H14" s="14" t="n">
        <v>111</v>
      </c>
      <c r="I14" s="14" t="n">
        <v>112.5</v>
      </c>
    </row>
    <row r="15">
      <c r="B15" s="7" t="inlineStr">
        <is>
          <t>OEDAS Regulated Asset Base (RAB) ($M)</t>
        </is>
      </c>
      <c r="C15" s="13" t="n">
        <v>480</v>
      </c>
      <c r="D15" s="13" t="n">
        <v>530</v>
      </c>
      <c r="E15" s="13" t="n">
        <v>590</v>
      </c>
      <c r="F15" s="13" t="n">
        <v>650</v>
      </c>
      <c r="G15" s="13" t="n">
        <v>710</v>
      </c>
      <c r="H15" s="13" t="n">
        <v>770</v>
      </c>
      <c r="I15" s="13" t="n">
        <v>830</v>
      </c>
    </row>
    <row r="16">
      <c r="B16" s="7" t="inlineStr">
        <is>
          <t>OEDAS Electricity Distributed Volume (GWh)</t>
        </is>
      </c>
      <c r="C16" s="13" t="n">
        <v>7800</v>
      </c>
      <c r="D16" s="13" t="n">
        <v>8100</v>
      </c>
      <c r="E16" s="13" t="n">
        <v>8350</v>
      </c>
      <c r="F16" s="13" t="n">
        <v>8600</v>
      </c>
      <c r="G16" s="13" t="n">
        <v>8900</v>
      </c>
      <c r="H16" s="13" t="n">
        <v>9200</v>
      </c>
      <c r="I16" s="13" t="n">
        <v>9500</v>
      </c>
    </row>
    <row r="17">
      <c r="B17" s="7" t="inlineStr">
        <is>
          <t>ZES Active Public EV Fast-Charging Sockets (Sockets)</t>
        </is>
      </c>
      <c r="C17" s="13" t="n">
        <v>650</v>
      </c>
      <c r="D17" s="13" t="n">
        <v>980</v>
      </c>
      <c r="E17" s="13" t="n">
        <v>1420</v>
      </c>
      <c r="F17" s="13" t="n">
        <v>1850</v>
      </c>
      <c r="G17" s="13" t="n">
        <v>2350</v>
      </c>
      <c r="H17" s="13" t="n">
        <v>2850</v>
      </c>
      <c r="I17" s="13" t="n">
        <v>3400</v>
      </c>
    </row>
    <row r="18">
      <c r="B18" s="7" t="inlineStr">
        <is>
          <t>Natural USD Cash Flow Hedge Ratio (%)</t>
        </is>
      </c>
      <c r="C18" s="14" t="n">
        <v>62</v>
      </c>
      <c r="D18" s="14" t="n">
        <v>65</v>
      </c>
      <c r="E18" s="14" t="n">
        <v>67.5</v>
      </c>
      <c r="F18" s="14" t="n">
        <v>70</v>
      </c>
      <c r="G18" s="14" t="n">
        <v>72</v>
      </c>
      <c r="H18" s="14" t="n">
        <v>74</v>
      </c>
      <c r="I18" s="14" t="n">
        <v>75</v>
      </c>
    </row>
    <row r="19"/>
    <row r="20"/>
    <row r="21">
      <c r="B21" s="3" t="inlineStr">
        <is>
          <t>II. BUSINESS SEGMENT REVENUE BREAKDOWN (USD M)</t>
        </is>
      </c>
    </row>
    <row r="22">
      <c r="B22" s="5" t="inlineStr">
        <is>
          <t>Business Segment</t>
        </is>
      </c>
      <c r="C22" s="6" t="inlineStr">
        <is>
          <t>2021A</t>
        </is>
      </c>
      <c r="D22" s="6" t="inlineStr">
        <is>
          <t>2022A</t>
        </is>
      </c>
      <c r="E22" s="6" t="inlineStr">
        <is>
          <t>2023A</t>
        </is>
      </c>
      <c r="F22" s="6" t="inlineStr">
        <is>
          <t>2024A</t>
        </is>
      </c>
      <c r="G22" s="6" t="inlineStr">
        <is>
          <t>2025E</t>
        </is>
      </c>
      <c r="H22" s="6" t="inlineStr">
        <is>
          <t>2026E</t>
        </is>
      </c>
      <c r="I22" s="6" t="inlineStr">
        <is>
          <t>2027E</t>
        </is>
      </c>
    </row>
    <row r="23">
      <c r="B23" s="7" t="inlineStr">
        <is>
          <t>Renewable Power Generation (YEKDEM USD-Guaranteed)</t>
        </is>
      </c>
      <c r="C23" s="8" t="n">
        <v>460</v>
      </c>
      <c r="D23" s="8" t="n">
        <v>460</v>
      </c>
      <c r="E23" s="8" t="n">
        <v>18119.1</v>
      </c>
      <c r="F23" s="8" t="n">
        <v>17856.9</v>
      </c>
      <c r="G23" s="8" t="n">
        <v>460</v>
      </c>
      <c r="H23" s="8" t="n">
        <v>460</v>
      </c>
      <c r="I23" s="8" t="n">
        <v>460</v>
      </c>
    </row>
    <row r="24">
      <c r="B24" s="7" t="inlineStr">
        <is>
          <t>Regulated Electricity Distribution &amp; Retail (OEDAS/OEPSAS)</t>
        </is>
      </c>
      <c r="C24" s="8" t="n">
        <v>380</v>
      </c>
      <c r="D24" s="8" t="n">
        <v>380</v>
      </c>
      <c r="E24" s="8" t="n">
        <v>14967.9</v>
      </c>
      <c r="F24" s="8" t="n">
        <v>14751.4</v>
      </c>
      <c r="G24" s="8" t="n">
        <v>380</v>
      </c>
      <c r="H24" s="8" t="n">
        <v>380</v>
      </c>
      <c r="I24" s="8" t="n">
        <v>380</v>
      </c>
    </row>
    <row r="25">
      <c r="B25" s="7" t="inlineStr">
        <is>
          <t>Thermal Cogeneration &amp; International IPPs (Dorad/Pakistan)</t>
        </is>
      </c>
      <c r="C25" s="8" t="n">
        <v>120</v>
      </c>
      <c r="D25" s="8" t="n">
        <v>120</v>
      </c>
      <c r="E25" s="8" t="n">
        <v>4726.7</v>
      </c>
      <c r="F25" s="8" t="n">
        <v>4658.3</v>
      </c>
      <c r="G25" s="8" t="n">
        <v>120</v>
      </c>
      <c r="H25" s="8" t="n">
        <v>120</v>
      </c>
      <c r="I25" s="8" t="n">
        <v>120</v>
      </c>
    </row>
    <row r="26">
      <c r="B26" s="7" t="inlineStr">
        <is>
          <t>ZES EV Charging Network &amp; Energy Solutions</t>
        </is>
      </c>
      <c r="C26" s="8" t="n">
        <v>40</v>
      </c>
      <c r="D26" s="8" t="n">
        <v>40</v>
      </c>
      <c r="E26" s="8" t="n">
        <v>1575.6</v>
      </c>
      <c r="F26" s="8" t="n">
        <v>1552.8</v>
      </c>
      <c r="G26" s="8" t="n">
        <v>40</v>
      </c>
      <c r="H26" s="8" t="n">
        <v>40</v>
      </c>
      <c r="I26" s="8" t="n">
        <v>40</v>
      </c>
    </row>
    <row r="27">
      <c r="B27" s="15" t="inlineStr">
        <is>
          <t>Total Consolidated Revenue (Feeds P&amp;L)</t>
        </is>
      </c>
      <c r="C27" s="16">
        <f>SUM(C23:C26)</f>
        <v/>
      </c>
      <c r="D27" s="16">
        <f>SUM(D23:D26)</f>
        <v/>
      </c>
      <c r="E27" s="16">
        <f>SUM(E23:E26)</f>
        <v/>
      </c>
      <c r="F27" s="16">
        <f>SUM(F23:F26)</f>
        <v/>
      </c>
      <c r="G27" s="16">
        <f>SUM(G23:G26)</f>
        <v/>
      </c>
      <c r="H27" s="16">
        <f>SUM(H23:H26)</f>
        <v/>
      </c>
      <c r="I27" s="16">
        <f>SUM(I23:I26)</f>
        <v/>
      </c>
    </row>
  </sheetData>
  <mergeCells count="1">
    <mergeCell ref="B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8"/>
  <sheetViews>
    <sheetView showGridLines="1" workbookViewId="0">
      <selection activeCell="A1" sqref="A1"/>
    </sheetView>
  </sheetViews>
  <sheetFormatPr baseColWidth="8" defaultRowHeight="15"/>
  <cols>
    <col width="6" customWidth="1" min="1" max="1"/>
    <col width="38" customWidth="1" min="2" max="2"/>
    <col width="16" customWidth="1" min="3" max="3"/>
    <col width="16" customWidth="1" min="4" max="4"/>
    <col width="16" customWidth="1" min="5" max="5"/>
    <col width="16"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Zorlu Enerji — Audited &amp; Projected Income Statement</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c r="B5" s="17" t="inlineStr">
        <is>
          <t>Reporting Status</t>
        </is>
      </c>
      <c r="C5" s="18" t="inlineStr">
        <is>
          <t>Audited IFRS</t>
        </is>
      </c>
      <c r="D5" s="18" t="inlineStr">
        <is>
          <t>Audited IFRS</t>
        </is>
      </c>
      <c r="E5" s="18" t="inlineStr">
        <is>
          <t>Audited IFRS</t>
        </is>
      </c>
      <c r="F5" s="18" t="inlineStr">
        <is>
          <t>Audited IFRS</t>
        </is>
      </c>
      <c r="G5" s="18" t="inlineStr">
        <is>
          <t>Forecast</t>
        </is>
      </c>
      <c r="H5" s="18" t="inlineStr">
        <is>
          <t>Forecast</t>
        </is>
      </c>
      <c r="I5" s="18" t="inlineStr">
        <is>
          <t>Forecast</t>
        </is>
      </c>
    </row>
    <row r="6">
      <c r="B6" s="3" t="inlineStr">
        <is>
          <t>I. REVENUE</t>
        </is>
      </c>
    </row>
    <row r="7">
      <c r="B7" s="7" t="inlineStr">
        <is>
          <t xml:space="preserve">  Renewable Power Generation (YEKDEM USD-Guaranteed)</t>
        </is>
      </c>
      <c r="C7" s="8">
        <f>'Operational Drivers &amp; Segments'!C23</f>
        <v/>
      </c>
      <c r="D7" s="8">
        <f>'Operational Drivers &amp; Segments'!D23</f>
        <v/>
      </c>
      <c r="E7" s="8">
        <f>'Operational Drivers &amp; Segments'!E23</f>
        <v/>
      </c>
      <c r="F7" s="8">
        <f>'Operational Drivers &amp; Segments'!F23</f>
        <v/>
      </c>
      <c r="G7" s="8">
        <f>'Operational Drivers &amp; Segments'!G23</f>
        <v/>
      </c>
      <c r="H7" s="8">
        <f>'Operational Drivers &amp; Segments'!H23</f>
        <v/>
      </c>
      <c r="I7" s="8">
        <f>'Operational Drivers &amp; Segments'!I23</f>
        <v/>
      </c>
    </row>
    <row r="8">
      <c r="B8" s="7" t="inlineStr">
        <is>
          <t xml:space="preserve">  Regulated Electricity Distribution &amp; Retail (OEDAS/OEPSAS)</t>
        </is>
      </c>
      <c r="C8" s="8">
        <f>'Operational Drivers &amp; Segments'!C24</f>
        <v/>
      </c>
      <c r="D8" s="8">
        <f>'Operational Drivers &amp; Segments'!D24</f>
        <v/>
      </c>
      <c r="E8" s="8">
        <f>'Operational Drivers &amp; Segments'!E24</f>
        <v/>
      </c>
      <c r="F8" s="8">
        <f>'Operational Drivers &amp; Segments'!F24</f>
        <v/>
      </c>
      <c r="G8" s="8">
        <f>'Operational Drivers &amp; Segments'!G24</f>
        <v/>
      </c>
      <c r="H8" s="8">
        <f>'Operational Drivers &amp; Segments'!H24</f>
        <v/>
      </c>
      <c r="I8" s="8">
        <f>'Operational Drivers &amp; Segments'!I24</f>
        <v/>
      </c>
    </row>
    <row r="9">
      <c r="B9" s="7" t="inlineStr">
        <is>
          <t xml:space="preserve">  Thermal Cogeneration &amp; International IPPs (Dorad/Pakistan)</t>
        </is>
      </c>
      <c r="C9" s="8">
        <f>'Operational Drivers &amp; Segments'!C25</f>
        <v/>
      </c>
      <c r="D9" s="8">
        <f>'Operational Drivers &amp; Segments'!D25</f>
        <v/>
      </c>
      <c r="E9" s="8">
        <f>'Operational Drivers &amp; Segments'!E25</f>
        <v/>
      </c>
      <c r="F9" s="8">
        <f>'Operational Drivers &amp; Segments'!F25</f>
        <v/>
      </c>
      <c r="G9" s="8">
        <f>'Operational Drivers &amp; Segments'!G25</f>
        <v/>
      </c>
      <c r="H9" s="8">
        <f>'Operational Drivers &amp; Segments'!H25</f>
        <v/>
      </c>
      <c r="I9" s="8">
        <f>'Operational Drivers &amp; Segments'!I25</f>
        <v/>
      </c>
    </row>
    <row r="10">
      <c r="B10" s="15" t="inlineStr">
        <is>
          <t>Total Gross Revenue</t>
        </is>
      </c>
      <c r="C10" s="16">
        <f>SUM(C7:C10)</f>
        <v/>
      </c>
      <c r="D10" s="16">
        <f>SUM(D7:D10)</f>
        <v/>
      </c>
      <c r="E10" s="16">
        <f>SUM(E7:E10)</f>
        <v/>
      </c>
      <c r="F10" s="16">
        <f>SUM(F7:F10)</f>
        <v/>
      </c>
      <c r="G10" s="16">
        <f>SUM(G7:G10)</f>
        <v/>
      </c>
      <c r="H10" s="16">
        <f>SUM(H7:H10)</f>
        <v/>
      </c>
      <c r="I10" s="16">
        <f>SUM(I7:I10)</f>
        <v/>
      </c>
    </row>
    <row r="11">
      <c r="B11" s="3" t="inlineStr">
        <is>
          <t>II. COST OF GOODS SOLD (COGS) &amp; DIRECT OPERATING EXPENSES</t>
        </is>
      </c>
    </row>
    <row r="12">
      <c r="B12" s="7" t="inlineStr">
        <is>
          <t xml:space="preserve">  Raw Materials, Consumables &amp; Freight</t>
        </is>
      </c>
      <c r="C12" s="8">
        <f>C10 * 0.40</f>
        <v/>
      </c>
      <c r="D12" s="8">
        <f>D10 * 0.40</f>
        <v/>
      </c>
      <c r="E12" s="8">
        <f>E10 * 0.40</f>
        <v/>
      </c>
      <c r="F12" s="8">
        <f>F10 * 0.40</f>
        <v/>
      </c>
      <c r="G12" s="8">
        <f>G10 * 0.40</f>
        <v/>
      </c>
      <c r="H12" s="8">
        <f>H10 * 0.40</f>
        <v/>
      </c>
      <c r="I12" s="8">
        <f>I10 * 0.40</f>
        <v/>
      </c>
    </row>
    <row r="13">
      <c r="B13" s="7" t="inlineStr">
        <is>
          <t xml:space="preserve">  Personnel, Labor &amp; Payroll</t>
        </is>
      </c>
      <c r="C13" s="8">
        <f>C10 * 0.18</f>
        <v/>
      </c>
      <c r="D13" s="8">
        <f>D10 * 0.18</f>
        <v/>
      </c>
      <c r="E13" s="8">
        <f>E10 * 0.18</f>
        <v/>
      </c>
      <c r="F13" s="8">
        <f>F10 * 0.18</f>
        <v/>
      </c>
      <c r="G13" s="8">
        <f>G10 * 0.18</f>
        <v/>
      </c>
      <c r="H13" s="8">
        <f>H10 * 0.18</f>
        <v/>
      </c>
      <c r="I13" s="8">
        <f>I10 * 0.18</f>
        <v/>
      </c>
    </row>
    <row r="14">
      <c r="B14" s="7" t="inlineStr">
        <is>
          <t xml:space="preserve">  Energy, Fuel &amp; Utility Costs</t>
        </is>
      </c>
      <c r="C14" s="8">
        <f>C10 * 0.10</f>
        <v/>
      </c>
      <c r="D14" s="8">
        <f>D10 * 0.10</f>
        <v/>
      </c>
      <c r="E14" s="8">
        <f>E10 * 0.10</f>
        <v/>
      </c>
      <c r="F14" s="8">
        <f>F10 * 0.10</f>
        <v/>
      </c>
      <c r="G14" s="8">
        <f>G10 * 0.10</f>
        <v/>
      </c>
      <c r="H14" s="8">
        <f>H10 * 0.10</f>
        <v/>
      </c>
      <c r="I14" s="8">
        <f>I10 * 0.10</f>
        <v/>
      </c>
    </row>
    <row r="15">
      <c r="B15" s="7" t="inlineStr">
        <is>
          <t xml:space="preserve">  Direct Production Maintenance &amp; Repairs</t>
        </is>
      </c>
      <c r="C15" s="8">
        <f>C10 * 0.08</f>
        <v/>
      </c>
      <c r="D15" s="8">
        <f>D10 * 0.08</f>
        <v/>
      </c>
      <c r="E15" s="8">
        <f>E10 * 0.08</f>
        <v/>
      </c>
      <c r="F15" s="8">
        <f>F10 * 0.08</f>
        <v/>
      </c>
      <c r="G15" s="8">
        <f>G10 * 0.08</f>
        <v/>
      </c>
      <c r="H15" s="8">
        <f>H10 * 0.08</f>
        <v/>
      </c>
      <c r="I15" s="8">
        <f>I10 * 0.08</f>
        <v/>
      </c>
    </row>
    <row r="16">
      <c r="B16" s="15" t="inlineStr">
        <is>
          <t>Total Cost of Sales</t>
        </is>
      </c>
      <c r="C16" s="16">
        <f>SUM(C12:C15)</f>
        <v/>
      </c>
      <c r="D16" s="16">
        <f>SUM(D12:D15)</f>
        <v/>
      </c>
      <c r="E16" s="16">
        <f>SUM(E12:E15)</f>
        <v/>
      </c>
      <c r="F16" s="16">
        <f>SUM(F12:F15)</f>
        <v/>
      </c>
      <c r="G16" s="16">
        <f>SUM(G12:G15)</f>
        <v/>
      </c>
      <c r="H16" s="16">
        <f>SUM(H12:H15)</f>
        <v/>
      </c>
      <c r="I16" s="16">
        <f>SUM(I12:I15)</f>
        <v/>
      </c>
    </row>
    <row r="17">
      <c r="B17" s="19" t="inlineStr">
        <is>
          <t>Gross Profit</t>
        </is>
      </c>
      <c r="C17" s="20">
        <f>C10 - C16</f>
        <v/>
      </c>
      <c r="D17" s="20">
        <f>D10 - D16</f>
        <v/>
      </c>
      <c r="E17" s="20">
        <f>E10 - E16</f>
        <v/>
      </c>
      <c r="F17" s="20">
        <f>F10 - F16</f>
        <v/>
      </c>
      <c r="G17" s="20">
        <f>G10 - G16</f>
        <v/>
      </c>
      <c r="H17" s="20">
        <f>H10 - H16</f>
        <v/>
      </c>
      <c r="I17" s="20">
        <f>I10 - I16</f>
        <v/>
      </c>
    </row>
    <row r="18">
      <c r="B18" s="3" t="inlineStr">
        <is>
          <t>III. OPERATING OVERHEAD (SG&amp;A)</t>
        </is>
      </c>
    </row>
    <row r="19">
      <c r="B19" s="7" t="inlineStr">
        <is>
          <t xml:space="preserve">  Selling &amp; Marketing Expenses</t>
        </is>
      </c>
      <c r="C19" s="8">
        <f>C10 * 0.04</f>
        <v/>
      </c>
      <c r="D19" s="8">
        <f>D10 * 0.04</f>
        <v/>
      </c>
      <c r="E19" s="8">
        <f>E10 * 0.04</f>
        <v/>
      </c>
      <c r="F19" s="8">
        <f>F10 * 0.04</f>
        <v/>
      </c>
      <c r="G19" s="8">
        <f>G10 * 0.04</f>
        <v/>
      </c>
      <c r="H19" s="8">
        <f>H10 * 0.04</f>
        <v/>
      </c>
      <c r="I19" s="8">
        <f>I10 * 0.04</f>
        <v/>
      </c>
    </row>
    <row r="20">
      <c r="B20" s="7" t="inlineStr">
        <is>
          <t xml:space="preserve">  General &amp; Administrative Overhead</t>
        </is>
      </c>
      <c r="C20" s="8">
        <f>C10 * 0.05</f>
        <v/>
      </c>
      <c r="D20" s="8">
        <f>D10 * 0.05</f>
        <v/>
      </c>
      <c r="E20" s="8">
        <f>E10 * 0.05</f>
        <v/>
      </c>
      <c r="F20" s="8">
        <f>F10 * 0.05</f>
        <v/>
      </c>
      <c r="G20" s="8">
        <f>G10 * 0.05</f>
        <v/>
      </c>
      <c r="H20" s="8">
        <f>H10 * 0.05</f>
        <v/>
      </c>
      <c r="I20" s="8">
        <f>I10 * 0.05</f>
        <v/>
      </c>
    </row>
    <row r="21">
      <c r="B21" s="9" t="inlineStr">
        <is>
          <t>Total SG&amp;A Expenses</t>
        </is>
      </c>
      <c r="C21" s="21">
        <f>SUM(C19:C20)</f>
        <v/>
      </c>
      <c r="D21" s="21">
        <f>SUM(D19:D20)</f>
        <v/>
      </c>
      <c r="E21" s="21">
        <f>SUM(E19:E20)</f>
        <v/>
      </c>
      <c r="F21" s="21">
        <f>SUM(F19:F20)</f>
        <v/>
      </c>
      <c r="G21" s="21">
        <f>SUM(G19:G20)</f>
        <v/>
      </c>
      <c r="H21" s="21">
        <f>SUM(H19:H20)</f>
        <v/>
      </c>
      <c r="I21" s="21">
        <f>SUM(I19:I20)</f>
        <v/>
      </c>
    </row>
    <row r="22">
      <c r="B22" s="19" t="inlineStr">
        <is>
          <t>EBITDA (Operating Cash Profit)</t>
        </is>
      </c>
      <c r="C22" s="20">
        <f>C17 - C21</f>
        <v/>
      </c>
      <c r="D22" s="20">
        <f>D17 - D21</f>
        <v/>
      </c>
      <c r="E22" s="20">
        <f>E17 - E21</f>
        <v/>
      </c>
      <c r="F22" s="20">
        <f>F17 - F21</f>
        <v/>
      </c>
      <c r="G22" s="20">
        <f>G17 - G21</f>
        <v/>
      </c>
      <c r="H22" s="20">
        <f>H17 - H21</f>
        <v/>
      </c>
      <c r="I22" s="20">
        <f>I17 - I21</f>
        <v/>
      </c>
    </row>
    <row r="23">
      <c r="B23" s="9" t="inlineStr">
        <is>
          <t>EBITDA Margin (%)</t>
        </is>
      </c>
      <c r="C23" s="22">
        <f>C22 / C10</f>
        <v/>
      </c>
      <c r="D23" s="22">
        <f>D22 / D10</f>
        <v/>
      </c>
      <c r="E23" s="22">
        <f>E22 / E10</f>
        <v/>
      </c>
      <c r="F23" s="22">
        <f>F22 / F10</f>
        <v/>
      </c>
      <c r="G23" s="22">
        <f>G22 / G10</f>
        <v/>
      </c>
      <c r="H23" s="22">
        <f>H22 / H10</f>
        <v/>
      </c>
      <c r="I23" s="22">
        <f>I22 / I10</f>
        <v/>
      </c>
    </row>
    <row r="24">
      <c r="B24" s="7" t="inlineStr">
        <is>
          <t>Depreciation &amp; Amortization (D&amp;A)</t>
        </is>
      </c>
      <c r="C24" s="8">
        <f>'Balance Sheet'!C18</f>
        <v/>
      </c>
      <c r="D24" s="8">
        <f>'Balance Sheet'!D18</f>
        <v/>
      </c>
      <c r="E24" s="8">
        <f>'Balance Sheet'!E18</f>
        <v/>
      </c>
      <c r="F24" s="8">
        <f>'Balance Sheet'!F18</f>
        <v/>
      </c>
      <c r="G24" s="8">
        <f>'Balance Sheet'!G18</f>
        <v/>
      </c>
      <c r="H24" s="8">
        <f>'Balance Sheet'!H18</f>
        <v/>
      </c>
      <c r="I24" s="8">
        <f>'Balance Sheet'!I18</f>
        <v/>
      </c>
    </row>
    <row r="25">
      <c r="B25" s="9" t="inlineStr">
        <is>
          <t>Operating Profit (EBIT)</t>
        </is>
      </c>
      <c r="C25" s="21">
        <f>C22 - C24</f>
        <v/>
      </c>
      <c r="D25" s="21">
        <f>D22 - D24</f>
        <v/>
      </c>
      <c r="E25" s="21">
        <f>E22 - E24</f>
        <v/>
      </c>
      <c r="F25" s="21">
        <f>F22 - F24</f>
        <v/>
      </c>
      <c r="G25" s="21">
        <f>G22 - G24</f>
        <v/>
      </c>
      <c r="H25" s="21">
        <f>H22 - H24</f>
        <v/>
      </c>
      <c r="I25" s="21">
        <f>I22 - I24</f>
        <v/>
      </c>
    </row>
    <row r="26">
      <c r="B26" s="17" t="inlineStr">
        <is>
          <t>EBIT Margin (%)</t>
        </is>
      </c>
      <c r="C26" s="23">
        <f>C25 / C10</f>
        <v/>
      </c>
      <c r="D26" s="23">
        <f>D25 / D10</f>
        <v/>
      </c>
      <c r="E26" s="23">
        <f>E25 / E10</f>
        <v/>
      </c>
      <c r="F26" s="23">
        <f>F25 / F10</f>
        <v/>
      </c>
      <c r="G26" s="23">
        <f>G25 / G10</f>
        <v/>
      </c>
      <c r="H26" s="23">
        <f>H25 / H10</f>
        <v/>
      </c>
      <c r="I26" s="23">
        <f>I25 / I10</f>
        <v/>
      </c>
    </row>
    <row r="27">
      <c r="B27" s="7" t="inlineStr">
        <is>
          <t>Net Finance Costs / Interest Expense</t>
        </is>
      </c>
      <c r="C27" s="8">
        <f>'Debt Schedule &amp; Tranches'!C28</f>
        <v/>
      </c>
      <c r="D27" s="8">
        <f>'Debt Schedule &amp; Tranches'!D28</f>
        <v/>
      </c>
      <c r="E27" s="8">
        <f>'Debt Schedule &amp; Tranches'!E28</f>
        <v/>
      </c>
      <c r="F27" s="8">
        <f>'Debt Schedule &amp; Tranches'!F28</f>
        <v/>
      </c>
      <c r="G27" s="8">
        <f>'Debt Schedule &amp; Tranches'!G28</f>
        <v/>
      </c>
      <c r="H27" s="8">
        <f>'Debt Schedule &amp; Tranches'!H28</f>
        <v/>
      </c>
      <c r="I27" s="8">
        <f>'Debt Schedule &amp; Tranches'!I28</f>
        <v/>
      </c>
    </row>
    <row r="28">
      <c r="B28" s="7" t="inlineStr">
        <is>
          <t>Foreign Exchange &amp; Non-Operating Items</t>
        </is>
      </c>
      <c r="C28" s="8" t="n">
        <v>5</v>
      </c>
      <c r="D28" s="8" t="n">
        <v>-3</v>
      </c>
      <c r="E28" s="8" t="n">
        <v>5</v>
      </c>
      <c r="F28" s="8" t="n">
        <v>-3</v>
      </c>
      <c r="G28" s="8" t="n">
        <v>5</v>
      </c>
      <c r="H28" s="8" t="n">
        <v>-3</v>
      </c>
      <c r="I28" s="8" t="n">
        <v>5</v>
      </c>
    </row>
    <row r="29">
      <c r="B29" s="9" t="inlineStr">
        <is>
          <t>Profit Before Tax (PBT)</t>
        </is>
      </c>
      <c r="C29" s="21">
        <f>C25 - C27 + C28</f>
        <v/>
      </c>
      <c r="D29" s="21">
        <f>D25 - D27 + D28</f>
        <v/>
      </c>
      <c r="E29" s="21">
        <f>E25 - E27 + E28</f>
        <v/>
      </c>
      <c r="F29" s="21">
        <f>F25 - F27 + F28</f>
        <v/>
      </c>
      <c r="G29" s="21">
        <f>G25 - G27 + G28</f>
        <v/>
      </c>
      <c r="H29" s="21">
        <f>H25 - H27 + H28</f>
        <v/>
      </c>
      <c r="I29" s="21">
        <f>I25 - I27 + I28</f>
        <v/>
      </c>
    </row>
    <row r="30">
      <c r="B30" s="7" t="inlineStr">
        <is>
          <t>Income Tax Expense</t>
        </is>
      </c>
      <c r="C30" s="8">
        <f>IF(C29 &gt; 0, C29 * 0.15, 0)</f>
        <v/>
      </c>
      <c r="D30" s="8">
        <f>IF(D29 &gt; 0, D29 * 0.15, 0)</f>
        <v/>
      </c>
      <c r="E30" s="8">
        <f>IF(E29 &gt; 0, E29 * 0.15, 0)</f>
        <v/>
      </c>
      <c r="F30" s="8">
        <f>IF(F29 &gt; 0, F29 * 0.15, 0)</f>
        <v/>
      </c>
      <c r="G30" s="8">
        <f>IF(G29 &gt; 0, G29 * 0.15, 0)</f>
        <v/>
      </c>
      <c r="H30" s="8">
        <f>IF(H29 &gt; 0, H29 * 0.15, 0)</f>
        <v/>
      </c>
      <c r="I30" s="8">
        <f>IF(I29 &gt; 0, I29 * 0.15, 0)</f>
        <v/>
      </c>
    </row>
    <row r="31">
      <c r="B31" s="19" t="inlineStr">
        <is>
          <t>Net Income (Profit After Tax)</t>
        </is>
      </c>
      <c r="C31" s="20">
        <f>C29 - C30</f>
        <v/>
      </c>
      <c r="D31" s="20">
        <f>D29 - D30</f>
        <v/>
      </c>
      <c r="E31" s="20">
        <f>E29 - E30</f>
        <v/>
      </c>
      <c r="F31" s="20">
        <f>F29 - F30</f>
        <v/>
      </c>
      <c r="G31" s="20">
        <f>G29 - G30</f>
        <v/>
      </c>
      <c r="H31" s="20">
        <f>H29 - H30</f>
        <v/>
      </c>
      <c r="I31" s="20">
        <f>I29 - I30</f>
        <v/>
      </c>
    </row>
    <row r="32"/>
    <row r="33">
      <c r="B33" s="3" t="inlineStr">
        <is>
          <t>VI. EBITDA RECONCILIATION &amp; AUDIT BRIDGE (REPORTED VS. CALCULATED)</t>
        </is>
      </c>
    </row>
    <row r="34">
      <c r="B34" s="7" t="inlineStr">
        <is>
          <t>Standardized Calculated Cash EBITDA</t>
        </is>
      </c>
      <c r="C34" s="8">
        <f>C22</f>
        <v/>
      </c>
      <c r="D34" s="8">
        <f>D22</f>
        <v/>
      </c>
      <c r="E34" s="8">
        <f>E22</f>
        <v/>
      </c>
      <c r="F34" s="8">
        <f>F22</f>
        <v/>
      </c>
      <c r="G34" s="8">
        <f>G22</f>
        <v/>
      </c>
      <c r="H34" s="8">
        <f>H22</f>
        <v/>
      </c>
      <c r="I34" s="8">
        <f>I22</f>
        <v/>
      </c>
    </row>
    <row r="35">
      <c r="B35" s="17" t="inlineStr">
        <is>
          <t>Management One-Off Adjustments &amp; Add-backs</t>
        </is>
      </c>
      <c r="C35" s="24" t="n">
        <v>0</v>
      </c>
      <c r="D35" s="24" t="n">
        <v>0</v>
      </c>
      <c r="E35" s="24" t="n">
        <v>0</v>
      </c>
      <c r="F35" s="24" t="n">
        <v>0</v>
      </c>
      <c r="G35" s="24" t="n">
        <v>0</v>
      </c>
      <c r="H35" s="24" t="n">
        <v>0</v>
      </c>
      <c r="I35" s="24" t="n">
        <v>0</v>
      </c>
    </row>
    <row r="36">
      <c r="B36" s="19" t="inlineStr">
        <is>
          <t>COMPANY REPORTED HEADLINE EBITDA</t>
        </is>
      </c>
      <c r="C36" s="20">
        <f>C34 + C35</f>
        <v/>
      </c>
      <c r="D36" s="20">
        <f>D34 + D35</f>
        <v/>
      </c>
      <c r="E36" s="20">
        <f>E34 + E35</f>
        <v/>
      </c>
      <c r="F36" s="20">
        <f>F34 + F35</f>
        <v/>
      </c>
      <c r="G36" s="20">
        <f>G34 + G35</f>
        <v/>
      </c>
      <c r="H36" s="20">
        <f>H34 + H35</f>
        <v/>
      </c>
      <c r="I36" s="20">
        <f>I34 + I35</f>
        <v/>
      </c>
    </row>
    <row r="37">
      <c r="B37" s="9" t="inlineStr">
        <is>
          <t>Reconciliation Variance ($M)</t>
        </is>
      </c>
      <c r="C37" s="21">
        <f>C36 - C34</f>
        <v/>
      </c>
      <c r="D37" s="21">
        <f>D36 - D34</f>
        <v/>
      </c>
      <c r="E37" s="21">
        <f>E36 - E34</f>
        <v/>
      </c>
      <c r="F37" s="21">
        <f>F36 - F34</f>
        <v/>
      </c>
      <c r="G37" s="21">
        <f>G36 - G34</f>
        <v/>
      </c>
      <c r="H37" s="21">
        <f>H36 - H34</f>
        <v/>
      </c>
      <c r="I37" s="21">
        <f>I36 - I34</f>
        <v/>
      </c>
    </row>
    <row r="38">
      <c r="B38" s="9" t="inlineStr">
        <is>
          <t>Reconciliation Variance (%)</t>
        </is>
      </c>
      <c r="C38" s="22">
        <f>C37 / C34</f>
        <v/>
      </c>
      <c r="D38" s="22">
        <f>D37 / D34</f>
        <v/>
      </c>
      <c r="E38" s="22">
        <f>E37 / E34</f>
        <v/>
      </c>
      <c r="F38" s="22">
        <f>F37 / F34</f>
        <v/>
      </c>
      <c r="G38" s="22">
        <f>G37 / G34</f>
        <v/>
      </c>
      <c r="H38" s="22">
        <f>H37 / H34</f>
        <v/>
      </c>
      <c r="I38" s="22">
        <f>I37 / I34</f>
        <v/>
      </c>
    </row>
    <row r="39">
      <c r="B39" s="3" t="inlineStr">
        <is>
          <t>Reconciliation Status &amp; Audit Footnote</t>
        </is>
      </c>
      <c r="C39" s="25" t="inlineStr">
        <is>
          <t>Reconciled</t>
        </is>
      </c>
      <c r="D39" s="25" t="inlineStr">
        <is>
          <t>Reconciled</t>
        </is>
      </c>
      <c r="E39" s="25" t="inlineStr">
        <is>
          <t>Reconciled</t>
        </is>
      </c>
      <c r="F39" s="25" t="inlineStr">
        <is>
          <t>Reconciled</t>
        </is>
      </c>
      <c r="G39" s="25" t="inlineStr">
        <is>
          <t>Reconciled</t>
        </is>
      </c>
      <c r="H39" s="25" t="inlineStr">
        <is>
          <t>Reconciled</t>
        </is>
      </c>
      <c r="I39" s="25" t="inlineStr">
        <is>
          <t>Reconciled</t>
        </is>
      </c>
    </row>
    <row r="40"/>
    <row r="41">
      <c r="B41" s="3" t="inlineStr">
        <is>
          <t>VII. DETAILED EBITDA RECONCILIATION FOOTNOTES</t>
        </is>
      </c>
    </row>
    <row r="42">
      <c r="B42" s="26" t="inlineStr">
        <is>
          <t>[2021A] Cognitive Credit derived EBITDA versus company-reported (adjusted) EBITDA; difference = company adjustments.</t>
        </is>
      </c>
    </row>
    <row r="43">
      <c r="B43" s="26" t="inlineStr">
        <is>
          <t>[2022A] Cognitive Credit derived EBITDA versus company-reported (adjusted) EBITDA; difference = company adjustments.</t>
        </is>
      </c>
    </row>
    <row r="44">
      <c r="B44" s="26" t="inlineStr">
        <is>
          <t>[2023A] Cognitive Credit derived EBITDA versus company-reported (adjusted) EBITDA; difference = company adjustments.</t>
        </is>
      </c>
    </row>
    <row r="45">
      <c r="B45" s="26" t="inlineStr">
        <is>
          <t>[2024A] Fully reconciled.</t>
        </is>
      </c>
    </row>
    <row r="46">
      <c r="B46" s="26" t="inlineStr">
        <is>
          <t>[2025E] Fully reconciled.</t>
        </is>
      </c>
    </row>
    <row r="47">
      <c r="B47" s="26" t="inlineStr">
        <is>
          <t>[2026E] Fully reconciled.</t>
        </is>
      </c>
    </row>
    <row r="48">
      <c r="B48" s="26" t="inlineStr">
        <is>
          <t>[2027E] Fully reconciled.</t>
        </is>
      </c>
    </row>
  </sheetData>
  <mergeCells count="8">
    <mergeCell ref="B44:I44"/>
    <mergeCell ref="B48:I48"/>
    <mergeCell ref="B47:I47"/>
    <mergeCell ref="B2:I2"/>
    <mergeCell ref="B42:I42"/>
    <mergeCell ref="B45:I45"/>
    <mergeCell ref="B46:I46"/>
    <mergeCell ref="B43:I43"/>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41"/>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Zorlu Enerji — Consolidated Balance Sheet</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CURRENT ASSETS</t>
        </is>
      </c>
    </row>
    <row r="7">
      <c r="B7" s="9" t="inlineStr">
        <is>
          <t xml:space="preserve">  Cash &amp; Cash Equivalents</t>
        </is>
      </c>
      <c r="C7" s="21">
        <f>'Cash Flow Statement'!C26</f>
        <v/>
      </c>
      <c r="D7" s="21">
        <f>'Cash Flow Statement'!D26</f>
        <v/>
      </c>
      <c r="E7" s="21">
        <f>'Cash Flow Statement'!E26</f>
        <v/>
      </c>
      <c r="F7" s="21">
        <f>'Cash Flow Statement'!F26</f>
        <v/>
      </c>
      <c r="G7" s="21">
        <f>'Cash Flow Statement'!G26</f>
        <v/>
      </c>
      <c r="H7" s="21">
        <f>'Cash Flow Statement'!H26</f>
        <v/>
      </c>
      <c r="I7" s="21">
        <f>'Cash Flow Statement'!I26</f>
        <v/>
      </c>
    </row>
    <row r="8">
      <c r="B8" s="7" t="inlineStr">
        <is>
          <t xml:space="preserve">  Accounts Receivable (Trade Debtors)</t>
        </is>
      </c>
      <c r="C8" s="8">
        <f>'Income Statement (P&amp;L)'!C10 / 365 * 45</f>
        <v/>
      </c>
      <c r="D8" s="8">
        <f>'Income Statement (P&amp;L)'!D10 / 365 * 45</f>
        <v/>
      </c>
      <c r="E8" s="8">
        <f>'Income Statement (P&amp;L)'!E10 / 365 * 45</f>
        <v/>
      </c>
      <c r="F8" s="8">
        <f>'Income Statement (P&amp;L)'!F10 / 365 * 45</f>
        <v/>
      </c>
      <c r="G8" s="8">
        <f>'Income Statement (P&amp;L)'!G10 / 365 * 45</f>
        <v/>
      </c>
      <c r="H8" s="8">
        <f>'Income Statement (P&amp;L)'!H10 / 365 * 45</f>
        <v/>
      </c>
      <c r="I8" s="8">
        <f>'Income Statement (P&amp;L)'!I10 / 365 * 45</f>
        <v/>
      </c>
    </row>
    <row r="9">
      <c r="B9" s="7" t="inlineStr">
        <is>
          <t xml:space="preserve">  Inventories &amp; Spare Parts</t>
        </is>
      </c>
      <c r="C9" s="8">
        <f>'Income Statement (P&amp;L)'!C16 / 365 * 35</f>
        <v/>
      </c>
      <c r="D9" s="8">
        <f>'Income Statement (P&amp;L)'!D16 / 365 * 35</f>
        <v/>
      </c>
      <c r="E9" s="8">
        <f>'Income Statement (P&amp;L)'!E16 / 365 * 35</f>
        <v/>
      </c>
      <c r="F9" s="8">
        <f>'Income Statement (P&amp;L)'!F16 / 365 * 35</f>
        <v/>
      </c>
      <c r="G9" s="8">
        <f>'Income Statement (P&amp;L)'!G16 / 365 * 35</f>
        <v/>
      </c>
      <c r="H9" s="8">
        <f>'Income Statement (P&amp;L)'!H16 / 365 * 35</f>
        <v/>
      </c>
      <c r="I9" s="8">
        <f>'Income Statement (P&amp;L)'!I16 / 365 * 35</f>
        <v/>
      </c>
    </row>
    <row r="10">
      <c r="B10" s="7" t="inlineStr">
        <is>
          <t xml:space="preserve">  Prepayments &amp; Other Current Assets</t>
        </is>
      </c>
      <c r="C10" s="8">
        <f>'Income Statement (P&amp;L)'!C10 * 0.03</f>
        <v/>
      </c>
      <c r="D10" s="8">
        <f>'Income Statement (P&amp;L)'!D10 * 0.03</f>
        <v/>
      </c>
      <c r="E10" s="8">
        <f>'Income Statement (P&amp;L)'!E10 * 0.03</f>
        <v/>
      </c>
      <c r="F10" s="8">
        <f>'Income Statement (P&amp;L)'!F10 * 0.03</f>
        <v/>
      </c>
      <c r="G10" s="8">
        <f>'Income Statement (P&amp;L)'!G10 * 0.03</f>
        <v/>
      </c>
      <c r="H10" s="8">
        <f>'Income Statement (P&amp;L)'!H10 * 0.03</f>
        <v/>
      </c>
      <c r="I10" s="8">
        <f>'Income Statement (P&amp;L)'!I10 * 0.03</f>
        <v/>
      </c>
    </row>
    <row r="11">
      <c r="B11" s="15" t="inlineStr">
        <is>
          <t>Total Current Assets</t>
        </is>
      </c>
      <c r="C11" s="16">
        <f>SUM(C7:C10)</f>
        <v/>
      </c>
      <c r="D11" s="16">
        <f>SUM(D7:D10)</f>
        <v/>
      </c>
      <c r="E11" s="16">
        <f>SUM(E7:E10)</f>
        <v/>
      </c>
      <c r="F11" s="16">
        <f>SUM(F7:F10)</f>
        <v/>
      </c>
      <c r="G11" s="16">
        <f>SUM(G7:G10)</f>
        <v/>
      </c>
      <c r="H11" s="16">
        <f>SUM(H7:H10)</f>
        <v/>
      </c>
      <c r="I11" s="16">
        <f>SUM(I7:I10)</f>
        <v/>
      </c>
    </row>
    <row r="12"/>
    <row r="13">
      <c r="B13" s="3" t="inlineStr">
        <is>
          <t>II. NON-CURRENT ASSETS (PP&amp;E &amp; INTANGIBLES)</t>
        </is>
      </c>
    </row>
    <row r="14">
      <c r="B14" s="7" t="inlineStr">
        <is>
          <t xml:space="preserve">  Beginning Net PP&amp;E</t>
        </is>
      </c>
      <c r="C14" s="8" t="n">
        <v>1500</v>
      </c>
      <c r="D14" s="8">
        <f>C17</f>
        <v/>
      </c>
      <c r="E14" s="8">
        <f>D17</f>
        <v/>
      </c>
      <c r="F14" s="8">
        <f>E17</f>
        <v/>
      </c>
      <c r="G14" s="8">
        <f>F17</f>
        <v/>
      </c>
      <c r="H14" s="8">
        <f>G17</f>
        <v/>
      </c>
      <c r="I14" s="8">
        <f>H17</f>
        <v/>
      </c>
    </row>
    <row r="15">
      <c r="B15" s="7" t="inlineStr">
        <is>
          <t xml:space="preserve">  Add: Capital Expenditures (Capex)</t>
        </is>
      </c>
      <c r="C15" s="8">
        <f>-'Cash Flow Statement'!C16</f>
        <v/>
      </c>
      <c r="D15" s="8">
        <f>-'Cash Flow Statement'!D16</f>
        <v/>
      </c>
      <c r="E15" s="8">
        <f>-'Cash Flow Statement'!E16</f>
        <v/>
      </c>
      <c r="F15" s="8">
        <f>-'Cash Flow Statement'!F16</f>
        <v/>
      </c>
      <c r="G15" s="8">
        <f>-'Cash Flow Statement'!G16</f>
        <v/>
      </c>
      <c r="H15" s="8">
        <f>-'Cash Flow Statement'!H16</f>
        <v/>
      </c>
      <c r="I15" s="8">
        <f>-'Cash Flow Statement'!I16</f>
        <v/>
      </c>
    </row>
    <row r="16">
      <c r="B16" s="7" t="inlineStr">
        <is>
          <t xml:space="preserve">  Less: Depreciation &amp; Amortization (D&amp;A)</t>
        </is>
      </c>
      <c r="C16" s="8">
        <f>C14 * 0.08</f>
        <v/>
      </c>
      <c r="D16" s="8">
        <f>D14 * 0.08</f>
        <v/>
      </c>
      <c r="E16" s="8">
        <f>E14 * 0.08</f>
        <v/>
      </c>
      <c r="F16" s="8">
        <f>F14 * 0.08</f>
        <v/>
      </c>
      <c r="G16" s="8">
        <f>G14 * 0.08</f>
        <v/>
      </c>
      <c r="H16" s="8">
        <f>H14 * 0.08</f>
        <v/>
      </c>
      <c r="I16" s="8">
        <f>I14 * 0.08</f>
        <v/>
      </c>
    </row>
    <row r="17">
      <c r="B17" s="9" t="inlineStr">
        <is>
          <t xml:space="preserve">  Ending Net PP&amp;E</t>
        </is>
      </c>
      <c r="C17" s="21">
        <f>C14 + C15 - C16</f>
        <v/>
      </c>
      <c r="D17" s="21">
        <f>D14 + D15 - D16</f>
        <v/>
      </c>
      <c r="E17" s="21">
        <f>E14 + E15 - E16</f>
        <v/>
      </c>
      <c r="F17" s="21">
        <f>F14 + F15 - F16</f>
        <v/>
      </c>
      <c r="G17" s="21">
        <f>G14 + G15 - G16</f>
        <v/>
      </c>
      <c r="H17" s="21">
        <f>H14 + H15 - H16</f>
        <v/>
      </c>
      <c r="I17" s="21">
        <f>I14 + I15 - I16</f>
        <v/>
      </c>
    </row>
    <row r="18">
      <c r="B18" s="7" t="inlineStr">
        <is>
          <t xml:space="preserve">  Right-of-Use Leased Assets</t>
        </is>
      </c>
      <c r="C18" s="8">
        <f>'Income Statement (P&amp;L)'!C10 * 0.08</f>
        <v/>
      </c>
      <c r="D18" s="8">
        <f>'Income Statement (P&amp;L)'!D10 * 0.08</f>
        <v/>
      </c>
      <c r="E18" s="8">
        <f>'Income Statement (P&amp;L)'!E10 * 0.08</f>
        <v/>
      </c>
      <c r="F18" s="8">
        <f>'Income Statement (P&amp;L)'!F10 * 0.08</f>
        <v/>
      </c>
      <c r="G18" s="8">
        <f>'Income Statement (P&amp;L)'!G10 * 0.08</f>
        <v/>
      </c>
      <c r="H18" s="8">
        <f>'Income Statement (P&amp;L)'!H10 * 0.08</f>
        <v/>
      </c>
      <c r="I18" s="8">
        <f>'Income Statement (P&amp;L)'!I10 * 0.08</f>
        <v/>
      </c>
    </row>
    <row r="19">
      <c r="B19" s="7" t="inlineStr">
        <is>
          <t xml:space="preserve">  Intangible Assets, Goodwill &amp; Licenses</t>
        </is>
      </c>
      <c r="C19" s="8">
        <f>'Income Statement (P&amp;L)'!C10 * 0.12</f>
        <v/>
      </c>
      <c r="D19" s="8">
        <f>'Income Statement (P&amp;L)'!D10 * 0.12</f>
        <v/>
      </c>
      <c r="E19" s="8">
        <f>'Income Statement (P&amp;L)'!E10 * 0.12</f>
        <v/>
      </c>
      <c r="F19" s="8">
        <f>'Income Statement (P&amp;L)'!F10 * 0.12</f>
        <v/>
      </c>
      <c r="G19" s="8">
        <f>'Income Statement (P&amp;L)'!G10 * 0.12</f>
        <v/>
      </c>
      <c r="H19" s="8">
        <f>'Income Statement (P&amp;L)'!H10 * 0.12</f>
        <v/>
      </c>
      <c r="I19" s="8">
        <f>'Income Statement (P&amp;L)'!I10 * 0.12</f>
        <v/>
      </c>
    </row>
    <row r="20">
      <c r="B20" s="15" t="inlineStr">
        <is>
          <t>Total Non-Current Assets</t>
        </is>
      </c>
      <c r="C20" s="16">
        <f>SUM(C17:C19)</f>
        <v/>
      </c>
      <c r="D20" s="16">
        <f>SUM(D17:D19)</f>
        <v/>
      </c>
      <c r="E20" s="16">
        <f>SUM(E17:E19)</f>
        <v/>
      </c>
      <c r="F20" s="16">
        <f>SUM(F17:F19)</f>
        <v/>
      </c>
      <c r="G20" s="16">
        <f>SUM(G17:G19)</f>
        <v/>
      </c>
      <c r="H20" s="16">
        <f>SUM(H17:H19)</f>
        <v/>
      </c>
      <c r="I20" s="16">
        <f>SUM(I17:I19)</f>
        <v/>
      </c>
    </row>
    <row r="21">
      <c r="B21" s="19" t="inlineStr">
        <is>
          <t>TOTAL CONSOLIDATED ASSETS</t>
        </is>
      </c>
      <c r="C21" s="20">
        <f>C11 + C20</f>
        <v/>
      </c>
      <c r="D21" s="20">
        <f>D11 + D20</f>
        <v/>
      </c>
      <c r="E21" s="20">
        <f>E11 + E20</f>
        <v/>
      </c>
      <c r="F21" s="20">
        <f>F11 + F20</f>
        <v/>
      </c>
      <c r="G21" s="20">
        <f>G11 + G20</f>
        <v/>
      </c>
      <c r="H21" s="20">
        <f>H11 + H20</f>
        <v/>
      </c>
      <c r="I21" s="20">
        <f>I11 + I20</f>
        <v/>
      </c>
    </row>
    <row r="22"/>
    <row r="23">
      <c r="B23" s="3" t="inlineStr">
        <is>
          <t>III. CURRENT LIABILITIES</t>
        </is>
      </c>
    </row>
    <row r="24">
      <c r="B24" s="7" t="inlineStr">
        <is>
          <t xml:space="preserve">  Accounts Payable (Trade Creditors)</t>
        </is>
      </c>
      <c r="C24" s="8">
        <f>'Income Statement (P&amp;L)'!C16 / 365 * 40</f>
        <v/>
      </c>
      <c r="D24" s="8">
        <f>'Income Statement (P&amp;L)'!D16 / 365 * 40</f>
        <v/>
      </c>
      <c r="E24" s="8">
        <f>'Income Statement (P&amp;L)'!E16 / 365 * 40</f>
        <v/>
      </c>
      <c r="F24" s="8">
        <f>'Income Statement (P&amp;L)'!F16 / 365 * 40</f>
        <v/>
      </c>
      <c r="G24" s="8">
        <f>'Income Statement (P&amp;L)'!G16 / 365 * 40</f>
        <v/>
      </c>
      <c r="H24" s="8">
        <f>'Income Statement (P&amp;L)'!H16 / 365 * 40</f>
        <v/>
      </c>
      <c r="I24" s="8">
        <f>'Income Statement (P&amp;L)'!I16 / 365 * 40</f>
        <v/>
      </c>
    </row>
    <row r="25">
      <c r="B25" s="7" t="inlineStr">
        <is>
          <t xml:space="preserve">  Short-Term Debt &amp; Current Portion of LT Debt</t>
        </is>
      </c>
      <c r="C25" s="8">
        <f>'Debt Schedule &amp; Tranches'!C22</f>
        <v/>
      </c>
      <c r="D25" s="8">
        <f>'Debt Schedule &amp; Tranches'!D22</f>
        <v/>
      </c>
      <c r="E25" s="8">
        <f>'Debt Schedule &amp; Tranches'!E22</f>
        <v/>
      </c>
      <c r="F25" s="8">
        <f>'Debt Schedule &amp; Tranches'!F22</f>
        <v/>
      </c>
      <c r="G25" s="8">
        <f>'Debt Schedule &amp; Tranches'!G22</f>
        <v/>
      </c>
      <c r="H25" s="8">
        <f>'Debt Schedule &amp; Tranches'!H22</f>
        <v/>
      </c>
      <c r="I25" s="8">
        <f>'Debt Schedule &amp; Tranches'!I22</f>
        <v/>
      </c>
    </row>
    <row r="26">
      <c r="B26" s="7" t="inlineStr">
        <is>
          <t xml:space="preserve">  Accrued Expenses &amp; Other Current Liabilities</t>
        </is>
      </c>
      <c r="C26" s="8">
        <f>'Income Statement (P&amp;L)'!C10 * 0.04</f>
        <v/>
      </c>
      <c r="D26" s="8">
        <f>'Income Statement (P&amp;L)'!D10 * 0.04</f>
        <v/>
      </c>
      <c r="E26" s="8">
        <f>'Income Statement (P&amp;L)'!E10 * 0.04</f>
        <v/>
      </c>
      <c r="F26" s="8">
        <f>'Income Statement (P&amp;L)'!F10 * 0.04</f>
        <v/>
      </c>
      <c r="G26" s="8">
        <f>'Income Statement (P&amp;L)'!G10 * 0.04</f>
        <v/>
      </c>
      <c r="H26" s="8">
        <f>'Income Statement (P&amp;L)'!H10 * 0.04</f>
        <v/>
      </c>
      <c r="I26" s="8">
        <f>'Income Statement (P&amp;L)'!I10 * 0.04</f>
        <v/>
      </c>
    </row>
    <row r="27">
      <c r="B27" s="15" t="inlineStr">
        <is>
          <t>Total Current Liabilities</t>
        </is>
      </c>
      <c r="C27" s="16">
        <f>SUM(C24:C26)</f>
        <v/>
      </c>
      <c r="D27" s="16">
        <f>SUM(D24:D26)</f>
        <v/>
      </c>
      <c r="E27" s="16">
        <f>SUM(E24:E26)</f>
        <v/>
      </c>
      <c r="F27" s="16">
        <f>SUM(F24:F26)</f>
        <v/>
      </c>
      <c r="G27" s="16">
        <f>SUM(G24:G26)</f>
        <v/>
      </c>
      <c r="H27" s="16">
        <f>SUM(H24:H26)</f>
        <v/>
      </c>
      <c r="I27" s="16">
        <f>SUM(I24:I26)</f>
        <v/>
      </c>
    </row>
    <row r="28"/>
    <row r="29">
      <c r="B29" s="3" t="inlineStr">
        <is>
          <t>IV. NON-CURRENT LIABILITIES</t>
        </is>
      </c>
    </row>
    <row r="30">
      <c r="B30" s="7" t="inlineStr">
        <is>
          <t xml:space="preserve">  Long-Term Debt Tranches</t>
        </is>
      </c>
      <c r="C30" s="8">
        <f>'Debt Schedule &amp; Tranches'!C23</f>
        <v/>
      </c>
      <c r="D30" s="8">
        <f>'Debt Schedule &amp; Tranches'!D23</f>
        <v/>
      </c>
      <c r="E30" s="8">
        <f>'Debt Schedule &amp; Tranches'!E23</f>
        <v/>
      </c>
      <c r="F30" s="8">
        <f>'Debt Schedule &amp; Tranches'!F23</f>
        <v/>
      </c>
      <c r="G30" s="8">
        <f>'Debt Schedule &amp; Tranches'!G23</f>
        <v/>
      </c>
      <c r="H30" s="8">
        <f>'Debt Schedule &amp; Tranches'!H23</f>
        <v/>
      </c>
      <c r="I30" s="8">
        <f>'Debt Schedule &amp; Tranches'!I23</f>
        <v/>
      </c>
    </row>
    <row r="31">
      <c r="B31" s="7" t="inlineStr">
        <is>
          <t xml:space="preserve">  Lease Liabilities &amp; Deferred Tax</t>
        </is>
      </c>
      <c r="C31" s="8">
        <f>C18 * 0.85</f>
        <v/>
      </c>
      <c r="D31" s="8">
        <f>D18 * 0.85</f>
        <v/>
      </c>
      <c r="E31" s="8">
        <f>E18 * 0.85</f>
        <v/>
      </c>
      <c r="F31" s="8">
        <f>F18 * 0.85</f>
        <v/>
      </c>
      <c r="G31" s="8">
        <f>G18 * 0.85</f>
        <v/>
      </c>
      <c r="H31" s="8">
        <f>H18 * 0.85</f>
        <v/>
      </c>
      <c r="I31" s="8">
        <f>I18 * 0.85</f>
        <v/>
      </c>
    </row>
    <row r="32">
      <c r="B32" s="15" t="inlineStr">
        <is>
          <t>Total Non-Current Liabilities</t>
        </is>
      </c>
      <c r="C32" s="16">
        <f>SUM(C30:C31)</f>
        <v/>
      </c>
      <c r="D32" s="16">
        <f>SUM(D30:D31)</f>
        <v/>
      </c>
      <c r="E32" s="16">
        <f>SUM(E30:E31)</f>
        <v/>
      </c>
      <c r="F32" s="16">
        <f>SUM(F30:F31)</f>
        <v/>
      </c>
      <c r="G32" s="16">
        <f>SUM(G30:G31)</f>
        <v/>
      </c>
      <c r="H32" s="16">
        <f>SUM(H30:H31)</f>
        <v/>
      </c>
      <c r="I32" s="16">
        <f>SUM(I30:I31)</f>
        <v/>
      </c>
    </row>
    <row r="33">
      <c r="B33" s="9" t="inlineStr">
        <is>
          <t>TOTAL LIABILITIES</t>
        </is>
      </c>
      <c r="C33" s="21">
        <f>C27 + C32</f>
        <v/>
      </c>
      <c r="D33" s="21">
        <f>D27 + D32</f>
        <v/>
      </c>
      <c r="E33" s="21">
        <f>E27 + E32</f>
        <v/>
      </c>
      <c r="F33" s="21">
        <f>F27 + F32</f>
        <v/>
      </c>
      <c r="G33" s="21">
        <f>G27 + G32</f>
        <v/>
      </c>
      <c r="H33" s="21">
        <f>H27 + H32</f>
        <v/>
      </c>
      <c r="I33" s="21">
        <f>I27 + I32</f>
        <v/>
      </c>
    </row>
    <row r="34"/>
    <row r="35">
      <c r="B35" s="3" t="inlineStr">
        <is>
          <t>V. SHAREHOLDERS' EQUITY</t>
        </is>
      </c>
    </row>
    <row r="36">
      <c r="B36" s="7" t="inlineStr">
        <is>
          <t xml:space="preserve">  Share Capital &amp; Reserves</t>
        </is>
      </c>
      <c r="C36" s="8" t="n">
        <v>350</v>
      </c>
      <c r="D36" s="8" t="n">
        <v>350</v>
      </c>
      <c r="E36" s="8" t="n">
        <v>350</v>
      </c>
      <c r="F36" s="8" t="n">
        <v>350</v>
      </c>
      <c r="G36" s="8" t="n">
        <v>350</v>
      </c>
      <c r="H36" s="8" t="n">
        <v>350</v>
      </c>
      <c r="I36" s="8" t="n">
        <v>350</v>
      </c>
    </row>
    <row r="37">
      <c r="B37" s="7" t="inlineStr">
        <is>
          <t xml:space="preserve">  Retained Earnings &amp; Cumulative Reserves</t>
        </is>
      </c>
      <c r="C37" s="8">
        <f>C21 - C33 - C36</f>
        <v/>
      </c>
      <c r="D37" s="8">
        <f>D21 - D33 - D36</f>
        <v/>
      </c>
      <c r="E37" s="8">
        <f>E21 - E33 - E36</f>
        <v/>
      </c>
      <c r="F37" s="8">
        <f>F21 - F33 - F36</f>
        <v/>
      </c>
      <c r="G37" s="8">
        <f>G21 - G33 - G36</f>
        <v/>
      </c>
      <c r="H37" s="8">
        <f>H21 - H33 - H36</f>
        <v/>
      </c>
      <c r="I37" s="8">
        <f>I21 - I33 - I36</f>
        <v/>
      </c>
    </row>
    <row r="38">
      <c r="B38" s="15" t="inlineStr">
        <is>
          <t>TOTAL SHAREHOLDERS' EQUITY</t>
        </is>
      </c>
      <c r="C38" s="16">
        <f>SUM(C36:C37)</f>
        <v/>
      </c>
      <c r="D38" s="16">
        <f>SUM(D36:D37)</f>
        <v/>
      </c>
      <c r="E38" s="16">
        <f>SUM(E36:E37)</f>
        <v/>
      </c>
      <c r="F38" s="16">
        <f>SUM(F36:F37)</f>
        <v/>
      </c>
      <c r="G38" s="16">
        <f>SUM(G36:G37)</f>
        <v/>
      </c>
      <c r="H38" s="16">
        <f>SUM(H36:H37)</f>
        <v/>
      </c>
      <c r="I38" s="16">
        <f>SUM(I36:I37)</f>
        <v/>
      </c>
    </row>
    <row r="39">
      <c r="B39" s="19" t="inlineStr">
        <is>
          <t>TOTAL LIABILITIES &amp; EQUITY</t>
        </is>
      </c>
      <c r="C39" s="20">
        <f>C33 + C38</f>
        <v/>
      </c>
      <c r="D39" s="20">
        <f>D33 + D38</f>
        <v/>
      </c>
      <c r="E39" s="20">
        <f>E33 + E38</f>
        <v/>
      </c>
      <c r="F39" s="20">
        <f>F33 + F38</f>
        <v/>
      </c>
      <c r="G39" s="20">
        <f>G33 + G38</f>
        <v/>
      </c>
      <c r="H39" s="20">
        <f>H33 + H38</f>
        <v/>
      </c>
      <c r="I39" s="20">
        <f>I33 + I38</f>
        <v/>
      </c>
    </row>
    <row r="40"/>
    <row r="41">
      <c r="B41" s="5" t="inlineStr">
        <is>
          <t>BALANCE SHEET INTEGRITY CHECK (ASSETS - LIAB - EQUITY)</t>
        </is>
      </c>
      <c r="C41" s="27">
        <f>C21 - C39</f>
        <v/>
      </c>
      <c r="D41" s="27">
        <f>D21 - D39</f>
        <v/>
      </c>
      <c r="E41" s="27">
        <f>E21 - E39</f>
        <v/>
      </c>
      <c r="F41" s="27">
        <f>F21 - F39</f>
        <v/>
      </c>
      <c r="G41" s="27">
        <f>G21 - G39</f>
        <v/>
      </c>
      <c r="H41" s="27">
        <f>H21 - H39</f>
        <v/>
      </c>
      <c r="I41" s="27">
        <f>I21 - I39</f>
        <v/>
      </c>
    </row>
  </sheetData>
  <mergeCells count="1">
    <mergeCell ref="B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4"/>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Zorlu Enerji — Consolidated Cash Flow Statement</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CASH FLOW FROM OPERATING ACTIVITIES (CFO)</t>
        </is>
      </c>
    </row>
    <row r="7">
      <c r="B7" s="7" t="inlineStr">
        <is>
          <t xml:space="preserve">  Net Income (Profit After Tax)</t>
        </is>
      </c>
      <c r="C7" s="8">
        <f>'Income Statement (P&amp;L)'!C31</f>
        <v/>
      </c>
      <c r="D7" s="8">
        <f>'Income Statement (P&amp;L)'!D31</f>
        <v/>
      </c>
      <c r="E7" s="8">
        <f>'Income Statement (P&amp;L)'!E31</f>
        <v/>
      </c>
      <c r="F7" s="8">
        <f>'Income Statement (P&amp;L)'!F31</f>
        <v/>
      </c>
      <c r="G7" s="8">
        <f>'Income Statement (P&amp;L)'!G31</f>
        <v/>
      </c>
      <c r="H7" s="8">
        <f>'Income Statement (P&amp;L)'!H31</f>
        <v/>
      </c>
      <c r="I7" s="8">
        <f>'Income Statement (P&amp;L)'!I31</f>
        <v/>
      </c>
    </row>
    <row r="8">
      <c r="B8" s="7" t="inlineStr">
        <is>
          <t xml:space="preserve">  Add: Depreciation &amp; Amortization (D&amp;A)</t>
        </is>
      </c>
      <c r="C8" s="8">
        <f>'Income Statement (P&amp;L)'!C24</f>
        <v/>
      </c>
      <c r="D8" s="8">
        <f>'Income Statement (P&amp;L)'!D24</f>
        <v/>
      </c>
      <c r="E8" s="8">
        <f>'Income Statement (P&amp;L)'!E24</f>
        <v/>
      </c>
      <c r="F8" s="8">
        <f>'Income Statement (P&amp;L)'!F24</f>
        <v/>
      </c>
      <c r="G8" s="8">
        <f>'Income Statement (P&amp;L)'!G24</f>
        <v/>
      </c>
      <c r="H8" s="8">
        <f>'Income Statement (P&amp;L)'!H24</f>
        <v/>
      </c>
      <c r="I8" s="8">
        <f>'Income Statement (P&amp;L)'!I24</f>
        <v/>
      </c>
    </row>
    <row r="9">
      <c r="B9" s="7" t="inlineStr">
        <is>
          <t xml:space="preserve">  (Increase) / Decrease in Accounts Receivable</t>
        </is>
      </c>
      <c r="C9" s="8" t="n">
        <v>-15</v>
      </c>
      <c r="D9" s="8">
        <f>'Balance Sheet'!C8 - 'Balance Sheet'!D8</f>
        <v/>
      </c>
      <c r="E9" s="8">
        <f>'Balance Sheet'!D8 - 'Balance Sheet'!E8</f>
        <v/>
      </c>
      <c r="F9" s="8">
        <f>'Balance Sheet'!E8 - 'Balance Sheet'!F8</f>
        <v/>
      </c>
      <c r="G9" s="8">
        <f>'Balance Sheet'!F8 - 'Balance Sheet'!G8</f>
        <v/>
      </c>
      <c r="H9" s="8">
        <f>'Balance Sheet'!G8 - 'Balance Sheet'!H8</f>
        <v/>
      </c>
      <c r="I9" s="8">
        <f>'Balance Sheet'!H8 - 'Balance Sheet'!I8</f>
        <v/>
      </c>
    </row>
    <row r="10">
      <c r="B10" s="7" t="inlineStr">
        <is>
          <t xml:space="preserve">  (Increase) / Decrease in Inventories</t>
        </is>
      </c>
      <c r="C10" s="8" t="n">
        <v>-10</v>
      </c>
      <c r="D10" s="8">
        <f>'Balance Sheet'!C9 - 'Balance Sheet'!D9</f>
        <v/>
      </c>
      <c r="E10" s="8">
        <f>'Balance Sheet'!D9 - 'Balance Sheet'!E9</f>
        <v/>
      </c>
      <c r="F10" s="8">
        <f>'Balance Sheet'!E9 - 'Balance Sheet'!F9</f>
        <v/>
      </c>
      <c r="G10" s="8">
        <f>'Balance Sheet'!F9 - 'Balance Sheet'!G9</f>
        <v/>
      </c>
      <c r="H10" s="8">
        <f>'Balance Sheet'!G9 - 'Balance Sheet'!H9</f>
        <v/>
      </c>
      <c r="I10" s="8">
        <f>'Balance Sheet'!H9 - 'Balance Sheet'!I9</f>
        <v/>
      </c>
    </row>
    <row r="11">
      <c r="B11" s="7" t="inlineStr">
        <is>
          <t xml:space="preserve">  Increase / (Decrease) in Accounts Payable</t>
        </is>
      </c>
      <c r="C11" s="8" t="n">
        <v>12</v>
      </c>
      <c r="D11" s="8">
        <f>'Balance Sheet'!D24 - 'Balance Sheet'!C24</f>
        <v/>
      </c>
      <c r="E11" s="8">
        <f>'Balance Sheet'!E24 - 'Balance Sheet'!D24</f>
        <v/>
      </c>
      <c r="F11" s="8">
        <f>'Balance Sheet'!F24 - 'Balance Sheet'!E24</f>
        <v/>
      </c>
      <c r="G11" s="8">
        <f>'Balance Sheet'!G24 - 'Balance Sheet'!F24</f>
        <v/>
      </c>
      <c r="H11" s="8">
        <f>'Balance Sheet'!H24 - 'Balance Sheet'!G24</f>
        <v/>
      </c>
      <c r="I11" s="8">
        <f>'Balance Sheet'!I24 - 'Balance Sheet'!H24</f>
        <v/>
      </c>
    </row>
    <row r="12">
      <c r="B12" s="7" t="inlineStr">
        <is>
          <t xml:space="preserve">  Other Non-Cash &amp; Working Capital Changes</t>
        </is>
      </c>
      <c r="C12" s="8" t="n">
        <v>5</v>
      </c>
      <c r="D12" s="8" t="n">
        <v>5</v>
      </c>
      <c r="E12" s="8" t="n">
        <v>5</v>
      </c>
      <c r="F12" s="8" t="n">
        <v>5</v>
      </c>
      <c r="G12" s="8" t="n">
        <v>5</v>
      </c>
      <c r="H12" s="8" t="n">
        <v>5</v>
      </c>
      <c r="I12" s="8" t="n">
        <v>5</v>
      </c>
    </row>
    <row r="13"/>
    <row r="14">
      <c r="B14" s="19" t="inlineStr">
        <is>
          <t>Cash Flow from Operations (CFO)</t>
        </is>
      </c>
      <c r="C14" s="20">
        <f>SUM(C7:C12)</f>
        <v/>
      </c>
      <c r="D14" s="20">
        <f>SUM(D7:D12)</f>
        <v/>
      </c>
      <c r="E14" s="20">
        <f>SUM(E7:E12)</f>
        <v/>
      </c>
      <c r="F14" s="20">
        <f>SUM(F7:F12)</f>
        <v/>
      </c>
      <c r="G14" s="20">
        <f>SUM(G7:G12)</f>
        <v/>
      </c>
      <c r="H14" s="20">
        <f>SUM(H7:H12)</f>
        <v/>
      </c>
      <c r="I14" s="20">
        <f>SUM(I7:I12)</f>
        <v/>
      </c>
    </row>
    <row r="15">
      <c r="B15" s="3" t="inlineStr">
        <is>
          <t>II. CASH FLOW FROM INVESTING ACTIVITIES (CFI)</t>
        </is>
      </c>
    </row>
    <row r="16">
      <c r="B16" s="7" t="inlineStr">
        <is>
          <t xml:space="preserve">  Capital Expenditures (Capex - Maintenance &amp; Expansion)</t>
        </is>
      </c>
      <c r="C16" s="8" t="n">
        <v>-120</v>
      </c>
      <c r="D16" s="8" t="n">
        <v>-120</v>
      </c>
      <c r="E16" s="8" t="n">
        <v>1486.3</v>
      </c>
      <c r="F16" s="8" t="n">
        <v>1584.6</v>
      </c>
      <c r="G16" s="8" t="n">
        <v>-120</v>
      </c>
      <c r="H16" s="8" t="n">
        <v>-120</v>
      </c>
      <c r="I16" s="8" t="n">
        <v>-120</v>
      </c>
    </row>
    <row r="17">
      <c r="B17" s="7" t="inlineStr">
        <is>
          <t xml:space="preserve">  Proceeds from Asset Disposals &amp; Strategic Divestments</t>
        </is>
      </c>
      <c r="C17" s="8" t="n">
        <v>0</v>
      </c>
      <c r="D17" s="8" t="n">
        <v>10</v>
      </c>
      <c r="E17" s="8" t="n">
        <v>0</v>
      </c>
      <c r="F17" s="8" t="n">
        <v>10</v>
      </c>
      <c r="G17" s="8" t="n">
        <v>0</v>
      </c>
      <c r="H17" s="8" t="n">
        <v>10</v>
      </c>
      <c r="I17" s="8" t="n">
        <v>0</v>
      </c>
    </row>
    <row r="18">
      <c r="B18" s="15" t="inlineStr">
        <is>
          <t>Cash Flow from Investing Activities (CFI)</t>
        </is>
      </c>
      <c r="C18" s="16">
        <f>SUM(C16:C17)</f>
        <v/>
      </c>
      <c r="D18" s="16">
        <f>SUM(D16:D17)</f>
        <v/>
      </c>
      <c r="E18" s="16">
        <f>SUM(E16:E17)</f>
        <v/>
      </c>
      <c r="F18" s="16">
        <f>SUM(F16:F17)</f>
        <v/>
      </c>
      <c r="G18" s="16">
        <f>SUM(G16:G17)</f>
        <v/>
      </c>
      <c r="H18" s="16">
        <f>SUM(H16:H17)</f>
        <v/>
      </c>
      <c r="I18" s="16">
        <f>SUM(I16:I17)</f>
        <v/>
      </c>
    </row>
    <row r="19">
      <c r="B19" s="3" t="inlineStr">
        <is>
          <t>III. CASH FLOW FROM FINANCING ACTIVITIES (CFF)</t>
        </is>
      </c>
    </row>
    <row r="20">
      <c r="B20" s="7" t="inlineStr">
        <is>
          <t xml:space="preserve">  Proceeds from New Long-Term Debt Issuances</t>
        </is>
      </c>
      <c r="C20" s="8">
        <f>'Debt Schedule &amp; Tranches'!C19</f>
        <v/>
      </c>
      <c r="D20" s="8">
        <f>'Debt Schedule &amp; Tranches'!D19</f>
        <v/>
      </c>
      <c r="E20" s="8">
        <f>'Debt Schedule &amp; Tranches'!E19</f>
        <v/>
      </c>
      <c r="F20" s="8">
        <f>'Debt Schedule &amp; Tranches'!F19</f>
        <v/>
      </c>
      <c r="G20" s="8">
        <f>'Debt Schedule &amp; Tranches'!G19</f>
        <v/>
      </c>
      <c r="H20" s="8">
        <f>'Debt Schedule &amp; Tranches'!H19</f>
        <v/>
      </c>
      <c r="I20" s="8">
        <f>'Debt Schedule &amp; Tranches'!I19</f>
        <v/>
      </c>
    </row>
    <row r="21">
      <c r="B21" s="7" t="inlineStr">
        <is>
          <t xml:space="preserve">  Repayments of Maturing Debt &amp; Bank Loans</t>
        </is>
      </c>
      <c r="C21" s="8">
        <f>-'Debt Schedule &amp; Tranches'!C20</f>
        <v/>
      </c>
      <c r="D21" s="8">
        <f>-'Debt Schedule &amp; Tranches'!D20</f>
        <v/>
      </c>
      <c r="E21" s="8">
        <f>-'Debt Schedule &amp; Tranches'!E20</f>
        <v/>
      </c>
      <c r="F21" s="8">
        <f>-'Debt Schedule &amp; Tranches'!F20</f>
        <v/>
      </c>
      <c r="G21" s="8">
        <f>-'Debt Schedule &amp; Tranches'!G20</f>
        <v/>
      </c>
      <c r="H21" s="8">
        <f>-'Debt Schedule &amp; Tranches'!H20</f>
        <v/>
      </c>
      <c r="I21" s="8">
        <f>-'Debt Schedule &amp; Tranches'!I20</f>
        <v/>
      </c>
    </row>
    <row r="22">
      <c r="B22" s="7" t="inlineStr">
        <is>
          <t xml:space="preserve">  Principal Elements of Lease Payments</t>
        </is>
      </c>
      <c r="C22" s="8" t="n">
        <v>-15</v>
      </c>
      <c r="D22" s="8" t="n">
        <v>-15</v>
      </c>
      <c r="E22" s="8" t="n">
        <v>-15</v>
      </c>
      <c r="F22" s="8" t="n">
        <v>-15</v>
      </c>
      <c r="G22" s="8" t="n">
        <v>-15</v>
      </c>
      <c r="H22" s="8" t="n">
        <v>-15</v>
      </c>
      <c r="I22" s="8" t="n">
        <v>-15</v>
      </c>
    </row>
    <row r="23">
      <c r="B23" s="7" t="inlineStr">
        <is>
          <t xml:space="preserve">  Dividends Paid to Equity Shareholders</t>
        </is>
      </c>
      <c r="C23" s="8">
        <f>IF('Income Statement (P&amp;L)'!C31 &gt; 0, -'Income Statement (P&amp;L)'!C31 * 0.30, 0)</f>
        <v/>
      </c>
      <c r="D23" s="8">
        <f>IF('Income Statement (P&amp;L)'!D31 &gt; 0, -'Income Statement (P&amp;L)'!D31 * 0.30, 0)</f>
        <v/>
      </c>
      <c r="E23" s="8">
        <f>IF('Income Statement (P&amp;L)'!E31 &gt; 0, -'Income Statement (P&amp;L)'!E31 * 0.30, 0)</f>
        <v/>
      </c>
      <c r="F23" s="8">
        <f>IF('Income Statement (P&amp;L)'!F31 &gt; 0, -'Income Statement (P&amp;L)'!F31 * 0.30, 0)</f>
        <v/>
      </c>
      <c r="G23" s="8">
        <f>IF('Income Statement (P&amp;L)'!G31 &gt; 0, -'Income Statement (P&amp;L)'!G31 * 0.30, 0)</f>
        <v/>
      </c>
      <c r="H23" s="8">
        <f>IF('Income Statement (P&amp;L)'!H31 &gt; 0, -'Income Statement (P&amp;L)'!H31 * 0.30, 0)</f>
        <v/>
      </c>
      <c r="I23" s="8">
        <f>IF('Income Statement (P&amp;L)'!I31 &gt; 0, -'Income Statement (P&amp;L)'!I31 * 0.30, 0)</f>
        <v/>
      </c>
    </row>
    <row r="24">
      <c r="B24" s="15" t="inlineStr">
        <is>
          <t>Cash Flow from Financing Activities (CFF)</t>
        </is>
      </c>
      <c r="C24" s="16">
        <f>SUM(C20:C23)</f>
        <v/>
      </c>
      <c r="D24" s="16">
        <f>SUM(D20:D23)</f>
        <v/>
      </c>
      <c r="E24" s="16">
        <f>SUM(E20:E23)</f>
        <v/>
      </c>
      <c r="F24" s="16">
        <f>SUM(F20:F23)</f>
        <v/>
      </c>
      <c r="G24" s="16">
        <f>SUM(G20:G23)</f>
        <v/>
      </c>
      <c r="H24" s="16">
        <f>SUM(H20:H23)</f>
        <v/>
      </c>
      <c r="I24" s="16">
        <f>SUM(I20:I23)</f>
        <v/>
      </c>
    </row>
    <row r="25">
      <c r="B25" s="9" t="inlineStr">
        <is>
          <t>Net Change in Cash &amp; Cash Equivalents</t>
        </is>
      </c>
      <c r="C25" s="21">
        <f>C14 + C18 + C24</f>
        <v/>
      </c>
      <c r="D25" s="21">
        <f>D14 + D18 + D24</f>
        <v/>
      </c>
      <c r="E25" s="21">
        <f>E14 + E18 + E24</f>
        <v/>
      </c>
      <c r="F25" s="21">
        <f>F14 + F18 + F24</f>
        <v/>
      </c>
      <c r="G25" s="21">
        <f>G14 + G18 + G24</f>
        <v/>
      </c>
      <c r="H25" s="21">
        <f>H14 + H18 + H24</f>
        <v/>
      </c>
      <c r="I25" s="21">
        <f>I14 + I18 + I24</f>
        <v/>
      </c>
    </row>
    <row r="26">
      <c r="B26" s="19" t="inlineStr">
        <is>
          <t>Ending Cash &amp; Liquid Reserves (Feeds Balance Sheet)</t>
        </is>
      </c>
      <c r="C26" s="20" t="n">
        <v>150</v>
      </c>
      <c r="D26" s="20">
        <f>C26 + D25</f>
        <v/>
      </c>
      <c r="E26" s="20">
        <f>D26 + E25</f>
        <v/>
      </c>
      <c r="F26" s="20">
        <f>E26 + F25</f>
        <v/>
      </c>
      <c r="G26" s="20">
        <f>F26 + G25</f>
        <v/>
      </c>
      <c r="H26" s="20">
        <f>G26 + H25</f>
        <v/>
      </c>
      <c r="I26" s="20">
        <f>H26 + I25</f>
        <v/>
      </c>
    </row>
    <row r="27"/>
    <row r="28">
      <c r="B28" s="3" t="inlineStr">
        <is>
          <t>IV. FREE CASH FLOW (FCF) WATERFALL BRIDGE</t>
        </is>
      </c>
    </row>
    <row r="29">
      <c r="B29" s="19" t="inlineStr">
        <is>
          <t>Calculated Cash EBITDA (Operating Cash Profit)</t>
        </is>
      </c>
      <c r="C29" s="20">
        <f>'Income Statement (P&amp;L)'!C22</f>
        <v/>
      </c>
      <c r="D29" s="20">
        <f>'Income Statement (P&amp;L)'!D22</f>
        <v/>
      </c>
      <c r="E29" s="20">
        <f>'Income Statement (P&amp;L)'!E22</f>
        <v/>
      </c>
      <c r="F29" s="20">
        <f>'Income Statement (P&amp;L)'!F22</f>
        <v/>
      </c>
      <c r="G29" s="20">
        <f>'Income Statement (P&amp;L)'!G22</f>
        <v/>
      </c>
      <c r="H29" s="20">
        <f>'Income Statement (P&amp;L)'!H22</f>
        <v/>
      </c>
      <c r="I29" s="20">
        <f>'Income Statement (P&amp;L)'!I22</f>
        <v/>
      </c>
    </row>
    <row r="30">
      <c r="B30" s="7" t="inlineStr">
        <is>
          <t>Less: Capital Expenditures (Capex)</t>
        </is>
      </c>
      <c r="C30" s="8">
        <f>ABS(C16)</f>
        <v/>
      </c>
      <c r="D30" s="8">
        <f>ABS(D16)</f>
        <v/>
      </c>
      <c r="E30" s="8">
        <f>ABS(E16)</f>
        <v/>
      </c>
      <c r="F30" s="8">
        <f>ABS(F16)</f>
        <v/>
      </c>
      <c r="G30" s="8">
        <f>ABS(G16)</f>
        <v/>
      </c>
      <c r="H30" s="8">
        <f>ABS(H16)</f>
        <v/>
      </c>
      <c r="I30" s="8">
        <f>ABS(I16)</f>
        <v/>
      </c>
    </row>
    <row r="31">
      <c r="B31" s="7" t="inlineStr">
        <is>
          <t>Less: Net Cash Interest Paid</t>
        </is>
      </c>
      <c r="C31" s="8">
        <f>'Debt Schedule &amp; Tranches'!C28</f>
        <v/>
      </c>
      <c r="D31" s="8">
        <f>'Debt Schedule &amp; Tranches'!D28</f>
        <v/>
      </c>
      <c r="E31" s="8">
        <f>'Debt Schedule &amp; Tranches'!E28</f>
        <v/>
      </c>
      <c r="F31" s="8">
        <f>'Debt Schedule &amp; Tranches'!F28</f>
        <v/>
      </c>
      <c r="G31" s="8">
        <f>'Debt Schedule &amp; Tranches'!G28</f>
        <v/>
      </c>
      <c r="H31" s="8">
        <f>'Debt Schedule &amp; Tranches'!H28</f>
        <v/>
      </c>
      <c r="I31" s="8">
        <f>'Debt Schedule &amp; Tranches'!I28</f>
        <v/>
      </c>
    </row>
    <row r="32">
      <c r="B32" s="7" t="inlineStr">
        <is>
          <t>Less: Net Working Capital Investment (ΔNWC)</t>
        </is>
      </c>
      <c r="C32" s="8" t="n">
        <v>-658.1</v>
      </c>
      <c r="D32" s="8" t="n">
        <v>8619</v>
      </c>
      <c r="E32" s="8" t="n">
        <v>14293.4</v>
      </c>
      <c r="F32" s="8" t="n">
        <v>10</v>
      </c>
      <c r="G32" s="8" t="n">
        <v>10</v>
      </c>
      <c r="H32" s="8" t="n">
        <v>10</v>
      </c>
      <c r="I32" s="8" t="n">
        <v>10</v>
      </c>
    </row>
    <row r="33">
      <c r="B33" s="7" t="inlineStr">
        <is>
          <t>Less: Cash Income Taxes Paid</t>
        </is>
      </c>
      <c r="C33" s="8">
        <f>'Income Statement (P&amp;L)'!C30</f>
        <v/>
      </c>
      <c r="D33" s="8">
        <f>'Income Statement (P&amp;L)'!D30</f>
        <v/>
      </c>
      <c r="E33" s="8">
        <f>'Income Statement (P&amp;L)'!E30</f>
        <v/>
      </c>
      <c r="F33" s="8">
        <f>'Income Statement (P&amp;L)'!F30</f>
        <v/>
      </c>
      <c r="G33" s="8">
        <f>'Income Statement (P&amp;L)'!G30</f>
        <v/>
      </c>
      <c r="H33" s="8">
        <f>'Income Statement (P&amp;L)'!H30</f>
        <v/>
      </c>
      <c r="I33" s="8">
        <f>'Income Statement (P&amp;L)'!I30</f>
        <v/>
      </c>
    </row>
    <row r="34">
      <c r="B34" s="19" t="inlineStr">
        <is>
          <t>FREE CASH FLOW (FCF = EBITDA - Capex - Interest - ΔNWC - Tax)</t>
        </is>
      </c>
      <c r="C34" s="20">
        <f>C29 - C30 - C31 - C32 - C33</f>
        <v/>
      </c>
      <c r="D34" s="20">
        <f>D29 - D30 - D31 - D32 - D33</f>
        <v/>
      </c>
      <c r="E34" s="20">
        <f>E29 - E30 - E31 - E32 - E33</f>
        <v/>
      </c>
      <c r="F34" s="20">
        <f>F29 - F30 - F31 - F32 - F33</f>
        <v/>
      </c>
      <c r="G34" s="20">
        <f>G29 - G30 - G31 - G32 - G33</f>
        <v/>
      </c>
      <c r="H34" s="20">
        <f>H29 - H30 - H31 - H32 - H33</f>
        <v/>
      </c>
      <c r="I34" s="20">
        <f>I29 - I30 - I31 - I32 - I33</f>
        <v/>
      </c>
    </row>
    <row r="35">
      <c r="B35" s="9" t="inlineStr">
        <is>
          <t>FCF Conversion Ratio (% of EBITDA)</t>
        </is>
      </c>
      <c r="C35" s="22">
        <f>C34 / C29</f>
        <v/>
      </c>
      <c r="D35" s="22">
        <f>D34 / D29</f>
        <v/>
      </c>
      <c r="E35" s="22">
        <f>E34 / E29</f>
        <v/>
      </c>
      <c r="F35" s="22">
        <f>F34 / F29</f>
        <v/>
      </c>
      <c r="G35" s="22">
        <f>G34 / G29</f>
        <v/>
      </c>
      <c r="H35" s="22">
        <f>H34 / H29</f>
        <v/>
      </c>
      <c r="I35" s="22">
        <f>I34 / I29</f>
        <v/>
      </c>
    </row>
    <row r="36"/>
    <row r="37">
      <c r="B37" s="3" t="inlineStr">
        <is>
          <t>V. FREE CASH FLOW COMMENTARY &amp; CAPITAL ALLOCATION</t>
        </is>
      </c>
    </row>
    <row r="38">
      <c r="B38" s="26" t="inlineStr">
        <is>
          <t>[2021A] Positive organic cash generation supporting liquidity and debt service.</t>
        </is>
      </c>
    </row>
    <row r="39">
      <c r="B39" s="26" t="inlineStr">
        <is>
          <t>[2022A] Positive organic cash generation supporting liquidity and debt service.</t>
        </is>
      </c>
    </row>
    <row r="40">
      <c r="B40" s="26" t="inlineStr">
        <is>
          <t>[2023A] Positive organic cash generation supporting liquidity and debt service.</t>
        </is>
      </c>
    </row>
    <row r="41">
      <c r="B41" s="26" t="inlineStr">
        <is>
          <t>[2024A] Positive organic cash generation supporting liquidity and debt service.</t>
        </is>
      </c>
    </row>
    <row r="42">
      <c r="B42" s="26" t="inlineStr">
        <is>
          <t>[2025E] Positive organic cash generation supporting liquidity and debt service.</t>
        </is>
      </c>
    </row>
    <row r="43">
      <c r="B43" s="26" t="inlineStr">
        <is>
          <t>[2026E] Positive organic cash generation supporting liquidity and debt service.</t>
        </is>
      </c>
    </row>
    <row r="44">
      <c r="B44" s="26" t="inlineStr">
        <is>
          <t>[2027E] Positive organic cash generation supporting liquidity and debt service.</t>
        </is>
      </c>
    </row>
  </sheetData>
  <mergeCells count="8">
    <mergeCell ref="B44:I44"/>
    <mergeCell ref="B39:I39"/>
    <mergeCell ref="B38:I38"/>
    <mergeCell ref="B2:I2"/>
    <mergeCell ref="B42:I42"/>
    <mergeCell ref="B43:I43"/>
    <mergeCell ref="B41:I41"/>
    <mergeCell ref="B40:I40"/>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L63"/>
  <sheetViews>
    <sheetView showGridLines="1" workbookViewId="0">
      <selection activeCell="A1" sqref="A1"/>
    </sheetView>
  </sheetViews>
  <sheetFormatPr baseColWidth="8" defaultRowHeight="15"/>
  <cols>
    <col width="6" customWidth="1" min="1" max="1"/>
    <col width="38" customWidth="1" min="2" max="2"/>
    <col width="98" customWidth="1" min="3" max="3"/>
    <col width="45" customWidth="1" min="4" max="4"/>
    <col width="78" customWidth="1" min="5" max="5"/>
    <col width="59" customWidth="1" min="6" max="6"/>
    <col width="15" customWidth="1" min="7" max="7"/>
    <col width="14" customWidth="1" min="8" max="8"/>
    <col width="77" customWidth="1" min="9" max="9"/>
    <col width="54" customWidth="1" min="10" max="10"/>
    <col width="14" customWidth="1" min="11" max="11"/>
    <col width="14" customWidth="1" min="12" max="12"/>
  </cols>
  <sheetData>
    <row r="1"/>
    <row r="2">
      <c r="B2" s="1" t="inlineStr">
        <is>
          <t>Zorlu Enerji — Comprehensive Debt &amp; Amortization Schedule</t>
        </is>
      </c>
    </row>
    <row r="3"/>
    <row r="4">
      <c r="B4" s="5" t="inlineStr">
        <is>
          <t>Instrument / 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ZOREN Benchmark Eurobond Notes</t>
        </is>
      </c>
    </row>
    <row r="7">
      <c r="B7" s="7" t="inlineStr">
        <is>
          <t xml:space="preserve">  Beginning Principal Balance</t>
        </is>
      </c>
      <c r="C7" s="8" t="n">
        <v>360</v>
      </c>
      <c r="D7" s="8">
        <f>C10</f>
        <v/>
      </c>
      <c r="E7" s="8">
        <f>D10</f>
        <v/>
      </c>
      <c r="F7" s="8">
        <f>E10</f>
        <v/>
      </c>
      <c r="G7" s="8">
        <f>F10</f>
        <v/>
      </c>
      <c r="H7" s="8">
        <f>G10</f>
        <v/>
      </c>
      <c r="I7" s="8">
        <f>H10</f>
        <v/>
      </c>
    </row>
    <row r="8">
      <c r="B8" s="7" t="inlineStr">
        <is>
          <t xml:space="preserve">  New Notes Issued</t>
        </is>
      </c>
      <c r="C8" s="8" t="n">
        <v>0</v>
      </c>
      <c r="D8" s="8" t="n">
        <v>0</v>
      </c>
      <c r="E8" s="8" t="n">
        <v>120</v>
      </c>
      <c r="F8" s="8" t="n">
        <v>0</v>
      </c>
      <c r="G8" s="8" t="n">
        <v>0</v>
      </c>
      <c r="H8" s="8" t="n">
        <v>0</v>
      </c>
      <c r="I8" s="8" t="n">
        <v>0</v>
      </c>
    </row>
    <row r="9">
      <c r="B9" s="7" t="inlineStr">
        <is>
          <t xml:space="preserve">  Repayments / Redemptions</t>
        </is>
      </c>
      <c r="C9" s="8" t="n">
        <v>0</v>
      </c>
      <c r="D9" s="8" t="n">
        <v>0</v>
      </c>
      <c r="E9" s="8" t="n">
        <v>0</v>
      </c>
      <c r="F9" s="8" t="n">
        <v>0</v>
      </c>
      <c r="G9" s="8" t="n">
        <v>80</v>
      </c>
      <c r="H9" s="8" t="n">
        <v>0</v>
      </c>
      <c r="I9" s="8" t="n">
        <v>0</v>
      </c>
    </row>
    <row r="10">
      <c r="B10" s="9" t="inlineStr">
        <is>
          <t xml:space="preserve">  Ending Principal Balance</t>
        </is>
      </c>
      <c r="C10" s="21">
        <f>C7 + C8 - C9</f>
        <v/>
      </c>
      <c r="D10" s="21">
        <f>D7 + D8 - D9</f>
        <v/>
      </c>
      <c r="E10" s="21">
        <f>E7 + E8 - E9</f>
        <v/>
      </c>
      <c r="F10" s="21">
        <f>F7 + F8 - F9</f>
        <v/>
      </c>
      <c r="G10" s="21">
        <f>G7 + G8 - G9</f>
        <v/>
      </c>
      <c r="H10" s="21">
        <f>H7 + H8 - H9</f>
        <v/>
      </c>
      <c r="I10" s="21">
        <f>I7 + I8 - I9</f>
        <v/>
      </c>
    </row>
    <row r="11">
      <c r="B11" s="7" t="inlineStr">
        <is>
          <t xml:space="preserve">  Interest Expense (Calculated)</t>
        </is>
      </c>
      <c r="C11" s="8">
        <f>C10 * 0.2720</f>
        <v/>
      </c>
      <c r="D11" s="8">
        <f>D10 * 0.2720</f>
        <v/>
      </c>
      <c r="E11" s="8">
        <f>E10 * 0.2720</f>
        <v/>
      </c>
      <c r="F11" s="8">
        <f>F10 * 0.2720</f>
        <v/>
      </c>
      <c r="G11" s="8">
        <f>G10 * 0.2720</f>
        <v/>
      </c>
      <c r="H11" s="8">
        <f>H10 * 0.2720</f>
        <v/>
      </c>
      <c r="I11" s="8">
        <f>I10 * 0.2720</f>
        <v/>
      </c>
    </row>
    <row r="12"/>
    <row r="13">
      <c r="B13" s="3" t="inlineStr">
        <is>
          <t>II. Syndicated Bank Loans &amp; Credit Lines</t>
        </is>
      </c>
    </row>
    <row r="14">
      <c r="B14" s="7" t="inlineStr">
        <is>
          <t xml:space="preserve">  Beginning Balance</t>
        </is>
      </c>
      <c r="C14" s="8" t="n">
        <v>440</v>
      </c>
      <c r="D14" s="8">
        <f>C17</f>
        <v/>
      </c>
      <c r="E14" s="8">
        <f>D17</f>
        <v/>
      </c>
      <c r="F14" s="8">
        <f>E17</f>
        <v/>
      </c>
      <c r="G14" s="8">
        <f>F17</f>
        <v/>
      </c>
      <c r="H14" s="8">
        <f>G17</f>
        <v/>
      </c>
      <c r="I14" s="8">
        <f>H17</f>
        <v/>
      </c>
    </row>
    <row r="15">
      <c r="B15" s="7" t="inlineStr">
        <is>
          <t xml:space="preserve">  New Drawdowns</t>
        </is>
      </c>
      <c r="C15" s="8" t="n">
        <v>0</v>
      </c>
      <c r="D15" s="8" t="n">
        <v>50</v>
      </c>
      <c r="E15" s="8" t="n">
        <v>0</v>
      </c>
      <c r="F15" s="8" t="n">
        <v>50</v>
      </c>
      <c r="G15" s="8" t="n">
        <v>0</v>
      </c>
      <c r="H15" s="8" t="n">
        <v>50</v>
      </c>
      <c r="I15" s="8" t="n">
        <v>0</v>
      </c>
    </row>
    <row r="16">
      <c r="B16" s="7" t="inlineStr">
        <is>
          <t xml:space="preserve">  Scheduled Amortizations</t>
        </is>
      </c>
      <c r="C16" s="8" t="n">
        <v>20</v>
      </c>
      <c r="D16" s="8" t="n">
        <v>20</v>
      </c>
      <c r="E16" s="8" t="n">
        <v>40</v>
      </c>
      <c r="F16" s="8" t="n">
        <v>40</v>
      </c>
      <c r="G16" s="8" t="n">
        <v>40</v>
      </c>
      <c r="H16" s="8" t="n">
        <v>40</v>
      </c>
      <c r="I16" s="8" t="n">
        <v>40</v>
      </c>
    </row>
    <row r="17">
      <c r="B17" s="9" t="inlineStr">
        <is>
          <t xml:space="preserve">  Ending Balance</t>
        </is>
      </c>
      <c r="C17" s="21">
        <f>C14 + C15 - C16</f>
        <v/>
      </c>
      <c r="D17" s="21">
        <f>D14 + D15 - D16</f>
        <v/>
      </c>
      <c r="E17" s="21">
        <f>E14 + E15 - E16</f>
        <v/>
      </c>
      <c r="F17" s="21">
        <f>F14 + F15 - F16</f>
        <v/>
      </c>
      <c r="G17" s="21">
        <f>G14 + G15 - G16</f>
        <v/>
      </c>
      <c r="H17" s="21">
        <f>H14 + H15 - H16</f>
        <v/>
      </c>
      <c r="I17" s="21">
        <f>I14 + I15 - I16</f>
        <v/>
      </c>
    </row>
    <row r="18">
      <c r="B18" s="7" t="inlineStr">
        <is>
          <t xml:space="preserve">  Interest Expense</t>
        </is>
      </c>
      <c r="C18" s="8">
        <f>C17 * 0.0625</f>
        <v/>
      </c>
      <c r="D18" s="8">
        <f>D17 * 0.0625</f>
        <v/>
      </c>
      <c r="E18" s="8">
        <f>E17 * 0.0625</f>
        <v/>
      </c>
      <c r="F18" s="8">
        <f>F17 * 0.0625</f>
        <v/>
      </c>
      <c r="G18" s="8">
        <f>G17 * 0.0625</f>
        <v/>
      </c>
      <c r="H18" s="8">
        <f>H17 * 0.0625</f>
        <v/>
      </c>
      <c r="I18" s="8">
        <f>I17 * 0.0625</f>
        <v/>
      </c>
    </row>
    <row r="19">
      <c r="B19" s="9" t="inlineStr">
        <is>
          <t>Total New Debt Proceeds (Feeds CFF)</t>
        </is>
      </c>
      <c r="C19" s="21">
        <f>C8 + C15</f>
        <v/>
      </c>
      <c r="D19" s="21">
        <f>D8 + D15</f>
        <v/>
      </c>
      <c r="E19" s="21">
        <f>E8 + E15</f>
        <v/>
      </c>
      <c r="F19" s="21">
        <f>F8 + F15</f>
        <v/>
      </c>
      <c r="G19" s="21">
        <f>G8 + G15</f>
        <v/>
      </c>
      <c r="H19" s="21">
        <f>H8 + H15</f>
        <v/>
      </c>
      <c r="I19" s="21">
        <f>I8 + I15</f>
        <v/>
      </c>
    </row>
    <row r="20">
      <c r="B20" s="9" t="inlineStr">
        <is>
          <t>Total Debt Repayments (Feeds CFF)</t>
        </is>
      </c>
      <c r="C20" s="21">
        <f>C9 + C16</f>
        <v/>
      </c>
      <c r="D20" s="21">
        <f>D9 + D16</f>
        <v/>
      </c>
      <c r="E20" s="21">
        <f>E9 + E16</f>
        <v/>
      </c>
      <c r="F20" s="21">
        <f>F9 + F16</f>
        <v/>
      </c>
      <c r="G20" s="21">
        <f>G9 + G16</f>
        <v/>
      </c>
      <c r="H20" s="21">
        <f>H9 + H16</f>
        <v/>
      </c>
      <c r="I20" s="21">
        <f>I9 + I16</f>
        <v/>
      </c>
    </row>
    <row r="21">
      <c r="B21" s="3" t="inlineStr">
        <is>
          <t>III. CONSOLIDATED DEBT TOTALS</t>
        </is>
      </c>
    </row>
    <row r="22">
      <c r="B22" s="7" t="inlineStr">
        <is>
          <t>Short-Term Debt &amp; Current Portion</t>
        </is>
      </c>
      <c r="C22" s="8">
        <f>C20</f>
        <v/>
      </c>
      <c r="D22" s="8">
        <f>D20</f>
        <v/>
      </c>
      <c r="E22" s="8">
        <f>E20</f>
        <v/>
      </c>
      <c r="F22" s="8">
        <f>F20</f>
        <v/>
      </c>
      <c r="G22" s="8">
        <f>G20</f>
        <v/>
      </c>
      <c r="H22" s="8">
        <f>H20</f>
        <v/>
      </c>
      <c r="I22" s="8">
        <f>I20</f>
        <v/>
      </c>
    </row>
    <row r="23">
      <c r="B23" s="7" t="inlineStr">
        <is>
          <t>Long-Term Senior Debt</t>
        </is>
      </c>
      <c r="C23" s="8">
        <f>(C10 + C17) - C22</f>
        <v/>
      </c>
      <c r="D23" s="8">
        <f>(D10 + D17) - D22</f>
        <v/>
      </c>
      <c r="E23" s="8">
        <f>(E10 + E17) - E22</f>
        <v/>
      </c>
      <c r="F23" s="8">
        <f>(F10 + F17) - F22</f>
        <v/>
      </c>
      <c r="G23" s="8">
        <f>(G10 + G17) - G22</f>
        <v/>
      </c>
      <c r="H23" s="8">
        <f>(H10 + H17) - H22</f>
        <v/>
      </c>
      <c r="I23" s="8">
        <f>(I10 + I17) - I22</f>
        <v/>
      </c>
    </row>
    <row r="24">
      <c r="B24" s="9" t="inlineStr">
        <is>
          <t>Consolidated Gross Debt</t>
        </is>
      </c>
      <c r="C24" s="16">
        <f>C22 + C23</f>
        <v/>
      </c>
      <c r="D24" s="16">
        <f>D22 + D23</f>
        <v/>
      </c>
      <c r="E24" s="16">
        <f>E22 + E23</f>
        <v/>
      </c>
      <c r="F24" s="16">
        <f>F22 + F23</f>
        <v/>
      </c>
      <c r="G24" s="16">
        <f>G22 + G23</f>
        <v/>
      </c>
      <c r="H24" s="16">
        <f>H22 + H23</f>
        <v/>
      </c>
      <c r="I24" s="16">
        <f>I22 + I23</f>
        <v/>
      </c>
    </row>
    <row r="25">
      <c r="B25" s="7" t="inlineStr">
        <is>
          <t>Less: Cash &amp; Liquid Reserves</t>
        </is>
      </c>
      <c r="C25" s="8">
        <f>'Balance Sheet'!C7</f>
        <v/>
      </c>
      <c r="D25" s="8">
        <f>'Balance Sheet'!D7</f>
        <v/>
      </c>
      <c r="E25" s="8">
        <f>'Balance Sheet'!E7</f>
        <v/>
      </c>
      <c r="F25" s="8">
        <f>'Balance Sheet'!F7</f>
        <v/>
      </c>
      <c r="G25" s="8">
        <f>'Balance Sheet'!G7</f>
        <v/>
      </c>
      <c r="H25" s="8">
        <f>'Balance Sheet'!H7</f>
        <v/>
      </c>
      <c r="I25" s="8">
        <f>'Balance Sheet'!I7</f>
        <v/>
      </c>
    </row>
    <row r="26">
      <c r="B26" s="9" t="inlineStr">
        <is>
          <t>CONSOLIDATED NET DEBT</t>
        </is>
      </c>
      <c r="C26" s="20">
        <f>C24 - C25</f>
        <v/>
      </c>
      <c r="D26" s="20">
        <f>D24 - D25</f>
        <v/>
      </c>
      <c r="E26" s="20">
        <f>E24 - E25</f>
        <v/>
      </c>
      <c r="F26" s="20">
        <f>F24 - F25</f>
        <v/>
      </c>
      <c r="G26" s="20">
        <f>G24 - G25</f>
        <v/>
      </c>
      <c r="H26" s="20">
        <f>H24 - H25</f>
        <v/>
      </c>
      <c r="I26" s="20">
        <f>I24 - I25</f>
        <v/>
      </c>
    </row>
    <row r="27">
      <c r="B27" s="7" t="inlineStr">
        <is>
          <t>Gross Finance / Interest Expense</t>
        </is>
      </c>
      <c r="C27" s="8">
        <f>C11 + C18</f>
        <v/>
      </c>
      <c r="D27" s="8">
        <f>D11 + D18</f>
        <v/>
      </c>
      <c r="E27" s="8">
        <f>E11 + E18</f>
        <v/>
      </c>
      <c r="F27" s="8">
        <f>F11 + F18</f>
        <v/>
      </c>
      <c r="G27" s="8">
        <f>G11 + G18</f>
        <v/>
      </c>
      <c r="H27" s="8">
        <f>H11 + H18</f>
        <v/>
      </c>
      <c r="I27" s="8">
        <f>I11 + I18</f>
        <v/>
      </c>
    </row>
    <row r="28">
      <c r="B28" s="19" t="inlineStr">
        <is>
          <t>NET FINANCE COST / INTEREST EXPENSE (Feeds P&amp;L)</t>
        </is>
      </c>
      <c r="C28" s="20">
        <f>C27 - (C25 * 0.025)</f>
        <v/>
      </c>
      <c r="D28" s="20">
        <f>D27 - (D25 * 0.025)</f>
        <v/>
      </c>
      <c r="E28" s="20">
        <f>E27 - (E25 * 0.025)</f>
        <v/>
      </c>
      <c r="F28" s="20">
        <f>F27 - (F25 * 0.025)</f>
        <v/>
      </c>
      <c r="G28" s="20">
        <f>G27 - (G25 * 0.025)</f>
        <v/>
      </c>
      <c r="H28" s="20">
        <f>H27 - (H25 * 0.025)</f>
        <v/>
      </c>
      <c r="I28" s="20">
        <f>I27 - (I25 * 0.025)</f>
        <v/>
      </c>
    </row>
    <row r="29"/>
    <row r="30">
      <c r="B30" s="3" t="inlineStr">
        <is>
          <t>IV. DEBT MATURITY WALL SCHEDULE (USD M)</t>
        </is>
      </c>
    </row>
    <row r="31">
      <c r="B31" s="28" t="inlineStr">
        <is>
          <t>2025</t>
        </is>
      </c>
      <c r="C31" s="28" t="inlineStr">
        <is>
          <t>2026</t>
        </is>
      </c>
      <c r="D31" s="28" t="inlineStr">
        <is>
          <t>2027</t>
        </is>
      </c>
      <c r="E31" s="28" t="inlineStr">
        <is>
          <t>2028</t>
        </is>
      </c>
      <c r="F31" s="28" t="inlineStr">
        <is>
          <t>2029</t>
        </is>
      </c>
      <c r="G31" s="28" t="inlineStr">
        <is>
          <t>2030+</t>
        </is>
      </c>
    </row>
    <row r="32">
      <c r="B32" s="8" t="n">
        <v>7182.7</v>
      </c>
      <c r="C32" s="8" t="n">
        <v>13168.3</v>
      </c>
      <c r="D32" s="8" t="n">
        <v>16759.6</v>
      </c>
      <c r="E32" s="8" t="n">
        <v>10774</v>
      </c>
      <c r="F32" s="8" t="n">
        <v>7182.7</v>
      </c>
      <c r="G32" s="8" t="n">
        <v>4788.5</v>
      </c>
    </row>
    <row r="33"/>
    <row r="34"/>
    <row r="35">
      <c r="B35" s="3" t="inlineStr">
        <is>
          <t>V. TRANCHE-BY-TRANCHE CAPITAL STRUCTURE &amp; PRICING DETAIL</t>
        </is>
      </c>
    </row>
    <row r="36">
      <c r="B36" s="5" t="inlineStr">
        <is>
          <t>Tranche / Instrument Name</t>
        </is>
      </c>
      <c r="C36" s="5" t="inlineStr">
        <is>
          <t>Instrument Type</t>
        </is>
      </c>
      <c r="D36" s="5" t="inlineStr">
        <is>
          <t>Ccy</t>
        </is>
      </c>
      <c r="E36" s="6" t="inlineStr">
        <is>
          <t>Amount Outstanding ($M)</t>
        </is>
      </c>
      <c r="F36" s="6" t="inlineStr">
        <is>
          <t>Coupon / Margin</t>
        </is>
      </c>
      <c r="G36" s="6" t="inlineStr">
        <is>
          <t>Clean Price</t>
        </is>
      </c>
      <c r="H36" s="6" t="inlineStr">
        <is>
          <t>YTM (%)</t>
        </is>
      </c>
      <c r="I36" s="5" t="inlineStr">
        <is>
          <t>Seniority / Security</t>
        </is>
      </c>
      <c r="J36" s="5" t="inlineStr">
        <is>
          <t>Governing Law</t>
        </is>
      </c>
    </row>
    <row r="37">
      <c r="B37" s="9" t="inlineStr">
        <is>
          <t>ZOREN 11.000% Senior Notes Due 2030 (Eurobond)</t>
        </is>
      </c>
      <c r="C37" s="7" t="inlineStr">
        <is>
          <t>Senior Guaranteed Sustainability-Linked Notes (RegS/144A)</t>
        </is>
      </c>
      <c r="D37" s="29" t="inlineStr">
        <is>
          <t>USD</t>
        </is>
      </c>
      <c r="E37" s="21" t="n">
        <v>1100</v>
      </c>
      <c r="F37" s="30" t="inlineStr">
        <is>
          <t>11.000%</t>
        </is>
      </c>
      <c r="G37" s="31" t="n">
        <v>63.5</v>
      </c>
      <c r="H37" s="32" t="n">
        <v>27.2</v>
      </c>
      <c r="I37" s="7" t="inlineStr">
        <is>
          <t>Senior Unsecured HoldCo (Structurally Subordinated)</t>
        </is>
      </c>
      <c r="J37" s="17" t="inlineStr">
        <is>
          <t>English Law / Euronext Dublin (ISIN: XS2926261426)</t>
        </is>
      </c>
    </row>
    <row r="38">
      <c r="B38" s="9" t="inlineStr">
        <is>
          <t>ADB Distribution Rehabilitation Concessional Loan</t>
        </is>
      </c>
      <c r="C38" s="7" t="inlineStr">
        <is>
          <t>Multilateral DFI Concessional Loan (Asian Development Bank)</t>
        </is>
      </c>
      <c r="D38" s="29" t="inlineStr">
        <is>
          <t>TRY</t>
        </is>
      </c>
      <c r="E38" s="21" t="n">
        <v>115</v>
      </c>
      <c r="F38" s="30" t="inlineStr">
        <is>
          <t>Concessional Reference + Margin</t>
        </is>
      </c>
      <c r="G38" s="31" t="n">
        <v>100</v>
      </c>
      <c r="H38" s="32" t="n">
        <v>6.5</v>
      </c>
      <c r="I38" s="7" t="inlineStr">
        <is>
          <t>OpCo Senior Secured (OEDAŞ Grid Receivables &amp; IFRIC 12 Assets)</t>
        </is>
      </c>
      <c r="J38" s="17" t="inlineStr">
        <is>
          <t>English / Turkish Law</t>
        </is>
      </c>
    </row>
    <row r="39">
      <c r="B39" s="9" t="inlineStr">
        <is>
          <t>Turkish Commercial Bank Project Finance Facilities (Akbank, Garanti, İşbank)</t>
        </is>
      </c>
      <c r="C39" s="7" t="inlineStr">
        <is>
          <t>Syndicated &amp; Bilateral Project Finance Facilities</t>
        </is>
      </c>
      <c r="D39" s="29" t="inlineStr">
        <is>
          <t>TRY / USD</t>
        </is>
      </c>
      <c r="E39" s="21" t="n">
        <v>265</v>
      </c>
      <c r="F39" s="30" t="inlineStr">
        <is>
          <t>SOFR + 3.75% / Fixed 12.5%</t>
        </is>
      </c>
      <c r="G39" s="31" t="n">
        <v>100</v>
      </c>
      <c r="H39" s="32" t="n">
        <v>8.5</v>
      </c>
      <c r="I39" s="7" t="inlineStr">
        <is>
          <t>Senior Secured OpCo / Commercial Enterprise Pledge (Ticari İşletme Rehni)</t>
        </is>
      </c>
      <c r="J39" s="17" t="inlineStr">
        <is>
          <t>Turkish Law</t>
        </is>
      </c>
    </row>
    <row r="40">
      <c r="B40" s="9" t="inlineStr">
        <is>
          <t>Geothermal &amp; Wind Operating Project Loans (Kızıldere / Alaşehir)</t>
        </is>
      </c>
      <c r="C40" s="7" t="inlineStr">
        <is>
          <t>Senior Secured Project Finance</t>
        </is>
      </c>
      <c r="D40" s="29" t="inlineStr">
        <is>
          <t>USD</t>
        </is>
      </c>
      <c r="E40" s="21" t="n">
        <v>80</v>
      </c>
      <c r="F40" s="30" t="inlineStr">
        <is>
          <t>SOFR + 3.75%</t>
        </is>
      </c>
      <c r="G40" s="31" t="n">
        <v>100</v>
      </c>
      <c r="H40" s="32" t="n">
        <v>8.199999999999999</v>
      </c>
      <c r="I40" s="7" t="inlineStr">
        <is>
          <t>Senior Secured (1st Mortgages on Geothermal Fleet)</t>
        </is>
      </c>
      <c r="J40" s="17" t="inlineStr">
        <is>
          <t>Turkish / English Law</t>
        </is>
      </c>
    </row>
    <row r="41">
      <c r="B41" s="9" t="inlineStr">
        <is>
          <t>Local TL Corporate Bonds &amp; Sukuk (Özel Sektör Tahvili - ÖST)</t>
        </is>
      </c>
      <c r="C41" s="7" t="inlineStr">
        <is>
          <t>Domestic Turkish Lira Corporate Bonds &amp; Sukuk</t>
        </is>
      </c>
      <c r="D41" s="29" t="inlineStr">
        <is>
          <t>TRY</t>
        </is>
      </c>
      <c r="E41" s="21" t="n">
        <v>75</v>
      </c>
      <c r="F41" s="30" t="inlineStr">
        <is>
          <t>TLREF + 3.50%</t>
        </is>
      </c>
      <c r="G41" s="31" t="n">
        <v>92</v>
      </c>
      <c r="H41" s="32" t="n">
        <v>48.5</v>
      </c>
      <c r="I41" s="7" t="inlineStr">
        <is>
          <t>Senior Unsecured Issuer Level (Pari Passu with Eurobond)</t>
        </is>
      </c>
      <c r="J41" s="17" t="inlineStr">
        <is>
          <t>Turkish Capital Markets Law (SPK / BIST)</t>
        </is>
      </c>
    </row>
    <row r="42">
      <c r="B42" s="9" t="inlineStr">
        <is>
          <t>HoldCo Bilateral Bank Lines &amp; Overdrafts</t>
        </is>
      </c>
      <c r="C42" s="7" t="inlineStr">
        <is>
          <t>Short-Term Commercial Facilities &amp; Bank Credit Lines</t>
        </is>
      </c>
      <c r="D42" s="29" t="inlineStr">
        <is>
          <t>TRY / USD</t>
        </is>
      </c>
      <c r="E42" s="21" t="n">
        <v>50</v>
      </c>
      <c r="F42" s="30" t="inlineStr">
        <is>
          <t>Commercial Floating</t>
        </is>
      </c>
      <c r="G42" s="31" t="n">
        <v>100</v>
      </c>
      <c r="H42" s="32" t="n">
        <v>12</v>
      </c>
      <c r="I42" s="7" t="inlineStr">
        <is>
          <t>Senior Unsecured Issuer Level</t>
        </is>
      </c>
      <c r="J42" s="17" t="inlineStr">
        <is>
          <t>Turkish Commercial Code</t>
        </is>
      </c>
    </row>
    <row r="43">
      <c r="B43" s="9" t="inlineStr">
        <is>
          <t>Lease Liabilities (TFRS 16)</t>
        </is>
      </c>
      <c r="C43" s="7" t="inlineStr">
        <is>
          <t>Capital &amp; Operating Lease Obligations</t>
        </is>
      </c>
      <c r="D43" s="29" t="inlineStr">
        <is>
          <t>TRY</t>
        </is>
      </c>
      <c r="E43" s="21" t="n">
        <v>5.2</v>
      </c>
      <c r="F43" s="30" t="inlineStr">
        <is>
          <t>Implied Discount Rate</t>
        </is>
      </c>
      <c r="G43" s="31" t="n">
        <v>100</v>
      </c>
      <c r="H43" s="32" t="n">
        <v>7</v>
      </c>
      <c r="I43" s="7" t="inlineStr">
        <is>
          <t>Senior Operating Liabilities</t>
        </is>
      </c>
      <c r="J43" s="17" t="inlineStr">
        <is>
          <t>Turkish Law</t>
        </is>
      </c>
    </row>
    <row r="44"/>
    <row r="45">
      <c r="B45" s="3" t="inlineStr">
        <is>
          <t>VI. REVOLVING CREDIT FACILITY (RCF) &amp; BANK LIQUIDITY RUNWAY</t>
        </is>
      </c>
    </row>
    <row r="46">
      <c r="B46" s="7" t="inlineStr">
        <is>
          <t>Facility Designation</t>
        </is>
      </c>
      <c r="C46" s="7" t="inlineStr">
        <is>
          <t>Zorlu Enerji Syndicated Multi-Currency Revolving Credit Facility (RCF)</t>
        </is>
      </c>
    </row>
    <row r="47">
      <c r="B47" s="9" t="inlineStr">
        <is>
          <t>Total Committed Capacity ($M)</t>
        </is>
      </c>
      <c r="C47" s="21" t="n">
        <v>462.4</v>
      </c>
    </row>
    <row r="48">
      <c r="B48" s="7" t="inlineStr">
        <is>
          <t>Drawn Amount ($M)</t>
        </is>
      </c>
      <c r="C48" s="8" t="n">
        <v>282.4</v>
      </c>
    </row>
    <row r="49">
      <c r="B49" s="19" t="inlineStr">
        <is>
          <t>AVAILABLE UNDRAWN HEADROOM ($M)</t>
        </is>
      </c>
      <c r="C49" s="20" t="n">
        <v>180</v>
      </c>
    </row>
    <row r="50">
      <c r="B50" s="7" t="inlineStr">
        <is>
          <t>Drawn Borrowing Margin</t>
        </is>
      </c>
      <c r="C50" s="7" t="inlineStr">
        <is>
          <t>SOFR + 285 bps / Euribor + 250 bps</t>
        </is>
      </c>
    </row>
    <row r="51">
      <c r="B51" s="7" t="inlineStr">
        <is>
          <t>Undrawn Commitment Fee</t>
        </is>
      </c>
      <c r="C51" s="7" t="inlineStr">
        <is>
          <t>75.0 bps</t>
        </is>
      </c>
    </row>
    <row r="52">
      <c r="B52" s="7" t="inlineStr">
        <is>
          <t>Maturity Date &amp; Extension Options</t>
        </is>
      </c>
      <c r="C52" s="7" t="inlineStr">
        <is>
          <t>2027-06-30 (with 1-year annual extension options)</t>
        </is>
      </c>
    </row>
    <row r="53">
      <c r="B53" s="7" t="inlineStr">
        <is>
          <t>Syndicate Lenders / Arrangers</t>
        </is>
      </c>
      <c r="C53" s="7" t="inlineStr">
        <is>
          <t>Akbank, Garanti BBVA, Turkiye Is Bankasi, Vakifbank, QNB Finansbank</t>
        </is>
      </c>
    </row>
    <row r="54">
      <c r="B54" s="7" t="inlineStr">
        <is>
          <t>RCF Maintenance Covenants</t>
        </is>
      </c>
      <c r="C54" s="7" t="inlineStr">
        <is>
          <t>Semi-annual testing: Consolidated Net Debt / EBITDA &lt;= 5.0x, Minimum Interest Coverage &gt;= 2.0x</t>
        </is>
      </c>
    </row>
    <row r="55"/>
    <row r="56">
      <c r="B56" s="3" t="inlineStr">
        <is>
          <t>VII. BOND COVENANT ANALYSIS &amp; HEADROOM SCORECARD</t>
        </is>
      </c>
    </row>
    <row r="57">
      <c r="B57" s="5" t="inlineStr">
        <is>
          <t>Covenant Test / Negative Pledge Dimension</t>
        </is>
      </c>
      <c r="C57" s="5" t="inlineStr">
        <is>
          <t>Governing Threshold / Limit</t>
        </is>
      </c>
      <c r="D57" s="5" t="inlineStr">
        <is>
          <t>Actual Current / Reported Metric</t>
        </is>
      </c>
      <c r="E57" s="5" t="inlineStr">
        <is>
          <t>Headroom / Compliance Status</t>
        </is>
      </c>
      <c r="F57" s="5" t="inlineStr">
        <is>
          <t>Covenant Terms / Description</t>
        </is>
      </c>
    </row>
    <row r="58">
      <c r="B58" s="9" t="inlineStr">
        <is>
          <t>Incurrence: Maximum Consolidated Net Debt / EBITDA</t>
        </is>
      </c>
      <c r="C58" s="29" t="inlineStr">
        <is>
          <t>4.50x</t>
        </is>
      </c>
      <c r="D58" s="25" t="inlineStr">
        <is>
          <t>3.62x (FY24) / 3.82x (FY25) / 4.91x (LTM)</t>
        </is>
      </c>
      <c r="E58" s="33" t="inlineStr">
        <is>
          <t>Covenant buffer restricted amidst TRY depreciation and LTM EBITDA pressure</t>
        </is>
      </c>
      <c r="F58" s="17" t="inlineStr">
        <is>
          <t>Incurrence covenant for additional senior debt issuance</t>
        </is>
      </c>
    </row>
    <row r="59">
      <c r="B59" s="9" t="inlineStr">
        <is>
          <t>Incurrence / Maintenance: Minimum EBITDA / Net Finance Charges</t>
        </is>
      </c>
      <c r="C59" s="29" t="inlineStr">
        <is>
          <t>2.50x</t>
        </is>
      </c>
      <c r="D59" s="25" t="inlineStr">
        <is>
          <t>2.12x</t>
        </is>
      </c>
      <c r="E59" s="33" t="inlineStr">
        <is>
          <t>+-0.38x interest coverage cushion</t>
        </is>
      </c>
      <c r="F59" s="17" t="inlineStr">
        <is>
          <t>Maintenance / incurrence gateway test</t>
        </is>
      </c>
    </row>
    <row r="60">
      <c r="B60" s="9" t="inlineStr">
        <is>
          <t>Maximum Permitted Priority / Secured Debt</t>
        </is>
      </c>
      <c r="C60" s="29" t="inlineStr">
        <is>
          <t>15.0% of Consolidated Total Tangible Assets</t>
        </is>
      </c>
      <c r="D60" s="25" t="inlineStr">
        <is>
          <t>12.4% of Assets</t>
        </is>
      </c>
      <c r="E60" s="33" t="inlineStr">
        <is>
          <t>$264.0M unutilized secured debt capacity</t>
        </is>
      </c>
      <c r="F60" s="17" t="inlineStr">
        <is>
          <t>Permitted collateral carve-out limit</t>
        </is>
      </c>
    </row>
    <row r="61">
      <c r="B61" s="9" t="inlineStr">
        <is>
          <t>Change of Control Put Option</t>
        </is>
      </c>
      <c r="C61" s="29" t="inlineStr">
        <is>
          <t>101.00% Redemption</t>
        </is>
      </c>
      <c r="D61" s="25" t="inlineStr">
        <is>
          <t>N/A (Inactive)</t>
        </is>
      </c>
      <c r="E61" s="33" t="inlineStr">
        <is>
          <t>Compliant</t>
        </is>
      </c>
      <c r="F61" s="17" t="inlineStr">
        <is>
          <t>Investor Put Option at 101.00% of par upon Change of Control trigger accompanied by a Rating Downgrade below Investment Grade (or 1 notch drop if HY) within 90 days.</t>
        </is>
      </c>
    </row>
    <row r="62">
      <c r="B62" s="9" t="inlineStr">
        <is>
          <t>Restricted Payments / Dividend Basket</t>
        </is>
      </c>
      <c r="C62" s="29" t="inlineStr">
        <is>
          <t>Builder Basket</t>
        </is>
      </c>
      <c r="D62" s="25" t="inlineStr">
        <is>
          <t>Within Capacity</t>
        </is>
      </c>
      <c r="E62" s="33" t="inlineStr">
        <is>
          <t>Compliant</t>
        </is>
      </c>
      <c r="F62" s="17" t="inlineStr">
        <is>
          <t>50.0% Cumulative Consolidated Net Income builder basket + $100M general starter basket; gated by minimum 2.50x Fixed Charge Coverage Ratio gateway.</t>
        </is>
      </c>
    </row>
    <row r="63">
      <c r="B63" s="9" t="inlineStr">
        <is>
          <t>Cross-Default &amp; Cross-Acceleration</t>
        </is>
      </c>
      <c r="C63" s="29" t="inlineStr">
        <is>
          <t>$50.0M threshold triggering cross-acceleration across all senior Eurobonds and syndicated loans.</t>
        </is>
      </c>
      <c r="D63" s="25" t="inlineStr">
        <is>
          <t>Zero Defaults</t>
        </is>
      </c>
      <c r="E63" s="33" t="inlineStr">
        <is>
          <t>Compliant</t>
        </is>
      </c>
      <c r="F63" s="17" t="inlineStr">
        <is>
          <t>Cross-acceleration across all indebtedness exceeding threshold</t>
        </is>
      </c>
    </row>
  </sheetData>
  <mergeCells count="16">
    <mergeCell ref="F60:I60"/>
    <mergeCell ref="C52:F52"/>
    <mergeCell ref="C53:F53"/>
    <mergeCell ref="C48:F48"/>
    <mergeCell ref="C49:F49"/>
    <mergeCell ref="F61:I61"/>
    <mergeCell ref="B2:I2"/>
    <mergeCell ref="F58:I58"/>
    <mergeCell ref="F63:I63"/>
    <mergeCell ref="C46:F46"/>
    <mergeCell ref="F62:I62"/>
    <mergeCell ref="C54:F54"/>
    <mergeCell ref="F59:I59"/>
    <mergeCell ref="C51:F51"/>
    <mergeCell ref="C47:F47"/>
    <mergeCell ref="C50:F5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1"/>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Zorlu Enerji — Institutional Credit Metrics &amp; Ratios</t>
        </is>
      </c>
    </row>
    <row r="3"/>
    <row r="4">
      <c r="B4" s="5" t="inlineStr">
        <is>
          <t>Credit Metric / Ratio</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LEVERAGE &amp; SOLVENCY RATIOS</t>
        </is>
      </c>
    </row>
    <row r="7">
      <c r="B7" s="7" t="inlineStr">
        <is>
          <t>Gross Leverage (Gross Debt / Calculated EBITDA)</t>
        </is>
      </c>
      <c r="C7" s="12">
        <f>'Debt Schedule &amp; Tranches'!C24 / 'Income Statement (P&amp;L)'!C22</f>
        <v/>
      </c>
      <c r="D7" s="12">
        <f>'Debt Schedule &amp; Tranches'!D24 / 'Income Statement (P&amp;L)'!D22</f>
        <v/>
      </c>
      <c r="E7" s="12">
        <f>'Debt Schedule &amp; Tranches'!E24 / 'Income Statement (P&amp;L)'!E22</f>
        <v/>
      </c>
      <c r="F7" s="12">
        <f>'Debt Schedule &amp; Tranches'!F24 / 'Income Statement (P&amp;L)'!F22</f>
        <v/>
      </c>
      <c r="G7" s="12">
        <f>'Debt Schedule &amp; Tranches'!G24 / 'Income Statement (P&amp;L)'!G22</f>
        <v/>
      </c>
      <c r="H7" s="12">
        <f>'Debt Schedule &amp; Tranches'!H24 / 'Income Statement (P&amp;L)'!H22</f>
        <v/>
      </c>
      <c r="I7" s="12">
        <f>'Debt Schedule &amp; Tranches'!I24 / 'Income Statement (P&amp;L)'!I22</f>
        <v/>
      </c>
    </row>
    <row r="8">
      <c r="B8" s="19" t="inlineStr">
        <is>
          <t>NET LEVERAGE (Net Debt / Calculated Cash EBITDA)</t>
        </is>
      </c>
      <c r="C8" s="34">
        <f>'Debt Schedule &amp; Tranches'!C26 / 'Income Statement (P&amp;L)'!C22</f>
        <v/>
      </c>
      <c r="D8" s="34">
        <f>'Debt Schedule &amp; Tranches'!D26 / 'Income Statement (P&amp;L)'!D22</f>
        <v/>
      </c>
      <c r="E8" s="34">
        <f>'Debt Schedule &amp; Tranches'!E26 / 'Income Statement (P&amp;L)'!E22</f>
        <v/>
      </c>
      <c r="F8" s="34">
        <f>'Debt Schedule &amp; Tranches'!F26 / 'Income Statement (P&amp;L)'!F22</f>
        <v/>
      </c>
      <c r="G8" s="34">
        <f>'Debt Schedule &amp; Tranches'!G26 / 'Income Statement (P&amp;L)'!G22</f>
        <v/>
      </c>
      <c r="H8" s="34">
        <f>'Debt Schedule &amp; Tranches'!H26 / 'Income Statement (P&amp;L)'!H22</f>
        <v/>
      </c>
      <c r="I8" s="34">
        <f>'Debt Schedule &amp; Tranches'!I26 / 'Income Statement (P&amp;L)'!I22</f>
        <v/>
      </c>
    </row>
    <row r="9">
      <c r="B9" s="19" t="inlineStr">
        <is>
          <t>REPORTED NET LEVERAGE (Net Debt / Reported EBITDA)</t>
        </is>
      </c>
      <c r="C9" s="34">
        <f>'Debt Schedule &amp; Tranches'!C26 / 'Income Statement (P&amp;L)'!C36</f>
        <v/>
      </c>
      <c r="D9" s="34">
        <f>'Debt Schedule &amp; Tranches'!D26 / 'Income Statement (P&amp;L)'!D36</f>
        <v/>
      </c>
      <c r="E9" s="34">
        <f>'Debt Schedule &amp; Tranches'!E26 / 'Income Statement (P&amp;L)'!E36</f>
        <v/>
      </c>
      <c r="F9" s="34">
        <f>'Debt Schedule &amp; Tranches'!F26 / 'Income Statement (P&amp;L)'!F36</f>
        <v/>
      </c>
      <c r="G9" s="34">
        <f>'Debt Schedule &amp; Tranches'!G26 / 'Income Statement (P&amp;L)'!G36</f>
        <v/>
      </c>
      <c r="H9" s="34">
        <f>'Debt Schedule &amp; Tranches'!H26 / 'Income Statement (P&amp;L)'!H36</f>
        <v/>
      </c>
      <c r="I9" s="34">
        <f>'Debt Schedule &amp; Tranches'!I26 / 'Income Statement (P&amp;L)'!I36</f>
        <v/>
      </c>
    </row>
    <row r="10">
      <c r="B10" s="7" t="inlineStr">
        <is>
          <t>Net Debt / Total Capitalization (%)</t>
        </is>
      </c>
      <c r="C10" s="10">
        <f>'Debt Schedule &amp; Tranches'!C26 / ('Debt Schedule &amp; Tranches'!C26 + 'Balance Sheet'!C38)</f>
        <v/>
      </c>
      <c r="D10" s="10">
        <f>'Debt Schedule &amp; Tranches'!D26 / ('Debt Schedule &amp; Tranches'!D26 + 'Balance Sheet'!D38)</f>
        <v/>
      </c>
      <c r="E10" s="10">
        <f>'Debt Schedule &amp; Tranches'!E26 / ('Debt Schedule &amp; Tranches'!E26 + 'Balance Sheet'!E38)</f>
        <v/>
      </c>
      <c r="F10" s="10">
        <f>'Debt Schedule &amp; Tranches'!F26 / ('Debt Schedule &amp; Tranches'!F26 + 'Balance Sheet'!F38)</f>
        <v/>
      </c>
      <c r="G10" s="10">
        <f>'Debt Schedule &amp; Tranches'!G26 / ('Debt Schedule &amp; Tranches'!G26 + 'Balance Sheet'!G38)</f>
        <v/>
      </c>
      <c r="H10" s="10">
        <f>'Debt Schedule &amp; Tranches'!H26 / ('Debt Schedule &amp; Tranches'!H26 + 'Balance Sheet'!H38)</f>
        <v/>
      </c>
      <c r="I10" s="10">
        <f>'Debt Schedule &amp; Tranches'!I26 / ('Debt Schedule &amp; Tranches'!I26 + 'Balance Sheet'!I38)</f>
        <v/>
      </c>
    </row>
    <row r="11">
      <c r="B11" s="19" t="inlineStr">
        <is>
          <t>EBITDA INTEREST COVERAGE (Calculated Cash EBITDA)</t>
        </is>
      </c>
      <c r="C11" s="34">
        <f>'Income Statement (P&amp;L)'!C22 / 'Debt Schedule &amp; Tranches'!C28</f>
        <v/>
      </c>
      <c r="D11" s="34">
        <f>'Income Statement (P&amp;L)'!D22 / 'Debt Schedule &amp; Tranches'!D28</f>
        <v/>
      </c>
      <c r="E11" s="34">
        <f>'Income Statement (P&amp;L)'!E22 / 'Debt Schedule &amp; Tranches'!E28</f>
        <v/>
      </c>
      <c r="F11" s="34">
        <f>'Income Statement (P&amp;L)'!F22 / 'Debt Schedule &amp; Tranches'!F28</f>
        <v/>
      </c>
      <c r="G11" s="34">
        <f>'Income Statement (P&amp;L)'!G22 / 'Debt Schedule &amp; Tranches'!G28</f>
        <v/>
      </c>
      <c r="H11" s="34">
        <f>'Income Statement (P&amp;L)'!H22 / 'Debt Schedule &amp; Tranches'!H28</f>
        <v/>
      </c>
      <c r="I11" s="34">
        <f>'Income Statement (P&amp;L)'!I22 / 'Debt Schedule &amp; Tranches'!I28</f>
        <v/>
      </c>
    </row>
    <row r="12">
      <c r="B12" s="7" t="inlineStr">
        <is>
          <t>Reported EBITDA Interest Coverage (Reported EBITDA)</t>
        </is>
      </c>
      <c r="C12" s="12">
        <f>'Income Statement (P&amp;L)'!C36 / 'Debt Schedule &amp; Tranches'!C28</f>
        <v/>
      </c>
      <c r="D12" s="12">
        <f>'Income Statement (P&amp;L)'!D36 / 'Debt Schedule &amp; Tranches'!D28</f>
        <v/>
      </c>
      <c r="E12" s="12">
        <f>'Income Statement (P&amp;L)'!E36 / 'Debt Schedule &amp; Tranches'!E28</f>
        <v/>
      </c>
      <c r="F12" s="12">
        <f>'Income Statement (P&amp;L)'!F36 / 'Debt Schedule &amp; Tranches'!F28</f>
        <v/>
      </c>
      <c r="G12" s="12">
        <f>'Income Statement (P&amp;L)'!G36 / 'Debt Schedule &amp; Tranches'!G28</f>
        <v/>
      </c>
      <c r="H12" s="12">
        <f>'Income Statement (P&amp;L)'!H36 / 'Debt Schedule &amp; Tranches'!H28</f>
        <v/>
      </c>
      <c r="I12" s="12">
        <f>'Income Statement (P&amp;L)'!I36 / 'Debt Schedule &amp; Tranches'!I28</f>
        <v/>
      </c>
    </row>
    <row r="13">
      <c r="B13" s="7" t="inlineStr">
        <is>
          <t>EBIT Interest Coverage</t>
        </is>
      </c>
      <c r="C13" s="12">
        <f>'Income Statement (P&amp;L)'!C25 / 'Debt Schedule &amp; Tranches'!C28</f>
        <v/>
      </c>
      <c r="D13" s="12">
        <f>'Income Statement (P&amp;L)'!D25 / 'Debt Schedule &amp; Tranches'!D28</f>
        <v/>
      </c>
      <c r="E13" s="12">
        <f>'Income Statement (P&amp;L)'!E25 / 'Debt Schedule &amp; Tranches'!E28</f>
        <v/>
      </c>
      <c r="F13" s="12">
        <f>'Income Statement (P&amp;L)'!F25 / 'Debt Schedule &amp; Tranches'!F28</f>
        <v/>
      </c>
      <c r="G13" s="12">
        <f>'Income Statement (P&amp;L)'!G25 / 'Debt Schedule &amp; Tranches'!G28</f>
        <v/>
      </c>
      <c r="H13" s="12">
        <f>'Income Statement (P&amp;L)'!H25 / 'Debt Schedule &amp; Tranches'!H28</f>
        <v/>
      </c>
      <c r="I13" s="12">
        <f>'Income Statement (P&amp;L)'!I25 / 'Debt Schedule &amp; Tranches'!I28</f>
        <v/>
      </c>
    </row>
    <row r="14"/>
    <row r="15">
      <c r="B15" s="3" t="inlineStr">
        <is>
          <t>II. CASH FLOW COVERAGE &amp; LIQUIDITY RATIOS</t>
        </is>
      </c>
    </row>
    <row r="16">
      <c r="B16" s="7" t="inlineStr">
        <is>
          <t>CFO / Gross Debt (%)</t>
        </is>
      </c>
      <c r="C16" s="10">
        <f>'Cash Flow Statement'!C14 / 'Debt Schedule &amp; Tranches'!C24</f>
        <v/>
      </c>
      <c r="D16" s="10">
        <f>'Cash Flow Statement'!D14 / 'Debt Schedule &amp; Tranches'!D24</f>
        <v/>
      </c>
      <c r="E16" s="10">
        <f>'Cash Flow Statement'!E14 / 'Debt Schedule &amp; Tranches'!E24</f>
        <v/>
      </c>
      <c r="F16" s="10">
        <f>'Cash Flow Statement'!F14 / 'Debt Schedule &amp; Tranches'!F24</f>
        <v/>
      </c>
      <c r="G16" s="10">
        <f>'Cash Flow Statement'!G14 / 'Debt Schedule &amp; Tranches'!G24</f>
        <v/>
      </c>
      <c r="H16" s="10">
        <f>'Cash Flow Statement'!H14 / 'Debt Schedule &amp; Tranches'!H24</f>
        <v/>
      </c>
      <c r="I16" s="10">
        <f>'Cash Flow Statement'!I14 / 'Debt Schedule &amp; Tranches'!I24</f>
        <v/>
      </c>
    </row>
    <row r="17">
      <c r="B17" s="7" t="inlineStr">
        <is>
          <t>FCF / Net Debt (%)</t>
        </is>
      </c>
      <c r="C17" s="10">
        <f>'Cash Flow Statement'!C28 / 'Debt Schedule &amp; Tranches'!C26</f>
        <v/>
      </c>
      <c r="D17" s="10">
        <f>'Cash Flow Statement'!D28 / 'Debt Schedule &amp; Tranches'!D26</f>
        <v/>
      </c>
      <c r="E17" s="10">
        <f>'Cash Flow Statement'!E28 / 'Debt Schedule &amp; Tranches'!E26</f>
        <v/>
      </c>
      <c r="F17" s="10">
        <f>'Cash Flow Statement'!F28 / 'Debt Schedule &amp; Tranches'!F26</f>
        <v/>
      </c>
      <c r="G17" s="10">
        <f>'Cash Flow Statement'!G28 / 'Debt Schedule &amp; Tranches'!G26</f>
        <v/>
      </c>
      <c r="H17" s="10">
        <f>'Cash Flow Statement'!H28 / 'Debt Schedule &amp; Tranches'!H26</f>
        <v/>
      </c>
      <c r="I17" s="10">
        <f>'Cash Flow Statement'!I28 / 'Debt Schedule &amp; Tranches'!I26</f>
        <v/>
      </c>
    </row>
    <row r="18">
      <c r="B18" s="7" t="inlineStr">
        <is>
          <t>FCF Conversion Ratio (FCF / EBITDA)</t>
        </is>
      </c>
      <c r="C18" s="10">
        <f>'Cash Flow Statement'!C28 / 'Income Statement (P&amp;L)'!C22</f>
        <v/>
      </c>
      <c r="D18" s="10">
        <f>'Cash Flow Statement'!D28 / 'Income Statement (P&amp;L)'!D22</f>
        <v/>
      </c>
      <c r="E18" s="10">
        <f>'Cash Flow Statement'!E28 / 'Income Statement (P&amp;L)'!E22</f>
        <v/>
      </c>
      <c r="F18" s="10">
        <f>'Cash Flow Statement'!F28 / 'Income Statement (P&amp;L)'!F22</f>
        <v/>
      </c>
      <c r="G18" s="10">
        <f>'Cash Flow Statement'!G28 / 'Income Statement (P&amp;L)'!G22</f>
        <v/>
      </c>
      <c r="H18" s="10">
        <f>'Cash Flow Statement'!H28 / 'Income Statement (P&amp;L)'!H22</f>
        <v/>
      </c>
      <c r="I18" s="10">
        <f>'Cash Flow Statement'!I28 / 'Income Statement (P&amp;L)'!I22</f>
        <v/>
      </c>
    </row>
    <row r="19">
      <c r="B19" s="7" t="inlineStr">
        <is>
          <t>Capex / Operating Cash Flow (%)</t>
        </is>
      </c>
      <c r="C19" s="10">
        <f>-'Cash Flow Statement'!C16 / 'Cash Flow Statement'!C14</f>
        <v/>
      </c>
      <c r="D19" s="10">
        <f>-'Cash Flow Statement'!D16 / 'Cash Flow Statement'!D14</f>
        <v/>
      </c>
      <c r="E19" s="10">
        <f>-'Cash Flow Statement'!E16 / 'Cash Flow Statement'!E14</f>
        <v/>
      </c>
      <c r="F19" s="10">
        <f>-'Cash Flow Statement'!F16 / 'Cash Flow Statement'!F14</f>
        <v/>
      </c>
      <c r="G19" s="10">
        <f>-'Cash Flow Statement'!G16 / 'Cash Flow Statement'!G14</f>
        <v/>
      </c>
      <c r="H19" s="10">
        <f>-'Cash Flow Statement'!H16 / 'Cash Flow Statement'!H14</f>
        <v/>
      </c>
      <c r="I19" s="10">
        <f>-'Cash Flow Statement'!I16 / 'Cash Flow Statement'!I14</f>
        <v/>
      </c>
    </row>
    <row r="20">
      <c r="B20" s="7" t="inlineStr">
        <is>
          <t>Current Ratio (Current Assets / Current Liab)</t>
        </is>
      </c>
      <c r="C20" s="12">
        <f>'Balance Sheet'!C11 / 'Balance Sheet'!C27</f>
        <v/>
      </c>
      <c r="D20" s="12">
        <f>'Balance Sheet'!D11 / 'Balance Sheet'!D27</f>
        <v/>
      </c>
      <c r="E20" s="12">
        <f>'Balance Sheet'!E11 / 'Balance Sheet'!E27</f>
        <v/>
      </c>
      <c r="F20" s="12">
        <f>'Balance Sheet'!F11 / 'Balance Sheet'!F27</f>
        <v/>
      </c>
      <c r="G20" s="12">
        <f>'Balance Sheet'!G11 / 'Balance Sheet'!G27</f>
        <v/>
      </c>
      <c r="H20" s="12">
        <f>'Balance Sheet'!H11 / 'Balance Sheet'!H27</f>
        <v/>
      </c>
      <c r="I20" s="12">
        <f>'Balance Sheet'!I11 / 'Balance Sheet'!I27</f>
        <v/>
      </c>
    </row>
    <row r="21">
      <c r="B21" s="7" t="inlineStr">
        <is>
          <t>Quick Ratio ((Cash + AR) / Current Liab)</t>
        </is>
      </c>
      <c r="C21" s="12">
        <f>('Balance Sheet'!C7 + 'Balance Sheet'!C8) / 'Balance Sheet'!C27</f>
        <v/>
      </c>
      <c r="D21" s="12">
        <f>('Balance Sheet'!D7 + 'Balance Sheet'!D8) / 'Balance Sheet'!D27</f>
        <v/>
      </c>
      <c r="E21" s="12">
        <f>('Balance Sheet'!E7 + 'Balance Sheet'!E8) / 'Balance Sheet'!E27</f>
        <v/>
      </c>
      <c r="F21" s="12">
        <f>('Balance Sheet'!F7 + 'Balance Sheet'!F8) / 'Balance Sheet'!F27</f>
        <v/>
      </c>
      <c r="G21" s="12">
        <f>('Balance Sheet'!G7 + 'Balance Sheet'!G8) / 'Balance Sheet'!G27</f>
        <v/>
      </c>
      <c r="H21" s="12">
        <f>('Balance Sheet'!H7 + 'Balance Sheet'!H8) / 'Balance Sheet'!H27</f>
        <v/>
      </c>
      <c r="I21" s="12">
        <f>('Balance Sheet'!I7 + 'Balance Sheet'!I8) / 'Balance Sheet'!I27</f>
        <v/>
      </c>
    </row>
  </sheetData>
  <mergeCells count="1">
    <mergeCell ref="B2:I2"/>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L22"/>
  <sheetViews>
    <sheetView showGridLines="1" workbookViewId="0">
      <selection activeCell="A1" sqref="A1"/>
    </sheetView>
  </sheetViews>
  <sheetFormatPr baseColWidth="8" defaultRowHeight="15"/>
  <cols>
    <col width="6" customWidth="1" min="1" max="1"/>
    <col width="38" customWidth="1" min="2" max="2"/>
    <col width="21" customWidth="1" min="3" max="3"/>
    <col width="31" customWidth="1" min="4" max="4"/>
    <col width="31" customWidth="1" min="5" max="5"/>
    <col width="22" customWidth="1" min="6" max="6"/>
    <col width="23" customWidth="1" min="7" max="7"/>
    <col width="21" customWidth="1" min="8" max="8"/>
    <col width="14" customWidth="1" min="9" max="9"/>
    <col width="14" customWidth="1" min="10" max="10"/>
    <col width="14" customWidth="1" min="11" max="11"/>
    <col width="14" customWidth="1" min="12" max="12"/>
  </cols>
  <sheetData>
    <row r="1"/>
    <row r="2">
      <c r="B2" s="1" t="inlineStr">
        <is>
          <t>Zorlu Enerji — Downside Stress &amp; Restructuring Waterfall</t>
        </is>
      </c>
    </row>
    <row r="3"/>
    <row r="4">
      <c r="B4" s="3" t="inlineStr">
        <is>
          <t>I. MULTI-SCENARIO RESTORATION &amp; VALUATION MATRIX</t>
        </is>
      </c>
    </row>
    <row r="5">
      <c r="B5" s="28" t="inlineStr">
        <is>
          <t>Scenario Name</t>
        </is>
      </c>
      <c r="C5" s="28" t="inlineStr">
        <is>
          <t>Revenue Drop</t>
        </is>
      </c>
      <c r="D5" s="28" t="inlineStr">
        <is>
          <t>Margin Compression</t>
        </is>
      </c>
      <c r="E5" s="28" t="inlineStr">
        <is>
          <t>Refinancing Rate</t>
        </is>
      </c>
      <c r="F5" s="28" t="inlineStr">
        <is>
          <t>Exit EV Multiple</t>
        </is>
      </c>
      <c r="G5" s="28" t="inlineStr">
        <is>
          <t>Implied Recovery Px</t>
        </is>
      </c>
      <c r="H5" s="28" t="inlineStr">
        <is>
          <t>Upside / Downside</t>
        </is>
      </c>
    </row>
    <row r="6">
      <c r="B6" s="19" t="inlineStr">
        <is>
          <t>Base Case (Consensus Forecast)</t>
        </is>
      </c>
      <c r="C6" s="35" t="inlineStr">
        <is>
          <t>0.0%</t>
        </is>
      </c>
      <c r="D6" s="35" t="inlineStr">
        <is>
          <t>0 bp</t>
        </is>
      </c>
      <c r="E6" s="35" t="inlineStr">
        <is>
          <t>27.20%</t>
        </is>
      </c>
      <c r="F6" s="35" t="inlineStr">
        <is>
          <t>4.5x</t>
        </is>
      </c>
      <c r="G6" s="35" t="inlineStr">
        <is>
          <t>$75.00</t>
        </is>
      </c>
      <c r="H6" s="35" t="inlineStr">
        <is>
          <t>+18.1%</t>
        </is>
      </c>
    </row>
    <row r="7">
      <c r="B7" s="7" t="inlineStr">
        <is>
          <t>Downside Stress Case (Recession)</t>
        </is>
      </c>
      <c r="C7" s="30" t="inlineStr">
        <is>
          <t>-15.0%</t>
        </is>
      </c>
      <c r="D7" s="30" t="inlineStr">
        <is>
          <t>-300 bp</t>
        </is>
      </c>
      <c r="E7" s="30" t="inlineStr">
        <is>
          <t>29.20%</t>
        </is>
      </c>
      <c r="F7" s="30" t="inlineStr">
        <is>
          <t>3.5x</t>
        </is>
      </c>
      <c r="G7" s="30" t="inlineStr">
        <is>
          <t>$63.50</t>
        </is>
      </c>
      <c r="H7" s="30" t="inlineStr">
        <is>
          <t>+0.0%</t>
        </is>
      </c>
    </row>
    <row r="8">
      <c r="B8" s="7" t="inlineStr">
        <is>
          <t>Severe Distressed Floor (Liquidation)</t>
        </is>
      </c>
      <c r="C8" s="30" t="inlineStr">
        <is>
          <t>-35.0%</t>
        </is>
      </c>
      <c r="D8" s="30" t="inlineStr">
        <is>
          <t>-650 bp</t>
        </is>
      </c>
      <c r="E8" s="30" t="inlineStr">
        <is>
          <t>+500 bp spread</t>
        </is>
      </c>
      <c r="F8" s="30" t="inlineStr">
        <is>
          <t>Liquidation Value</t>
        </is>
      </c>
      <c r="G8" s="30" t="inlineStr">
        <is>
          <t>$52.00</t>
        </is>
      </c>
      <c r="H8" s="30" t="inlineStr">
        <is>
          <t>-18.1%</t>
        </is>
      </c>
    </row>
    <row r="9">
      <c r="B9" s="7" t="inlineStr">
        <is>
          <t>Bull Case (Cycle Peak / Accretion)</t>
        </is>
      </c>
      <c r="C9" s="30" t="inlineStr">
        <is>
          <t>+12.0%</t>
        </is>
      </c>
      <c r="D9" s="30" t="inlineStr">
        <is>
          <t>+200 bp</t>
        </is>
      </c>
      <c r="E9" s="30" t="inlineStr">
        <is>
          <t>25.70%</t>
        </is>
      </c>
      <c r="F9" s="30" t="inlineStr">
        <is>
          <t>6.0x</t>
        </is>
      </c>
      <c r="G9" s="30" t="inlineStr">
        <is>
          <t>$88.50</t>
        </is>
      </c>
      <c r="H9" s="30" t="inlineStr">
        <is>
          <t>+39.4%</t>
        </is>
      </c>
    </row>
    <row r="10"/>
    <row r="11"/>
    <row r="12">
      <c r="B12" s="3" t="inlineStr">
        <is>
          <t>II. PRIORITY CLAIM LIQUIDATION WATERFALL</t>
        </is>
      </c>
    </row>
    <row r="13">
      <c r="B13" s="28" t="inlineStr">
        <is>
          <t>Tranche Claim</t>
        </is>
      </c>
      <c r="C13" s="28" t="inlineStr">
        <is>
          <t>Claim Amount ($M)</t>
        </is>
      </c>
      <c r="D13" s="28" t="inlineStr">
        <is>
          <t>Seniority Ranking</t>
        </is>
      </c>
      <c r="E13" s="28" t="inlineStr">
        <is>
          <t>Estimated Collateral</t>
        </is>
      </c>
      <c r="F13" s="28" t="inlineStr">
        <is>
          <t>Recovery Floor (%)</t>
        </is>
      </c>
      <c r="G13" s="28" t="inlineStr">
        <is>
          <t>Base Recovery (%)</t>
        </is>
      </c>
    </row>
    <row r="14">
      <c r="B14" s="7" t="inlineStr">
        <is>
          <t>Senior Secured Bank Loans &amp; RCF</t>
        </is>
      </c>
      <c r="C14" s="8" t="n">
        <v>14963.9</v>
      </c>
      <c r="D14" s="7" t="inlineStr">
        <is>
          <t>Senior Secured (Pari Passu)</t>
        </is>
      </c>
      <c r="E14" s="7" t="inlineStr">
        <is>
          <t>First Lien Fixed Charges</t>
        </is>
      </c>
      <c r="F14" s="30" t="inlineStr">
        <is>
          <t>100.0%</t>
        </is>
      </c>
      <c r="G14" s="30" t="inlineStr">
        <is>
          <t>100.0%</t>
        </is>
      </c>
    </row>
    <row r="15">
      <c r="B15" s="7" t="inlineStr">
        <is>
          <t>ZOREN Senior Unsecured Eurobonds</t>
        </is>
      </c>
      <c r="C15" s="8" t="n">
        <v>44891.8</v>
      </c>
      <c r="D15" s="7" t="inlineStr">
        <is>
          <t>Senior Unsecured</t>
        </is>
      </c>
      <c r="E15" s="7" t="inlineStr">
        <is>
          <t>General Corporate Guarantee</t>
        </is>
      </c>
      <c r="F15" s="30" t="inlineStr">
        <is>
          <t>52.0%</t>
        </is>
      </c>
      <c r="G15" s="30" t="inlineStr">
        <is>
          <t>75.0%</t>
        </is>
      </c>
    </row>
    <row r="16">
      <c r="B16" s="7" t="inlineStr">
        <is>
          <t>Subordinated Debt &amp; Intercompany Notes</t>
        </is>
      </c>
      <c r="C16" s="8" t="n">
        <v>8978.4</v>
      </c>
      <c r="D16" s="7" t="inlineStr">
        <is>
          <t>Subordinated</t>
        </is>
      </c>
      <c r="E16" s="7" t="inlineStr">
        <is>
          <t>Junior Unsecured Claim</t>
        </is>
      </c>
      <c r="F16" s="30" t="inlineStr">
        <is>
          <t>0.0%</t>
        </is>
      </c>
      <c r="G16" s="30" t="inlineStr">
        <is>
          <t>25.0%</t>
        </is>
      </c>
    </row>
    <row r="17">
      <c r="B17" s="7" t="inlineStr">
        <is>
          <t>Equity Shareholders</t>
        </is>
      </c>
      <c r="C17" s="8" t="n">
        <v>23942.3</v>
      </c>
      <c r="D17" s="7" t="inlineStr">
        <is>
          <t>Residual Equity</t>
        </is>
      </c>
      <c r="E17" s="7" t="inlineStr">
        <is>
          <t>Ordinary Shares</t>
        </is>
      </c>
      <c r="F17" s="30" t="inlineStr">
        <is>
          <t>0.0%</t>
        </is>
      </c>
      <c r="G17" s="30" t="inlineStr">
        <is>
          <t>Residual Only</t>
        </is>
      </c>
    </row>
    <row r="18"/>
    <row r="19"/>
    <row r="20">
      <c r="B20" s="3" t="inlineStr">
        <is>
          <t>III. RESTRUCTURING JURISDICTION &amp; LEGAL FRAMEWORK</t>
        </is>
      </c>
    </row>
    <row r="21">
      <c r="B21" s="4" t="inlineStr">
        <is>
          <t>Governing Jurisdiction: Turkey Enforcement &amp; Bankruptcy Code / BDDK Financial Restructuring (FYY). Trust deeds contain standard negative pledge, cross-acceleration, and collective action clauses (CACs).</t>
        </is>
      </c>
    </row>
    <row r="22"/>
  </sheetData>
  <mergeCells count="2">
    <mergeCell ref="B2:H2"/>
    <mergeCell ref="B21:H2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83"/>
  <sheetViews>
    <sheetView showGridLines="1" workbookViewId="0">
      <selection activeCell="A1" sqref="A1"/>
    </sheetView>
  </sheetViews>
  <sheetFormatPr baseColWidth="8" defaultRowHeight="15"/>
  <cols>
    <col width="6" customWidth="1" min="1" max="1"/>
    <col width="38" customWidth="1" min="2" max="2"/>
    <col width="231" customWidth="1" min="3" max="3"/>
    <col width="44" customWidth="1" min="4" max="4"/>
    <col width="19" customWidth="1" min="5" max="5"/>
    <col width="465"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Zorlu Enerji (ZOREN) — Earnings Presentation &amp; Management Guidance</t>
        </is>
      </c>
    </row>
    <row r="3">
      <c r="B3" s="2" t="inlineStr">
        <is>
          <t>Source: Zorlu Enerji FY2024 Strategic Investor Presentation &amp; Borsa Istanbul Capital Markets Day | Reporting Currency: USD / TRY (with natural USD hedge disclosures)</t>
        </is>
      </c>
    </row>
    <row r="4"/>
    <row r="5">
      <c r="B5" s="3" t="inlineStr">
        <is>
          <t>I. MANAGEMENT STRATEGIC GUIDANCE TRACKER &amp; VARIANCE ANALYSIS</t>
        </is>
      </c>
    </row>
    <row r="6">
      <c r="B6" s="5" t="inlineStr">
        <is>
          <t>Strategic Guidance Metric</t>
        </is>
      </c>
      <c r="C6" s="5" t="inlineStr">
        <is>
          <t>Company Target / Commitment</t>
        </is>
      </c>
      <c r="D6" s="5" t="inlineStr">
        <is>
          <t>Current Run-Rate</t>
        </is>
      </c>
      <c r="E6" s="5" t="inlineStr">
        <is>
          <t>Tracking Status</t>
        </is>
      </c>
      <c r="F6" s="5" t="inlineStr">
        <is>
          <t>Guidance Variance &amp; Verification Question to Ask CFO</t>
        </is>
      </c>
    </row>
    <row r="7">
      <c r="B7" s="9" t="inlineStr">
        <is>
          <t>2025E Full-Year Consolidated Revenue Target</t>
        </is>
      </c>
      <c r="C7" s="9" t="inlineStr">
        <is>
          <t>$1,280M - $1,320M (+8.0% YoY)</t>
        </is>
      </c>
      <c r="D7" s="36" t="inlineStr">
        <is>
          <t>$1,295M annualized (9M24 actuals)</t>
        </is>
      </c>
      <c r="E7" s="37" t="inlineStr">
        <is>
          <t>On Track</t>
        </is>
      </c>
      <c r="F7" s="38" t="inlineStr">
        <is>
          <t>High geothermal plant availability (88.5%) and steady OEDAS distribution volume (+3.8%) tracking in line with guidance envelope.
[QUESTION TO CFO TO VERIFY]: On your last call, management guided full-year revenue of $1,280M - $1,320M (+8.0% YoY). With current run-rate at $1,295M annualized (9M24 actuals), do you officially reaffirm this target for the full year, or are you seeing customer volume or pricing pressure?</t>
        </is>
      </c>
    </row>
    <row r="8">
      <c r="B8" s="9" t="inlineStr">
        <is>
          <t>2025E Consolidated EBITDA Target</t>
        </is>
      </c>
      <c r="C8" s="9" t="inlineStr">
        <is>
          <t>$330M - $350M (26.5% - 27.5% margin)</t>
        </is>
      </c>
      <c r="D8" s="36" t="inlineStr">
        <is>
          <t>$338M annualized run-rate</t>
        </is>
      </c>
      <c r="E8" s="37" t="inlineStr">
        <is>
          <t>On Track</t>
        </is>
      </c>
      <c r="F8" s="38" t="inlineStr">
        <is>
          <t>USD-denominated YEKDEM cash flows ($105-$132/MWh) generated 68.5% of generation EBITDA, protecting margins against TRY depreciation.
[QUESTION TO CFO TO VERIFY]: Management committed to an EBITDA target of $330M - $350M (26.5% - 27.5% margin). Given recent cost inflation and supply chain dynamics, what is your latest margin visibility, and does this target rely on any one-off adjustments or asset revaluations?</t>
        </is>
      </c>
    </row>
    <row r="9">
      <c r="B9" s="9" t="inlineStr">
        <is>
          <t>Consolidated Net Leverage Ceiling</t>
        </is>
      </c>
      <c r="C9" s="9" t="inlineStr">
        <is>
          <t>&lt; 3.50x Net Debt / EBITDA</t>
        </is>
      </c>
      <c r="D9" s="36" t="inlineStr">
        <is>
          <t>4.82x Net Debt / EBITDA (2024A)</t>
        </is>
      </c>
      <c r="E9" s="39" t="inlineStr">
        <is>
          <t>Under Watch</t>
        </is>
      </c>
      <c r="F9" s="38" t="inlineStr">
        <is>
          <t>Elevated leverage due to TRY translation of unhedged debt; deleveraging milestone contingent on executing Zorlu Yenilenebilir equity monetization.
[QUESTION TO CFO TO VERIFY]: You previously committed to a Net Leverage ceiling of &lt; 3.50x Net Debt / EBITDA. Current actual leverage stands at 4.82x Net Debt / EBITDA (2024A). What specific cash flow generation or debt paydown milestones will be executed before year-end to hit this target?</t>
        </is>
      </c>
    </row>
    <row r="10">
      <c r="B10" s="9" t="inlineStr">
        <is>
          <t>2025E Strategic Capex Discipline Envelope</t>
        </is>
      </c>
      <c r="C10" s="9" t="inlineStr">
        <is>
          <t>&lt; $115.0M maximum capex envelope</t>
        </is>
      </c>
      <c r="D10" s="36" t="inlineStr">
        <is>
          <t>$108.2M committed / incurred</t>
        </is>
      </c>
      <c r="E10" s="37" t="inlineStr">
        <is>
          <t>On Track</t>
        </is>
      </c>
      <c r="F10" s="38" t="inlineStr">
        <is>
          <t>Discretionary thermal capex frozen; capital deployed exclusively into regulated OEDAS grid capex (RAB-accretive) and Kizildere hybrid solar.
[QUESTION TO CFO TO VERIFY]: You guided a maximum capex envelope of &lt; $115.0M maximum capex envelope. Current commitments stand at $108.2M committed / incurred. Can any uncommitted growth projects be paused if operating cash flow softens, or is this capex non-discretionary?</t>
        </is>
      </c>
    </row>
    <row r="11">
      <c r="B11" s="9" t="inlineStr">
        <is>
          <t>ZES Electric Vehicle Fast-Charging Sockets</t>
        </is>
      </c>
      <c r="C11" s="9" t="inlineStr">
        <is>
          <t>2,200+ public sockets by end-2025</t>
        </is>
      </c>
      <c r="D11" s="36" t="inlineStr">
        <is>
          <t>1,850 sockets active across 81 provinces</t>
        </is>
      </c>
      <c r="E11" s="33" t="inlineStr">
        <is>
          <t>Ahead of Target</t>
        </is>
      </c>
      <c r="F11" s="38" t="inlineStr">
        <is>
          <t>Consolidated #1 market position in Turkey with 38% market share; Electrip international pilot expanding across Italy, France, and Poland.
[QUESTION TO CFO TO VERIFY]: Management guided a target of 2,200+ public sockets by end-2025 for ZES Electric Vehicle Fast-Charging Sockets. Can you confirm whether current execution at 1,850 sockets active across 81 provinces remains strictly on track, and what key operational milestones remain for the next two quarters?</t>
        </is>
      </c>
    </row>
    <row r="12"/>
    <row r="13">
      <c r="B13" s="3" t="inlineStr">
        <is>
          <t>II. CAPITAL ALLOCATION &amp; STRATEGIC PROJECT PIPELINE</t>
        </is>
      </c>
    </row>
    <row r="14">
      <c r="B14" s="5" t="inlineStr">
        <is>
          <t>Project / Capital Dimension</t>
        </is>
      </c>
      <c r="C14" s="5" t="inlineStr">
        <is>
          <t>Disclosure &amp; Execution Milestone</t>
        </is>
      </c>
    </row>
    <row r="15">
      <c r="B15" s="9" t="inlineStr">
        <is>
          <t>Kizildere Hybrid Solar</t>
        </is>
      </c>
      <c r="C15" s="38" t="inlineStr">
        <is>
          <t>50 MW co-located solar PV under construction at Kizildere to utilize existing transmission capacity and boost summer generation</t>
        </is>
      </c>
    </row>
    <row r="16">
      <c r="B16" s="9" t="inlineStr">
        <is>
          <t>Alasehir Geothermal Expansion</t>
        </is>
      </c>
      <c r="C16" s="38" t="inlineStr">
        <is>
          <t>Preliminary drilling and resource appraisal for Alasehir II geothermal project (potential +30 MW expansion)</t>
        </is>
      </c>
    </row>
    <row r="17">
      <c r="B17" s="9" t="inlineStr">
        <is>
          <t>Oedas Smart Grid Investments</t>
        </is>
      </c>
      <c r="C17" s="38" t="inlineStr">
        <is>
          <t>TRY 3.8B committed grid modernization and digital substation automation under 4th Tariff Period</t>
        </is>
      </c>
    </row>
    <row r="18">
      <c r="B18" s="9" t="inlineStr">
        <is>
          <t>Zes Electrip Europe</t>
        </is>
      </c>
      <c r="C18" s="38" t="inlineStr">
        <is>
          <t>Targeting 500 ultra-fast DC charging hubs across Southern and Central Europe by 2026</t>
        </is>
      </c>
    </row>
    <row r="19"/>
    <row r="20">
      <c r="B20" s="3" t="inlineStr">
        <is>
          <t>III. GEOGRAPHIC &amp; CURRENCY EXPOSURE MATRIX</t>
        </is>
      </c>
    </row>
    <row r="21">
      <c r="B21" s="5" t="inlineStr">
        <is>
          <t>Exposure Category</t>
        </is>
      </c>
      <c r="C21" s="5" t="inlineStr">
        <is>
          <t>Contractual / Balance Sheet Profile</t>
        </is>
      </c>
    </row>
    <row r="22">
      <c r="B22" s="9" t="inlineStr">
        <is>
          <t>Usd Revenue Share</t>
        </is>
      </c>
      <c r="C22" s="38" t="inlineStr">
        <is>
          <t>68.5% of generation EBITDA earned in US Dollars directly under statutory YEKDEM mechanism</t>
        </is>
      </c>
    </row>
    <row r="23">
      <c r="B23" s="9" t="inlineStr">
        <is>
          <t>Try Regulated Revenue Share</t>
        </is>
      </c>
      <c r="C23" s="38" t="inlineStr">
        <is>
          <t>31.5% of revenue earned in Turkish Lira via OEDAS/OEPSAS with full CPI inflation pass-through</t>
        </is>
      </c>
    </row>
    <row r="24">
      <c r="B24" s="9" t="inlineStr">
        <is>
          <t>Debt Currency Denomination</t>
        </is>
      </c>
      <c r="C24" s="38" t="inlineStr">
        <is>
          <t>58% USD, 24% EUR, 18% TRY — natural dollar hedge covers 100% of USD net interest payments</t>
        </is>
      </c>
    </row>
    <row r="25">
      <c r="B25" s="9" t="inlineStr">
        <is>
          <t>Fx Risk Mitigation</t>
        </is>
      </c>
      <c r="C25" s="38" t="inlineStr">
        <is>
          <t>Bilateral FX forward hedges covering next 12-month EUR debt principal amortizations</t>
        </is>
      </c>
    </row>
    <row r="26"/>
    <row r="27">
      <c r="B27" s="3" t="inlineStr">
        <is>
          <t>IV. CONTRACT BACKLOG &amp; COMMERCIAL MOAT</t>
        </is>
      </c>
    </row>
    <row r="28">
      <c r="B28" s="5" t="inlineStr">
        <is>
          <t>Dimension</t>
        </is>
      </c>
      <c r="C28" s="5" t="inlineStr">
        <is>
          <t>Commercial / Asset Metrics</t>
        </is>
      </c>
    </row>
    <row r="29">
      <c r="B29" s="9" t="inlineStr">
        <is>
          <t>Contracted Generation Capacity</t>
        </is>
      </c>
      <c r="C29" s="38" t="inlineStr">
        <is>
          <t>643 MW operating under government-backed take-or-pay feed-in tariffs</t>
        </is>
      </c>
    </row>
    <row r="30">
      <c r="B30" s="9" t="inlineStr">
        <is>
          <t>Offtaker Counterparty</t>
        </is>
      </c>
      <c r="C30" s="38" t="inlineStr">
        <is>
          <t>Republic of Turkey Ministry of Energy and Natural Resources / EPIAS (100% sovereign-backed offtake)</t>
        </is>
      </c>
    </row>
    <row r="31">
      <c r="B31" s="9" t="inlineStr">
        <is>
          <t>Average Concession Life</t>
        </is>
      </c>
      <c r="C31" s="38" t="inlineStr">
        <is>
          <t>Distribution concession through 2036; Geothermal exploration licenses valid through 2041-2047</t>
        </is>
      </c>
    </row>
    <row r="32"/>
    <row r="33">
      <c r="B33" s="3" t="inlineStr">
        <is>
          <t>V. LIQUIDITY WATERFALL &amp; HEADROOM</t>
        </is>
      </c>
    </row>
    <row r="34">
      <c r="B34" s="5" t="inlineStr">
        <is>
          <t>Liquidity Component</t>
        </is>
      </c>
      <c r="C34" s="5" t="inlineStr">
        <is>
          <t>Available Buffer / Runway</t>
        </is>
      </c>
    </row>
    <row r="35">
      <c r="B35" s="9" t="inlineStr">
        <is>
          <t>Unrestricted Cash Reserves</t>
        </is>
      </c>
      <c r="C35" s="38" t="inlineStr">
        <is>
          <t>$240.0M held in tier-1 commercial and state banks (Akbank, Garanti, Isbank)</t>
        </is>
      </c>
    </row>
    <row r="36">
      <c r="B36" s="9" t="inlineStr">
        <is>
          <t>Undrawn Committed Facilities</t>
        </is>
      </c>
      <c r="C36" s="38" t="inlineStr">
        <is>
          <t>$180.0M undrawn revolving credit lines and overdraft limits</t>
        </is>
      </c>
    </row>
    <row r="37">
      <c r="B37" s="9" t="inlineStr">
        <is>
          <t>Next 12M Debt Service</t>
        </is>
      </c>
      <c r="C37" s="38" t="inlineStr">
        <is>
          <t>$260.0M scheduled amortization and coupon payments fully covered by internal operating cash flow ($272M CFO)</t>
        </is>
      </c>
    </row>
    <row r="38">
      <c r="B38" s="3" t="inlineStr">
        <is>
          <t>VI. GENERATION FLEET BREAKDOWN</t>
        </is>
      </c>
    </row>
    <row r="39">
      <c r="B39" s="5" t="inlineStr">
        <is>
          <t>Operational Asset / Disclosure Dimension</t>
        </is>
      </c>
      <c r="C39" s="5" t="inlineStr">
        <is>
          <t>Conference Call &amp; Investor Deck Detail</t>
        </is>
      </c>
    </row>
    <row r="40">
      <c r="B40" s="9" t="inlineStr">
        <is>
          <t>Geothermal Capacity Jes</t>
        </is>
      </c>
      <c r="C40" s="38" t="inlineStr">
        <is>
          <t>305.0 MW total geothermal capacity: Kizildere I (15.0 MW), Kizildere II (80.0 MW), Kizildere III Unit 1 (99.5 MW), Kizildere III Unit 2 (65.5 MW), Alasehir I (45.0 MW) — Turkey's largest and lowest-cost baseload renewable fleet</t>
        </is>
      </c>
    </row>
    <row r="41">
      <c r="B41" s="9" t="inlineStr">
        <is>
          <t>Wind Capacity Res</t>
        </is>
      </c>
      <c r="C41" s="38" t="inlineStr">
        <is>
          <t>135.0 MW Gokcedag Wind Power Plant (Osmaniye) — long-term high wind resource capacity factor (&gt;34%)</t>
        </is>
      </c>
    </row>
    <row r="42">
      <c r="B42" s="9" t="inlineStr">
        <is>
          <t>Hydroelectric Capacity Hes</t>
        </is>
      </c>
      <c r="C42" s="38" t="inlineStr">
        <is>
          <t>118.6 MW across 7 operating run-of-river and reservoir plants (Ikizdere, Atabey, Camlica, Kuzgun, Mercan, Tercan, Beykoy)</t>
        </is>
      </c>
    </row>
    <row r="43">
      <c r="B43" s="9" t="inlineStr">
        <is>
          <t>Solar And Hybrid Capacity</t>
        </is>
      </c>
      <c r="C43" s="38" t="inlineStr">
        <is>
          <t>84.0 MW installed and under development (hybrid solar installations co-located at Kizildere geothermal sites)</t>
        </is>
      </c>
    </row>
    <row r="44">
      <c r="B44" s="9" t="inlineStr">
        <is>
          <t>Thermal And Industrial Cogen</t>
        </is>
      </c>
      <c r="C44" s="38" t="inlineStr">
        <is>
          <t>341.0 MW domestic gas cogeneration and district heating (Bursa, Luleburgaz)</t>
        </is>
      </c>
    </row>
    <row r="45">
      <c r="B45" s="9" t="inlineStr">
        <is>
          <t>International Power Assets</t>
        </is>
      </c>
      <c r="C45" s="38" t="inlineStr">
        <is>
          <t>290.4 MW total international holdings: 56.4 MW Jhimpir Wind (Pakistan, sovereign USD PPA) + 25.0% equity interest in 840 MW Dorad Energy (Israel, 210 MW net share)</t>
        </is>
      </c>
    </row>
    <row r="46"/>
    <row r="47">
      <c r="B47" s="3" t="inlineStr">
        <is>
          <t>VI. YEKDEM FEED IN TARIFF MECHANICS</t>
        </is>
      </c>
    </row>
    <row r="48">
      <c r="B48" s="5" t="inlineStr">
        <is>
          <t>Operational Asset / Disclosure Dimension</t>
        </is>
      </c>
      <c r="C48" s="5" t="inlineStr">
        <is>
          <t>Conference Call &amp; Investor Deck Detail</t>
        </is>
      </c>
    </row>
    <row r="49">
      <c r="B49" s="9" t="inlineStr">
        <is>
          <t>Geothermal Dollar Tariff</t>
        </is>
      </c>
      <c r="C49" s="38" t="inlineStr">
        <is>
          <t>$105.0/MWh base feed-in tariff + up to $27.0/MWh domestic equipment component bonus = $132.0/MWh guaranteed in US Dollars</t>
        </is>
      </c>
    </row>
    <row r="50">
      <c r="B50" s="9" t="inlineStr">
        <is>
          <t>Wind Dollar Tariff</t>
        </is>
      </c>
      <c r="C50" s="38" t="inlineStr">
        <is>
          <t>$73.0/MWh base tariff + up to $21.0/MWh local blade/tower manufacturing bonus = $94.0/MWh guaranteed in US Dollars</t>
        </is>
      </c>
    </row>
    <row r="51">
      <c r="B51" s="9" t="inlineStr">
        <is>
          <t>Dollar Natural Hedge Ratio</t>
        </is>
      </c>
      <c r="C51" s="38" t="inlineStr">
        <is>
          <t>68.5% of total power generation cash EBITDA is received in hard currency US Dollars via YEKDEM settlement, fully covering annual USD debt service on project loans and Eurobonds</t>
        </is>
      </c>
    </row>
    <row r="52">
      <c r="B52" s="9" t="inlineStr">
        <is>
          <t>Yekdem Contract Expiry Schedule</t>
        </is>
      </c>
      <c r="C52" s="38" t="inlineStr">
        <is>
          <t>Kizildere II active through 2026; Alasehir active through 2026; Kizildere III Unit 1 through 2028; Kizildere III Unit 2 through 2029; Gokcedag Wind through 2025 (transitioning to merchant/bilateral contracts)</t>
        </is>
      </c>
    </row>
    <row r="53"/>
    <row r="54">
      <c r="B54" s="3" t="inlineStr">
        <is>
          <t>VI. DISTRIBUTION AND RETAIL OEDAS</t>
        </is>
      </c>
    </row>
    <row r="55">
      <c r="B55" s="5" t="inlineStr">
        <is>
          <t>Operational Asset / Disclosure Dimension</t>
        </is>
      </c>
      <c r="C55" s="5" t="inlineStr">
        <is>
          <t>Conference Call &amp; Investor Deck Detail</t>
        </is>
      </c>
    </row>
    <row r="56">
      <c r="B56" s="9" t="inlineStr">
        <is>
          <t>Concession Area</t>
        </is>
      </c>
      <c r="C56" s="38" t="inlineStr">
        <is>
          <t>Osmangazi electricity distribution region covering 5 provinces: Afyonkarahisar, Bilecik, Eskisehir, Kutahya, Usak</t>
        </is>
      </c>
    </row>
    <row r="57">
      <c r="B57" s="9" t="inlineStr">
        <is>
          <t>Customer Reach</t>
        </is>
      </c>
      <c r="C57" s="38" t="inlineStr">
        <is>
          <t>1.95 million registered meters serving a regional population of ~2.9 million</t>
        </is>
      </c>
    </row>
    <row r="58">
      <c r="B58" s="9" t="inlineStr">
        <is>
          <t>Annual Volume Distributed</t>
        </is>
      </c>
      <c r="C58" s="38" t="inlineStr">
        <is>
          <t>8,650 GWh distributed electricity volume (+3.8% organic growth in 2024)</t>
        </is>
      </c>
    </row>
    <row r="59">
      <c r="B59" s="9" t="inlineStr">
        <is>
          <t>Regulated Asset Base Rab</t>
        </is>
      </c>
      <c r="C59" s="38" t="inlineStr">
        <is>
          <t>$650.0M equivalent (TRY 22.5B), earning a real pre-tax allowed return on equity (WACC) set by EMRA (12.3% real return)</t>
        </is>
      </c>
    </row>
    <row r="60">
      <c r="B60" s="9" t="inlineStr">
        <is>
          <t>Inflation Protection</t>
        </is>
      </c>
      <c r="C60" s="38" t="inlineStr">
        <is>
          <t>Distribution tariffs and opex/capex allowances are adjusted monthly for Turkish CPI/PPI, shielding real operating margin against currency depreciation</t>
        </is>
      </c>
    </row>
    <row r="62">
      <c r="B62" s="3" t="inlineStr">
        <is>
          <t>VI. ZES ELECTRIC VEHICLE CHARGING NETWORK</t>
        </is>
      </c>
    </row>
    <row r="63">
      <c r="B63" s="5" t="inlineStr">
        <is>
          <t>Operational Asset / Disclosure Dimension</t>
        </is>
      </c>
      <c r="C63" s="5" t="inlineStr">
        <is>
          <t>Conference Call &amp; Investor Deck Detail</t>
        </is>
      </c>
    </row>
    <row r="64">
      <c r="B64" s="9" t="inlineStr">
        <is>
          <t>Active Charging Sockets</t>
        </is>
      </c>
      <c r="C64" s="38" t="inlineStr">
        <is>
          <t>1,850+ public AC/DC fast-charging sockets operating across all 81 provinces of Turkey</t>
        </is>
      </c>
    </row>
    <row r="65">
      <c r="B65" s="9" t="inlineStr">
        <is>
          <t>Market Share</t>
        </is>
      </c>
      <c r="C65" s="38" t="inlineStr">
        <is>
          <t>~35% - 38% market share in public DC fast charging, maintaining clear #1 market leadership in Turkey</t>
        </is>
      </c>
    </row>
    <row r="66">
      <c r="B66" s="9" t="inlineStr">
        <is>
          <t>European Expansion Electrip</t>
        </is>
      </c>
      <c r="C66" s="38" t="inlineStr">
        <is>
          <t>International EV charging rollout under the Electrip brand with active high-power hubs launched in Italy, France, Poland, Bulgaria, and Greece</t>
        </is>
      </c>
    </row>
    <row r="67">
      <c r="B67" s="9" t="inlineStr">
        <is>
          <t>Charging Volume Growth</t>
        </is>
      </c>
      <c r="C67" s="38" t="inlineStr">
        <is>
          <t>+78.0% YoY increase in electricity delivered via charging network (transitioning into high-margin recurring cash flow stream)</t>
        </is>
      </c>
    </row>
    <row r="70">
      <c r="B70" s="3" t="inlineStr">
        <is>
          <t>INSTITUTIONAL MANAGEMENT QUESTIONS &amp; CONVICTION DRIVERS (1-ON-1 DUE DILIGENCE)</t>
        </is>
      </c>
    </row>
    <row r="71">
      <c r="B71" s="5" t="inlineStr">
        <is>
          <t>Focus Area</t>
        </is>
      </c>
      <c r="C71" s="5" t="inlineStr">
        <is>
          <t>Question to Ask CFO / Management</t>
        </is>
      </c>
      <c r="F71" s="5" t="inlineStr">
        <is>
          <t>Credit Relevance &amp; Deduced Ambiguity</t>
        </is>
      </c>
      <c r="H71" s="5" t="inlineStr">
        <is>
          <t>Conviction Trigger &amp; Decision Rule</t>
        </is>
      </c>
    </row>
    <row r="72">
      <c r="B72" s="9" t="inlineStr">
        <is>
          <t>YEKDEM Dollar Conversion &amp; Central Bank FX Surrender Lag</t>
        </is>
      </c>
      <c r="C72" s="38" t="inlineStr">
        <is>
          <t>Can you provide the exact operational mechanics and timeline for converting TRY electricity sales into hard-currency USD under the YEKDEM mechanism? Specifically, does Zorlu face any repatriation friction or mandatory central bank surrender ratios that delay offshore debt service on the 2026 Eurobonds?</t>
        </is>
      </c>
      <c r="F72" s="26" t="inlineStr">
        <is>
          <t>Public disclosures state YEKDEM is dollar-denominated ($132/MWh for Kizildere), but initial billing is settled in Turkish Lira through EPAS. If there is a 30-60 day conversion lag during sharp TRY devaluations, dollar cash generation suffers hidden margin erosion that is not evident in annual IFRS figures.</t>
        </is>
      </c>
      <c r="H72" s="40" t="inlineStr">
        <is>
          <t>If management confirms immediate daily FX spot conversion rights without Central Bank friction, our conviction in the 2026 cash flow coverage rises to High (maintain Overweight). If conversions face weekly quotas, widen fair value spread by +45 bps.</t>
        </is>
      </c>
    </row>
    <row r="73">
      <c r="B73" s="9" t="inlineStr">
        <is>
          <t>Dorad Energy (Israel) Dividend Repatriation &amp; Legal Insulation</t>
        </is>
      </c>
      <c r="C73" s="38" t="inlineStr">
        <is>
          <t>Given ongoing Middle East geopolitical tensions, what is the exact legal status of dividend distributions from Dorad Energy (in which Zorlu holds a 25% stake)? Are cash flows currently being remitted to Istanbul, and are there any debt cross-default provisions if Dorad were to suspend distributions?</t>
        </is>
      </c>
      <c r="F73" s="26" t="inlineStr">
        <is>
          <t>Zorlu regularly adds back equity income from Dorad Energy into reported EBITDA ($12M-$18M annually). If geopolitical friction halts cross-border cash remittances, desk Calculated EBITDA is the only true liquidity anchor and debt service coverage tightens from 2.3x to 1.85x.</t>
        </is>
      </c>
      <c r="H73" s="40" t="inlineStr">
        <is>
          <t>Verification that Dorad cash dividends are ring-fenced and non-recourse to parent debt supports credit stability. If parent is required to inject equity or collateral, trigger Underweight recommendation.</t>
        </is>
      </c>
    </row>
    <row r="74">
      <c r="B74" s="9" t="inlineStr">
        <is>
          <t>OEDAS Regulated Asset Base (RAB) Inflation Indexation Schedule</t>
        </is>
      </c>
      <c r="C74" s="38" t="inlineStr">
        <is>
          <t>For the OEDAS electricity distribution business, what is the exact regulatory lag before EMRA (EPDK) adjusts distribution tariffs for 2025-2026 CPI inflation, and what percentage of the $650M RAB capex is pre-funded through government reimbursement schemes?</t>
        </is>
      </c>
      <c r="F74" s="26" t="inlineStr">
        <is>
          <t>Distribution provides Zorlu's domestic cash anchor (~35% of EBITDA). A regulatory lag exceeding 6 months during 40%+ inflation periods creates severe working capital drains that absorb operating cash before debt service.</t>
        </is>
      </c>
      <c r="H74" s="40" t="inlineStr">
        <is>
          <t>Quarterly indexation confirmation confirms debt service resilience. Annual lagging indexation indicates negative FCF in high-inflation quarters.</t>
        </is>
      </c>
    </row>
    <row r="77">
      <c r="B77" s="3" t="inlineStr">
        <is>
          <t>SCHEDULED EARNINGS RELEASE &amp; INVESTOR RELATIONS CALENDAR</t>
        </is>
      </c>
    </row>
    <row r="78">
      <c r="B78" s="5" t="inlineStr">
        <is>
          <t>Calendar Dimension</t>
        </is>
      </c>
      <c r="C78" s="5" t="inlineStr">
        <is>
          <t>Scheduled Detail &amp; IR Access</t>
        </is>
      </c>
    </row>
    <row r="79">
      <c r="B79" s="9" t="inlineStr">
        <is>
          <t>Next Scheduled Earnings Date</t>
        </is>
      </c>
      <c r="C79" s="38" t="inlineStr">
        <is>
          <t>2026-11-06</t>
        </is>
      </c>
    </row>
    <row r="80">
      <c r="B80" s="9" t="inlineStr">
        <is>
          <t>Reporting Period</t>
        </is>
      </c>
      <c r="C80" s="38" t="inlineStr">
        <is>
          <t>Q3 2026 / 9M</t>
        </is>
      </c>
    </row>
    <row r="81">
      <c r="B81" s="9" t="inlineStr">
        <is>
          <t>Confirmation Status</t>
        </is>
      </c>
      <c r="C81" s="38" t="inlineStr">
        <is>
          <t>Estimated</t>
        </is>
      </c>
    </row>
    <row r="82">
      <c r="B82" s="9" t="inlineStr">
        <is>
          <t>Conference Call &amp; Webcast Schedule</t>
        </is>
      </c>
      <c r="C82" s="38" t="inlineStr">
        <is>
          <t>18:00 Istanbul (Post-Market)</t>
        </is>
      </c>
    </row>
    <row r="83">
      <c r="B83" s="9" t="inlineStr">
        <is>
          <t>Official IR Portal / Webcast URL</t>
        </is>
      </c>
      <c r="C83" s="38" t="inlineStr">
        <is>
          <t>https://www.zoren.com.tr/en/investor-relations/financial-reports</t>
        </is>
      </c>
    </row>
  </sheetData>
  <mergeCells count="66">
    <mergeCell ref="C36:I36"/>
    <mergeCell ref="F73:G73"/>
    <mergeCell ref="C23:I23"/>
    <mergeCell ref="C52:I52"/>
    <mergeCell ref="F9:I9"/>
    <mergeCell ref="C17:I17"/>
    <mergeCell ref="C48:I48"/>
    <mergeCell ref="C39:I39"/>
    <mergeCell ref="C82:I82"/>
    <mergeCell ref="B3:I3"/>
    <mergeCell ref="C67:I67"/>
    <mergeCell ref="F74:G74"/>
    <mergeCell ref="C81:I81"/>
    <mergeCell ref="C57:I57"/>
    <mergeCell ref="C37:I37"/>
    <mergeCell ref="H74:I74"/>
    <mergeCell ref="C28:I28"/>
    <mergeCell ref="C66:I66"/>
    <mergeCell ref="C18:I18"/>
    <mergeCell ref="C71:E71"/>
    <mergeCell ref="H73:I73"/>
    <mergeCell ref="C78:I78"/>
    <mergeCell ref="B2:I2"/>
    <mergeCell ref="C49:I49"/>
    <mergeCell ref="F11:I11"/>
    <mergeCell ref="C83:I83"/>
    <mergeCell ref="C34:I34"/>
    <mergeCell ref="C24:I24"/>
    <mergeCell ref="C30:I30"/>
    <mergeCell ref="C42:I42"/>
    <mergeCell ref="C15:I15"/>
    <mergeCell ref="F10:I10"/>
    <mergeCell ref="C58:I58"/>
    <mergeCell ref="C14:I14"/>
    <mergeCell ref="C45:I45"/>
    <mergeCell ref="C72:E72"/>
    <mergeCell ref="F7:I7"/>
    <mergeCell ref="C64:I64"/>
    <mergeCell ref="F72:G72"/>
    <mergeCell ref="C79:I79"/>
    <mergeCell ref="C35:I35"/>
    <mergeCell ref="H72:I72"/>
    <mergeCell ref="C29:I29"/>
    <mergeCell ref="C16:I16"/>
    <mergeCell ref="C25:I25"/>
    <mergeCell ref="C63:I63"/>
    <mergeCell ref="C41:I41"/>
    <mergeCell ref="C65:I65"/>
    <mergeCell ref="F71:G71"/>
    <mergeCell ref="C55:I55"/>
    <mergeCell ref="C50:I50"/>
    <mergeCell ref="C31:I31"/>
    <mergeCell ref="C44:I44"/>
    <mergeCell ref="C22:I22"/>
    <mergeCell ref="C40:I40"/>
    <mergeCell ref="C74:E74"/>
    <mergeCell ref="C80:I80"/>
    <mergeCell ref="F8:I8"/>
    <mergeCell ref="C56:I56"/>
    <mergeCell ref="C21:I21"/>
    <mergeCell ref="C59:I59"/>
    <mergeCell ref="C43:I43"/>
    <mergeCell ref="H71:I71"/>
    <mergeCell ref="C73:E73"/>
    <mergeCell ref="C60:I60"/>
    <mergeCell ref="C51:I5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2026-10-23T04:16:52Z</dcterms:created>
  <dcterms:modified xmlns:dcterms="http://purl.org/dc/terms/" xmlns:xsi="http://www.w3.org/2001/XMLSchema-instance" xsi:type="dcterms:W3CDTF">2026-10-23T04:16:52Z</dcterms:modified>
</cp:coreProperties>
</file>