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36" authorId="0" shapeId="0">
      <text>
        <t>CEMBI Credit Desk EBITDA Audit (2021A):
Cognitive Credit derived EBITDA versus company-reported (adjusted) EBITDA; difference = company adjustments.</t>
      </text>
    </comment>
    <comment ref="D36" authorId="0" shapeId="0">
      <text>
        <t>CEMBI Credit Desk EBITDA Audit (2022A):
Cognitive Credit derived EBITDA versus company-reported (adjusted) EBITDA; difference = company adjustments.</t>
      </text>
    </comment>
    <comment ref="E36" authorId="0" shapeId="0">
      <text>
        <t>CEMBI Credit Desk EBITDA Audit (2023A):
Cognitive Credit derived EBITDA versus company-reported (adjusted) EBITDA; difference = company adjustments.</t>
      </text>
    </comment>
    <comment ref="F36" authorId="0" shapeId="0">
      <text>
        <t>CEMBI Credit Desk EBITDA Audit (2024A):
Fully reconciled with zero material add-backs.</t>
      </text>
    </comment>
    <comment ref="G36" authorId="0" shapeId="0">
      <text>
        <t>CEMBI Credit Desk EBITDA Audit (2025E):
Fully reconciled with zero material add-backs.</t>
      </text>
    </comment>
    <comment ref="H36" authorId="0" shapeId="0">
      <text>
        <t>CEMBI Credit Desk EBITDA Audit (2026E):
Fully reconciled with zero material add-backs.</t>
      </text>
    </comment>
    <comment ref="I36" authorId="0" shapeId="0">
      <text>
        <t>CEMBI Credit Desk EBITDA Audit (2027E):
Fully reconciled with zero material add-backs.</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generation of $7699.0M after capex, interest, working capital, and tax.</t>
      </text>
    </comment>
    <comment ref="D34" authorId="0" shapeId="0">
      <text>
        <t>CEMBI Credit Desk FCF Bridge (2022A):
Formula: EBITDA - Capex - Cash Interest - ΔNWC - Tax
FCF generation of $-4991.7M after capex, interest, working capital, and tax.</t>
      </text>
    </comment>
    <comment ref="E34" authorId="0" shapeId="0">
      <text>
        <t>CEMBI Credit Desk FCF Bridge (2023A):
Formula: EBITDA - Capex - Cash Interest - ΔNWC - Tax
FCF generation of $-8915.1M after capex, interest, working capital, and tax.</t>
      </text>
    </comment>
    <comment ref="F34" authorId="0" shapeId="0">
      <text>
        <t>CEMBI Credit Desk FCF Bridge (2024A):
Formula: EBITDA - Capex - Cash Interest - ΔNWC - Tax
FCF generation of $100.0M after capex, interest, working capital, and tax.</t>
      </text>
    </comment>
    <comment ref="G34" authorId="0" shapeId="0">
      <text>
        <t>CEMBI Credit Desk FCF Bridge (2025E):
Formula: EBITDA - Capex - Cash Interest - ΔNWC - Tax
FCF generation of $100.0M after capex, interest, working capital, and tax.</t>
      </text>
    </comment>
    <comment ref="H34" authorId="0" shapeId="0">
      <text>
        <t>CEMBI Credit Desk FCF Bridge (2026E):
Formula: EBITDA - Capex - Cash Interest - ΔNWC - Tax
FCF generation of $100.0M after capex, interest, working capital, and tax.</t>
      </text>
    </comment>
    <comment ref="I34" authorId="0" shapeId="0">
      <text>
        <t>CEMBI Credit Desk FCF Bridge (2027E):
Formula: EBITDA - Capex - Cash Interest - ΔNWC - Tax
FCF generation of $100.0M after capex, interest, working capital, and tax.</t>
      </text>
    </comment>
  </commentList>
</comments>
</file>

<file path=xl/comments/comment3.xml><?xml version="1.0" encoding="utf-8"?>
<comments xmlns="http://schemas.openxmlformats.org/spreadsheetml/2006/main">
  <authors>
    <author>CEMBI Credit Desk</author>
  </authors>
  <commentList>
    <comment ref="C9" authorId="0" shapeId="0">
      <text>
        <t>CEMBI Credit Desk Reported Leverage Commentary (2021A):
Cognitive Credit derived EBITDA versus company-reported (adjusted) EBITDA; difference = company adjustments.</t>
      </text>
    </comment>
    <comment ref="D9" authorId="0" shapeId="0">
      <text>
        <t>CEMBI Credit Desk Reported Leverage Commentary (2022A):
Cognitive Credit derived EBITDA versus company-reported (adjusted) EBITDA; difference = company adjustments.</t>
      </text>
    </comment>
    <comment ref="E9" authorId="0" shapeId="0">
      <text>
        <t>CEMBI Credit Desk Reported Leverage Commentary (2023A):
Cognitive Credit derived EBITDA versus company-reported (adjusted) EBITDA; difference = company adjustments.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26935.065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17956.71</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14963.925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460</v>
      </c>
      <c r="D23" s="8" t="n">
        <v>460</v>
      </c>
      <c r="E23" s="8" t="n">
        <v>18119.1</v>
      </c>
      <c r="F23" s="8" t="n">
        <v>17856.9</v>
      </c>
      <c r="G23" s="8" t="n">
        <v>460</v>
      </c>
      <c r="H23" s="8" t="n">
        <v>460</v>
      </c>
      <c r="I23" s="8" t="n">
        <v>460</v>
      </c>
    </row>
    <row r="24">
      <c r="B24" s="7" t="inlineStr">
        <is>
          <t>Regulated Electricity Distribution &amp; Retail (OEDAS/OEPSAS)</t>
        </is>
      </c>
      <c r="C24" s="8" t="n">
        <v>380</v>
      </c>
      <c r="D24" s="8" t="n">
        <v>380</v>
      </c>
      <c r="E24" s="8" t="n">
        <v>14967.9</v>
      </c>
      <c r="F24" s="8" t="n">
        <v>14751.4</v>
      </c>
      <c r="G24" s="8" t="n">
        <v>380</v>
      </c>
      <c r="H24" s="8" t="n">
        <v>380</v>
      </c>
      <c r="I24" s="8" t="n">
        <v>380</v>
      </c>
    </row>
    <row r="25">
      <c r="B25" s="7" t="inlineStr">
        <is>
          <t>Thermal Cogeneration &amp; International IPPs (Dorad/Pakistan)</t>
        </is>
      </c>
      <c r="C25" s="8" t="n">
        <v>120</v>
      </c>
      <c r="D25" s="8" t="n">
        <v>120</v>
      </c>
      <c r="E25" s="8" t="n">
        <v>4726.7</v>
      </c>
      <c r="F25" s="8" t="n">
        <v>4658.3</v>
      </c>
      <c r="G25" s="8" t="n">
        <v>120</v>
      </c>
      <c r="H25" s="8" t="n">
        <v>120</v>
      </c>
      <c r="I25" s="8" t="n">
        <v>120</v>
      </c>
    </row>
    <row r="26">
      <c r="B26" s="7" t="inlineStr">
        <is>
          <t>ZES EV Charging Network &amp; Energy Solutions</t>
        </is>
      </c>
      <c r="C26" s="8" t="n">
        <v>40</v>
      </c>
      <c r="D26" s="8" t="n">
        <v>40</v>
      </c>
      <c r="E26" s="8" t="n">
        <v>1575.6</v>
      </c>
      <c r="F26" s="8" t="n">
        <v>1552.8</v>
      </c>
      <c r="G26" s="8" t="n">
        <v>40</v>
      </c>
      <c r="H26" s="8" t="n">
        <v>40</v>
      </c>
      <c r="I26" s="8" t="n">
        <v>40</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0</v>
      </c>
      <c r="D35" s="24" t="n">
        <v>0</v>
      </c>
      <c r="E35" s="24" t="n">
        <v>0</v>
      </c>
      <c r="F35" s="24" t="n">
        <v>0</v>
      </c>
      <c r="G35" s="24" t="n">
        <v>0</v>
      </c>
      <c r="H35" s="24" t="n">
        <v>0</v>
      </c>
      <c r="I35" s="24" t="n">
        <v>0</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Reconciled</t>
        </is>
      </c>
      <c r="D39" s="25" t="inlineStr">
        <is>
          <t>Reconciled</t>
        </is>
      </c>
      <c r="E39" s="25" t="inlineStr">
        <is>
          <t>Reconciled</t>
        </is>
      </c>
      <c r="F39" s="25" t="inlineStr">
        <is>
          <t>Reconciled</t>
        </is>
      </c>
      <c r="G39" s="25" t="inlineStr">
        <is>
          <t>Reconciled</t>
        </is>
      </c>
      <c r="H39" s="25" t="inlineStr">
        <is>
          <t>Reconciled</t>
        </is>
      </c>
      <c r="I39" s="25" t="inlineStr">
        <is>
          <t>Reconciled</t>
        </is>
      </c>
    </row>
    <row r="40"/>
    <row r="41">
      <c r="B41" s="3" t="inlineStr">
        <is>
          <t>VII. DETAILED EBITDA RECONCILIATION FOOTNOTES</t>
        </is>
      </c>
    </row>
    <row r="42">
      <c r="B42" s="26" t="inlineStr">
        <is>
          <t>[2021A] Cognitive Credit derived EBITDA versus company-reported (adjusted) EBITDA; difference = company adjustments.</t>
        </is>
      </c>
    </row>
    <row r="43">
      <c r="B43" s="26" t="inlineStr">
        <is>
          <t>[2022A] Cognitive Credit derived EBITDA versus company-reported (adjusted) EBITDA; difference = company adjustments.</t>
        </is>
      </c>
    </row>
    <row r="44">
      <c r="B44" s="26" t="inlineStr">
        <is>
          <t>[2023A] Cognitive Credit derived EBITDA versus company-reported (adjusted) EBITDA; difference = company adjustments.</t>
        </is>
      </c>
    </row>
    <row r="45">
      <c r="B45" s="26" t="inlineStr">
        <is>
          <t>[2024A] Fully reconciled.</t>
        </is>
      </c>
    </row>
    <row r="46">
      <c r="B46" s="26" t="inlineStr">
        <is>
          <t>[2025E] Fully reconciled.</t>
        </is>
      </c>
    </row>
    <row r="47">
      <c r="B47" s="26" t="inlineStr">
        <is>
          <t>[2026E] Fully reconciled.</t>
        </is>
      </c>
    </row>
    <row r="48">
      <c r="B48" s="26" t="inlineStr">
        <is>
          <t>[2027E] Fully reconciled.</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1500</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350</v>
      </c>
      <c r="D36" s="8" t="n">
        <v>350</v>
      </c>
      <c r="E36" s="8" t="n">
        <v>350</v>
      </c>
      <c r="F36" s="8" t="n">
        <v>350</v>
      </c>
      <c r="G36" s="8" t="n">
        <v>350</v>
      </c>
      <c r="H36" s="8" t="n">
        <v>350</v>
      </c>
      <c r="I36" s="8" t="n">
        <v>350</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-120</v>
      </c>
      <c r="D16" s="8" t="n">
        <v>-120</v>
      </c>
      <c r="E16" s="8" t="n">
        <v>1486.3</v>
      </c>
      <c r="F16" s="8" t="n">
        <v>1584.6</v>
      </c>
      <c r="G16" s="8" t="n">
        <v>-120</v>
      </c>
      <c r="H16" s="8" t="n">
        <v>-120</v>
      </c>
      <c r="I16" s="8" t="n">
        <v>-120</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150</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-658.1</v>
      </c>
      <c r="D32" s="8" t="n">
        <v>8619</v>
      </c>
      <c r="E32" s="8" t="n">
        <v>14293.4</v>
      </c>
      <c r="F32" s="8" t="n">
        <v>10</v>
      </c>
      <c r="G32" s="8" t="n">
        <v>10</v>
      </c>
      <c r="H32" s="8" t="n">
        <v>10</v>
      </c>
      <c r="I32" s="8" t="n">
        <v>10</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Positive organic cash generation supporting liquidity and debt service.</t>
        </is>
      </c>
    </row>
    <row r="39">
      <c r="B39" s="26" t="inlineStr">
        <is>
          <t>[2022A] Positive organic cash generation supporting liquidity and debt service.</t>
        </is>
      </c>
    </row>
    <row r="40">
      <c r="B40" s="26" t="inlineStr">
        <is>
          <t>[2023A] Positive organic cash generation supporting liquidity and debt service.</t>
        </is>
      </c>
    </row>
    <row r="41">
      <c r="B41" s="26" t="inlineStr">
        <is>
          <t>[2024A] Positive organic cash generation supporting liquidity and debt service.</t>
        </is>
      </c>
    </row>
    <row r="42">
      <c r="B42" s="26" t="inlineStr">
        <is>
          <t>[2025E] Positive organic cash generation supporting liquidity and debt service.</t>
        </is>
      </c>
    </row>
    <row r="43">
      <c r="B43" s="26" t="inlineStr">
        <is>
          <t>[2026E] Positive organic cash generation supporting liquidity and debt service.</t>
        </is>
      </c>
    </row>
    <row r="44">
      <c r="B44" s="26" t="inlineStr">
        <is>
          <t>[2027E] Positive organic cash generation supporting liquidity and debt service.</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360</v>
      </c>
      <c r="D7" s="8">
        <f>C10</f>
        <v/>
      </c>
      <c r="E7" s="8">
        <f>D10</f>
        <v/>
      </c>
      <c r="F7" s="8">
        <f>E10</f>
        <v/>
      </c>
      <c r="G7" s="8">
        <f>F10</f>
        <v/>
      </c>
      <c r="H7" s="8">
        <f>G10</f>
        <v/>
      </c>
      <c r="I7" s="8">
        <f>H10</f>
        <v/>
      </c>
    </row>
    <row r="8">
      <c r="B8" s="7" t="inlineStr">
        <is>
          <t xml:space="preserve">  New Notes Issued</t>
        </is>
      </c>
      <c r="C8" s="8" t="n">
        <v>0</v>
      </c>
      <c r="D8" s="8" t="n">
        <v>0</v>
      </c>
      <c r="E8" s="8" t="n">
        <v>120</v>
      </c>
      <c r="F8" s="8" t="n">
        <v>0</v>
      </c>
      <c r="G8" s="8" t="n">
        <v>0</v>
      </c>
      <c r="H8" s="8" t="n">
        <v>0</v>
      </c>
      <c r="I8" s="8" t="n">
        <v>0</v>
      </c>
    </row>
    <row r="9">
      <c r="B9" s="7" t="inlineStr">
        <is>
          <t xml:space="preserve">  Repayments / Redemptions</t>
        </is>
      </c>
      <c r="C9" s="8" t="n">
        <v>0</v>
      </c>
      <c r="D9" s="8" t="n">
        <v>0</v>
      </c>
      <c r="E9" s="8" t="n">
        <v>0</v>
      </c>
      <c r="F9" s="8" t="n">
        <v>0</v>
      </c>
      <c r="G9" s="8" t="n">
        <v>80</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440</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7182.7</v>
      </c>
      <c r="C32" s="8" t="n">
        <v>13168.3</v>
      </c>
      <c r="D32" s="8" t="n">
        <v>16759.6</v>
      </c>
      <c r="E32" s="8" t="n">
        <v>10774</v>
      </c>
      <c r="F32" s="8" t="n">
        <v>7182.7</v>
      </c>
      <c r="G32" s="8" t="n">
        <v>4788.5</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14963.9</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44891.8</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8978.4</v>
      </c>
      <c r="D16" s="7" t="inlineStr">
        <is>
          <t>Subordinated</t>
        </is>
      </c>
      <c r="E16" s="7" t="inlineStr">
        <is>
          <t>Junior Unsecured Claim</t>
        </is>
      </c>
      <c r="F16" s="30" t="inlineStr">
        <is>
          <t>0.0%</t>
        </is>
      </c>
      <c r="G16" s="30" t="inlineStr">
        <is>
          <t>25.0%</t>
        </is>
      </c>
    </row>
    <row r="17">
      <c r="B17" s="7" t="inlineStr">
        <is>
          <t>Equity Shareholders</t>
        </is>
      </c>
      <c r="C17" s="8" t="n">
        <v>23942.3</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2026-10-15T04:20:08Z</dcterms:created>
  <dcterms:modified xmlns:dcterms="http://purl.org/dc/terms/" xmlns:xsi="http://www.w3.org/2001/XMLSchema-instance" xsi:type="dcterms:W3CDTF">2026-10-15T04:20:09Z</dcterms:modified>
</cp:coreProperties>
</file>