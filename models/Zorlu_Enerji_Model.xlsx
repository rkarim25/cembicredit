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Institutional Credit Model</t>
        </is>
      </c>
    </row>
    <row r="3">
      <c r="B3" s="2" t="inlineStr">
        <is>
          <t>Sector: Utilities | Country: Turkey | Rating: B- / CCC+ | Benchmark: ZOREN 9.00% 2026 @ $94.50 (11.20% YTM / +680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geothermal/hydro cash margins; AlJomaih asset divestment and deleveraging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ZOREN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802.08</v>
      </c>
      <c r="F26" s="7" t="inlineStr">
        <is>
          <t>11.20%</t>
        </is>
      </c>
      <c r="G26" s="7" t="inlineStr">
        <is>
          <t>$94.50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ZOREN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534.72</v>
      </c>
      <c r="F27" s="7" t="inlineStr">
        <is>
          <t>10.45%</t>
        </is>
      </c>
      <c r="G27" s="7" t="inlineStr">
        <is>
          <t>$97.00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554.9</v>
      </c>
      <c r="D15" s="8" t="n">
        <v>669.1</v>
      </c>
      <c r="E15" s="8" t="n">
        <v>750.7</v>
      </c>
      <c r="F15" s="8" t="n">
        <v>816</v>
      </c>
      <c r="G15" s="8" t="n">
        <v>881.3</v>
      </c>
      <c r="H15" s="8" t="n">
        <v>938.4</v>
      </c>
      <c r="I15" s="8" t="n">
        <v>979.2</v>
      </c>
    </row>
    <row r="16">
      <c r="B16" s="7" t="inlineStr">
        <is>
          <t>Regulated Power Distribution &amp; Grid</t>
        </is>
      </c>
      <c r="C16" s="8" t="n">
        <v>179.5</v>
      </c>
      <c r="D16" s="8" t="n">
        <v>216.5</v>
      </c>
      <c r="E16" s="8" t="n">
        <v>242.9</v>
      </c>
      <c r="F16" s="8" t="n">
        <v>264</v>
      </c>
      <c r="G16" s="8" t="n">
        <v>285.1</v>
      </c>
      <c r="H16" s="8" t="n">
        <v>303.6</v>
      </c>
      <c r="I16" s="8" t="n">
        <v>316.8</v>
      </c>
    </row>
    <row r="17">
      <c r="B17" s="7" t="inlineStr">
        <is>
          <t>Merchant &amp; Capacity Balancing Services</t>
        </is>
      </c>
      <c r="C17" s="8" t="n">
        <v>81.59999999999999</v>
      </c>
      <c r="D17" s="8" t="n">
        <v>98.40000000000001</v>
      </c>
      <c r="E17" s="8" t="n">
        <v>110.4</v>
      </c>
      <c r="F17" s="8" t="n">
        <v>120</v>
      </c>
      <c r="G17" s="8" t="n">
        <v>129.6</v>
      </c>
      <c r="H17" s="8" t="n">
        <v>138</v>
      </c>
      <c r="I17" s="8" t="n">
        <v>144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285.6</v>
      </c>
      <c r="D36" s="8" t="n">
        <v>285.6</v>
      </c>
      <c r="E36" s="8" t="n">
        <v>285.6</v>
      </c>
      <c r="F36" s="8" t="n">
        <v>285.6</v>
      </c>
      <c r="G36" s="8" t="n">
        <v>285.6</v>
      </c>
      <c r="H36" s="8" t="n">
        <v>285.6</v>
      </c>
      <c r="I36" s="8" t="n">
        <v>285.6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-78.40000000000001</v>
      </c>
      <c r="D16" s="8" t="n">
        <v>-95.2</v>
      </c>
      <c r="E16" s="8" t="n">
        <v>-106.4</v>
      </c>
      <c r="F16" s="8" t="n">
        <v>-112</v>
      </c>
      <c r="G16" s="8" t="n">
        <v>-117.6</v>
      </c>
      <c r="H16" s="8" t="n">
        <v>-114.2</v>
      </c>
      <c r="I16" s="8" t="n">
        <v>-109.8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ZOREN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0.1120</f>
        <v/>
      </c>
      <c r="D11" s="8">
        <f>D10 * 0.1120</f>
        <v/>
      </c>
      <c r="E11" s="8">
        <f>E10 * 0.1120</f>
        <v/>
      </c>
      <c r="F11" s="8">
        <f>F10 * 0.1120</f>
        <v/>
      </c>
      <c r="G11" s="8">
        <f>G10 * 0.1120</f>
        <v/>
      </c>
      <c r="H11" s="8">
        <f>H10 * 0.1120</f>
        <v/>
      </c>
      <c r="I11" s="8">
        <f>I10 * 0.1120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11.20%</t>
        </is>
      </c>
      <c r="F6" s="27" t="inlineStr">
        <is>
          <t>4.2x</t>
        </is>
      </c>
      <c r="G6" s="27" t="inlineStr">
        <is>
          <t>$95.00</t>
        </is>
      </c>
      <c r="H6" s="27" t="inlineStr">
        <is>
          <t>+0.5%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13.20%</t>
        </is>
      </c>
      <c r="F7" s="28" t="inlineStr">
        <is>
          <t>3.2x</t>
        </is>
      </c>
      <c r="G7" s="28" t="inlineStr">
        <is>
          <t>$76.50</t>
        </is>
      </c>
      <c r="H7" s="28" t="inlineStr">
        <is>
          <t>-19.0%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$58.00</t>
        </is>
      </c>
      <c r="H8" s="28" t="inlineStr">
        <is>
          <t>-38.6%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9.70%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+11.1%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ZOREN Senior Unsecured Eurobonds</t>
        </is>
      </c>
      <c r="C15" s="8" t="n">
        <v>1336.8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58.0%</t>
        </is>
      </c>
      <c r="G15" s="28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2026-09-19T21:03:47Z</dcterms:created>
  <dcterms:modified xmlns:dcterms="http://purl.org/dc/terms/" xmlns:xsi="http://www.w3.org/2001/XMLSchema-instance" xsi:type="dcterms:W3CDTF">2026-09-19T21:03:47Z</dcterms:modified>
</cp:coreProperties>
</file>