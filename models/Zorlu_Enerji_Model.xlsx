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anchored by OEDAŞ distribution network and 305 MW baseload geothermal fleet.</t>
      </text>
    </comment>
    <comment ref="G10" authorId="0" shapeId="0">
      <text>
        <t>CEMBI Credit Analyst Observation (2025E):
Revenue of $1,296M reflecting high geothermal availability (88.5%) and locked-in statutory USD YEKDEM feed-in tariffs.</t>
      </text>
    </comment>
    <comment ref="H10" authorId="0" shapeId="0">
      <text>
        <t>CEMBI Credit Analyst Observation (2026E):
Revenue at $1,380M; EV fast-charging (ZES) and renewable generation provide recurring cash flow amidst TRY volatility.</t>
      </text>
    </comment>
    <comment ref="I10" authorId="0" shapeId="0">
      <text>
        <t>CEMBI Credit Analyst Observation (2027E):
Revenue reaches $1,440M under post-restructuring steady-state renewable generation.</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financial debt reported at $1,350M (3.62x net leverage) following March 2024 Gazdaş gas distribution divestment and initial $800M 2030 bond issuance.</t>
      </text>
    </comment>
    <comment ref="G8" authorId="0" shapeId="0">
      <text>
        <t>CEMBI Credit Desk Calculated Leverage Commentary (2025E):
Net financial debt decreased to $1,168M (~$1.17bn) assisted by the completion of the Dorad Energy (Israel) 25% stake sale for 424M NIS.</t>
      </text>
    </comment>
    <comment ref="H8" authorId="0" shapeId="0">
      <text>
        <t>CEMBI Credit Desk Calculated Leverage Commentary (2026E):
1H26 net debt of $1.25B with LTM net leverage rising to 4.91x; Houlihan Lokey and Servo Capital appointed in Sep 2026 to advise on debt restructuring options.</t>
      </text>
    </comment>
    <comment ref="I8" authorId="0" shapeId="0">
      <text>
        <t>CEMBI Credit Desk Calculated Leverage Commentary (2027E):
Net leverage amortizes down toward 3.00x under consensual term extension and dedicated cash sweeps.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715.5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477</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397.5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-168</v>
      </c>
      <c r="D16" s="8" t="n">
        <v>-293.8</v>
      </c>
      <c r="E16" s="8" t="n">
        <v>-330.5</v>
      </c>
      <c r="F16" s="8" t="n">
        <v>-312.8</v>
      </c>
      <c r="G16" s="8" t="n">
        <v>-284.2</v>
      </c>
      <c r="H16" s="8" t="n">
        <v>-304.9</v>
      </c>
      <c r="I16" s="8" t="n">
        <v>-320.4</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27.9</v>
      </c>
      <c r="D32" s="8" t="n">
        <v>54.9</v>
      </c>
      <c r="E32" s="8" t="n">
        <v>62.8</v>
      </c>
      <c r="F32" s="8" t="n">
        <v>43.4</v>
      </c>
      <c r="G32" s="8" t="n">
        <v>44.1</v>
      </c>
      <c r="H32" s="8" t="n">
        <v>44.5</v>
      </c>
      <c r="I32" s="8" t="n">
        <v>44.5</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190.8</v>
      </c>
      <c r="C32" s="8" t="n">
        <v>349.8</v>
      </c>
      <c r="D32" s="8" t="n">
        <v>445.2</v>
      </c>
      <c r="E32" s="8" t="n">
        <v>286.2</v>
      </c>
      <c r="F32" s="8" t="n">
        <v>190.8</v>
      </c>
      <c r="G32" s="8" t="n">
        <v>127.2</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397.5</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1192.5</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238.5</v>
      </c>
      <c r="D16" s="7" t="inlineStr">
        <is>
          <t>Subordinated</t>
        </is>
      </c>
      <c r="E16" s="7" t="inlineStr">
        <is>
          <t>Junior Unsecured Claim</t>
        </is>
      </c>
      <c r="F16" s="30" t="inlineStr">
        <is>
          <t>0.0%</t>
        </is>
      </c>
      <c r="G16" s="30" t="inlineStr">
        <is>
          <t>25.0%</t>
        </is>
      </c>
    </row>
    <row r="17">
      <c r="B17" s="7" t="inlineStr">
        <is>
          <t>Equity Shareholders</t>
        </is>
      </c>
      <c r="C17" s="8" t="n">
        <v>636</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2026-09-24T04:15:03Z</dcterms:created>
  <dcterms:modified xmlns:dcterms="http://purl.org/dc/terms/" xmlns:xsi="http://www.w3.org/2001/XMLSchema-instance" xsi:type="dcterms:W3CDTF">2026-09-24T04:15:03Z</dcterms:modified>
</cp:coreProperties>
</file>