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(+$54.6M)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(+$67.2M)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(+$75.6M)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(+$84.0M)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(+$92.4M)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(+$99.1M)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(+$104.2M)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(+$54.6M)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(+$67.2M)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(+$75.6M)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(+$84.0M)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(+$92.4M)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(+$99.1M)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(+$104.2M)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(TAQA) — Institutional Credit Model</t>
        </is>
      </c>
    </row>
    <row r="3">
      <c r="B3" s="2" t="inlineStr">
        <is>
          <t>Sector: Utilities | Country: UAE | Rating: Aa3 / AA- | Benchmark: TAQA 4.375% 2029 @ $98.50 (4.90% YTM / +85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water and power utility for Abu Dhabi; regulated asset base provides ultra-stable cash flow generation.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TAQA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6552</v>
      </c>
      <c r="F26" s="7" t="inlineStr">
        <is>
          <t>4.90%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TAQA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4368</v>
      </c>
      <c r="F27" s="7" t="inlineStr">
        <is>
          <t>4.15%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3640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6566.1</v>
      </c>
      <c r="D15" s="8" t="n">
        <v>7917.9</v>
      </c>
      <c r="E15" s="8" t="n">
        <v>8883.5</v>
      </c>
      <c r="F15" s="8" t="n">
        <v>9656</v>
      </c>
      <c r="G15" s="8" t="n">
        <v>10428.5</v>
      </c>
      <c r="H15" s="8" t="n">
        <v>11104.4</v>
      </c>
      <c r="I15" s="8" t="n">
        <v>11587.2</v>
      </c>
    </row>
    <row r="16">
      <c r="B16" s="7" t="inlineStr">
        <is>
          <t>Regulated Power Distribution &amp; Grid</t>
        </is>
      </c>
      <c r="C16" s="8" t="n">
        <v>2124.3</v>
      </c>
      <c r="D16" s="8" t="n">
        <v>2561.7</v>
      </c>
      <c r="E16" s="8" t="n">
        <v>2874.1</v>
      </c>
      <c r="F16" s="8" t="n">
        <v>3124</v>
      </c>
      <c r="G16" s="8" t="n">
        <v>3373.9</v>
      </c>
      <c r="H16" s="8" t="n">
        <v>3592.6</v>
      </c>
      <c r="I16" s="8" t="n">
        <v>3748.8</v>
      </c>
    </row>
    <row r="17">
      <c r="B17" s="7" t="inlineStr">
        <is>
          <t>Merchant &amp; Capacity Balancing Services</t>
        </is>
      </c>
      <c r="C17" s="8" t="n">
        <v>965.6</v>
      </c>
      <c r="D17" s="8" t="n">
        <v>1164.4</v>
      </c>
      <c r="E17" s="8" t="n">
        <v>1306.4</v>
      </c>
      <c r="F17" s="8" t="n">
        <v>1420</v>
      </c>
      <c r="G17" s="8" t="n">
        <v>1533.6</v>
      </c>
      <c r="H17" s="8" t="n">
        <v>1633</v>
      </c>
      <c r="I17" s="8" t="n">
        <v>1704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54.6</v>
      </c>
      <c r="D35" s="24" t="n">
        <v>67.2</v>
      </c>
      <c r="E35" s="24" t="n">
        <v>75.59999999999999</v>
      </c>
      <c r="F35" s="24" t="n">
        <v>84</v>
      </c>
      <c r="G35" s="24" t="n">
        <v>92.40000000000001</v>
      </c>
      <c r="H35" s="24" t="n">
        <v>99.09999999999999</v>
      </c>
      <c r="I35" s="24" t="n">
        <v>104.2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(+$54.6M)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(+$67.2M)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(+$75.6M)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(+$84.0M)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(+$92.4M)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(+$99.1M)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(+$104.2M)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14484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3379.6</v>
      </c>
      <c r="D36" s="8" t="n">
        <v>3379.6</v>
      </c>
      <c r="E36" s="8" t="n">
        <v>3379.6</v>
      </c>
      <c r="F36" s="8" t="n">
        <v>3379.6</v>
      </c>
      <c r="G36" s="8" t="n">
        <v>3379.6</v>
      </c>
      <c r="H36" s="8" t="n">
        <v>3379.6</v>
      </c>
      <c r="I36" s="8" t="n">
        <v>3379.6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-2939.3</v>
      </c>
      <c r="D16" s="8" t="n">
        <v>-5140.8</v>
      </c>
      <c r="E16" s="8" t="n">
        <v>-5783.4</v>
      </c>
      <c r="F16" s="8" t="n">
        <v>-5474</v>
      </c>
      <c r="G16" s="8" t="n">
        <v>-4974.2</v>
      </c>
      <c r="H16" s="8" t="n">
        <v>-5336</v>
      </c>
      <c r="I16" s="8" t="n">
        <v>-5607.3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2310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200</v>
      </c>
      <c r="D32" s="8" t="n">
        <v>486.1</v>
      </c>
      <c r="E32" s="8" t="n">
        <v>550.8</v>
      </c>
      <c r="F32" s="8" t="n">
        <v>299.6</v>
      </c>
      <c r="G32" s="8" t="n">
        <v>309</v>
      </c>
      <c r="H32" s="8" t="n">
        <v>317.6</v>
      </c>
      <c r="I32" s="8" t="n">
        <v>322.3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TAQA Benchmark Eurobond Notes</t>
        </is>
      </c>
    </row>
    <row r="7">
      <c r="B7" s="7" t="inlineStr">
        <is>
          <t xml:space="preserve">  Beginning Principal Balance</t>
        </is>
      </c>
      <c r="C7" s="8" t="n">
        <v>5569.2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1856.4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1237.6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0.0490</f>
        <v/>
      </c>
      <c r="D11" s="8">
        <f>D10 * 0.0490</f>
        <v/>
      </c>
      <c r="E11" s="8">
        <f>E10 * 0.0490</f>
        <v/>
      </c>
      <c r="F11" s="8">
        <f>F10 * 0.0490</f>
        <v/>
      </c>
      <c r="G11" s="8">
        <f>G10 * 0.0490</f>
        <v/>
      </c>
      <c r="H11" s="8">
        <f>H10 * 0.0490</f>
        <v/>
      </c>
      <c r="I11" s="8">
        <f>I10 * 0.0490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6806.8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1747.2</v>
      </c>
      <c r="C32" s="8" t="n">
        <v>3203.2</v>
      </c>
      <c r="D32" s="8" t="n">
        <v>4076.8</v>
      </c>
      <c r="E32" s="8" t="n">
        <v>2620.8</v>
      </c>
      <c r="F32" s="8" t="n">
        <v>1747.2</v>
      </c>
      <c r="G32" s="8" t="n">
        <v>1164.8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TAQA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6552</v>
      </c>
      <c r="F37" s="30" t="inlineStr">
        <is>
          <t>4.900%</t>
        </is>
      </c>
      <c r="G37" s="31" t="n">
        <v>98.5</v>
      </c>
      <c r="H37" s="32" t="n">
        <v>4.9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TAQA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4368</v>
      </c>
      <c r="F38" s="30" t="inlineStr">
        <is>
          <t>4.250%</t>
        </is>
      </c>
      <c r="G38" s="31" t="n">
        <v>100.5</v>
      </c>
      <c r="H38" s="32" t="n">
        <v>4.25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2184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1456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TAQA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4076.8</v>
      </c>
    </row>
    <row r="45">
      <c r="B45" s="7" t="inlineStr">
        <is>
          <t>Drawn Amount ($M)</t>
        </is>
      </c>
      <c r="C45" s="8" t="n">
        <v>1456</v>
      </c>
    </row>
    <row r="46">
      <c r="B46" s="19" t="inlineStr">
        <is>
          <t>AVAILABLE UNDRAWN HEADROOM ($M)</t>
        </is>
      </c>
      <c r="C46" s="20" t="n">
        <v>2620.8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1.85x</t>
        </is>
      </c>
      <c r="E55" s="33" t="inlineStr">
        <is>
          <t>2.65x leverage buffer ($14840.0M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8.50x</t>
        </is>
      </c>
      <c r="E56" s="33" t="inlineStr">
        <is>
          <t>+6.00x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8.5% of Assets</t>
        </is>
      </c>
      <c r="E57" s="33" t="inlineStr">
        <is>
          <t>$3124.0M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4.90%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+2.3%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6.90%</t>
        </is>
      </c>
      <c r="F7" s="30" t="inlineStr">
        <is>
          <t>3.2x</t>
        </is>
      </c>
      <c r="G7" s="30" t="inlineStr">
        <is>
          <t>$93.40</t>
        </is>
      </c>
      <c r="H7" s="30" t="inlineStr">
        <is>
          <t>-5.2%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$86.00</t>
        </is>
      </c>
      <c r="H8" s="30" t="inlineStr">
        <is>
          <t>-12.7%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3.50%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3640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TAQA Senior Unsecured Eurobonds</t>
        </is>
      </c>
      <c r="C15" s="8" t="n">
        <v>10920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86.0%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2184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5824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(TAQA) — Earnings Presentation &amp; Management Guidance</t>
        </is>
      </c>
    </row>
    <row r="3">
      <c r="B3" s="2" t="inlineStr">
        <is>
          <t>Source: Abu Dhabi National Energy (TAQA)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$15336.0M (+8.0% YoY growth)</t>
        </is>
      </c>
      <c r="D7" s="36" t="inlineStr">
        <is>
          <t>$15123.0M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$15336.0M (+8.0% YoY growth). With current run-rate at $15123.0M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$6160.0M (40.2% margin)</t>
        </is>
      </c>
      <c r="D8" s="36" t="inlineStr">
        <is>
          <t>$6048.0M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$6160.0M (40.2%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1.85x</t>
        </is>
      </c>
      <c r="E9" s="33" t="inlineStr">
        <is>
          <t>Ahead of Target</t>
        </is>
      </c>
      <c r="F9" s="38" t="inlineStr">
        <is>
          <t>Deleveraging on track with 2.65x buffer below covenant limit.
[QUESTION TO CFO TO VERIFY]: You previously committed to a Net Leverage ceiling of &lt; 4.00x Net Debt / EBITDA. Current actual leverage stands at 1.85x.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$2058.0M (Maximum growth and sustaining envelope)</t>
        </is>
      </c>
      <c r="D10" s="36" t="inlineStr">
        <is>
          <t>$1893.4M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$2058.0M (Maximum growth and sustaining envelope). Current commitments stand at $1893.4M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$6860.0M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$255600.0M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$4200.0M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$5824.0M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2026-11-09</t>
        </is>
      </c>
    </row>
    <row r="47">
      <c r="B47" s="9" t="inlineStr">
        <is>
          <t>Reporting Period</t>
        </is>
      </c>
      <c r="C47" s="38" t="inlineStr">
        <is>
          <t>Q3 2026 / 9M Financial Results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13:00 Abu Dhabi</t>
        </is>
      </c>
    </row>
    <row r="50">
      <c r="B50" s="9" t="inlineStr">
        <is>
          <t>Official IR Portal / Webcast URL</t>
        </is>
      </c>
      <c r="C50" s="38" t="inlineStr">
        <is>
          <t>https://www.taqa.com/investors/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2026-09-29T04:16:23Z</dcterms:created>
  <dcterms:modified xmlns:dcterms="http://purl.org/dc/terms/" xmlns:xsi="http://www.w3.org/2001/XMLSchema-instance" xsi:type="dcterms:W3CDTF">2026-09-29T04:16:23Z</dcterms:modified>
</cp:coreProperties>
</file>