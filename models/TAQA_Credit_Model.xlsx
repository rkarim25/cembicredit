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Abu Dhabi National Energy (TAQA)</t>
        </is>
      </c>
    </row>
    <row r="3">
      <c r="B3" s="2" t="inlineStr">
        <is>
          <t>CEMBI CEEMEA Institutional Credit Assessment | Country: UAE (GCC) | Sector: Utilities | Benchmark: TAQA 4.375%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TAQA 4.375% 2029</t>
        </is>
      </c>
      <c r="C6" s="5" t="inlineStr">
        <is>
          <t>4.90% (+85 bp)</t>
        </is>
      </c>
      <c r="D6" s="4" t="inlineStr">
        <is>
          <t>Aa3 / AA-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$86.00</t>
        </is>
      </c>
      <c r="D7" s="4" t="inlineStr">
        <is>
          <t>Base Case Fair Value</t>
        </is>
      </c>
      <c r="E7" s="5" t="inlineStr">
        <is>
          <t>$100.80</t>
        </is>
      </c>
    </row>
    <row r="9">
      <c r="B9" s="6" t="inlineStr">
        <is>
          <t>INSTITUTIONAL INVESTMENT THESIS</t>
        </is>
      </c>
    </row>
    <row r="10">
      <c r="B10" s="7" t="inlineStr">
        <is>
          <t>Monopoly water and power utility for Abu Dhabi; regulated asset base provides ultra-stable cash flow generation.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Abu Dhabi National Energy (TAQA)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9656</v>
      </c>
      <c r="D7" s="13" t="n">
        <v>11644</v>
      </c>
      <c r="E7" s="13" t="n">
        <v>13064</v>
      </c>
      <c r="F7" s="13" t="n">
        <v>14200</v>
      </c>
      <c r="G7" s="14" t="n">
        <v>15336</v>
      </c>
      <c r="H7" s="14" t="n">
        <v>16330</v>
      </c>
      <c r="I7" s="14" t="n">
        <v>17040</v>
      </c>
    </row>
    <row r="8">
      <c r="B8" s="12" t="inlineStr">
        <is>
          <t>EBITDA</t>
        </is>
      </c>
      <c r="C8" s="13" t="n">
        <v>3640</v>
      </c>
      <c r="D8" s="13" t="n">
        <v>4480</v>
      </c>
      <c r="E8" s="13" t="n">
        <v>5040</v>
      </c>
      <c r="F8" s="13" t="n">
        <v>5600</v>
      </c>
      <c r="G8" s="14" t="n">
        <v>6160</v>
      </c>
      <c r="H8" s="14" t="n">
        <v>6608</v>
      </c>
      <c r="I8" s="14" t="n">
        <v>6944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395.3</v>
      </c>
      <c r="D10" s="17" t="n">
        <v>494.1</v>
      </c>
      <c r="E10" s="17" t="n">
        <v>592.9</v>
      </c>
      <c r="F10" s="17" t="n">
        <v>658.8</v>
      </c>
      <c r="G10" s="18" t="n">
        <v>632.5</v>
      </c>
      <c r="H10" s="18" t="n">
        <v>606.1</v>
      </c>
      <c r="I10" s="18" t="n">
        <v>579.8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2951.2</v>
      </c>
      <c r="D12" s="13" t="n">
        <v>3712.8</v>
      </c>
      <c r="E12" s="13" t="n">
        <v>4188.8</v>
      </c>
      <c r="F12" s="13" t="n">
        <v>4760</v>
      </c>
      <c r="G12" s="14" t="n">
        <v>5236</v>
      </c>
      <c r="H12" s="14" t="n">
        <v>5616.8</v>
      </c>
      <c r="I12" s="14" t="n">
        <v>5950</v>
      </c>
    </row>
    <row r="13">
      <c r="B13" s="5" t="inlineStr">
        <is>
          <t>Capital Expenditures (Capex)</t>
        </is>
      </c>
      <c r="C13" s="17" t="n">
        <v>1372</v>
      </c>
      <c r="D13" s="17" t="n">
        <v>1666</v>
      </c>
      <c r="E13" s="17" t="n">
        <v>1862</v>
      </c>
      <c r="F13" s="17" t="n">
        <v>1960</v>
      </c>
      <c r="G13" s="18" t="n">
        <v>2058</v>
      </c>
      <c r="H13" s="18" t="n">
        <v>1999.2</v>
      </c>
      <c r="I13" s="18" t="n">
        <v>1920.8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2310</v>
      </c>
      <c r="D16" s="13" t="n">
        <v>2940</v>
      </c>
      <c r="E16" s="13" t="n">
        <v>3570</v>
      </c>
      <c r="F16" s="13" t="n">
        <v>4200</v>
      </c>
      <c r="G16" s="14" t="n">
        <v>4956</v>
      </c>
      <c r="H16" s="14" t="n">
        <v>5670</v>
      </c>
      <c r="I16" s="14" t="n">
        <v>6300</v>
      </c>
    </row>
    <row r="17">
      <c r="B17" s="12" t="inlineStr">
        <is>
          <t>Gross Total Debt</t>
        </is>
      </c>
      <c r="C17" s="13" t="n">
        <v>12376</v>
      </c>
      <c r="D17" s="13" t="n">
        <v>13395.2</v>
      </c>
      <c r="E17" s="13" t="n">
        <v>14268.8</v>
      </c>
      <c r="F17" s="13" t="n">
        <v>14560</v>
      </c>
      <c r="G17" s="14" t="n">
        <v>14268.8</v>
      </c>
      <c r="H17" s="14" t="n">
        <v>13832</v>
      </c>
      <c r="I17" s="14" t="n">
        <v>13104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Abu Dhabi National Energy (TAQA)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4.90%</t>
        </is>
      </c>
      <c r="F6" s="21" t="inlineStr">
        <is>
          <t>2028 / 2029</t>
        </is>
      </c>
      <c r="G6" s="17" t="n">
        <v>6552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3640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2184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1456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728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3570</v>
      </c>
    </row>
    <row r="15">
      <c r="B15" t="inlineStr">
        <is>
          <t>Committed Undrawn RCF Capacity</t>
        </is>
      </c>
      <c r="C15" s="22" t="n">
        <v>2240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2406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Abu Dhabi National Energy (TAQA)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5600</v>
      </c>
      <c r="D6" s="17" t="n">
        <v>4760</v>
      </c>
      <c r="E6" s="25" t="n">
        <v>3640</v>
      </c>
    </row>
    <row r="7">
      <c r="B7" s="5" t="inlineStr">
        <is>
          <t>Free Cash Flow ($M)</t>
        </is>
      </c>
      <c r="C7" s="17" t="n">
        <v>2800</v>
      </c>
      <c r="D7" s="17" t="n">
        <v>1680</v>
      </c>
      <c r="E7" s="25" t="n">
        <v>420</v>
      </c>
    </row>
    <row r="8">
      <c r="B8" s="12" t="inlineStr">
        <is>
          <t>Net Leverage Ratio (x)</t>
        </is>
      </c>
      <c r="C8" s="26" t="n">
        <v>1.85</v>
      </c>
      <c r="D8" s="26" t="n">
        <v>2.31</v>
      </c>
      <c r="E8" s="27" t="n">
        <v>3.42</v>
      </c>
    </row>
    <row r="9">
      <c r="B9" s="5" t="inlineStr">
        <is>
          <t>Interest Coverage Ratio (x)</t>
        </is>
      </c>
      <c r="C9" s="26" t="n">
        <v>8.5</v>
      </c>
      <c r="D9" s="26" t="n">
        <v>6.63</v>
      </c>
      <c r="E9" s="27" t="n">
        <v>3.83</v>
      </c>
    </row>
    <row r="10">
      <c r="B10" s="12" t="inlineStr">
        <is>
          <t>Implied Senior Paper Trading / Recovery ($)</t>
        </is>
      </c>
      <c r="C10" s="12" t="inlineStr">
        <is>
          <t>$100.80</t>
        </is>
      </c>
      <c r="D10" s="12" t="inlineStr">
        <is>
          <t>$98.00</t>
        </is>
      </c>
      <c r="E10" s="28" t="inlineStr">
        <is>
          <t>$86.00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