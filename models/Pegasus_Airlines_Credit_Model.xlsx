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9.300000000000001</v>
      </c>
      <c r="D35" s="24" t="n">
        <v>41.8</v>
      </c>
      <c r="E35" s="24" t="n">
        <v>47</v>
      </c>
      <c r="F35" s="24" t="n">
        <v>52.2</v>
      </c>
      <c r="G35" s="24" t="n">
        <v>15.7</v>
      </c>
      <c r="H35" s="24" t="n">
        <v>16.8</v>
      </c>
      <c r="I35" s="24" t="n">
        <v>17.7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(+$41.8M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(+$47.0M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(+$52.2M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-246.4</v>
      </c>
      <c r="D16" s="8" t="n">
        <v>-430.9</v>
      </c>
      <c r="E16" s="8" t="n">
        <v>-484.8</v>
      </c>
      <c r="F16" s="8" t="n">
        <v>-458.8</v>
      </c>
      <c r="G16" s="8" t="n">
        <v>-417</v>
      </c>
      <c r="H16" s="8" t="n">
        <v>-447.3</v>
      </c>
      <c r="I16" s="8" t="n">
        <v>-470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116.6</v>
      </c>
      <c r="D32" s="8" t="n">
        <v>233.6</v>
      </c>
      <c r="E32" s="8" t="n">
        <v>264.2</v>
      </c>
      <c r="F32" s="8" t="n">
        <v>176.2</v>
      </c>
      <c r="G32" s="8" t="n">
        <v>186.5</v>
      </c>
      <c r="H32" s="8" t="n">
        <v>195.2</v>
      </c>
      <c r="I32" s="8" t="n">
        <v>201.2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PGSUS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1218.4</v>
      </c>
      <c r="F37" s="30" t="inlineStr">
        <is>
          <t>7.650%</t>
        </is>
      </c>
      <c r="G37" s="31" t="n">
        <v>103.5</v>
      </c>
      <c r="H37" s="32" t="n">
        <v>7.65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PGSUS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812.2</v>
      </c>
      <c r="F38" s="30" t="inlineStr">
        <is>
          <t>7.000%</t>
        </is>
      </c>
      <c r="G38" s="31" t="n">
        <v>101.5</v>
      </c>
      <c r="H38" s="32" t="n">
        <v>7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406.1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270.8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PGSUS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758.1</v>
      </c>
    </row>
    <row r="45">
      <c r="B45" s="7" t="inlineStr">
        <is>
          <t>Drawn Amount ($M)</t>
        </is>
      </c>
      <c r="C45" s="8" t="n">
        <v>270.8</v>
      </c>
    </row>
    <row r="46">
      <c r="B46" s="19" t="inlineStr">
        <is>
          <t>AVAILABLE UNDRAWN HEADROOM ($M)</t>
        </is>
      </c>
      <c r="C46" s="20" t="n">
        <v>487.3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2.10x</t>
        </is>
      </c>
      <c r="E55" s="33" t="inlineStr">
        <is>
          <t>1.65x leverage buffer ($1567.5M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$704.0M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7.65%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-1.4%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9.65%</t>
        </is>
      </c>
      <c r="F7" s="30" t="inlineStr">
        <is>
          <t>3.2x</t>
        </is>
      </c>
      <c r="G7" s="30" t="inlineStr">
        <is>
          <t>$83.50</t>
        </is>
      </c>
      <c r="H7" s="30" t="inlineStr">
        <is>
          <t>-19.3%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-37.2%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$3456.0M (+8.0% YoY growth)</t>
        </is>
      </c>
      <c r="D7" s="36" t="inlineStr">
        <is>
          <t>$3408.0M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$3456.0M (+8.0% YoY growth). With current run-rate at $3408.0M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$1045.0M (30.2% margin)</t>
        </is>
      </c>
      <c r="D8" s="36" t="inlineStr">
        <is>
          <t>$1026.0M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$1045.0M (30.2%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2.10x</t>
        </is>
      </c>
      <c r="E9" s="33" t="inlineStr">
        <is>
          <t>Ahead of Target</t>
        </is>
      </c>
      <c r="F9" s="38" t="inlineStr">
        <is>
          <t>Deleveraging on track with 1.65x buffer below covenant limit.
[QUESTION TO CFO TO VERIFY]: You previously committed to a Net Leverage ceiling of &lt; 3.25x Net Debt / EBITDA. Current actual leverage stands at 2.10x.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$349.1M (Maximum growth and sustaining envelope)</t>
        </is>
      </c>
      <c r="D10" s="36" t="inlineStr">
        <is>
          <t>$321.2M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$349.1M (Maximum growth and sustaining envelope). Current commitments stand at $321.2M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$831.2M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$2080.0M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$712.5M</t>
        </is>
      </c>
    </row>
    <row r="32">
      <c r="B32" s="9" t="inlineStr">
        <is>
          <t>Undrawn Committed Bank Rcfs</t>
        </is>
      </c>
      <c r="C32" s="38" t="inlineStr">
        <is>
          <t>$947.6M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2026-11-09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https://www.pegasusinvestorrelations.com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2026-10-08T04:22:48Z</dcterms:created>
  <dcterms:modified xmlns:dcterms="http://purl.org/dc/terms/" xmlns:xsi="http://www.w3.org/2001/XMLSchema-instance" xsi:type="dcterms:W3CDTF">2026-10-08T04:22:48Z</dcterms:modified>
</cp:coreProperties>
</file>