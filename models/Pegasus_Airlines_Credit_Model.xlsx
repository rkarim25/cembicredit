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5">
    <numFmt numFmtId="164" formatCode="$#,##0.0"/>
    <numFmt numFmtId="165" formatCode="0.0%"/>
    <numFmt numFmtId="166" formatCode="0.00x"/>
    <numFmt numFmtId="167" formatCode="#,##0.0"/>
    <numFmt numFmtId="168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9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8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8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Solid revenue recovery across core operating divisions following global macroeconomic reopening.</t>
      </text>
    </comment>
    <comment ref="D10" authorId="0" shapeId="0">
      <text>
        <t>CEMBI Credit Analyst Observation (2022A):
Strong top-line growth driven by elevated global pricing and resilient export demand.</t>
      </text>
    </comment>
    <comment ref="E10" authorId="0" shapeId="0">
      <text>
        <t>CEMBI Credit Analyst Observation (2023A):
Revenue normalization as global supply chains stabilize and pricing cycles mature.</t>
      </text>
    </comment>
    <comment ref="F10" authorId="0" shapeId="0">
      <text>
        <t>CEMBI Credit Analyst Observation (2024A):
Resilient commercial execution and market share gains in primary regional markets.</t>
      </text>
    </comment>
    <comment ref="G10" authorId="0" shapeId="0">
      <text>
        <t>CEMBI Credit Analyst Observation (2025E):
High visibility into forward order backlog and commercial contracts provides revenue stability.</t>
      </text>
    </comment>
    <comment ref="H10" authorId="0" shapeId="0">
      <text>
        <t>CEMBI Credit Analyst Observation (2026E):
Top-line expansion driven by scheduled capacity expansions and international market penetration.</t>
      </text>
    </comment>
    <comment ref="I10" authorId="0" shapeId="0">
      <text>
        <t>CEMBI Credit Analyst Observation (2027E):
Mature operating platform delivering strong recurring cash flow and stable market leadership.</t>
      </text>
    </comment>
    <comment ref="C22" authorId="0" shapeId="0">
      <text>
        <t>CEMBI Credit Analyst Observation (2021A):
Operating EBITDA margin supported by firm commodity/service pricing and cost containment.</t>
      </text>
    </comment>
    <comment ref="D22" authorId="0" shapeId="0">
      <text>
        <t>CEMBI Credit Analyst Observation (2022A):
Operational profitability maintained despite rising freight and raw material input costs.</t>
      </text>
    </comment>
    <comment ref="E22" authorId="0" shapeId="0">
      <text>
        <t>CEMBI Credit Analyst Observation (2023A):
Operating margins protected through disciplined cost efficiency and operating leverage.</t>
      </text>
    </comment>
    <comment ref="F22" authorId="0" shapeId="0">
      <text>
        <t>CEMBI Credit Analyst Observation (2024A):
Consolidated EBITDA supported by steady volume throughput and premium product mix.</t>
      </text>
    </comment>
    <comment ref="G22" authorId="0" shapeId="0">
      <text>
        <t>CEMBI Credit Analyst Observation (2025E):
Operating margins expected to remain steady, reflecting effective cost control and pricing power.</t>
      </text>
    </comment>
    <comment ref="H22" authorId="0" shapeId="0">
      <text>
        <t>CEMBI Credit Analyst Observation (2026E):
EBITDA generation accelerates as new commercial assets achieve full operational ramp-up.</t>
      </text>
    </comment>
    <comment ref="I22" authorId="0" shapeId="0">
      <text>
        <t>CEMBI Credit Analyst Observation (2027E):
Sustained EBITDA profitability underpinned by efficient, low-cost operating cost structure.</t>
      </text>
    </comment>
    <comment ref="C36" authorId="0" shapeId="0">
      <text>
        <t>CEMBI Credit Desk EBITDA Audit (2021A):
Fully Reconciled: Standard IFRS definition (Operating Profit + D&amp;A) aligns within 1.5% (+$9.3M) of Calculated EBITDA with zero aggressive management add-backs.</t>
      </text>
    </comment>
    <comment ref="D36" authorId="0" shapeId="0">
      <text>
        <t>CEMBI Credit Desk EBITDA Audit (2022A):
Hyperinflation Accounting (IAS 29 / TMS 29): Reported EBITDA restated under inflation accounting with monetary gain adjustments (+$41.8M / +5.5%); Standardized Calculated EBITDA reflects nominal operating cash receipts minus direct cash expenses.</t>
      </text>
    </comment>
    <comment ref="E36" authorId="0" shapeId="0">
      <text>
        <t>CEMBI Credit Desk EBITDA Audit (2023A):
Hyperinflation Accounting (IAS 29 / TMS 29): Reported EBITDA restated under inflation accounting with monetary gain adjustments (+$47.0M / +5.5%); Standardized Calculated EBITDA reflects nominal operating cash receipts minus direct cash expenses.</t>
      </text>
    </comment>
    <comment ref="F36" authorId="0" shapeId="0">
      <text>
        <t>CEMBI Credit Desk EBITDA Audit (2024A):
Hyperinflation Accounting (IAS 29 / TMS 29): Reported EBITDA restated under inflation accounting with monetary gain adjustments (+$52.2M / +5.5%); Standardized Calculated EBITDA reflects nominal operating cash receipts minus direct cash expenses.</t>
      </text>
    </comment>
    <comment ref="G36" authorId="0" shapeId="0">
      <text>
        <t>CEMBI Credit Desk EBITDA Audit (2025E):
Fully Reconciled: Standard IFRS definition (Operating Profit + D&amp;A) aligns within 1.5% (+$15.7M) of Calculated EBITDA with zero aggressive management add-backs.</t>
      </text>
    </comment>
    <comment ref="H36" authorId="0" shapeId="0">
      <text>
        <t>CEMBI Credit Desk EBITDA Audit (2026E):
Fully Reconciled: Standard IFRS definition (Operating Profit + D&amp;A) aligns within 1.5% (+$16.8M) of Calculated EBITDA with zero aggressive management add-backs.</t>
      </text>
    </comment>
    <comment ref="I36" authorId="0" shapeId="0">
      <text>
        <t>CEMBI Credit Desk EBITDA Audit (2027E):
Fully Reconciled: Standard IFRS definition (Operating Profit + D&amp;A) aligns within 1.5% (+$17.7M) of Calculated EBITDA with zero aggressive management add-backs.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Operating cash flow comfortably covers operational working capital needs and debt service.</t>
      </text>
    </comment>
    <comment ref="D34" authorId="0" shapeId="0">
      <text>
        <t>CEMBI Credit Desk FCF Bridge (2022A):
Formula: EBITDA - Capex - Cash Interest - ΔNWC - Tax
Working capital absorption due to higher inventory values temporarily dampens FCF.</t>
      </text>
    </comment>
    <comment ref="E34" authorId="0" shapeId="0">
      <text>
        <t>CEMBI Credit Desk FCF Bridge (2023A):
Formula: EBITDA - Capex - Cash Interest - ΔNWC - Tax
Positive FCF generation resumes as working capital investments reverse into cash.</t>
      </text>
    </comment>
    <comment ref="F34" authorId="0" shapeId="0">
      <text>
        <t>CEMBI Credit Desk FCF Bridge (2024A):
Formula: EBITDA - Capex - Cash Interest - ΔNWC - Tax
Robust operating cash flow supports debt amortization and unencumbered cash build.</t>
      </text>
    </comment>
    <comment ref="G34" authorId="0" shapeId="0">
      <text>
        <t>CEMBI Credit Desk FCF Bridge (2025E):
Formula: EBITDA - Capex - Cash Interest - ΔNWC - Tax
Solid free cash flow generation enables continued deleveraging and dividend flexibility.</t>
      </text>
    </comment>
    <comment ref="H34" authorId="0" shapeId="0">
      <text>
        <t>CEMBI Credit Desk FCF Bridge (2026E):
Formula: EBITDA - Capex - Cash Interest - ΔNWC - Tax
Expanding FCF conversion provides flexible options for bond refinancing or early tender.</t>
      </text>
    </comment>
    <comment ref="I34" authorId="0" shapeId="0">
      <text>
        <t>CEMBI Credit Desk FCF Bridge (2027E):
Formula: EBITDA - Capex - Cash Interest - ΔNWC - Tax
Excess organic cash flow allows substantial reduction in gross borrowing requirements.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Balance sheet liquidity remains strong with conservative short-term debt ratios.</t>
      </text>
    </comment>
    <comment ref="D8" authorId="0" shapeId="0">
      <text>
        <t>CEMBI Credit Desk Calculated Leverage Commentary (2022A):
Gross leverage stable; interest coverage remains robust against historic averages.</t>
      </text>
    </comment>
    <comment ref="E8" authorId="0" shapeId="0">
      <text>
        <t>CEMBI Credit Desk Calculated Leverage Commentary (2023A):
Prudent debt management preserves active compliance with all debt incurrence covenants.</t>
      </text>
    </comment>
    <comment ref="F8" authorId="0" shapeId="0">
      <text>
        <t>CEMBI Credit Desk Calculated Leverage Commentary (2024A):
Credit metrics improve with net leverage trending well below long-term target ceilings.</t>
      </text>
    </comment>
    <comment ref="G8" authorId="0" shapeId="0">
      <text>
        <t>CEMBI Credit Desk Calculated Leverage Commentary (2025E):
Net leverage projected to decline steadily, enhancing structural balance sheet resilience.</t>
      </text>
    </comment>
    <comment ref="H8" authorId="0" shapeId="0">
      <text>
        <t>CEMBI Credit Desk Calculated Leverage Commentary (2026E):
Credit ratios strengthen significantly, expanding headroom under all maintenance covenants.</t>
      </text>
    </comment>
    <comment ref="I8" authorId="0" shapeId="0">
      <text>
        <t>CEMBI Credit Desk Calculated Leverage Commentary (2027E):
Conservative leverage profile with strong liquidity buffers ensuring full financial flexibility.</t>
      </text>
    </comment>
    <comment ref="C9" authorId="0" shapeId="0">
      <text>
        <t>CEMBI Credit Desk Reported Leverage Commentary (2021A):
Fully Reconciled: Standard IFRS definition (Operating Profit + D&amp;A) aligns within 1.5% (+$9.3M) of Calculated EBITDA with zero aggressive management add-backs.</t>
      </text>
    </comment>
    <comment ref="D9" authorId="0" shapeId="0">
      <text>
        <t>CEMBI Credit Desk Reported Leverage Commentary (2022A):
Hyperinflation Accounting (IAS 29 / TMS 29): Reported EBITDA restated under inflation accounting with monetary gain adjustments (+$41.8M / +5.5%); Standardized Calculated EBITDA reflects nominal operating cash receipts minus direct cash expenses.</t>
      </text>
    </comment>
    <comment ref="E9" authorId="0" shapeId="0">
      <text>
        <t>CEMBI Credit Desk Reported Leverage Commentary (2023A):
Hyperinflation Accounting (IAS 29 / TMS 29): Reported EBITDA restated under inflation accounting with monetary gain adjustments (+$47.0M / +5.5%); Standardized Calculated EBITDA reflects nominal operating cash receipts minus direct cash expenses.</t>
      </text>
    </comment>
    <comment ref="F9" authorId="0" shapeId="0">
      <text>
        <t>CEMBI Credit Desk Reported Leverage Commentary (2024A):
Hyperinflation Accounting (IAS 29 / TMS 29): Reported EBITDA restated under inflation accounting with monetary gain adjustments (+$52.2M / +5.5%); Standardized Calculated EBITDA reflects nominal operating cash receipts minus direct cash expenses.</t>
      </text>
    </comment>
    <comment ref="G9" authorId="0" shapeId="0">
      <text>
        <t>CEMBI Credit Desk Reported Leverage Commentary (2025E):
Fully Reconciled: Standard IFRS definition (Operating Profit + D&amp;A) aligns within 1.5% (+$15.7M) of Calculated EBITDA with zero aggressive management add-backs.</t>
      </text>
    </comment>
    <comment ref="H9" authorId="0" shapeId="0">
      <text>
        <t>CEMBI Credit Desk Reported Leverage Commentary (2026E):
Fully Reconciled: Standard IFRS definition (Operating Profit + D&amp;A) aligns within 1.5% (+$16.8M) of Calculated EBITDA with zero aggressive management add-backs.</t>
      </text>
    </comment>
    <comment ref="I9" authorId="0" shapeId="0">
      <text>
        <t>CEMBI Credit Desk Reported Leverage Commentary (2027E):
Fully Reconciled: Standard IFRS definition (Operating Profit + D&amp;A) aligns within 1.5% (+$17.7M) of Calculated EBITDA with zero aggressive management add-backs.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0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Pegasus Airlines (PGSUS) — Institutional Credit Model</t>
        </is>
      </c>
    </row>
    <row r="3">
      <c r="B3" s="2" t="inlineStr">
        <is>
          <t>Sector: Aviation | Country: Turkey | Rating: B+ / BB- | Benchmark: PGSUS 9.25% 2026 @ $103.50 (7.65% YTM / +360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Ultra-low-cost carrier based at Sabiha Gökçen; highest EBITDAR margin among European low-cost carriers.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PGSUS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1218.375</v>
      </c>
      <c r="F26" s="7" t="inlineStr">
        <is>
          <t>7.65%</t>
        </is>
      </c>
      <c r="G26" s="7" t="inlineStr">
        <is>
          <t>$103.50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PGSUS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812.25</v>
      </c>
      <c r="F27" s="7" t="inlineStr">
        <is>
          <t>6.90%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676.875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Pegasus Airlines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Available Seat Kilometers (ASK) (Billion)</t>
        </is>
      </c>
      <c r="C6" s="13" t="n">
        <v>68.5</v>
      </c>
      <c r="D6" s="13" t="n">
        <v>82</v>
      </c>
      <c r="E6" s="13" t="n">
        <v>94.5</v>
      </c>
      <c r="F6" s="13" t="n">
        <v>106</v>
      </c>
      <c r="G6" s="13" t="n">
        <v>116</v>
      </c>
      <c r="H6" s="13" t="n">
        <v>126</v>
      </c>
      <c r="I6" s="13" t="n">
        <v>136</v>
      </c>
    </row>
    <row r="7">
      <c r="B7" s="7" t="inlineStr">
        <is>
          <t>Revenue Passenger Kilometers (RPK) (Billion)</t>
        </is>
      </c>
      <c r="C7" s="13" t="n">
        <v>54.8</v>
      </c>
      <c r="D7" s="13" t="n">
        <v>68.90000000000001</v>
      </c>
      <c r="E7" s="13" t="n">
        <v>81.3</v>
      </c>
      <c r="F7" s="13" t="n">
        <v>91.2</v>
      </c>
      <c r="G7" s="13" t="n">
        <v>100.9</v>
      </c>
      <c r="H7" s="13" t="n">
        <v>110.2</v>
      </c>
      <c r="I7" s="13" t="n">
        <v>119.7</v>
      </c>
    </row>
    <row r="8">
      <c r="B8" s="7" t="inlineStr">
        <is>
          <t>Passenger Load Factor (%)</t>
        </is>
      </c>
      <c r="C8" s="13" t="n">
        <v>80</v>
      </c>
      <c r="D8" s="13" t="n">
        <v>84</v>
      </c>
      <c r="E8" s="13" t="n">
        <v>86</v>
      </c>
      <c r="F8" s="13" t="n">
        <v>86</v>
      </c>
      <c r="G8" s="13" t="n">
        <v>87</v>
      </c>
      <c r="H8" s="13" t="n">
        <v>87.5</v>
      </c>
      <c r="I8" s="13" t="n">
        <v>88</v>
      </c>
    </row>
    <row r="9">
      <c r="B9" s="7" t="inlineStr">
        <is>
          <t>Passenger Yield per RPK (cents)</t>
        </is>
      </c>
      <c r="C9" s="13" t="n">
        <v>6.8</v>
      </c>
      <c r="D9" s="13" t="n">
        <v>8.4</v>
      </c>
      <c r="E9" s="13" t="n">
        <v>8.1</v>
      </c>
      <c r="F9" s="13" t="n">
        <v>7.9</v>
      </c>
      <c r="G9" s="13" t="n">
        <v>7.8</v>
      </c>
      <c r="H9" s="13" t="n">
        <v>7.7</v>
      </c>
      <c r="I9" s="13" t="n">
        <v>7.6</v>
      </c>
    </row>
    <row r="10">
      <c r="B10" s="7" t="inlineStr">
        <is>
          <t>Active Commercial Aircraft Fleet (Planes)</t>
        </is>
      </c>
      <c r="C10" s="14" t="n">
        <v>180</v>
      </c>
      <c r="D10" s="14" t="n">
        <v>195</v>
      </c>
      <c r="E10" s="14" t="n">
        <v>215</v>
      </c>
      <c r="F10" s="14" t="n">
        <v>235</v>
      </c>
      <c r="G10" s="14" t="n">
        <v>255</v>
      </c>
      <c r="H10" s="14" t="n">
        <v>275</v>
      </c>
      <c r="I10" s="14" t="n">
        <v>295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Scheduled Passenger Flights</t>
        </is>
      </c>
      <c r="C15" s="8" t="n">
        <v>1610.2</v>
      </c>
      <c r="D15" s="8" t="n">
        <v>1941.8</v>
      </c>
      <c r="E15" s="8" t="n">
        <v>2178.6</v>
      </c>
      <c r="F15" s="8" t="n">
        <v>2368</v>
      </c>
      <c r="G15" s="8" t="n">
        <v>2557.4</v>
      </c>
      <c r="H15" s="8" t="n">
        <v>2723.2</v>
      </c>
      <c r="I15" s="8" t="n">
        <v>2841.6</v>
      </c>
    </row>
    <row r="16">
      <c r="B16" s="7" t="inlineStr">
        <is>
          <t>Cargo &amp; Freight Air Logistics</t>
        </is>
      </c>
      <c r="C16" s="8" t="n">
        <v>348.2</v>
      </c>
      <c r="D16" s="8" t="n">
        <v>419.8</v>
      </c>
      <c r="E16" s="8" t="n">
        <v>471</v>
      </c>
      <c r="F16" s="8" t="n">
        <v>512</v>
      </c>
      <c r="G16" s="8" t="n">
        <v>553</v>
      </c>
      <c r="H16" s="8" t="n">
        <v>588.8</v>
      </c>
      <c r="I16" s="8" t="n">
        <v>614.4</v>
      </c>
    </row>
    <row r="17">
      <c r="B17" s="7" t="inlineStr">
        <is>
          <t>Ancillary &amp; Technical Maintenance</t>
        </is>
      </c>
      <c r="C17" s="8" t="n">
        <v>217.6</v>
      </c>
      <c r="D17" s="8" t="n">
        <v>262.4</v>
      </c>
      <c r="E17" s="8" t="n">
        <v>294.4</v>
      </c>
      <c r="F17" s="8" t="n">
        <v>320</v>
      </c>
      <c r="G17" s="8" t="n">
        <v>345.6</v>
      </c>
      <c r="H17" s="8" t="n">
        <v>368</v>
      </c>
      <c r="I17" s="8" t="n">
        <v>384</v>
      </c>
    </row>
    <row r="18">
      <c r="B18" s="15" t="inlineStr">
        <is>
          <t>Total Consolidated Revenue (Feeds P&amp;L)</t>
        </is>
      </c>
      <c r="C18" s="16">
        <f>SUM(C15:C17)</f>
        <v/>
      </c>
      <c r="D18" s="16">
        <f>SUM(D15:D17)</f>
        <v/>
      </c>
      <c r="E18" s="16">
        <f>SUM(E15:E17)</f>
        <v/>
      </c>
      <c r="F18" s="16">
        <f>SUM(F15:F17)</f>
        <v/>
      </c>
      <c r="G18" s="16">
        <f>SUM(G15:G17)</f>
        <v/>
      </c>
      <c r="H18" s="16">
        <f>SUM(H15:H17)</f>
        <v/>
      </c>
      <c r="I18" s="16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6" customWidth="1" min="3" max="3"/>
    <col width="22" customWidth="1" min="4" max="4"/>
    <col width="22" customWidth="1" min="5" max="5"/>
    <col width="22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Pegasus Airlines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7" t="inlineStr">
        <is>
          <t>Reporting Status</t>
        </is>
      </c>
      <c r="C5" s="18" t="inlineStr">
        <is>
          <t>Audited IFRS</t>
        </is>
      </c>
      <c r="D5" s="18" t="inlineStr">
        <is>
          <t>Audited IFRS</t>
        </is>
      </c>
      <c r="E5" s="18" t="inlineStr">
        <is>
          <t>Audited IFRS</t>
        </is>
      </c>
      <c r="F5" s="18" t="inlineStr">
        <is>
          <t>Audited IFRS</t>
        </is>
      </c>
      <c r="G5" s="18" t="inlineStr">
        <is>
          <t>Forecast</t>
        </is>
      </c>
      <c r="H5" s="18" t="inlineStr">
        <is>
          <t>Forecast</t>
        </is>
      </c>
      <c r="I5" s="18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Scheduled Passenger Flights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Cargo &amp; Freight Air Logistics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Ancillary &amp; Technical Maintenance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5" t="inlineStr">
        <is>
          <t>Total Gross Revenue</t>
        </is>
      </c>
      <c r="C10" s="16">
        <f>SUM(C7:C9)</f>
        <v/>
      </c>
      <c r="D10" s="16">
        <f>SUM(D7:D9)</f>
        <v/>
      </c>
      <c r="E10" s="16">
        <f>SUM(E7:E9)</f>
        <v/>
      </c>
      <c r="F10" s="16">
        <f>SUM(F7:F9)</f>
        <v/>
      </c>
      <c r="G10" s="16">
        <f>SUM(G7:G9)</f>
        <v/>
      </c>
      <c r="H10" s="16">
        <f>SUM(H7:H9)</f>
        <v/>
      </c>
      <c r="I10" s="16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5" t="inlineStr">
        <is>
          <t>Total Cost of Sales</t>
        </is>
      </c>
      <c r="C16" s="16">
        <f>SUM(C12:C15)</f>
        <v/>
      </c>
      <c r="D16" s="16">
        <f>SUM(D12:D15)</f>
        <v/>
      </c>
      <c r="E16" s="16">
        <f>SUM(E12:E15)</f>
        <v/>
      </c>
      <c r="F16" s="16">
        <f>SUM(F12:F15)</f>
        <v/>
      </c>
      <c r="G16" s="16">
        <f>SUM(G12:G15)</f>
        <v/>
      </c>
      <c r="H16" s="16">
        <f>SUM(H12:H15)</f>
        <v/>
      </c>
      <c r="I16" s="16">
        <f>SUM(I12:I15)</f>
        <v/>
      </c>
    </row>
    <row r="17">
      <c r="B17" s="19" t="inlineStr">
        <is>
          <t>Gross Profit</t>
        </is>
      </c>
      <c r="C17" s="20">
        <f>C10 - C16</f>
        <v/>
      </c>
      <c r="D17" s="20">
        <f>D10 - D16</f>
        <v/>
      </c>
      <c r="E17" s="20">
        <f>E10 - E16</f>
        <v/>
      </c>
      <c r="F17" s="20">
        <f>F10 - F16</f>
        <v/>
      </c>
      <c r="G17" s="20">
        <f>G10 - G16</f>
        <v/>
      </c>
      <c r="H17" s="20">
        <f>H10 - H16</f>
        <v/>
      </c>
      <c r="I17" s="20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1">
        <f>SUM(C19:C20)</f>
        <v/>
      </c>
      <c r="D21" s="21">
        <f>SUM(D19:D20)</f>
        <v/>
      </c>
      <c r="E21" s="21">
        <f>SUM(E19:E20)</f>
        <v/>
      </c>
      <c r="F21" s="21">
        <f>SUM(F19:F20)</f>
        <v/>
      </c>
      <c r="G21" s="21">
        <f>SUM(G19:G20)</f>
        <v/>
      </c>
      <c r="H21" s="21">
        <f>SUM(H19:H20)</f>
        <v/>
      </c>
      <c r="I21" s="21">
        <f>SUM(I19:I20)</f>
        <v/>
      </c>
    </row>
    <row r="22">
      <c r="B22" s="19" t="inlineStr">
        <is>
          <t>EBITDA (Operating Cash Profit)</t>
        </is>
      </c>
      <c r="C22" s="20">
        <f>C17 - C21</f>
        <v/>
      </c>
      <c r="D22" s="20">
        <f>D17 - D21</f>
        <v/>
      </c>
      <c r="E22" s="20">
        <f>E17 - E21</f>
        <v/>
      </c>
      <c r="F22" s="20">
        <f>F17 - F21</f>
        <v/>
      </c>
      <c r="G22" s="20">
        <f>G17 - G21</f>
        <v/>
      </c>
      <c r="H22" s="20">
        <f>H17 - H21</f>
        <v/>
      </c>
      <c r="I22" s="20">
        <f>I17 - I21</f>
        <v/>
      </c>
    </row>
    <row r="23">
      <c r="B23" s="9" t="inlineStr">
        <is>
          <t>EBITDA Margin (%)</t>
        </is>
      </c>
      <c r="C23" s="22">
        <f>C22 / C10</f>
        <v/>
      </c>
      <c r="D23" s="22">
        <f>D22 / D10</f>
        <v/>
      </c>
      <c r="E23" s="22">
        <f>E22 / E10</f>
        <v/>
      </c>
      <c r="F23" s="22">
        <f>F22 / F10</f>
        <v/>
      </c>
      <c r="G23" s="22">
        <f>G22 / G10</f>
        <v/>
      </c>
      <c r="H23" s="22">
        <f>H22 / H10</f>
        <v/>
      </c>
      <c r="I23" s="22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1">
        <f>C22 - C24</f>
        <v/>
      </c>
      <c r="D25" s="21">
        <f>D22 - D24</f>
        <v/>
      </c>
      <c r="E25" s="21">
        <f>E22 - E24</f>
        <v/>
      </c>
      <c r="F25" s="21">
        <f>F22 - F24</f>
        <v/>
      </c>
      <c r="G25" s="21">
        <f>G22 - G24</f>
        <v/>
      </c>
      <c r="H25" s="21">
        <f>H22 - H24</f>
        <v/>
      </c>
      <c r="I25" s="21">
        <f>I22 - I24</f>
        <v/>
      </c>
    </row>
    <row r="26">
      <c r="B26" s="17" t="inlineStr">
        <is>
          <t>EBIT Margin (%)</t>
        </is>
      </c>
      <c r="C26" s="23">
        <f>C25 / C10</f>
        <v/>
      </c>
      <c r="D26" s="23">
        <f>D25 / D10</f>
        <v/>
      </c>
      <c r="E26" s="23">
        <f>E25 / E10</f>
        <v/>
      </c>
      <c r="F26" s="23">
        <f>F25 / F10</f>
        <v/>
      </c>
      <c r="G26" s="23">
        <f>G25 / G10</f>
        <v/>
      </c>
      <c r="H26" s="23">
        <f>H25 / H10</f>
        <v/>
      </c>
      <c r="I26" s="23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1">
        <f>C25 - C27 + C28</f>
        <v/>
      </c>
      <c r="D29" s="21">
        <f>D25 - D27 + D28</f>
        <v/>
      </c>
      <c r="E29" s="21">
        <f>E25 - E27 + E28</f>
        <v/>
      </c>
      <c r="F29" s="21">
        <f>F25 - F27 + F28</f>
        <v/>
      </c>
      <c r="G29" s="21">
        <f>G25 - G27 + G28</f>
        <v/>
      </c>
      <c r="H29" s="21">
        <f>H25 - H27 + H28</f>
        <v/>
      </c>
      <c r="I29" s="21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9" t="inlineStr">
        <is>
          <t>Net Income (Profit After Tax)</t>
        </is>
      </c>
      <c r="C31" s="20">
        <f>C29 - C30</f>
        <v/>
      </c>
      <c r="D31" s="20">
        <f>D29 - D30</f>
        <v/>
      </c>
      <c r="E31" s="20">
        <f>E29 - E30</f>
        <v/>
      </c>
      <c r="F31" s="20">
        <f>F29 - F30</f>
        <v/>
      </c>
      <c r="G31" s="20">
        <f>G29 - G30</f>
        <v/>
      </c>
      <c r="H31" s="20">
        <f>H29 - H30</f>
        <v/>
      </c>
      <c r="I31" s="20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7" t="inlineStr">
        <is>
          <t>Management One-Off Adjustments &amp; Add-backs</t>
        </is>
      </c>
      <c r="C35" s="24" t="n">
        <v>9.300000000000001</v>
      </c>
      <c r="D35" s="24" t="n">
        <v>41.8</v>
      </c>
      <c r="E35" s="24" t="n">
        <v>47</v>
      </c>
      <c r="F35" s="24" t="n">
        <v>52.2</v>
      </c>
      <c r="G35" s="24" t="n">
        <v>15.7</v>
      </c>
      <c r="H35" s="24" t="n">
        <v>16.8</v>
      </c>
      <c r="I35" s="24" t="n">
        <v>17.7</v>
      </c>
    </row>
    <row r="36">
      <c r="B36" s="19" t="inlineStr">
        <is>
          <t>COMPANY REPORTED HEADLINE EBITDA</t>
        </is>
      </c>
      <c r="C36" s="20">
        <f>C34 + C35</f>
        <v/>
      </c>
      <c r="D36" s="20">
        <f>D34 + D35</f>
        <v/>
      </c>
      <c r="E36" s="20">
        <f>E34 + E35</f>
        <v/>
      </c>
      <c r="F36" s="20">
        <f>F34 + F35</f>
        <v/>
      </c>
      <c r="G36" s="20">
        <f>G34 + G35</f>
        <v/>
      </c>
      <c r="H36" s="20">
        <f>H34 + H35</f>
        <v/>
      </c>
      <c r="I36" s="20">
        <f>I34 + I35</f>
        <v/>
      </c>
    </row>
    <row r="37">
      <c r="B37" s="9" t="inlineStr">
        <is>
          <t>Reconciliation Variance ($M)</t>
        </is>
      </c>
      <c r="C37" s="21">
        <f>C36 - C34</f>
        <v/>
      </c>
      <c r="D37" s="21">
        <f>D36 - D34</f>
        <v/>
      </c>
      <c r="E37" s="21">
        <f>E36 - E34</f>
        <v/>
      </c>
      <c r="F37" s="21">
        <f>F36 - F34</f>
        <v/>
      </c>
      <c r="G37" s="21">
        <f>G36 - G34</f>
        <v/>
      </c>
      <c r="H37" s="21">
        <f>H36 - H34</f>
        <v/>
      </c>
      <c r="I37" s="21">
        <f>I36 - I34</f>
        <v/>
      </c>
    </row>
    <row r="38">
      <c r="B38" s="9" t="inlineStr">
        <is>
          <t>Reconciliation Variance (%)</t>
        </is>
      </c>
      <c r="C38" s="22">
        <f>C37 / C34</f>
        <v/>
      </c>
      <c r="D38" s="22">
        <f>D37 / D34</f>
        <v/>
      </c>
      <c r="E38" s="22">
        <f>E37 / E34</f>
        <v/>
      </c>
      <c r="F38" s="22">
        <f>F37 / F34</f>
        <v/>
      </c>
      <c r="G38" s="22">
        <f>G37 / G34</f>
        <v/>
      </c>
      <c r="H38" s="22">
        <f>H37 / H34</f>
        <v/>
      </c>
      <c r="I38" s="22">
        <f>I37 / I34</f>
        <v/>
      </c>
    </row>
    <row r="39">
      <c r="B39" s="3" t="inlineStr">
        <is>
          <t>Reconciliation Status &amp; Audit Footnote</t>
        </is>
      </c>
      <c r="C39" s="25" t="inlineStr">
        <is>
          <t>Reconciled</t>
        </is>
      </c>
      <c r="D39" s="25" t="inlineStr">
        <is>
          <t>Material Add-backs</t>
        </is>
      </c>
      <c r="E39" s="25" t="inlineStr">
        <is>
          <t>Material Add-backs</t>
        </is>
      </c>
      <c r="F39" s="25" t="inlineStr">
        <is>
          <t>Material Add-backs</t>
        </is>
      </c>
      <c r="G39" s="25" t="inlineStr">
        <is>
          <t>Reconciled</t>
        </is>
      </c>
      <c r="H39" s="25" t="inlineStr">
        <is>
          <t>Reconciled</t>
        </is>
      </c>
      <c r="I39" s="25" t="inlineStr">
        <is>
          <t>Reconciled</t>
        </is>
      </c>
    </row>
    <row r="40"/>
    <row r="41">
      <c r="B41" s="3" t="inlineStr">
        <is>
          <t>VII. DETAILED EBITDA RECONCILIATION FOOTNOTES</t>
        </is>
      </c>
    </row>
    <row r="42">
      <c r="B42" s="26" t="inlineStr">
        <is>
          <t>[2021A] Fully Reconciled: Standard IFRS definition (Operating Profit + D&amp;A) aligns within 1.5% (+$9.3M) of Calculated EBITDA with zero aggressive management add-backs.</t>
        </is>
      </c>
    </row>
    <row r="43">
      <c r="B43" s="26" t="inlineStr">
        <is>
          <t>[2022A] Hyperinflation Accounting (IAS 29 / TMS 29): Reported EBITDA restated under inflation accounting with monetary gain adjustments (+$41.8M / +5.5%); Standardized Calculated EBITDA reflects nominal operating cash receipts minus direct cash expenses.</t>
        </is>
      </c>
    </row>
    <row r="44">
      <c r="B44" s="26" t="inlineStr">
        <is>
          <t>[2023A] Hyperinflation Accounting (IAS 29 / TMS 29): Reported EBITDA restated under inflation accounting with monetary gain adjustments (+$47.0M / +5.5%); Standardized Calculated EBITDA reflects nominal operating cash receipts minus direct cash expenses.</t>
        </is>
      </c>
    </row>
    <row r="45">
      <c r="B45" s="26" t="inlineStr">
        <is>
          <t>[2024A] Hyperinflation Accounting (IAS 29 / TMS 29): Reported EBITDA restated under inflation accounting with monetary gain adjustments (+$52.2M / +5.5%); Standardized Calculated EBITDA reflects nominal operating cash receipts minus direct cash expenses.</t>
        </is>
      </c>
    </row>
    <row r="46">
      <c r="B46" s="26" t="inlineStr">
        <is>
          <t>[2025E] Fully Reconciled: Standard IFRS definition (Operating Profit + D&amp;A) aligns within 1.5% (+$15.7M) of Calculated EBITDA with zero aggressive management add-backs.</t>
        </is>
      </c>
    </row>
    <row r="47">
      <c r="B47" s="26" t="inlineStr">
        <is>
          <t>[2026E] Fully Reconciled: Standard IFRS definition (Operating Profit + D&amp;A) aligns within 1.5% (+$16.8M) of Calculated EBITDA with zero aggressive management add-backs.</t>
        </is>
      </c>
    </row>
    <row r="48">
      <c r="B48" s="26" t="inlineStr">
        <is>
          <t>[2027E] Fully Reconciled: Standard IFRS definition (Operating Profit + D&amp;A) aligns within 1.5% (+$17.7M) of Calculated EBITDA with zero aggressive management add-backs.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Pegasus Airlines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1">
        <f>'Cash Flow Statement'!C26</f>
        <v/>
      </c>
      <c r="D7" s="21">
        <f>'Cash Flow Statement'!D26</f>
        <v/>
      </c>
      <c r="E7" s="21">
        <f>'Cash Flow Statement'!E26</f>
        <v/>
      </c>
      <c r="F7" s="21">
        <f>'Cash Flow Statement'!F26</f>
        <v/>
      </c>
      <c r="G7" s="21">
        <f>'Cash Flow Statement'!G26</f>
        <v/>
      </c>
      <c r="H7" s="21">
        <f>'Cash Flow Statement'!H26</f>
        <v/>
      </c>
      <c r="I7" s="21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5" t="inlineStr">
        <is>
          <t>Total Current Assets</t>
        </is>
      </c>
      <c r="C11" s="16">
        <f>SUM(C7:C10)</f>
        <v/>
      </c>
      <c r="D11" s="16">
        <f>SUM(D7:D10)</f>
        <v/>
      </c>
      <c r="E11" s="16">
        <f>SUM(E7:E10)</f>
        <v/>
      </c>
      <c r="F11" s="16">
        <f>SUM(F7:F10)</f>
        <v/>
      </c>
      <c r="G11" s="16">
        <f>SUM(G7:G10)</f>
        <v/>
      </c>
      <c r="H11" s="16">
        <f>SUM(H7:H10)</f>
        <v/>
      </c>
      <c r="I11" s="16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3264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5" t="inlineStr">
        <is>
          <t>Total Non-Current Assets</t>
        </is>
      </c>
      <c r="C20" s="16">
        <f>SUM(C17:C19)</f>
        <v/>
      </c>
      <c r="D20" s="16">
        <f>SUM(D17:D19)</f>
        <v/>
      </c>
      <c r="E20" s="16">
        <f>SUM(E17:E19)</f>
        <v/>
      </c>
      <c r="F20" s="16">
        <f>SUM(F17:F19)</f>
        <v/>
      </c>
      <c r="G20" s="16">
        <f>SUM(G17:G19)</f>
        <v/>
      </c>
      <c r="H20" s="16">
        <f>SUM(H17:H19)</f>
        <v/>
      </c>
      <c r="I20" s="16">
        <f>SUM(I17:I19)</f>
        <v/>
      </c>
    </row>
    <row r="21">
      <c r="B21" s="19" t="inlineStr">
        <is>
          <t>TOTAL CONSOLIDATED ASSETS</t>
        </is>
      </c>
      <c r="C21" s="20">
        <f>C11 + C20</f>
        <v/>
      </c>
      <c r="D21" s="20">
        <f>D11 + D20</f>
        <v/>
      </c>
      <c r="E21" s="20">
        <f>E11 + E20</f>
        <v/>
      </c>
      <c r="F21" s="20">
        <f>F11 + F20</f>
        <v/>
      </c>
      <c r="G21" s="20">
        <f>G11 + G20</f>
        <v/>
      </c>
      <c r="H21" s="20">
        <f>H11 + H20</f>
        <v/>
      </c>
      <c r="I21" s="20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5" t="inlineStr">
        <is>
          <t>Total Current Liabilities</t>
        </is>
      </c>
      <c r="C27" s="16">
        <f>SUM(C24:C26)</f>
        <v/>
      </c>
      <c r="D27" s="16">
        <f>SUM(D24:D26)</f>
        <v/>
      </c>
      <c r="E27" s="16">
        <f>SUM(E24:E26)</f>
        <v/>
      </c>
      <c r="F27" s="16">
        <f>SUM(F24:F26)</f>
        <v/>
      </c>
      <c r="G27" s="16">
        <f>SUM(G24:G26)</f>
        <v/>
      </c>
      <c r="H27" s="16">
        <f>SUM(H24:H26)</f>
        <v/>
      </c>
      <c r="I27" s="16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5" t="inlineStr">
        <is>
          <t>Total Non-Current Liabilities</t>
        </is>
      </c>
      <c r="C32" s="16">
        <f>SUM(C30:C31)</f>
        <v/>
      </c>
      <c r="D32" s="16">
        <f>SUM(D30:D31)</f>
        <v/>
      </c>
      <c r="E32" s="16">
        <f>SUM(E30:E31)</f>
        <v/>
      </c>
      <c r="F32" s="16">
        <f>SUM(F30:F31)</f>
        <v/>
      </c>
      <c r="G32" s="16">
        <f>SUM(G30:G31)</f>
        <v/>
      </c>
      <c r="H32" s="16">
        <f>SUM(H30:H31)</f>
        <v/>
      </c>
      <c r="I32" s="16">
        <f>SUM(I30:I31)</f>
        <v/>
      </c>
    </row>
    <row r="33">
      <c r="B33" s="9" t="inlineStr">
        <is>
          <t>TOTAL LIABILITIES</t>
        </is>
      </c>
      <c r="C33" s="21">
        <f>C27 + C32</f>
        <v/>
      </c>
      <c r="D33" s="21">
        <f>D27 + D32</f>
        <v/>
      </c>
      <c r="E33" s="21">
        <f>E27 + E32</f>
        <v/>
      </c>
      <c r="F33" s="21">
        <f>F27 + F32</f>
        <v/>
      </c>
      <c r="G33" s="21">
        <f>G27 + G32</f>
        <v/>
      </c>
      <c r="H33" s="21">
        <f>H27 + H32</f>
        <v/>
      </c>
      <c r="I33" s="21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761.6</v>
      </c>
      <c r="D36" s="8" t="n">
        <v>761.6</v>
      </c>
      <c r="E36" s="8" t="n">
        <v>761.6</v>
      </c>
      <c r="F36" s="8" t="n">
        <v>761.6</v>
      </c>
      <c r="G36" s="8" t="n">
        <v>761.6</v>
      </c>
      <c r="H36" s="8" t="n">
        <v>761.6</v>
      </c>
      <c r="I36" s="8" t="n">
        <v>761.6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5" t="inlineStr">
        <is>
          <t>TOTAL SHAREHOLDERS' EQUITY</t>
        </is>
      </c>
      <c r="C38" s="16">
        <f>SUM(C36:C37)</f>
        <v/>
      </c>
      <c r="D38" s="16">
        <f>SUM(D36:D37)</f>
        <v/>
      </c>
      <c r="E38" s="16">
        <f>SUM(E36:E37)</f>
        <v/>
      </c>
      <c r="F38" s="16">
        <f>SUM(F36:F37)</f>
        <v/>
      </c>
      <c r="G38" s="16">
        <f>SUM(G36:G37)</f>
        <v/>
      </c>
      <c r="H38" s="16">
        <f>SUM(H36:H37)</f>
        <v/>
      </c>
      <c r="I38" s="16">
        <f>SUM(I36:I37)</f>
        <v/>
      </c>
    </row>
    <row r="39">
      <c r="B39" s="19" t="inlineStr">
        <is>
          <t>TOTAL LIABILITIES &amp; EQUITY</t>
        </is>
      </c>
      <c r="C39" s="20">
        <f>C33 + C38</f>
        <v/>
      </c>
      <c r="D39" s="20">
        <f>D33 + D38</f>
        <v/>
      </c>
      <c r="E39" s="20">
        <f>E33 + E38</f>
        <v/>
      </c>
      <c r="F39" s="20">
        <f>F33 + F38</f>
        <v/>
      </c>
      <c r="G39" s="20">
        <f>G33 + G38</f>
        <v/>
      </c>
      <c r="H39" s="20">
        <f>H33 + H38</f>
        <v/>
      </c>
      <c r="I39" s="20">
        <f>I33 + I38</f>
        <v/>
      </c>
    </row>
    <row r="40"/>
    <row r="41">
      <c r="B41" s="5" t="inlineStr">
        <is>
          <t>BALANCE SHEET INTEGRITY CHECK (ASSETS - LIAB - EQUITY)</t>
        </is>
      </c>
      <c r="C41" s="27">
        <f>C21 - C39</f>
        <v/>
      </c>
      <c r="D41" s="27">
        <f>D21 - D39</f>
        <v/>
      </c>
      <c r="E41" s="27">
        <f>E21 - E39</f>
        <v/>
      </c>
      <c r="F41" s="27">
        <f>F21 - F39</f>
        <v/>
      </c>
      <c r="G41" s="27">
        <f>G21 - G39</f>
        <v/>
      </c>
      <c r="H41" s="27">
        <f>H21 - H39</f>
        <v/>
      </c>
      <c r="I41" s="27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Pegasus Airlines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9" t="inlineStr">
        <is>
          <t>Cash Flow from Operations (CFO)</t>
        </is>
      </c>
      <c r="C14" s="20">
        <f>SUM(C7:C12)</f>
        <v/>
      </c>
      <c r="D14" s="20">
        <f>SUM(D7:D12)</f>
        <v/>
      </c>
      <c r="E14" s="20">
        <f>SUM(E7:E12)</f>
        <v/>
      </c>
      <c r="F14" s="20">
        <f>SUM(F7:F12)</f>
        <v/>
      </c>
      <c r="G14" s="20">
        <f>SUM(G7:G12)</f>
        <v/>
      </c>
      <c r="H14" s="20">
        <f>SUM(H7:H12)</f>
        <v/>
      </c>
      <c r="I14" s="20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-232.7</v>
      </c>
      <c r="D16" s="8" t="n">
        <v>-282.6</v>
      </c>
      <c r="E16" s="8" t="n">
        <v>-315.9</v>
      </c>
      <c r="F16" s="8" t="n">
        <v>-332.5</v>
      </c>
      <c r="G16" s="8" t="n">
        <v>-349.1</v>
      </c>
      <c r="H16" s="8" t="n">
        <v>-339.2</v>
      </c>
      <c r="I16" s="8" t="n">
        <v>-325.8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5" t="inlineStr">
        <is>
          <t>Cash Flow from Investing Activities (CFI)</t>
        </is>
      </c>
      <c r="C18" s="16">
        <f>SUM(C16:C17)</f>
        <v/>
      </c>
      <c r="D18" s="16">
        <f>SUM(D16:D17)</f>
        <v/>
      </c>
      <c r="E18" s="16">
        <f>SUM(E16:E17)</f>
        <v/>
      </c>
      <c r="F18" s="16">
        <f>SUM(F16:F17)</f>
        <v/>
      </c>
      <c r="G18" s="16">
        <f>SUM(G16:G17)</f>
        <v/>
      </c>
      <c r="H18" s="16">
        <f>SUM(H16:H17)</f>
        <v/>
      </c>
      <c r="I18" s="16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5" t="inlineStr">
        <is>
          <t>Cash Flow from Financing Activities (CFF)</t>
        </is>
      </c>
      <c r="C24" s="16">
        <f>SUM(C20:C23)</f>
        <v/>
      </c>
      <c r="D24" s="16">
        <f>SUM(D20:D23)</f>
        <v/>
      </c>
      <c r="E24" s="16">
        <f>SUM(E20:E23)</f>
        <v/>
      </c>
      <c r="F24" s="16">
        <f>SUM(F20:F23)</f>
        <v/>
      </c>
      <c r="G24" s="16">
        <f>SUM(G20:G23)</f>
        <v/>
      </c>
      <c r="H24" s="16">
        <f>SUM(H20:H23)</f>
        <v/>
      </c>
      <c r="I24" s="16">
        <f>SUM(I20:I23)</f>
        <v/>
      </c>
    </row>
    <row r="25">
      <c r="B25" s="9" t="inlineStr">
        <is>
          <t>Net Change in Cash &amp; Cash Equivalents</t>
        </is>
      </c>
      <c r="C25" s="21">
        <f>C14 + C18 + C24</f>
        <v/>
      </c>
      <c r="D25" s="21">
        <f>D14 + D18 + D24</f>
        <v/>
      </c>
      <c r="E25" s="21">
        <f>E14 + E18 + E24</f>
        <v/>
      </c>
      <c r="F25" s="21">
        <f>F14 + F18 + F24</f>
        <v/>
      </c>
      <c r="G25" s="21">
        <f>G14 + G18 + G24</f>
        <v/>
      </c>
      <c r="H25" s="21">
        <f>H14 + H18 + H24</f>
        <v/>
      </c>
      <c r="I25" s="21">
        <f>I14 + I18 + I24</f>
        <v/>
      </c>
    </row>
    <row r="26">
      <c r="B26" s="19" t="inlineStr">
        <is>
          <t>Ending Cash &amp; Liquid Reserves (Feeds Balance Sheet)</t>
        </is>
      </c>
      <c r="C26" s="20" t="n">
        <v>391.9</v>
      </c>
      <c r="D26" s="20">
        <f>C26 + D25</f>
        <v/>
      </c>
      <c r="E26" s="20">
        <f>D26 + E25</f>
        <v/>
      </c>
      <c r="F26" s="20">
        <f>E26 + F25</f>
        <v/>
      </c>
      <c r="G26" s="20">
        <f>F26 + G25</f>
        <v/>
      </c>
      <c r="H26" s="20">
        <f>G26 + H25</f>
        <v/>
      </c>
      <c r="I26" s="20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9" t="inlineStr">
        <is>
          <t>Calculated Cash EBITDA (Operating Cash Profit)</t>
        </is>
      </c>
      <c r="C29" s="20">
        <f>'Income Statement (P&amp;L)'!C22</f>
        <v/>
      </c>
      <c r="D29" s="20">
        <f>'Income Statement (P&amp;L)'!D22</f>
        <v/>
      </c>
      <c r="E29" s="20">
        <f>'Income Statement (P&amp;L)'!E22</f>
        <v/>
      </c>
      <c r="F29" s="20">
        <f>'Income Statement (P&amp;L)'!F22</f>
        <v/>
      </c>
      <c r="G29" s="20">
        <f>'Income Statement (P&amp;L)'!G22</f>
        <v/>
      </c>
      <c r="H29" s="20">
        <f>'Income Statement (P&amp;L)'!H22</f>
        <v/>
      </c>
      <c r="I29" s="20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-63.3</v>
      </c>
      <c r="D32" s="8" t="n">
        <v>-93.90000000000001</v>
      </c>
      <c r="E32" s="8" t="n">
        <v>-118.4</v>
      </c>
      <c r="F32" s="8" t="n">
        <v>-149.5</v>
      </c>
      <c r="G32" s="8" t="n">
        <v>-137.7</v>
      </c>
      <c r="H32" s="8" t="n">
        <v>-126.3</v>
      </c>
      <c r="I32" s="8" t="n">
        <v>-124.2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9" t="inlineStr">
        <is>
          <t>FREE CASH FLOW (FCF = EBITDA - Capex - Interest - ΔNWC - Tax)</t>
        </is>
      </c>
      <c r="C34" s="20">
        <f>C29 - C30 - C31 - C32 - C33</f>
        <v/>
      </c>
      <c r="D34" s="20">
        <f>D29 - D30 - D31 - D32 - D33</f>
        <v/>
      </c>
      <c r="E34" s="20">
        <f>E29 - E30 - E31 - E32 - E33</f>
        <v/>
      </c>
      <c r="F34" s="20">
        <f>F29 - F30 - F31 - F32 - F33</f>
        <v/>
      </c>
      <c r="G34" s="20">
        <f>G29 - G30 - G31 - G32 - G33</f>
        <v/>
      </c>
      <c r="H34" s="20">
        <f>H29 - H30 - H31 - H32 - H33</f>
        <v/>
      </c>
      <c r="I34" s="20">
        <f>I29 - I30 - I31 - I32 - I33</f>
        <v/>
      </c>
    </row>
    <row r="35">
      <c r="B35" s="9" t="inlineStr">
        <is>
          <t>FCF Conversion Ratio (% of EBITDA)</t>
        </is>
      </c>
      <c r="C35" s="22">
        <f>C34 / C29</f>
        <v/>
      </c>
      <c r="D35" s="22">
        <f>D34 / D29</f>
        <v/>
      </c>
      <c r="E35" s="22">
        <f>E34 / E29</f>
        <v/>
      </c>
      <c r="F35" s="22">
        <f>F34 / F29</f>
        <v/>
      </c>
      <c r="G35" s="22">
        <f>G34 / G29</f>
        <v/>
      </c>
      <c r="H35" s="22">
        <f>H34 / H29</f>
        <v/>
      </c>
      <c r="I35" s="22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6" t="inlineStr">
        <is>
          <t>[2021A] Operating cash flow comfortably covers operational working capital needs and debt service.</t>
        </is>
      </c>
    </row>
    <row r="39">
      <c r="B39" s="26" t="inlineStr">
        <is>
          <t>[2022A] Working capital absorption due to higher inventory values temporarily dampens FCF.</t>
        </is>
      </c>
    </row>
    <row r="40">
      <c r="B40" s="26" t="inlineStr">
        <is>
          <t>[2023A] Positive FCF generation resumes as working capital investments reverse into cash.</t>
        </is>
      </c>
    </row>
    <row r="41">
      <c r="B41" s="26" t="inlineStr">
        <is>
          <t>[2024A] Robust operating cash flow supports debt amortization and unencumbered cash build.</t>
        </is>
      </c>
    </row>
    <row r="42">
      <c r="B42" s="26" t="inlineStr">
        <is>
          <t>[2025E] Solid free cash flow generation enables continued deleveraging and dividend flexibility.</t>
        </is>
      </c>
    </row>
    <row r="43">
      <c r="B43" s="26" t="inlineStr">
        <is>
          <t>[2026E] Expanding FCF conversion provides flexible options for bond refinancing or early tender.</t>
        </is>
      </c>
    </row>
    <row r="44">
      <c r="B44" s="26" t="inlineStr">
        <is>
          <t>[2027E] Excess organic cash flow allows substantial reduction in gross borrowing requirements.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2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Pegasus Airlines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PGSUS Benchmark Eurobond Notes</t>
        </is>
      </c>
    </row>
    <row r="7">
      <c r="B7" s="7" t="inlineStr">
        <is>
          <t xml:space="preserve">  Beginning Principal Balance</t>
        </is>
      </c>
      <c r="C7" s="8" t="n">
        <v>1035.6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345.2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230.1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1">
        <f>C7 + C8 - C9</f>
        <v/>
      </c>
      <c r="D10" s="21">
        <f>D7 + D8 - D9</f>
        <v/>
      </c>
      <c r="E10" s="21">
        <f>E7 + E8 - E9</f>
        <v/>
      </c>
      <c r="F10" s="21">
        <f>F7 + F8 - F9</f>
        <v/>
      </c>
      <c r="G10" s="21">
        <f>G7 + G8 - G9</f>
        <v/>
      </c>
      <c r="H10" s="21">
        <f>H7 + H8 - H9</f>
        <v/>
      </c>
      <c r="I10" s="21">
        <f>I7 + I8 - I9</f>
        <v/>
      </c>
    </row>
    <row r="11">
      <c r="B11" s="7" t="inlineStr">
        <is>
          <t xml:space="preserve">  Interest Expense (Calculated)</t>
        </is>
      </c>
      <c r="C11" s="8">
        <f>C10 * 0.0765</f>
        <v/>
      </c>
      <c r="D11" s="8">
        <f>D10 * 0.0765</f>
        <v/>
      </c>
      <c r="E11" s="8">
        <f>E10 * 0.0765</f>
        <v/>
      </c>
      <c r="F11" s="8">
        <f>F10 * 0.0765</f>
        <v/>
      </c>
      <c r="G11" s="8">
        <f>G10 * 0.0765</f>
        <v/>
      </c>
      <c r="H11" s="8">
        <f>H10 * 0.0765</f>
        <v/>
      </c>
      <c r="I11" s="8">
        <f>I10 * 0.0765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1265.8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1">
        <f>C14 + C15 - C16</f>
        <v/>
      </c>
      <c r="D17" s="21">
        <f>D14 + D15 - D16</f>
        <v/>
      </c>
      <c r="E17" s="21">
        <f>E14 + E15 - E16</f>
        <v/>
      </c>
      <c r="F17" s="21">
        <f>F14 + F15 - F16</f>
        <v/>
      </c>
      <c r="G17" s="21">
        <f>G14 + G15 - G16</f>
        <v/>
      </c>
      <c r="H17" s="21">
        <f>H14 + H15 - H16</f>
        <v/>
      </c>
      <c r="I17" s="21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1">
        <f>C8 + C15</f>
        <v/>
      </c>
      <c r="D19" s="21">
        <f>D8 + D15</f>
        <v/>
      </c>
      <c r="E19" s="21">
        <f>E8 + E15</f>
        <v/>
      </c>
      <c r="F19" s="21">
        <f>F8 + F15</f>
        <v/>
      </c>
      <c r="G19" s="21">
        <f>G8 + G15</f>
        <v/>
      </c>
      <c r="H19" s="21">
        <f>H8 + H15</f>
        <v/>
      </c>
      <c r="I19" s="21">
        <f>I8 + I15</f>
        <v/>
      </c>
    </row>
    <row r="20">
      <c r="B20" s="9" t="inlineStr">
        <is>
          <t>Total Debt Repayments (Feeds CFF)</t>
        </is>
      </c>
      <c r="C20" s="21">
        <f>C9 + C16</f>
        <v/>
      </c>
      <c r="D20" s="21">
        <f>D9 + D16</f>
        <v/>
      </c>
      <c r="E20" s="21">
        <f>E9 + E16</f>
        <v/>
      </c>
      <c r="F20" s="21">
        <f>F9 + F16</f>
        <v/>
      </c>
      <c r="G20" s="21">
        <f>G9 + G16</f>
        <v/>
      </c>
      <c r="H20" s="21">
        <f>H9 + H16</f>
        <v/>
      </c>
      <c r="I20" s="21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6">
        <f>C22 + C23</f>
        <v/>
      </c>
      <c r="D24" s="16">
        <f>D22 + D23</f>
        <v/>
      </c>
      <c r="E24" s="16">
        <f>E22 + E23</f>
        <v/>
      </c>
      <c r="F24" s="16">
        <f>F22 + F23</f>
        <v/>
      </c>
      <c r="G24" s="16">
        <f>G22 + G23</f>
        <v/>
      </c>
      <c r="H24" s="16">
        <f>H22 + H23</f>
        <v/>
      </c>
      <c r="I24" s="16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20">
        <f>C24 - C25</f>
        <v/>
      </c>
      <c r="D26" s="20">
        <f>D24 - D25</f>
        <v/>
      </c>
      <c r="E26" s="20">
        <f>E24 - E25</f>
        <v/>
      </c>
      <c r="F26" s="20">
        <f>F24 - F25</f>
        <v/>
      </c>
      <c r="G26" s="20">
        <f>G24 - G25</f>
        <v/>
      </c>
      <c r="H26" s="20">
        <f>H24 - H25</f>
        <v/>
      </c>
      <c r="I26" s="20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9" t="inlineStr">
        <is>
          <t>NET FINANCE COST / INTEREST EXPENSE (Feeds P&amp;L)</t>
        </is>
      </c>
      <c r="C28" s="20">
        <f>C27 - (C25 * 0.025)</f>
        <v/>
      </c>
      <c r="D28" s="20">
        <f>D27 - (D25 * 0.025)</f>
        <v/>
      </c>
      <c r="E28" s="20">
        <f>E27 - (E25 * 0.025)</f>
        <v/>
      </c>
      <c r="F28" s="20">
        <f>F27 - (F25 * 0.025)</f>
        <v/>
      </c>
      <c r="G28" s="20">
        <f>G27 - (G25 * 0.025)</f>
        <v/>
      </c>
      <c r="H28" s="20">
        <f>H27 - (H25 * 0.025)</f>
        <v/>
      </c>
      <c r="I28" s="20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8" t="inlineStr">
        <is>
          <t>2025</t>
        </is>
      </c>
      <c r="C31" s="28" t="inlineStr">
        <is>
          <t>2026</t>
        </is>
      </c>
      <c r="D31" s="28" t="inlineStr">
        <is>
          <t>2027</t>
        </is>
      </c>
      <c r="E31" s="28" t="inlineStr">
        <is>
          <t>2028</t>
        </is>
      </c>
      <c r="F31" s="28" t="inlineStr">
        <is>
          <t>2029</t>
        </is>
      </c>
      <c r="G31" s="28" t="inlineStr">
        <is>
          <t>2030+</t>
        </is>
      </c>
    </row>
    <row r="32">
      <c r="B32" s="8" t="n">
        <v>324.9</v>
      </c>
      <c r="C32" s="8" t="n">
        <v>595.6</v>
      </c>
      <c r="D32" s="8" t="n">
        <v>758.1</v>
      </c>
      <c r="E32" s="8" t="n">
        <v>487.3</v>
      </c>
      <c r="F32" s="8" t="n">
        <v>324.9</v>
      </c>
      <c r="G32" s="8" t="n">
        <v>216.6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PGSUS Benchmark Senior Notes</t>
        </is>
      </c>
      <c r="C37" s="7" t="inlineStr">
        <is>
          <t>Senior Unsecured RegS/144A Eurobond</t>
        </is>
      </c>
      <c r="D37" s="29" t="inlineStr">
        <is>
          <t>USD</t>
        </is>
      </c>
      <c r="E37" s="21" t="n">
        <v>1218.4</v>
      </c>
      <c r="F37" s="30" t="inlineStr">
        <is>
          <t>7.650%</t>
        </is>
      </c>
      <c r="G37" s="31" t="n">
        <v>103.5</v>
      </c>
      <c r="H37" s="32" t="n">
        <v>7.65</v>
      </c>
      <c r="I37" s="7" t="inlineStr">
        <is>
          <t>Senior Unsecured (Pari Passu)</t>
        </is>
      </c>
      <c r="J37" s="17" t="inlineStr">
        <is>
          <t>English Law</t>
        </is>
      </c>
    </row>
    <row r="38">
      <c r="B38" s="9" t="inlineStr">
        <is>
          <t>PGSUS Secondary Eurobond / Sukuk Tranche 2</t>
        </is>
      </c>
      <c r="C38" s="7" t="inlineStr">
        <is>
          <t>Senior Unsecured Notes</t>
        </is>
      </c>
      <c r="D38" s="29" t="inlineStr">
        <is>
          <t>USD</t>
        </is>
      </c>
      <c r="E38" s="21" t="n">
        <v>812.2</v>
      </c>
      <c r="F38" s="30" t="inlineStr">
        <is>
          <t>7.000%</t>
        </is>
      </c>
      <c r="G38" s="31" t="n">
        <v>101.5</v>
      </c>
      <c r="H38" s="32" t="n">
        <v>7</v>
      </c>
      <c r="I38" s="7" t="inlineStr">
        <is>
          <t>Senior Unsecured</t>
        </is>
      </c>
      <c r="J38" s="17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9" t="inlineStr">
        <is>
          <t>USD / EUR</t>
        </is>
      </c>
      <c r="E39" s="21" t="n">
        <v>406.1</v>
      </c>
      <c r="F39" s="30" t="inlineStr">
        <is>
          <t>SOFR + 185 bps</t>
        </is>
      </c>
      <c r="G39" s="31" t="n">
        <v>100</v>
      </c>
      <c r="H39" s="32" t="n">
        <v>6.85</v>
      </c>
      <c r="I39" s="7" t="inlineStr">
        <is>
          <t>Senior Secured</t>
        </is>
      </c>
      <c r="J39" s="17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9" t="inlineStr">
        <is>
          <t>USD</t>
        </is>
      </c>
      <c r="E40" s="21" t="n">
        <v>270.8</v>
      </c>
      <c r="F40" s="30" t="inlineStr">
        <is>
          <t>SOFR + 150 bps</t>
        </is>
      </c>
      <c r="G40" s="31" t="n">
        <v>100</v>
      </c>
      <c r="H40" s="32" t="n">
        <v>6.5</v>
      </c>
      <c r="I40" s="7" t="inlineStr">
        <is>
          <t>Senior Unsecured (Pari Passu with Bonds)</t>
        </is>
      </c>
      <c r="J40" s="17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PGSUS Syndicated Multi-Currency Revolving Credit Facility (RCF)</t>
        </is>
      </c>
    </row>
    <row r="44">
      <c r="B44" s="9" t="inlineStr">
        <is>
          <t>Total Committed Capacity ($M)</t>
        </is>
      </c>
      <c r="C44" s="21" t="n">
        <v>758.1</v>
      </c>
    </row>
    <row r="45">
      <c r="B45" s="7" t="inlineStr">
        <is>
          <t>Drawn Amount ($M)</t>
        </is>
      </c>
      <c r="C45" s="8" t="n">
        <v>270.8</v>
      </c>
    </row>
    <row r="46">
      <c r="B46" s="19" t="inlineStr">
        <is>
          <t>AVAILABLE UNDRAWN HEADROOM ($M)</t>
        </is>
      </c>
      <c r="C46" s="20" t="n">
        <v>487.3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9" t="inlineStr">
        <is>
          <t>3.75x</t>
        </is>
      </c>
      <c r="D55" s="25" t="inlineStr">
        <is>
          <t>2.10x</t>
        </is>
      </c>
      <c r="E55" s="33" t="inlineStr">
        <is>
          <t>1.65x leverage buffer ($1567.5M EBITDA headroom)</t>
        </is>
      </c>
      <c r="F55" s="17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9" t="inlineStr">
        <is>
          <t>2.50x</t>
        </is>
      </c>
      <c r="D56" s="25" t="inlineStr">
        <is>
          <t>4.20x</t>
        </is>
      </c>
      <c r="E56" s="33" t="inlineStr">
        <is>
          <t>+1.70x interest coverage cushion</t>
        </is>
      </c>
      <c r="F56" s="17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9" t="inlineStr">
        <is>
          <t>15.0% of Consolidated Total Tangible Assets</t>
        </is>
      </c>
      <c r="D57" s="25" t="inlineStr">
        <is>
          <t>7.1% of Assets</t>
        </is>
      </c>
      <c r="E57" s="33" t="inlineStr">
        <is>
          <t>$704.0M unutilized secured debt capacity</t>
        </is>
      </c>
      <c r="F57" s="17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9" t="inlineStr">
        <is>
          <t>101.00% Redemption</t>
        </is>
      </c>
      <c r="D58" s="25" t="inlineStr">
        <is>
          <t>N/A (Inactive)</t>
        </is>
      </c>
      <c r="E58" s="33" t="inlineStr">
        <is>
          <t>Compliant</t>
        </is>
      </c>
      <c r="F58" s="17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9" t="inlineStr">
        <is>
          <t>Builder Basket</t>
        </is>
      </c>
      <c r="D59" s="25" t="inlineStr">
        <is>
          <t>Within Capacity</t>
        </is>
      </c>
      <c r="E59" s="33" t="inlineStr">
        <is>
          <t>Compliant</t>
        </is>
      </c>
      <c r="F59" s="17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9" t="inlineStr">
        <is>
          <t>$50.0M threshold triggering cross-acceleration across all senior Eurobonds and syndicated loans.</t>
        </is>
      </c>
      <c r="D60" s="25" t="inlineStr">
        <is>
          <t>Zero Defaults</t>
        </is>
      </c>
      <c r="E60" s="33" t="inlineStr">
        <is>
          <t>Compliant</t>
        </is>
      </c>
      <c r="F60" s="17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Pegasus Airlines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9" t="inlineStr">
        <is>
          <t>NET LEVERAGE (Net Debt / Calculated Cash EBITDA)</t>
        </is>
      </c>
      <c r="C8" s="34">
        <f>'Debt Schedule &amp; Tranches'!C26 / 'Income Statement (P&amp;L)'!C22</f>
        <v/>
      </c>
      <c r="D8" s="34">
        <f>'Debt Schedule &amp; Tranches'!D26 / 'Income Statement (P&amp;L)'!D22</f>
        <v/>
      </c>
      <c r="E8" s="34">
        <f>'Debt Schedule &amp; Tranches'!E26 / 'Income Statement (P&amp;L)'!E22</f>
        <v/>
      </c>
      <c r="F8" s="34">
        <f>'Debt Schedule &amp; Tranches'!F26 / 'Income Statement (P&amp;L)'!F22</f>
        <v/>
      </c>
      <c r="G8" s="34">
        <f>'Debt Schedule &amp; Tranches'!G26 / 'Income Statement (P&amp;L)'!G22</f>
        <v/>
      </c>
      <c r="H8" s="34">
        <f>'Debt Schedule &amp; Tranches'!H26 / 'Income Statement (P&amp;L)'!H22</f>
        <v/>
      </c>
      <c r="I8" s="34">
        <f>'Debt Schedule &amp; Tranches'!I26 / 'Income Statement (P&amp;L)'!I22</f>
        <v/>
      </c>
    </row>
    <row r="9">
      <c r="B9" s="19" t="inlineStr">
        <is>
          <t>REPORTED NET LEVERAGE (Net Debt / Reported EBITDA)</t>
        </is>
      </c>
      <c r="C9" s="34">
        <f>'Debt Schedule &amp; Tranches'!C26 / 'Income Statement (P&amp;L)'!C36</f>
        <v/>
      </c>
      <c r="D9" s="34">
        <f>'Debt Schedule &amp; Tranches'!D26 / 'Income Statement (P&amp;L)'!D36</f>
        <v/>
      </c>
      <c r="E9" s="34">
        <f>'Debt Schedule &amp; Tranches'!E26 / 'Income Statement (P&amp;L)'!E36</f>
        <v/>
      </c>
      <c r="F9" s="34">
        <f>'Debt Schedule &amp; Tranches'!F26 / 'Income Statement (P&amp;L)'!F36</f>
        <v/>
      </c>
      <c r="G9" s="34">
        <f>'Debt Schedule &amp; Tranches'!G26 / 'Income Statement (P&amp;L)'!G36</f>
        <v/>
      </c>
      <c r="H9" s="34">
        <f>'Debt Schedule &amp; Tranches'!H26 / 'Income Statement (P&amp;L)'!H36</f>
        <v/>
      </c>
      <c r="I9" s="34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9" t="inlineStr">
        <is>
          <t>EBITDA INTEREST COVERAGE (Calculated Cash EBITDA)</t>
        </is>
      </c>
      <c r="C11" s="34">
        <f>'Income Statement (P&amp;L)'!C22 / 'Debt Schedule &amp; Tranches'!C28</f>
        <v/>
      </c>
      <c r="D11" s="34">
        <f>'Income Statement (P&amp;L)'!D22 / 'Debt Schedule &amp; Tranches'!D28</f>
        <v/>
      </c>
      <c r="E11" s="34">
        <f>'Income Statement (P&amp;L)'!E22 / 'Debt Schedule &amp; Tranches'!E28</f>
        <v/>
      </c>
      <c r="F11" s="34">
        <f>'Income Statement (P&amp;L)'!F22 / 'Debt Schedule &amp; Tranches'!F28</f>
        <v/>
      </c>
      <c r="G11" s="34">
        <f>'Income Statement (P&amp;L)'!G22 / 'Debt Schedule &amp; Tranches'!G28</f>
        <v/>
      </c>
      <c r="H11" s="34">
        <f>'Income Statement (P&amp;L)'!H22 / 'Debt Schedule &amp; Tranches'!H28</f>
        <v/>
      </c>
      <c r="I11" s="34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Pegasus Airlines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8" t="inlineStr">
        <is>
          <t>Scenario Name</t>
        </is>
      </c>
      <c r="C5" s="28" t="inlineStr">
        <is>
          <t>Revenue Drop</t>
        </is>
      </c>
      <c r="D5" s="28" t="inlineStr">
        <is>
          <t>Margin Compression</t>
        </is>
      </c>
      <c r="E5" s="28" t="inlineStr">
        <is>
          <t>Refinancing Rate</t>
        </is>
      </c>
      <c r="F5" s="28" t="inlineStr">
        <is>
          <t>Exit EV Multiple</t>
        </is>
      </c>
      <c r="G5" s="28" t="inlineStr">
        <is>
          <t>Implied Recovery Px</t>
        </is>
      </c>
      <c r="H5" s="28" t="inlineStr">
        <is>
          <t>Upside / Downside</t>
        </is>
      </c>
    </row>
    <row r="6">
      <c r="B6" s="19" t="inlineStr">
        <is>
          <t>Base Case (Consensus Forecast)</t>
        </is>
      </c>
      <c r="C6" s="35" t="inlineStr">
        <is>
          <t>0.0%</t>
        </is>
      </c>
      <c r="D6" s="35" t="inlineStr">
        <is>
          <t>0 bp</t>
        </is>
      </c>
      <c r="E6" s="35" t="inlineStr">
        <is>
          <t>7.65%</t>
        </is>
      </c>
      <c r="F6" s="35" t="inlineStr">
        <is>
          <t>4.2x</t>
        </is>
      </c>
      <c r="G6" s="35" t="inlineStr">
        <is>
          <t>$102.00</t>
        </is>
      </c>
      <c r="H6" s="35" t="inlineStr">
        <is>
          <t>-1.4%</t>
        </is>
      </c>
    </row>
    <row r="7">
      <c r="B7" s="7" t="inlineStr">
        <is>
          <t>Downside Stress Case (Recession)</t>
        </is>
      </c>
      <c r="C7" s="30" t="inlineStr">
        <is>
          <t>-15.0%</t>
        </is>
      </c>
      <c r="D7" s="30" t="inlineStr">
        <is>
          <t>-300 bp</t>
        </is>
      </c>
      <c r="E7" s="30" t="inlineStr">
        <is>
          <t>9.65%</t>
        </is>
      </c>
      <c r="F7" s="30" t="inlineStr">
        <is>
          <t>3.2x</t>
        </is>
      </c>
      <c r="G7" s="30" t="inlineStr">
        <is>
          <t>$83.50</t>
        </is>
      </c>
      <c r="H7" s="30" t="inlineStr">
        <is>
          <t>-19.3%</t>
        </is>
      </c>
    </row>
    <row r="8">
      <c r="B8" s="7" t="inlineStr">
        <is>
          <t>Severe Distressed Floor (Liquidation)</t>
        </is>
      </c>
      <c r="C8" s="30" t="inlineStr">
        <is>
          <t>-35.0%</t>
        </is>
      </c>
      <c r="D8" s="30" t="inlineStr">
        <is>
          <t>-650 bp</t>
        </is>
      </c>
      <c r="E8" s="30" t="inlineStr">
        <is>
          <t>+500 bp spread</t>
        </is>
      </c>
      <c r="F8" s="30" t="inlineStr">
        <is>
          <t>Liquidation Value</t>
        </is>
      </c>
      <c r="G8" s="30" t="inlineStr">
        <is>
          <t>$65.00</t>
        </is>
      </c>
      <c r="H8" s="30" t="inlineStr">
        <is>
          <t>-37.2%</t>
        </is>
      </c>
    </row>
    <row r="9">
      <c r="B9" s="7" t="inlineStr">
        <is>
          <t>Bull Case (Cycle Peak / Accretion)</t>
        </is>
      </c>
      <c r="C9" s="30" t="inlineStr">
        <is>
          <t>+12.0%</t>
        </is>
      </c>
      <c r="D9" s="30" t="inlineStr">
        <is>
          <t>+200 bp</t>
        </is>
      </c>
      <c r="E9" s="30" t="inlineStr">
        <is>
          <t>6.15%</t>
        </is>
      </c>
      <c r="F9" s="30" t="inlineStr">
        <is>
          <t>5.7x</t>
        </is>
      </c>
      <c r="G9" s="30" t="inlineStr">
        <is>
          <t>$105.00</t>
        </is>
      </c>
      <c r="H9" s="30" t="inlineStr">
        <is>
          <t>+1.4%</t>
        </is>
      </c>
    </row>
    <row r="10"/>
    <row r="11"/>
    <row r="12">
      <c r="B12" s="3" t="inlineStr">
        <is>
          <t>II. PRIORITY CLAIM LIQUIDATION WATERFALL</t>
        </is>
      </c>
    </row>
    <row r="13">
      <c r="B13" s="28" t="inlineStr">
        <is>
          <t>Tranche Claim</t>
        </is>
      </c>
      <c r="C13" s="28" t="inlineStr">
        <is>
          <t>Claim Amount ($M)</t>
        </is>
      </c>
      <c r="D13" s="28" t="inlineStr">
        <is>
          <t>Seniority Ranking</t>
        </is>
      </c>
      <c r="E13" s="28" t="inlineStr">
        <is>
          <t>Estimated Collateral</t>
        </is>
      </c>
      <c r="F13" s="28" t="inlineStr">
        <is>
          <t>Recovery Floor (%)</t>
        </is>
      </c>
      <c r="G13" s="28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676.9</v>
      </c>
      <c r="D14" s="7" t="inlineStr">
        <is>
          <t>Senior Secured (Pari Passu)</t>
        </is>
      </c>
      <c r="E14" s="7" t="inlineStr">
        <is>
          <t>First Lien Fixed Charges</t>
        </is>
      </c>
      <c r="F14" s="30" t="inlineStr">
        <is>
          <t>100.0%</t>
        </is>
      </c>
      <c r="G14" s="30" t="inlineStr">
        <is>
          <t>100.0%</t>
        </is>
      </c>
    </row>
    <row r="15">
      <c r="B15" s="7" t="inlineStr">
        <is>
          <t>PGSUS Senior Unsecured Eurobonds</t>
        </is>
      </c>
      <c r="C15" s="8" t="n">
        <v>2030.6</v>
      </c>
      <c r="D15" s="7" t="inlineStr">
        <is>
          <t>Senior Unsecured</t>
        </is>
      </c>
      <c r="E15" s="7" t="inlineStr">
        <is>
          <t>General Corporate Guarantee</t>
        </is>
      </c>
      <c r="F15" s="30" t="inlineStr">
        <is>
          <t>65.0%</t>
        </is>
      </c>
      <c r="G15" s="30" t="inlineStr">
        <is>
          <t>102.0%</t>
        </is>
      </c>
    </row>
    <row r="16">
      <c r="B16" s="7" t="inlineStr">
        <is>
          <t>Subordinated Debt &amp; Intercompany Notes</t>
        </is>
      </c>
      <c r="C16" s="8" t="n">
        <v>406.1</v>
      </c>
      <c r="D16" s="7" t="inlineStr">
        <is>
          <t>Subordinated</t>
        </is>
      </c>
      <c r="E16" s="7" t="inlineStr">
        <is>
          <t>Junior Unsecured Claim</t>
        </is>
      </c>
      <c r="F16" s="30" t="inlineStr">
        <is>
          <t>0.0%</t>
        </is>
      </c>
      <c r="G16" s="30" t="inlineStr">
        <is>
          <t>25.0%</t>
        </is>
      </c>
    </row>
    <row r="17">
      <c r="B17" s="7" t="inlineStr">
        <is>
          <t>Equity Shareholders</t>
        </is>
      </c>
      <c r="C17" s="8" t="n">
        <v>1083</v>
      </c>
      <c r="D17" s="7" t="inlineStr">
        <is>
          <t>Residual Equity</t>
        </is>
      </c>
      <c r="E17" s="7" t="inlineStr">
        <is>
          <t>Ordinary Shares</t>
        </is>
      </c>
      <c r="F17" s="30" t="inlineStr">
        <is>
          <t>0.0%</t>
        </is>
      </c>
      <c r="G17" s="30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Turkey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33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02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Pegasus Airlines (PGSUS) — Earnings Presentation &amp; Management Guidance</t>
        </is>
      </c>
    </row>
    <row r="3">
      <c r="B3" s="2" t="inlineStr">
        <is>
          <t>Source: Pegasus Airlines FY2024 &amp; Recent Quarterly Earnings Presentation &amp; Global Investor Deck | Reporting Currency: USD / Local Currency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$3456.0M (+8.0% YoY growth)</t>
        </is>
      </c>
      <c r="D7" s="36" t="inlineStr">
        <is>
          <t>$3408.0M (+6.5% YoY)</t>
        </is>
      </c>
      <c r="E7" s="37" t="inlineStr">
        <is>
          <t>On Track</t>
        </is>
      </c>
      <c r="F7" s="38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$1045.0M (30.2% margin)</t>
        </is>
      </c>
      <c r="D8" s="36" t="inlineStr">
        <is>
          <t>$1026.0M</t>
        </is>
      </c>
      <c r="E8" s="37" t="inlineStr">
        <is>
          <t>On Track</t>
        </is>
      </c>
      <c r="F8" s="38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3.25x Net Debt / EBITDA</t>
        </is>
      </c>
      <c r="D9" s="36" t="inlineStr">
        <is>
          <t>2.10x</t>
        </is>
      </c>
      <c r="E9" s="33" t="inlineStr">
        <is>
          <t>Ahead of Target</t>
        </is>
      </c>
      <c r="F9" s="38" t="inlineStr">
        <is>
          <t>Deleveraging on track with 1.65x buffer below covenant limit.</t>
        </is>
      </c>
    </row>
    <row r="10">
      <c r="B10" s="9" t="inlineStr">
        <is>
          <t>2025E Strategic Capex Envelope</t>
        </is>
      </c>
      <c r="C10" s="9" t="inlineStr">
        <is>
          <t>$349.1M (Maximum growth and sustaining envelope)</t>
        </is>
      </c>
      <c r="D10" s="36" t="inlineStr">
        <is>
          <t>$321.2M committed</t>
        </is>
      </c>
      <c r="E10" s="37" t="inlineStr">
        <is>
          <t>On Track</t>
        </is>
      </c>
      <c r="F10" s="38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6" t="inlineStr">
        <is>
          <t>35% payout policy maintained</t>
        </is>
      </c>
      <c r="E11" s="37" t="inlineStr">
        <is>
          <t>On Track</t>
        </is>
      </c>
      <c r="F11" s="38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Strategic Initiatives</t>
        </is>
      </c>
      <c r="C15" s="38" t="inlineStr">
        <is>
          <t>Fleet Expansion, Production Automation, Logistics Optimization &amp; Energy Efficiency</t>
        </is>
      </c>
    </row>
    <row r="16">
      <c r="B16" s="9" t="inlineStr">
        <is>
          <t>Multi Year Capex Envelope</t>
        </is>
      </c>
      <c r="C16" s="38" t="inlineStr">
        <is>
          <t>$831.2M capital expenditure program</t>
        </is>
      </c>
    </row>
    <row r="17">
      <c r="B17" s="9" t="inlineStr">
        <is>
          <t>Capacity Additions</t>
        </is>
      </c>
      <c r="C17" s="38" t="inlineStr">
        <is>
          <t>Expanding operational capacity by 15% to support export market penetration</t>
        </is>
      </c>
    </row>
    <row r="18"/>
    <row r="19">
      <c r="B19" s="3" t="inlineStr">
        <is>
          <t>III. GEOGRAPHIC &amp; CURRENCY EXPOSURE MATRIX</t>
        </is>
      </c>
    </row>
    <row r="20">
      <c r="B20" s="5" t="inlineStr">
        <is>
          <t>Exposure Category</t>
        </is>
      </c>
      <c r="C20" s="5" t="inlineStr">
        <is>
          <t>Contractual / Balance Sheet Profile</t>
        </is>
      </c>
    </row>
    <row r="21">
      <c r="B21" s="9" t="inlineStr">
        <is>
          <t>Hard Currency Revenue Share</t>
        </is>
      </c>
      <c r="C21" s="38" t="inlineStr">
        <is>
          <t>68.0% of revenue collected in USD, EUR or pegged currencies</t>
        </is>
      </c>
    </row>
    <row r="22">
      <c r="B22" s="9" t="inlineStr">
        <is>
          <t>Natural Cost Hedging</t>
        </is>
      </c>
      <c r="C22" s="38" t="inlineStr">
        <is>
          <t>Local manufacturing cost structure provides substantial operational cushion during FX devaluations</t>
        </is>
      </c>
    </row>
    <row r="23"/>
    <row r="24">
      <c r="B24" s="3" t="inlineStr">
        <is>
          <t>IV. CONTRACT BACKLOG &amp; COMMERCIAL MOAT</t>
        </is>
      </c>
    </row>
    <row r="25">
      <c r="B25" s="5" t="inlineStr">
        <is>
          <t>Dimension</t>
        </is>
      </c>
      <c r="C25" s="5" t="inlineStr">
        <is>
          <t>Commercial / Asset Metrics</t>
        </is>
      </c>
    </row>
    <row r="26">
      <c r="B26" s="9" t="inlineStr">
        <is>
          <t>Commercial Order Backlog</t>
        </is>
      </c>
      <c r="C26" s="38" t="inlineStr">
        <is>
          <t>$2080.0M in confirmed industrial delivery contracts</t>
        </is>
      </c>
    </row>
    <row r="27">
      <c r="B27" s="9" t="inlineStr">
        <is>
          <t>Market Share Leadership</t>
        </is>
      </c>
      <c r="C27" s="38" t="inlineStr">
        <is>
          <t>Top 2 market position in core operating markets in Turkey</t>
        </is>
      </c>
    </row>
    <row r="28"/>
    <row r="29">
      <c r="B29" s="3" t="inlineStr">
        <is>
          <t>V. LIQUIDITY WATERFALL &amp; HEADROOM</t>
        </is>
      </c>
    </row>
    <row r="30">
      <c r="B30" s="5" t="inlineStr">
        <is>
          <t>Liquidity Component</t>
        </is>
      </c>
      <c r="C30" s="5" t="inlineStr">
        <is>
          <t>Available Buffer / Runway</t>
        </is>
      </c>
    </row>
    <row r="31">
      <c r="B31" s="9" t="inlineStr">
        <is>
          <t>Cash And Equivalents</t>
        </is>
      </c>
      <c r="C31" s="38" t="inlineStr">
        <is>
          <t>$712.5M</t>
        </is>
      </c>
    </row>
    <row r="32">
      <c r="B32" s="9" t="inlineStr">
        <is>
          <t>Undrawn Committed Bank Rcfs</t>
        </is>
      </c>
      <c r="C32" s="38" t="inlineStr">
        <is>
          <t>$947.6M in multi-currency revolving credit facilities</t>
        </is>
      </c>
    </row>
    <row r="33">
      <c r="B33" s="9" t="inlineStr">
        <is>
          <t>Liquidity Runway</t>
        </is>
      </c>
      <c r="C33" s="38" t="inlineStr">
        <is>
          <t>Over 28 months of scheduled debt amortizations pre-funded</t>
        </is>
      </c>
    </row>
  </sheetData>
  <mergeCells count="21">
    <mergeCell ref="F9:I9"/>
    <mergeCell ref="C17:I17"/>
    <mergeCell ref="B3:I3"/>
    <mergeCell ref="C32:I32"/>
    <mergeCell ref="B2:I2"/>
    <mergeCell ref="F11:I11"/>
    <mergeCell ref="C30:I30"/>
    <mergeCell ref="C15:I15"/>
    <mergeCell ref="C33:I33"/>
    <mergeCell ref="F10:I10"/>
    <mergeCell ref="C14:I14"/>
    <mergeCell ref="F7:I7"/>
    <mergeCell ref="C26:I26"/>
    <mergeCell ref="C20:I20"/>
    <mergeCell ref="C16:I16"/>
    <mergeCell ref="C25:I25"/>
    <mergeCell ref="C31:I31"/>
    <mergeCell ref="C22:I22"/>
    <mergeCell ref="F8:I8"/>
    <mergeCell ref="C21:I21"/>
    <mergeCell ref="C27:I27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2026-09-19T22:01:25Z</dcterms:created>
  <dcterms:modified xmlns:dcterms="http://purl.org/dc/terms/" xmlns:xsi="http://www.w3.org/2001/XMLSchema-instance" xsi:type="dcterms:W3CDTF">2026-09-19T22:01:25Z</dcterms:modified>
</cp:coreProperties>
</file>