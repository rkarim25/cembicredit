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(+$9.3M)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(+$41.8M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(+$47.0M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(+$52.2M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(+$15.7M)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(+$16.8M)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(+$17.7M)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(+$9.3M)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(+$41.8M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(+$47.0M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(+$52.2M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(+$15.7M)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(+$16.8M)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(+$17.7M)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(PGSUS) — Institutional Credit Model</t>
        </is>
      </c>
    </row>
    <row r="3">
      <c r="B3" s="2" t="inlineStr">
        <is>
          <t>Sector: Aviation | Country: Turkey | Rating: B+ / BB- | Benchmark: PGSUS 9.25% 2026 @ $103.50 (7.65% YTM / +360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Ultra-low-cost carrier based at Sabiha Gökçen; highest EBITDAR margin among European low-cost carriers.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PGSUS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1218.375</v>
      </c>
      <c r="F26" s="7" t="inlineStr">
        <is>
          <t>7.65%</t>
        </is>
      </c>
      <c r="G26" s="7" t="inlineStr">
        <is>
          <t>$103.50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PGSUS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812.25</v>
      </c>
      <c r="F27" s="7" t="inlineStr">
        <is>
          <t>6.90%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676.875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Available Seat Kilometers (ASK) (Billion)</t>
        </is>
      </c>
      <c r="C6" s="13" t="n">
        <v>68.5</v>
      </c>
      <c r="D6" s="13" t="n">
        <v>82</v>
      </c>
      <c r="E6" s="13" t="n">
        <v>94.5</v>
      </c>
      <c r="F6" s="13" t="n">
        <v>106</v>
      </c>
      <c r="G6" s="13" t="n">
        <v>116</v>
      </c>
      <c r="H6" s="13" t="n">
        <v>126</v>
      </c>
      <c r="I6" s="13" t="n">
        <v>136</v>
      </c>
    </row>
    <row r="7">
      <c r="B7" s="7" t="inlineStr">
        <is>
          <t>Revenue Passenger Kilometers (RPK) (Billion)</t>
        </is>
      </c>
      <c r="C7" s="13" t="n">
        <v>54.8</v>
      </c>
      <c r="D7" s="13" t="n">
        <v>68.90000000000001</v>
      </c>
      <c r="E7" s="13" t="n">
        <v>81.3</v>
      </c>
      <c r="F7" s="13" t="n">
        <v>91.2</v>
      </c>
      <c r="G7" s="13" t="n">
        <v>100.9</v>
      </c>
      <c r="H7" s="13" t="n">
        <v>110.2</v>
      </c>
      <c r="I7" s="13" t="n">
        <v>119.7</v>
      </c>
    </row>
    <row r="8">
      <c r="B8" s="7" t="inlineStr">
        <is>
          <t>Passenger Load Factor (%)</t>
        </is>
      </c>
      <c r="C8" s="13" t="n">
        <v>80</v>
      </c>
      <c r="D8" s="13" t="n">
        <v>84</v>
      </c>
      <c r="E8" s="13" t="n">
        <v>86</v>
      </c>
      <c r="F8" s="13" t="n">
        <v>86</v>
      </c>
      <c r="G8" s="13" t="n">
        <v>87</v>
      </c>
      <c r="H8" s="13" t="n">
        <v>87.5</v>
      </c>
      <c r="I8" s="13" t="n">
        <v>88</v>
      </c>
    </row>
    <row r="9">
      <c r="B9" s="7" t="inlineStr">
        <is>
          <t>Passenger Yield per RPK (cents)</t>
        </is>
      </c>
      <c r="C9" s="13" t="n">
        <v>6.8</v>
      </c>
      <c r="D9" s="13" t="n">
        <v>8.4</v>
      </c>
      <c r="E9" s="13" t="n">
        <v>8.1</v>
      </c>
      <c r="F9" s="13" t="n">
        <v>7.9</v>
      </c>
      <c r="G9" s="13" t="n">
        <v>7.8</v>
      </c>
      <c r="H9" s="13" t="n">
        <v>7.7</v>
      </c>
      <c r="I9" s="13" t="n">
        <v>7.6</v>
      </c>
    </row>
    <row r="10">
      <c r="B10" s="7" t="inlineStr">
        <is>
          <t>Active Commercial Aircraft Fleet (Planes)</t>
        </is>
      </c>
      <c r="C10" s="14" t="n">
        <v>180</v>
      </c>
      <c r="D10" s="14" t="n">
        <v>195</v>
      </c>
      <c r="E10" s="14" t="n">
        <v>215</v>
      </c>
      <c r="F10" s="14" t="n">
        <v>235</v>
      </c>
      <c r="G10" s="14" t="n">
        <v>255</v>
      </c>
      <c r="H10" s="14" t="n">
        <v>275</v>
      </c>
      <c r="I10" s="14" t="n">
        <v>295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Scheduled Passenger Flights</t>
        </is>
      </c>
      <c r="C15" s="8" t="n">
        <v>1610.2</v>
      </c>
      <c r="D15" s="8" t="n">
        <v>1941.8</v>
      </c>
      <c r="E15" s="8" t="n">
        <v>2178.6</v>
      </c>
      <c r="F15" s="8" t="n">
        <v>2368</v>
      </c>
      <c r="G15" s="8" t="n">
        <v>2557.4</v>
      </c>
      <c r="H15" s="8" t="n">
        <v>2723.2</v>
      </c>
      <c r="I15" s="8" t="n">
        <v>2841.6</v>
      </c>
    </row>
    <row r="16">
      <c r="B16" s="7" t="inlineStr">
        <is>
          <t>Cargo &amp; Freight Air Logistics</t>
        </is>
      </c>
      <c r="C16" s="8" t="n">
        <v>348.2</v>
      </c>
      <c r="D16" s="8" t="n">
        <v>419.8</v>
      </c>
      <c r="E16" s="8" t="n">
        <v>471</v>
      </c>
      <c r="F16" s="8" t="n">
        <v>512</v>
      </c>
      <c r="G16" s="8" t="n">
        <v>553</v>
      </c>
      <c r="H16" s="8" t="n">
        <v>588.8</v>
      </c>
      <c r="I16" s="8" t="n">
        <v>614.4</v>
      </c>
    </row>
    <row r="17">
      <c r="B17" s="7" t="inlineStr">
        <is>
          <t>Ancillary &amp; Technical Maintenance</t>
        </is>
      </c>
      <c r="C17" s="8" t="n">
        <v>217.6</v>
      </c>
      <c r="D17" s="8" t="n">
        <v>262.4</v>
      </c>
      <c r="E17" s="8" t="n">
        <v>294.4</v>
      </c>
      <c r="F17" s="8" t="n">
        <v>320</v>
      </c>
      <c r="G17" s="8" t="n">
        <v>345.6</v>
      </c>
      <c r="H17" s="8" t="n">
        <v>368</v>
      </c>
      <c r="I17" s="8" t="n">
        <v>384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Scheduled Passenger Flights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Cargo &amp; Freight Air Logistics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Ancillary &amp; Technical Maintenance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9.300000000000001</v>
      </c>
      <c r="D35" s="24" t="n">
        <v>41.8</v>
      </c>
      <c r="E35" s="24" t="n">
        <v>47</v>
      </c>
      <c r="F35" s="24" t="n">
        <v>52.2</v>
      </c>
      <c r="G35" s="24" t="n">
        <v>15.7</v>
      </c>
      <c r="H35" s="24" t="n">
        <v>16.8</v>
      </c>
      <c r="I35" s="24" t="n">
        <v>17.7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(+$9.3M)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(+$41.8M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(+$47.0M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(+$52.2M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(+$15.7M)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(+$16.8M)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(+$17.7M)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3264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761.6</v>
      </c>
      <c r="D36" s="8" t="n">
        <v>761.6</v>
      </c>
      <c r="E36" s="8" t="n">
        <v>761.6</v>
      </c>
      <c r="F36" s="8" t="n">
        <v>761.6</v>
      </c>
      <c r="G36" s="8" t="n">
        <v>761.6</v>
      </c>
      <c r="H36" s="8" t="n">
        <v>761.6</v>
      </c>
      <c r="I36" s="8" t="n">
        <v>761.6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-246.4</v>
      </c>
      <c r="D16" s="8" t="n">
        <v>-430.9</v>
      </c>
      <c r="E16" s="8" t="n">
        <v>-484.8</v>
      </c>
      <c r="F16" s="8" t="n">
        <v>-458.8</v>
      </c>
      <c r="G16" s="8" t="n">
        <v>-417</v>
      </c>
      <c r="H16" s="8" t="n">
        <v>-447.3</v>
      </c>
      <c r="I16" s="8" t="n">
        <v>-470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391.9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116.6</v>
      </c>
      <c r="D32" s="8" t="n">
        <v>233.6</v>
      </c>
      <c r="E32" s="8" t="n">
        <v>264.2</v>
      </c>
      <c r="F32" s="8" t="n">
        <v>176.2</v>
      </c>
      <c r="G32" s="8" t="n">
        <v>186.5</v>
      </c>
      <c r="H32" s="8" t="n">
        <v>195.2</v>
      </c>
      <c r="I32" s="8" t="n">
        <v>201.2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PGSUS Benchmark Eurobond Notes</t>
        </is>
      </c>
    </row>
    <row r="7">
      <c r="B7" s="7" t="inlineStr">
        <is>
          <t xml:space="preserve">  Beginning Principal Balance</t>
        </is>
      </c>
      <c r="C7" s="8" t="n">
        <v>1035.6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345.2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230.1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0.0765</f>
        <v/>
      </c>
      <c r="D11" s="8">
        <f>D10 * 0.0765</f>
        <v/>
      </c>
      <c r="E11" s="8">
        <f>E10 * 0.0765</f>
        <v/>
      </c>
      <c r="F11" s="8">
        <f>F10 * 0.0765</f>
        <v/>
      </c>
      <c r="G11" s="8">
        <f>G10 * 0.0765</f>
        <v/>
      </c>
      <c r="H11" s="8">
        <f>H10 * 0.0765</f>
        <v/>
      </c>
      <c r="I11" s="8">
        <f>I10 * 0.0765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1265.8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324.9</v>
      </c>
      <c r="C32" s="8" t="n">
        <v>595.6</v>
      </c>
      <c r="D32" s="8" t="n">
        <v>758.1</v>
      </c>
      <c r="E32" s="8" t="n">
        <v>487.3</v>
      </c>
      <c r="F32" s="8" t="n">
        <v>324.9</v>
      </c>
      <c r="G32" s="8" t="n">
        <v>216.6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PGSUS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1218.4</v>
      </c>
      <c r="F37" s="30" t="inlineStr">
        <is>
          <t>7.650%</t>
        </is>
      </c>
      <c r="G37" s="31" t="n">
        <v>103.5</v>
      </c>
      <c r="H37" s="32" t="n">
        <v>7.65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PGSUS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812.2</v>
      </c>
      <c r="F38" s="30" t="inlineStr">
        <is>
          <t>7.000%</t>
        </is>
      </c>
      <c r="G38" s="31" t="n">
        <v>101.5</v>
      </c>
      <c r="H38" s="32" t="n">
        <v>7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406.1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270.8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PGSUS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758.1</v>
      </c>
    </row>
    <row r="45">
      <c r="B45" s="7" t="inlineStr">
        <is>
          <t>Drawn Amount ($M)</t>
        </is>
      </c>
      <c r="C45" s="8" t="n">
        <v>270.8</v>
      </c>
    </row>
    <row r="46">
      <c r="B46" s="19" t="inlineStr">
        <is>
          <t>AVAILABLE UNDRAWN HEADROOM ($M)</t>
        </is>
      </c>
      <c r="C46" s="20" t="n">
        <v>487.3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2.10x</t>
        </is>
      </c>
      <c r="E55" s="33" t="inlineStr">
        <is>
          <t>1.65x leverage buffer ($1567.5M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4.20x</t>
        </is>
      </c>
      <c r="E56" s="33" t="inlineStr">
        <is>
          <t>+1.70x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7.1% of Assets</t>
        </is>
      </c>
      <c r="E57" s="33" t="inlineStr">
        <is>
          <t>$704.0M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7.65%</t>
        </is>
      </c>
      <c r="F6" s="35" t="inlineStr">
        <is>
          <t>4.2x</t>
        </is>
      </c>
      <c r="G6" s="35" t="inlineStr">
        <is>
          <t>$102.00</t>
        </is>
      </c>
      <c r="H6" s="35" t="inlineStr">
        <is>
          <t>-1.4%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9.65%</t>
        </is>
      </c>
      <c r="F7" s="30" t="inlineStr">
        <is>
          <t>3.2x</t>
        </is>
      </c>
      <c r="G7" s="30" t="inlineStr">
        <is>
          <t>$83.50</t>
        </is>
      </c>
      <c r="H7" s="30" t="inlineStr">
        <is>
          <t>-19.3%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$65.00</t>
        </is>
      </c>
      <c r="H8" s="30" t="inlineStr">
        <is>
          <t>-37.2%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6.15%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+1.4%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676.9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PGSUS Senior Unsecured Eurobonds</t>
        </is>
      </c>
      <c r="C15" s="8" t="n">
        <v>2030.6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65.0%</t>
        </is>
      </c>
      <c r="G15" s="30" t="inlineStr">
        <is>
          <t>102.0%</t>
        </is>
      </c>
    </row>
    <row r="16">
      <c r="B16" s="7" t="inlineStr">
        <is>
          <t>Subordinated Debt &amp; Intercompany Notes</t>
        </is>
      </c>
      <c r="C16" s="8" t="n">
        <v>406.1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1083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Pegasus Airlines (PGSUS) — Earnings Presentation &amp; Management Guidance</t>
        </is>
      </c>
    </row>
    <row r="3">
      <c r="B3" s="2" t="inlineStr">
        <is>
          <t>Source: Pegasus Airlines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$3456.0M (+8.0% YoY growth)</t>
        </is>
      </c>
      <c r="D7" s="36" t="inlineStr">
        <is>
          <t>$3408.0M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$3456.0M (+8.0% YoY growth). With current run-rate at $3408.0M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$1045.0M (30.2% margin)</t>
        </is>
      </c>
      <c r="D8" s="36" t="inlineStr">
        <is>
          <t>$1026.0M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$1045.0M (30.2%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2.10x</t>
        </is>
      </c>
      <c r="E9" s="33" t="inlineStr">
        <is>
          <t>Ahead of Target</t>
        </is>
      </c>
      <c r="F9" s="38" t="inlineStr">
        <is>
          <t>Deleveraging on track with 1.65x buffer below covenant limit.
[QUESTION TO CFO TO VERIFY]: You previously committed to a Net Leverage ceiling of &lt; 3.25x Net Debt / EBITDA. Current actual leverage stands at 2.10x.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$349.1M (Maximum growth and sustaining envelope)</t>
        </is>
      </c>
      <c r="D10" s="36" t="inlineStr">
        <is>
          <t>$321.2M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$349.1M (Maximum growth and sustaining envelope). Current commitments stand at $321.2M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$831.2M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$2080.0M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Turkey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$712.5M</t>
        </is>
      </c>
    </row>
    <row r="32">
      <c r="B32" s="9" t="inlineStr">
        <is>
          <t>Undrawn Committed Bank Rcfs</t>
        </is>
      </c>
      <c r="C32" s="38" t="inlineStr">
        <is>
          <t>$947.6M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2026-11-09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18:00 Istanbul</t>
        </is>
      </c>
    </row>
    <row r="47">
      <c r="B47" s="9" t="inlineStr">
        <is>
          <t>Official IR Portal / Webcast URL</t>
        </is>
      </c>
      <c r="C47" s="38" t="inlineStr">
        <is>
          <t>https://www.pegasusinvestorrelations.com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2026-10-30T05:17:05Z</dcterms:created>
  <dcterms:modified xmlns:dcterms="http://purl.org/dc/terms/" xmlns:xsi="http://www.w3.org/2001/XMLSchema-instance" xsi:type="dcterms:W3CDTF">2026-10-30T05:17:05Z</dcterms:modified>
</cp:coreProperties>
</file>