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(+$12.2M) of Calculated EBITDA with zero aggressive management add-backs.</t>
      </text>
    </comment>
    <comment ref="D36" authorId="0" shapeId="0">
      <text>
        <t>CEMBI Credit Desk EBITDA Audit (2022A):
Fully Reconciled: Standard IFRS definition (Operating Profit + D&amp;A) aligns within 1.5% (+$15.0M) of Calculated EBITDA with zero aggressive management add-backs.</t>
      </text>
    </comment>
    <comment ref="E36" authorId="0" shapeId="0">
      <text>
        <t>CEMBI Credit Desk EBITDA Audit (2023A):
Fully Reconciled: Standard IFRS definition (Operating Profit + D&amp;A) aligns within 1.5% (+$16.9M) of Calculated EBITDA with zero aggressive management add-backs.</t>
      </text>
    </comment>
    <comment ref="F36" authorId="0" shapeId="0">
      <text>
        <t>CEMBI Credit Desk EBITDA Audit (2024A):
Fully Reconciled: Standard IFRS definition (Operating Profit + D&amp;A) aligns within 1.5% (+$18.7M) of Calculated EBITDA with zero aggressive management add-backs.</t>
      </text>
    </comment>
    <comment ref="G36" authorId="0" shapeId="0">
      <text>
        <t>CEMBI Credit Desk EBITDA Audit (2025E):
Fully Reconciled: Standard IFRS definition (Operating Profit + D&amp;A) aligns within 1.5% (+$20.6M)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(+$22.1M)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(+$23.2M)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(+$12.2M) of Calculated EBITDA with zero aggressive management add-backs.</t>
      </text>
    </comment>
    <comment ref="D9" authorId="0" shapeId="0">
      <text>
        <t>CEMBI Credit Desk Reported Leverage Commentary (2022A):
Fully Reconciled: Standard IFRS definition (Operating Profit + D&amp;A) aligns within 1.5% (+$15.0M) of Calculated EBITDA with zero aggressive management add-backs.</t>
      </text>
    </comment>
    <comment ref="E9" authorId="0" shapeId="0">
      <text>
        <t>CEMBI Credit Desk Reported Leverage Commentary (2023A):
Fully Reconciled: Standard IFRS definition (Operating Profit + D&amp;A) aligns within 1.5% (+$16.9M) of Calculated EBITDA with zero aggressive management add-backs.</t>
      </text>
    </comment>
    <comment ref="F9" authorId="0" shapeId="0">
      <text>
        <t>CEMBI Credit Desk Reported Leverage Commentary (2024A):
Fully Reconciled: Standard IFRS definition (Operating Profit + D&amp;A) aligns within 1.5% (+$18.7M) of Calculated EBITDA with zero aggressive management add-backs.</t>
      </text>
    </comment>
    <comment ref="G9" authorId="0" shapeId="0">
      <text>
        <t>CEMBI Credit Desk Reported Leverage Commentary (2025E):
Fully Reconciled: Standard IFRS definition (Operating Profit + D&amp;A) aligns within 1.5% (+$20.6M)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(+$22.1M)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(+$23.2M)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Institutional Credit Model</t>
        </is>
      </c>
    </row>
    <row r="3">
      <c r="B3" s="2" t="inlineStr">
        <is>
          <t>Sector: Energy | Country: Bahrain | Rating: B+ / B+ | Benchmark: BAPCO 7.50% 2027 @ $101.80 (6.85% YTM / +280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Bahrain sovereign energy vehicle; BMP refinery modernization program near completion, sovereign support.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BAPCO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2334.375</v>
      </c>
      <c r="F26" s="7" t="inlineStr">
        <is>
          <t>6.85%</t>
        </is>
      </c>
      <c r="G26" s="7" t="inlineStr">
        <is>
          <t>$101.80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BAPCO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1556.25</v>
      </c>
      <c r="F27" s="7" t="inlineStr">
        <is>
          <t>6.10%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1296.875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9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Net Hydrocarbon Production (kboed)</t>
        </is>
      </c>
      <c r="C6" s="13" t="n">
        <v>85</v>
      </c>
      <c r="D6" s="13" t="n">
        <v>92.5</v>
      </c>
      <c r="E6" s="13" t="n">
        <v>98</v>
      </c>
      <c r="F6" s="13" t="n">
        <v>105</v>
      </c>
      <c r="G6" s="13" t="n">
        <v>112</v>
      </c>
      <c r="H6" s="13" t="n">
        <v>118</v>
      </c>
      <c r="I6" s="13" t="n">
        <v>125</v>
      </c>
    </row>
    <row r="7">
      <c r="B7" s="7" t="inlineStr">
        <is>
          <t>Crude Oil &amp; Liquids Share (%)</t>
        </is>
      </c>
      <c r="C7" s="13" t="n">
        <v>62</v>
      </c>
      <c r="D7" s="13" t="n">
        <v>61.5</v>
      </c>
      <c r="E7" s="13" t="n">
        <v>60</v>
      </c>
      <c r="F7" s="13" t="n">
        <v>59</v>
      </c>
      <c r="G7" s="13" t="n">
        <v>58.5</v>
      </c>
      <c r="H7" s="13" t="n">
        <v>58</v>
      </c>
      <c r="I7" s="13" t="n">
        <v>57.5</v>
      </c>
    </row>
    <row r="8">
      <c r="B8" s="7" t="inlineStr">
        <is>
          <t>Realized Blend Price ($/boe)</t>
        </is>
      </c>
      <c r="C8" s="13" t="n">
        <v>68.40000000000001</v>
      </c>
      <c r="D8" s="13" t="n">
        <v>94.2</v>
      </c>
      <c r="E8" s="13" t="n">
        <v>78.5</v>
      </c>
      <c r="F8" s="13" t="n">
        <v>76</v>
      </c>
      <c r="G8" s="13" t="n">
        <v>72.5</v>
      </c>
      <c r="H8" s="13" t="n">
        <v>70</v>
      </c>
      <c r="I8" s="13" t="n">
        <v>68</v>
      </c>
    </row>
    <row r="9">
      <c r="B9" s="7" t="inlineStr">
        <is>
          <t>Refining Crude Throughput (kbpd)</t>
        </is>
      </c>
      <c r="C9" s="13" t="n">
        <v>120</v>
      </c>
      <c r="D9" s="13" t="n">
        <v>128</v>
      </c>
      <c r="E9" s="13" t="n">
        <v>135</v>
      </c>
      <c r="F9" s="13" t="n">
        <v>142</v>
      </c>
      <c r="G9" s="13" t="n">
        <v>148</v>
      </c>
      <c r="H9" s="13" t="n">
        <v>154</v>
      </c>
      <c r="I9" s="13" t="n">
        <v>160</v>
      </c>
    </row>
    <row r="10">
      <c r="B10" s="7" t="inlineStr">
        <is>
          <t>Composite Refining Crack Spread ($/bbl)</t>
        </is>
      </c>
      <c r="C10" s="13" t="n">
        <v>8.5</v>
      </c>
      <c r="D10" s="13" t="n">
        <v>18.2</v>
      </c>
      <c r="E10" s="13" t="n">
        <v>12.4</v>
      </c>
      <c r="F10" s="13" t="n">
        <v>10.8</v>
      </c>
      <c r="G10" s="13" t="n">
        <v>9.5</v>
      </c>
      <c r="H10" s="13" t="n">
        <v>9</v>
      </c>
      <c r="I10" s="13" t="n">
        <v>8.800000000000001</v>
      </c>
    </row>
    <row r="11">
      <c r="B11" s="7" t="inlineStr">
        <is>
          <t>Cash Operating Lifting Cost ($/boe)</t>
        </is>
      </c>
      <c r="C11" s="13" t="n">
        <v>6.8</v>
      </c>
      <c r="D11" s="13" t="n">
        <v>7.4</v>
      </c>
      <c r="E11" s="13" t="n">
        <v>7.9</v>
      </c>
      <c r="F11" s="13" t="n">
        <v>8.199999999999999</v>
      </c>
      <c r="G11" s="13" t="n">
        <v>8.4</v>
      </c>
      <c r="H11" s="13" t="n">
        <v>8.6</v>
      </c>
      <c r="I11" s="13" t="n">
        <v>8.800000000000001</v>
      </c>
    </row>
    <row r="12"/>
    <row r="13"/>
    <row r="14">
      <c r="B14" s="3" t="inlineStr">
        <is>
          <t>II. BUSINESS SEGMENT REVENUE BREAKDOWN (USD M)</t>
        </is>
      </c>
    </row>
    <row r="15">
      <c r="B15" s="5" t="inlineStr">
        <is>
          <t>Business Segment</t>
        </is>
      </c>
      <c r="C15" s="6" t="inlineStr">
        <is>
          <t>2021A</t>
        </is>
      </c>
      <c r="D15" s="6" t="inlineStr">
        <is>
          <t>2022A</t>
        </is>
      </c>
      <c r="E15" s="6" t="inlineStr">
        <is>
          <t>2023A</t>
        </is>
      </c>
      <c r="F15" s="6" t="inlineStr">
        <is>
          <t>2024A</t>
        </is>
      </c>
      <c r="G15" s="6" t="inlineStr">
        <is>
          <t>2025E</t>
        </is>
      </c>
      <c r="H15" s="6" t="inlineStr">
        <is>
          <t>2026E</t>
        </is>
      </c>
      <c r="I15" s="6" t="inlineStr">
        <is>
          <t>2027E</t>
        </is>
      </c>
    </row>
    <row r="16">
      <c r="B16" s="7" t="inlineStr">
        <is>
          <t>Upstream Exploration &amp; Production</t>
        </is>
      </c>
      <c r="C16" s="8" t="n">
        <v>3005.6</v>
      </c>
      <c r="D16" s="8" t="n">
        <v>3624.4</v>
      </c>
      <c r="E16" s="8" t="n">
        <v>4066.4</v>
      </c>
      <c r="F16" s="8" t="n">
        <v>4420</v>
      </c>
      <c r="G16" s="8" t="n">
        <v>4773.6</v>
      </c>
      <c r="H16" s="8" t="n">
        <v>5083</v>
      </c>
      <c r="I16" s="8" t="n">
        <v>5304</v>
      </c>
    </row>
    <row r="17">
      <c r="B17" s="7" t="inlineStr">
        <is>
          <t>Downstream Refining &amp; Fuel Marketing</t>
        </is>
      </c>
      <c r="C17" s="8" t="n">
        <v>1907.4</v>
      </c>
      <c r="D17" s="8" t="n">
        <v>2300.1</v>
      </c>
      <c r="E17" s="8" t="n">
        <v>2580.6</v>
      </c>
      <c r="F17" s="8" t="n">
        <v>2805</v>
      </c>
      <c r="G17" s="8" t="n">
        <v>3029.4</v>
      </c>
      <c r="H17" s="8" t="n">
        <v>3225.8</v>
      </c>
      <c r="I17" s="8" t="n">
        <v>3366</v>
      </c>
    </row>
    <row r="18">
      <c r="B18" s="7" t="inlineStr">
        <is>
          <t>Petrochemicals &amp; Gas Processing</t>
        </is>
      </c>
      <c r="C18" s="8" t="n">
        <v>867</v>
      </c>
      <c r="D18" s="8" t="n">
        <v>1045.5</v>
      </c>
      <c r="E18" s="8" t="n">
        <v>1173</v>
      </c>
      <c r="F18" s="8" t="n">
        <v>1275</v>
      </c>
      <c r="G18" s="8" t="n">
        <v>1377</v>
      </c>
      <c r="H18" s="8" t="n">
        <v>1466.2</v>
      </c>
      <c r="I18" s="8" t="n">
        <v>1530</v>
      </c>
    </row>
    <row r="19">
      <c r="B19" s="14" t="inlineStr">
        <is>
          <t>Total Consolidated Revenue (Feeds P&amp;L)</t>
        </is>
      </c>
      <c r="C19" s="15">
        <f>SUM(C16:C18)</f>
        <v/>
      </c>
      <c r="D19" s="15">
        <f>SUM(D16:D18)</f>
        <v/>
      </c>
      <c r="E19" s="15">
        <f>SUM(E16:E18)</f>
        <v/>
      </c>
      <c r="F19" s="15">
        <f>SUM(F16:F18)</f>
        <v/>
      </c>
      <c r="G19" s="15">
        <f>SUM(G16:G18)</f>
        <v/>
      </c>
      <c r="H19" s="15">
        <f>SUM(H16:H18)</f>
        <v/>
      </c>
      <c r="I19" s="15">
        <f>SUM(I16:I18)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16" customWidth="1" min="4" max="4"/>
    <col width="16" customWidth="1" min="5" max="5"/>
    <col width="16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Upstream Exploration &amp; Production</t>
        </is>
      </c>
      <c r="C7" s="8">
        <f>'Operational Drivers &amp; Segments'!C16</f>
        <v/>
      </c>
      <c r="D7" s="8">
        <f>'Operational Drivers &amp; Segments'!D16</f>
        <v/>
      </c>
      <c r="E7" s="8">
        <f>'Operational Drivers &amp; Segments'!E16</f>
        <v/>
      </c>
      <c r="F7" s="8">
        <f>'Operational Drivers &amp; Segments'!F16</f>
        <v/>
      </c>
      <c r="G7" s="8">
        <f>'Operational Drivers &amp; Segments'!G16</f>
        <v/>
      </c>
      <c r="H7" s="8">
        <f>'Operational Drivers &amp; Segments'!H16</f>
        <v/>
      </c>
      <c r="I7" s="8">
        <f>'Operational Drivers &amp; Segments'!I16</f>
        <v/>
      </c>
    </row>
    <row r="8">
      <c r="B8" s="7" t="inlineStr">
        <is>
          <t xml:space="preserve">  Downstream Refining &amp; Fuel Marketing</t>
        </is>
      </c>
      <c r="C8" s="8">
        <f>'Operational Drivers &amp; Segments'!C17</f>
        <v/>
      </c>
      <c r="D8" s="8">
        <f>'Operational Drivers &amp; Segments'!D17</f>
        <v/>
      </c>
      <c r="E8" s="8">
        <f>'Operational Drivers &amp; Segments'!E17</f>
        <v/>
      </c>
      <c r="F8" s="8">
        <f>'Operational Drivers &amp; Segments'!F17</f>
        <v/>
      </c>
      <c r="G8" s="8">
        <f>'Operational Drivers &amp; Segments'!G17</f>
        <v/>
      </c>
      <c r="H8" s="8">
        <f>'Operational Drivers &amp; Segments'!H17</f>
        <v/>
      </c>
      <c r="I8" s="8">
        <f>'Operational Drivers &amp; Segments'!I17</f>
        <v/>
      </c>
    </row>
    <row r="9">
      <c r="B9" s="7" t="inlineStr">
        <is>
          <t xml:space="preserve">  Petrochemicals &amp; Gas Processing</t>
        </is>
      </c>
      <c r="C9" s="8">
        <f>'Operational Drivers &amp; Segments'!C18</f>
        <v/>
      </c>
      <c r="D9" s="8">
        <f>'Operational Drivers &amp; Segments'!D18</f>
        <v/>
      </c>
      <c r="E9" s="8">
        <f>'Operational Drivers &amp; Segments'!E18</f>
        <v/>
      </c>
      <c r="F9" s="8">
        <f>'Operational Drivers &amp; Segments'!F18</f>
        <v/>
      </c>
      <c r="G9" s="8">
        <f>'Operational Drivers &amp; Segments'!G18</f>
        <v/>
      </c>
      <c r="H9" s="8">
        <f>'Operational Drivers &amp; Segments'!H18</f>
        <v/>
      </c>
      <c r="I9" s="8">
        <f>'Operational Drivers &amp; Segments'!I18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12.2</v>
      </c>
      <c r="D35" s="23" t="n">
        <v>15</v>
      </c>
      <c r="E35" s="23" t="n">
        <v>16.9</v>
      </c>
      <c r="F35" s="23" t="n">
        <v>18.7</v>
      </c>
      <c r="G35" s="23" t="n">
        <v>20.6</v>
      </c>
      <c r="H35" s="23" t="n">
        <v>22.1</v>
      </c>
      <c r="I35" s="23" t="n">
        <v>23.2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Reconciled</t>
        </is>
      </c>
      <c r="D39" s="24" t="inlineStr">
        <is>
          <t>Reconciled</t>
        </is>
      </c>
      <c r="E39" s="24" t="inlineStr">
        <is>
          <t>Reconciled</t>
        </is>
      </c>
      <c r="F39" s="24" t="inlineStr">
        <is>
          <t>Reconciled</t>
        </is>
      </c>
      <c r="G39" s="24" t="inlineStr">
        <is>
          <t>Reconciled</t>
        </is>
      </c>
      <c r="H39" s="24" t="inlineStr">
        <is>
          <t>Reconciled</t>
        </is>
      </c>
      <c r="I39" s="24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Fully Reconciled: Standard IFRS definition (Operating Profit + D&amp;A) aligns within 1.5% (+$12.2M) of Calculated EBITDA with zero aggressive management add-backs.</t>
        </is>
      </c>
    </row>
    <row r="43">
      <c r="B43" s="25" t="inlineStr">
        <is>
          <t>[2022A] Fully Reconciled: Standard IFRS definition (Operating Profit + D&amp;A) aligns within 1.5% (+$15.0M) of Calculated EBITDA with zero aggressive management add-backs.</t>
        </is>
      </c>
    </row>
    <row r="44">
      <c r="B44" s="25" t="inlineStr">
        <is>
          <t>[2023A] Fully Reconciled: Standard IFRS definition (Operating Profit + D&amp;A) aligns within 1.5% (+$16.9M) of Calculated EBITDA with zero aggressive management add-backs.</t>
        </is>
      </c>
    </row>
    <row r="45">
      <c r="B45" s="25" t="inlineStr">
        <is>
          <t>[2024A] Fully Reconciled: Standard IFRS definition (Operating Profit + D&amp;A) aligns within 1.5% (+$18.7M) of Calculated EBITDA with zero aggressive management add-backs.</t>
        </is>
      </c>
    </row>
    <row r="46">
      <c r="B46" s="25" t="inlineStr">
        <is>
          <t>[2025E] Fully Reconciled: Standard IFRS definition (Operating Profit + D&amp;A) aligns within 1.5% (+$20.6M) of Calculated EBITDA with zero aggressive management add-backs.</t>
        </is>
      </c>
    </row>
    <row r="47">
      <c r="B47" s="25" t="inlineStr">
        <is>
          <t>[2026E] Fully Reconciled: Standard IFRS definition (Operating Profit + D&amp;A) aligns within 1.5% (+$22.1M) of Calculated EBITDA with zero aggressive management add-backs.</t>
        </is>
      </c>
    </row>
    <row r="48">
      <c r="B48" s="25" t="inlineStr">
        <is>
          <t>[2027E] Fully Reconciled: Standard IFRS definition (Operating Profit + D&amp;A) aligns within 1.5% (+$23.2M)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8670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2023</v>
      </c>
      <c r="D36" s="8" t="n">
        <v>2023</v>
      </c>
      <c r="E36" s="8" t="n">
        <v>2023</v>
      </c>
      <c r="F36" s="8" t="n">
        <v>2023</v>
      </c>
      <c r="G36" s="8" t="n">
        <v>2023</v>
      </c>
      <c r="H36" s="8" t="n">
        <v>2023</v>
      </c>
      <c r="I36" s="8" t="n">
        <v>2023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-347.3</v>
      </c>
      <c r="D16" s="8" t="n">
        <v>-607.5</v>
      </c>
      <c r="E16" s="8" t="n">
        <v>-683.4</v>
      </c>
      <c r="F16" s="8" t="n">
        <v>-646.9</v>
      </c>
      <c r="G16" s="8" t="n">
        <v>-587.8</v>
      </c>
      <c r="H16" s="8" t="n">
        <v>-630.6</v>
      </c>
      <c r="I16" s="8" t="n">
        <v>-662.6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515.6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233.5</v>
      </c>
      <c r="D32" s="8" t="n">
        <v>478.5</v>
      </c>
      <c r="E32" s="8" t="n">
        <v>540.5</v>
      </c>
      <c r="F32" s="8" t="n">
        <v>351.2</v>
      </c>
      <c r="G32" s="8" t="n">
        <v>372.5</v>
      </c>
      <c r="H32" s="8" t="n">
        <v>390.5</v>
      </c>
      <c r="I32" s="8" t="n">
        <v>402.9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Operating cash flow comfortably covers operational working capital needs and debt service.</t>
        </is>
      </c>
    </row>
    <row r="39">
      <c r="B39" s="25" t="inlineStr">
        <is>
          <t>[2022A] Working capital absorption due to higher inventory values temporarily dampens FCF.</t>
        </is>
      </c>
    </row>
    <row r="40">
      <c r="B40" s="25" t="inlineStr">
        <is>
          <t>[2023A] Positive FCF generation resumes as working capital investments reverse into cash.</t>
        </is>
      </c>
    </row>
    <row r="41">
      <c r="B41" s="25" t="inlineStr">
        <is>
          <t>[2024A] Robust operating cash flow supports debt amortization and unencumbered cash build.</t>
        </is>
      </c>
    </row>
    <row r="42">
      <c r="B42" s="25" t="inlineStr">
        <is>
          <t>[2025E] Solid free cash flow generation enables continued deleveraging and dividend flexibility.</t>
        </is>
      </c>
    </row>
    <row r="43">
      <c r="B43" s="25" t="inlineStr">
        <is>
          <t>[2026E] Expanding FCF conversion provides flexible options for bond refinancing or early tender.</t>
        </is>
      </c>
    </row>
    <row r="44">
      <c r="B44" s="25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BAPCO Benchmark Eurobond Notes</t>
        </is>
      </c>
    </row>
    <row r="7">
      <c r="B7" s="7" t="inlineStr">
        <is>
          <t xml:space="preserve">  Beginning Principal Balance</t>
        </is>
      </c>
      <c r="C7" s="8" t="n">
        <v>1984.2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661.4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440.9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0.0685</f>
        <v/>
      </c>
      <c r="D11" s="8">
        <f>D10 * 0.0685</f>
        <v/>
      </c>
      <c r="E11" s="8">
        <f>E10 * 0.0685</f>
        <v/>
      </c>
      <c r="F11" s="8">
        <f>F10 * 0.0685</f>
        <v/>
      </c>
      <c r="G11" s="8">
        <f>G10 * 0.0685</f>
        <v/>
      </c>
      <c r="H11" s="8">
        <f>H10 * 0.0685</f>
        <v/>
      </c>
      <c r="I11" s="8">
        <f>I10 * 0.0685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2425.2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622.5</v>
      </c>
      <c r="C32" s="8" t="n">
        <v>1141.2</v>
      </c>
      <c r="D32" s="8" t="n">
        <v>1452.5</v>
      </c>
      <c r="E32" s="8" t="n">
        <v>933.8</v>
      </c>
      <c r="F32" s="8" t="n">
        <v>622.5</v>
      </c>
      <c r="G32" s="8" t="n">
        <v>415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BAPCO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2334.4</v>
      </c>
      <c r="F37" s="29" t="inlineStr">
        <is>
          <t>6.850%</t>
        </is>
      </c>
      <c r="G37" s="30" t="n">
        <v>101.8</v>
      </c>
      <c r="H37" s="31" t="n">
        <v>6.85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BAPCO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1556.2</v>
      </c>
      <c r="F38" s="29" t="inlineStr">
        <is>
          <t>6.200%</t>
        </is>
      </c>
      <c r="G38" s="30" t="n">
        <v>101.5</v>
      </c>
      <c r="H38" s="31" t="n">
        <v>6.199999999999999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778.1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518.8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BAPCO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1452.5</v>
      </c>
    </row>
    <row r="45">
      <c r="B45" s="7" t="inlineStr">
        <is>
          <t>Drawn Amount ($M)</t>
        </is>
      </c>
      <c r="C45" s="8" t="n">
        <v>518.8</v>
      </c>
    </row>
    <row r="46">
      <c r="B46" s="18" t="inlineStr">
        <is>
          <t>AVAILABLE UNDRAWN HEADROOM ($M)</t>
        </is>
      </c>
      <c r="C46" s="19" t="n">
        <v>933.7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3.75x</t>
        </is>
      </c>
      <c r="D55" s="24" t="inlineStr">
        <is>
          <t>3.40x</t>
        </is>
      </c>
      <c r="E55" s="32" t="inlineStr">
        <is>
          <t>0.35x leverage buffer ($437.5M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3.10x</t>
        </is>
      </c>
      <c r="E56" s="32" t="inlineStr">
        <is>
          <t>+0.60x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5.1% of Assets</t>
        </is>
      </c>
      <c r="E57" s="32" t="inlineStr">
        <is>
          <t>$1870.0M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6.85%</t>
        </is>
      </c>
      <c r="F6" s="34" t="inlineStr">
        <is>
          <t>4.2x</t>
        </is>
      </c>
      <c r="G6" s="34" t="inlineStr">
        <is>
          <t>$101.80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8.85%</t>
        </is>
      </c>
      <c r="F7" s="29" t="inlineStr">
        <is>
          <t>3.2x</t>
        </is>
      </c>
      <c r="G7" s="29" t="inlineStr">
        <is>
          <t>$84.90</t>
        </is>
      </c>
      <c r="H7" s="29" t="inlineStr">
        <is>
          <t>-16.6%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$68.00</t>
        </is>
      </c>
      <c r="H8" s="29" t="inlineStr">
        <is>
          <t>-33.2%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5.35%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+3.1%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1296.9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BAPCO Senior Unsecured Eurobonds</t>
        </is>
      </c>
      <c r="C15" s="8" t="n">
        <v>3890.6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68.0%</t>
        </is>
      </c>
      <c r="G15" s="29" t="inlineStr">
        <is>
          <t>101.8%</t>
        </is>
      </c>
    </row>
    <row r="16">
      <c r="B16" s="7" t="inlineStr">
        <is>
          <t>Subordinated Debt &amp; Intercompany Notes</t>
        </is>
      </c>
      <c r="C16" s="8" t="n">
        <v>778.1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2075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English Law / DIFC / NY Jurisdiction.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78" customWidth="1" min="3" max="3"/>
    <col width="32" customWidth="1" min="4" max="4"/>
    <col width="19" customWidth="1" min="5" max="5"/>
    <col width="367" customWidth="1" min="6" max="6"/>
    <col width="14" customWidth="1" min="7" max="7"/>
    <col width="125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Bapco Energies (nogaholding) (BAPCO) — Earnings Presentation &amp; Management Guidance</t>
        </is>
      </c>
    </row>
    <row r="3">
      <c r="B3" s="2" t="inlineStr">
        <is>
          <t>Source: Bapco Energies (nogaholding) FY2024 Earnings Conference Call &amp; Strategy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$9180.0M (+8.0% YoY growth)</t>
        </is>
      </c>
      <c r="D7" s="35" t="inlineStr">
        <is>
          <t>$9052.5M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
[QUESTION TO CFO TO VERIFY]: On your last call, management guided full-year revenue of $9180.0M (+8.0% YoY growth). With current run-rate at $9052.5M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$1375.0M (15.0% margin)</t>
        </is>
      </c>
      <c r="D8" s="35" t="inlineStr">
        <is>
          <t>$1350.0M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
[QUESTION TO CFO TO VERIFY]: Management committed to an EBITDA target of $1375.0M (15.0%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5" t="inlineStr">
        <is>
          <t>3.40x</t>
        </is>
      </c>
      <c r="E9" s="36" t="inlineStr">
        <is>
          <t>On Track</t>
        </is>
      </c>
      <c r="F9" s="37" t="inlineStr">
        <is>
          <t>Deleveraging on track with 0.35x buffer below covenant limit.
[QUESTION TO CFO TO VERIFY]: You previously committed to a Net Leverage ceiling of &lt; 3.25x Net Debt / EBITDA. Current actual leverage stands at 3.40x.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$459.4M (Maximum growth and sustaining envelope)</t>
        </is>
      </c>
      <c r="D10" s="35" t="inlineStr">
        <is>
          <t>$422.6M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
[QUESTION TO CFO TO VERIFY]: You guided a maximum capex envelope of $459.4M (Maximum growth and sustaining envelope). Current commitments stand at $422.6M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Growth And Efficiency Projects</t>
        </is>
      </c>
      <c r="C15" s="37" t="inlineStr">
        <is>
          <t>Field Modernization, Value-Added Processing Facilities &amp; Industrial Decarbonization</t>
        </is>
      </c>
    </row>
    <row r="16">
      <c r="B16" s="9" t="inlineStr">
        <is>
          <t>Annual Capex Envelope</t>
        </is>
      </c>
      <c r="C16" s="37" t="inlineStr">
        <is>
          <t>$437.5M (55% sustaining maintenance / 45% strategic growth)</t>
        </is>
      </c>
    </row>
    <row r="17">
      <c r="B17" s="9" t="inlineStr">
        <is>
          <t>Project Execution Milestones</t>
        </is>
      </c>
      <c r="C17" s="37" t="inlineStr">
        <is>
          <t>Advanced commercial completion scheduled across key processing units through 2026</t>
        </is>
      </c>
    </row>
    <row r="18">
      <c r="B18" s="9" t="inlineStr">
        <is>
          <t>Decarbonization Capex</t>
        </is>
      </c>
      <c r="C18" s="37" t="inlineStr">
        <is>
          <t>Energy efficiency and carbon abatement investments targeting 25% Scope 1/2 reduction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Hard Currency Export Share</t>
        </is>
      </c>
      <c r="C22" s="37" t="inlineStr">
        <is>
          <t>78.0% of revenues generated from US Dollar international sales</t>
        </is>
      </c>
    </row>
    <row r="23">
      <c r="B23" s="9" t="inlineStr">
        <is>
          <t>Natural Operating Hedge</t>
        </is>
      </c>
      <c r="C23" s="37" t="inlineStr">
        <is>
          <t>Over 65% of cash production costs denominated in local operating currencies</t>
        </is>
      </c>
    </row>
    <row r="24">
      <c r="B24" s="9" t="inlineStr">
        <is>
          <t>Debt Service Currency Matching</t>
        </is>
      </c>
      <c r="C24" s="37" t="inlineStr">
        <is>
          <t>100.0% of Eurobond debt service met directly from USD export revenues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Proved Reserve Life Rli</t>
        </is>
      </c>
      <c r="C28" s="37" t="inlineStr">
        <is>
          <t>18.5 years of economic reserves at current annual production run-rates</t>
        </is>
      </c>
    </row>
    <row r="29">
      <c r="B29" s="9" t="inlineStr">
        <is>
          <t>Offtake Agreements</t>
        </is>
      </c>
      <c r="C29" s="37" t="inlineStr">
        <is>
          <t>Multi-year frame contracts with top-tier industrial conglomerates and trading houses</t>
        </is>
      </c>
    </row>
    <row r="30">
      <c r="B30" s="9" t="inlineStr">
        <is>
          <t>Capacity Utilization</t>
        </is>
      </c>
      <c r="C30" s="37" t="inlineStr">
        <is>
          <t>88.2% across primary extraction and refining complexes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Cash And Short Term Placements</t>
        </is>
      </c>
      <c r="C34" s="37" t="inlineStr">
        <is>
          <t>$937.5M in liquid bank deposits</t>
        </is>
      </c>
    </row>
    <row r="35">
      <c r="B35" s="9" t="inlineStr">
        <is>
          <t>Undrawn Committed Credit Lines</t>
        </is>
      </c>
      <c r="C35" s="37" t="inlineStr">
        <is>
          <t>$1815.6M in revolving bank facilities</t>
        </is>
      </c>
    </row>
    <row r="36">
      <c r="B36" s="9" t="inlineStr">
        <is>
          <t>Net Debt Headroom</t>
        </is>
      </c>
      <c r="C36" s="37" t="inlineStr">
        <is>
          <t>Conservative liquidity buffer providing over 30 months of debt service coverage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Unhedged Hydrocarbon Price Sensitivity &amp; Breakeven FCF</t>
        </is>
      </c>
      <c r="C40" s="37" t="inlineStr">
        <is>
          <t>What is the company's unhedged cash Free Cash Flow breakeven Brent crude price after fully accounting for maintenance capex, pipeline tariffs, and debt service for 2025-2026?</t>
        </is>
      </c>
      <c r="F40" s="25" t="inlineStr">
        <is>
          <t>Determines leverage trajectory during commodity down-cycles and confirms debt service headroom below $70/bbl.</t>
        </is>
      </c>
      <c r="H40" s="38" t="inlineStr">
        <is>
          <t>FCF breakeven below $55/bbl warrants High conviction Overweight; breakeven above $72/bbl requires spread buffer &gt;400 bps.</t>
        </is>
      </c>
    </row>
    <row r="41">
      <c r="B41" s="9" t="inlineStr">
        <is>
          <t>State Royalty &amp; Windfall Tax Stability</t>
        </is>
      </c>
      <c r="C41" s="37" t="inlineStr">
        <is>
          <t>Are there ongoing discussions with the host government regarding modifications to hydrocarbon royalty scales, domestic market obligations (DMO), or windfall profit taxes?</t>
        </is>
      </c>
      <c r="F41" s="25" t="inlineStr">
        <is>
          <t>Fiscal terms can shift cash flows overnight in emerging markets, bypassing corporate credit protections.</t>
        </is>
      </c>
      <c r="H41" s="38" t="inlineStr">
        <is>
          <t>Locked multi-year concession terms eliminate fiscal drag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7" t="inlineStr">
        <is>
          <t>2026-11-12</t>
        </is>
      </c>
    </row>
    <row r="47">
      <c r="B47" s="9" t="inlineStr">
        <is>
          <t>Reporting Period</t>
        </is>
      </c>
      <c r="C47" s="37" t="inlineStr">
        <is>
          <t>Q3 2026 / 9M</t>
        </is>
      </c>
    </row>
    <row r="48">
      <c r="B48" s="9" t="inlineStr">
        <is>
          <t>Confirmation Status</t>
        </is>
      </c>
      <c r="C48" s="37" t="inlineStr">
        <is>
          <t>Estimated</t>
        </is>
      </c>
    </row>
    <row r="49">
      <c r="B49" s="9" t="inlineStr">
        <is>
          <t>Conference Call &amp; Webcast Schedule</t>
        </is>
      </c>
      <c r="C49" s="37" t="inlineStr">
        <is>
          <t>14:00 Local / Pre-Market</t>
        </is>
      </c>
    </row>
    <row r="50">
      <c r="B50" s="9" t="inlineStr">
        <is>
          <t>Official IR Portal / Webcast URL</t>
        </is>
      </c>
      <c r="C50" s="37" t="inlineStr">
        <is>
          <t>https://www.google.com/finance/quote/BAPCO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2026-09-25T04:18:08Z</dcterms:created>
  <dcterms:modified xmlns:dcterms="http://purl.org/dc/terms/" xmlns:xsi="http://www.w3.org/2001/XMLSchema-instance" xsi:type="dcterms:W3CDTF">2026-09-25T04:18:08Z</dcterms:modified>
</cp:coreProperties>
</file>