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Bapco Energies (nogaholding)</t>
        </is>
      </c>
    </row>
    <row r="3">
      <c r="B3" s="2" t="inlineStr">
        <is>
          <t>CEMBI CEEMEA Institutional Credit Assessment | Country: Bahrain (GCC) | Sector: Energy | Benchmark: BAPCO 7.50%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BAPCO 7.50% 2027</t>
        </is>
      </c>
      <c r="C6" s="5" t="inlineStr">
        <is>
          <t>6.85% (+280 bp)</t>
        </is>
      </c>
      <c r="D6" s="4" t="inlineStr">
        <is>
          <t>B+ / B+ | Tier-2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$68.00</t>
        </is>
      </c>
      <c r="D7" s="4" t="inlineStr">
        <is>
          <t>Base Case Fair Value</t>
        </is>
      </c>
      <c r="E7" s="5" t="inlineStr">
        <is>
          <t>$101.80</t>
        </is>
      </c>
    </row>
    <row r="9">
      <c r="B9" s="6" t="inlineStr">
        <is>
          <t>INSTITUTIONAL INVESTMENT THESIS</t>
        </is>
      </c>
    </row>
    <row r="10">
      <c r="B10" s="7" t="inlineStr">
        <is>
          <t>Bahrain sovereign energy vehicle; BMP refinery modernization program near completion, sovereign support.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Bapco Energies (nogaholding)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5780</v>
      </c>
      <c r="D7" s="13" t="n">
        <v>6970</v>
      </c>
      <c r="E7" s="13" t="n">
        <v>7820</v>
      </c>
      <c r="F7" s="13" t="n">
        <v>8500</v>
      </c>
      <c r="G7" s="14" t="n">
        <v>9180</v>
      </c>
      <c r="H7" s="14" t="n">
        <v>9775</v>
      </c>
      <c r="I7" s="14" t="n">
        <v>10200</v>
      </c>
    </row>
    <row r="8">
      <c r="B8" s="12" t="inlineStr">
        <is>
          <t>EBITDA</t>
        </is>
      </c>
      <c r="C8" s="13" t="n">
        <v>812.5</v>
      </c>
      <c r="D8" s="13" t="n">
        <v>1000</v>
      </c>
      <c r="E8" s="13" t="n">
        <v>1125</v>
      </c>
      <c r="F8" s="13" t="n">
        <v>1250</v>
      </c>
      <c r="G8" s="14" t="n">
        <v>1375</v>
      </c>
      <c r="H8" s="14" t="n">
        <v>1475</v>
      </c>
      <c r="I8" s="14" t="n">
        <v>1550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241.9</v>
      </c>
      <c r="D10" s="17" t="n">
        <v>302.4</v>
      </c>
      <c r="E10" s="17" t="n">
        <v>362.9</v>
      </c>
      <c r="F10" s="17" t="n">
        <v>403.2</v>
      </c>
      <c r="G10" s="18" t="n">
        <v>387.1</v>
      </c>
      <c r="H10" s="18" t="n">
        <v>371</v>
      </c>
      <c r="I10" s="18" t="n">
        <v>354.8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658.8</v>
      </c>
      <c r="D12" s="13" t="n">
        <v>828.8</v>
      </c>
      <c r="E12" s="13" t="n">
        <v>935</v>
      </c>
      <c r="F12" s="13" t="n">
        <v>1062.5</v>
      </c>
      <c r="G12" s="14" t="n">
        <v>1168.8</v>
      </c>
      <c r="H12" s="14" t="n">
        <v>1253.8</v>
      </c>
      <c r="I12" s="14" t="n">
        <v>1328.1</v>
      </c>
    </row>
    <row r="13">
      <c r="B13" s="5" t="inlineStr">
        <is>
          <t>Capital Expenditures (Capex)</t>
        </is>
      </c>
      <c r="C13" s="17" t="n">
        <v>306.2</v>
      </c>
      <c r="D13" s="17" t="n">
        <v>371.9</v>
      </c>
      <c r="E13" s="17" t="n">
        <v>415.6</v>
      </c>
      <c r="F13" s="17" t="n">
        <v>437.5</v>
      </c>
      <c r="G13" s="18" t="n">
        <v>459.4</v>
      </c>
      <c r="H13" s="18" t="n">
        <v>446.2</v>
      </c>
      <c r="I13" s="18" t="n">
        <v>428.8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515.6</v>
      </c>
      <c r="D16" s="13" t="n">
        <v>656.2</v>
      </c>
      <c r="E16" s="13" t="n">
        <v>796.9</v>
      </c>
      <c r="F16" s="13" t="n">
        <v>937.5</v>
      </c>
      <c r="G16" s="14" t="n">
        <v>1106.2</v>
      </c>
      <c r="H16" s="14" t="n">
        <v>1265.6</v>
      </c>
      <c r="I16" s="14" t="n">
        <v>1406.2</v>
      </c>
    </row>
    <row r="17">
      <c r="B17" s="12" t="inlineStr">
        <is>
          <t>Gross Total Debt</t>
        </is>
      </c>
      <c r="C17" s="13" t="n">
        <v>4409.4</v>
      </c>
      <c r="D17" s="13" t="n">
        <v>4772.5</v>
      </c>
      <c r="E17" s="13" t="n">
        <v>5083.8</v>
      </c>
      <c r="F17" s="13" t="n">
        <v>5187.5</v>
      </c>
      <c r="G17" s="14" t="n">
        <v>5083.8</v>
      </c>
      <c r="H17" s="14" t="n">
        <v>4928.1</v>
      </c>
      <c r="I17" s="14" t="n">
        <v>4668.8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Bapco Energies (nogaholding)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6.85%</t>
        </is>
      </c>
      <c r="F6" s="21" t="inlineStr">
        <is>
          <t>2028 / 2029</t>
        </is>
      </c>
      <c r="G6" s="17" t="n">
        <v>2334.4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1296.9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778.1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518.8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259.4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796.9</v>
      </c>
    </row>
    <row r="15">
      <c r="B15" t="inlineStr">
        <is>
          <t>Committed Undrawn RCF Capacity</t>
        </is>
      </c>
      <c r="C15" s="22" t="n">
        <v>500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1025.7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Bapco Energies (nogaholding)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1250</v>
      </c>
      <c r="D6" s="17" t="n">
        <v>1062.5</v>
      </c>
      <c r="E6" s="25" t="n">
        <v>812.5</v>
      </c>
    </row>
    <row r="7">
      <c r="B7" s="5" t="inlineStr">
        <is>
          <t>Free Cash Flow ($M)</t>
        </is>
      </c>
      <c r="C7" s="17" t="n">
        <v>625</v>
      </c>
      <c r="D7" s="17" t="n">
        <v>375</v>
      </c>
      <c r="E7" s="25" t="n">
        <v>93.8</v>
      </c>
    </row>
    <row r="8">
      <c r="B8" s="12" t="inlineStr">
        <is>
          <t>Net Leverage Ratio (x)</t>
        </is>
      </c>
      <c r="C8" s="26" t="n">
        <v>3.4</v>
      </c>
      <c r="D8" s="26" t="n">
        <v>4.25</v>
      </c>
      <c r="E8" s="27" t="n">
        <v>6.29</v>
      </c>
    </row>
    <row r="9">
      <c r="B9" s="5" t="inlineStr">
        <is>
          <t>Interest Coverage Ratio (x)</t>
        </is>
      </c>
      <c r="C9" s="26" t="n">
        <v>3.1</v>
      </c>
      <c r="D9" s="26" t="n">
        <v>2.42</v>
      </c>
      <c r="E9" s="27" t="n">
        <v>1.4</v>
      </c>
    </row>
    <row r="10">
      <c r="B10" s="12" t="inlineStr">
        <is>
          <t>Implied Senior Paper Trading / Recovery ($)</t>
        </is>
      </c>
      <c r="C10" s="12" t="inlineStr">
        <is>
          <t>$101.80</t>
        </is>
      </c>
      <c r="D10" s="12" t="inlineStr">
        <is>
          <t>$80.00</t>
        </is>
      </c>
      <c r="E10" s="28" t="inlineStr">
        <is>
          <t>$68.00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