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(+$12.2M)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(+$15.0M)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(+$16.9M)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(+$18.7M)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(+$20.6M)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(+$22.1M)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(+$23.2M)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(+$12.2M)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(+$15.0M)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(+$16.9M)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(+$18.7M)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(+$20.6M)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(+$22.1M)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(+$23.2M)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(BAPCO) — Institutional Credit Model</t>
        </is>
      </c>
    </row>
    <row r="3">
      <c r="B3" s="2" t="inlineStr">
        <is>
          <t>Sector: Energy | Country: Bahrain | Rating: B+ / B+ | Benchmark: BAPCO 7.50% 2027 @ $101.80 (6.85% YTM / +280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Bahrain sovereign energy vehicle; BMP refinery modernization program near completion, sovereign support.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BAPCO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2334.375</v>
      </c>
      <c r="F26" s="7" t="inlineStr">
        <is>
          <t>6.85%</t>
        </is>
      </c>
      <c r="G26" s="7" t="inlineStr">
        <is>
          <t>$101.80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BAPCO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1556.25</v>
      </c>
      <c r="F27" s="7" t="inlineStr">
        <is>
          <t>6.10%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1296.875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3005.6</v>
      </c>
      <c r="D16" s="8" t="n">
        <v>3624.4</v>
      </c>
      <c r="E16" s="8" t="n">
        <v>4066.4</v>
      </c>
      <c r="F16" s="8" t="n">
        <v>4420</v>
      </c>
      <c r="G16" s="8" t="n">
        <v>4773.6</v>
      </c>
      <c r="H16" s="8" t="n">
        <v>5083</v>
      </c>
      <c r="I16" s="8" t="n">
        <v>5304</v>
      </c>
    </row>
    <row r="17">
      <c r="B17" s="7" t="inlineStr">
        <is>
          <t>Downstream Refining &amp; Fuel Marketing</t>
        </is>
      </c>
      <c r="C17" s="8" t="n">
        <v>1907.4</v>
      </c>
      <c r="D17" s="8" t="n">
        <v>2300.1</v>
      </c>
      <c r="E17" s="8" t="n">
        <v>2580.6</v>
      </c>
      <c r="F17" s="8" t="n">
        <v>2805</v>
      </c>
      <c r="G17" s="8" t="n">
        <v>3029.4</v>
      </c>
      <c r="H17" s="8" t="n">
        <v>3225.8</v>
      </c>
      <c r="I17" s="8" t="n">
        <v>3366</v>
      </c>
    </row>
    <row r="18">
      <c r="B18" s="7" t="inlineStr">
        <is>
          <t>Petrochemicals &amp; Gas Processing</t>
        </is>
      </c>
      <c r="C18" s="8" t="n">
        <v>867</v>
      </c>
      <c r="D18" s="8" t="n">
        <v>1045.5</v>
      </c>
      <c r="E18" s="8" t="n">
        <v>1173</v>
      </c>
      <c r="F18" s="8" t="n">
        <v>1275</v>
      </c>
      <c r="G18" s="8" t="n">
        <v>1377</v>
      </c>
      <c r="H18" s="8" t="n">
        <v>1466.2</v>
      </c>
      <c r="I18" s="8" t="n">
        <v>1530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12.2</v>
      </c>
      <c r="D35" s="23" t="n">
        <v>15</v>
      </c>
      <c r="E35" s="23" t="n">
        <v>16.9</v>
      </c>
      <c r="F35" s="23" t="n">
        <v>18.7</v>
      </c>
      <c r="G35" s="23" t="n">
        <v>20.6</v>
      </c>
      <c r="H35" s="23" t="n">
        <v>22.1</v>
      </c>
      <c r="I35" s="23" t="n">
        <v>23.2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(+$12.2M)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(+$15.0M)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(+$16.9M)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(+$18.7M)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(+$20.6M)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(+$22.1M)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(+$23.2M)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8670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2023</v>
      </c>
      <c r="D36" s="8" t="n">
        <v>2023</v>
      </c>
      <c r="E36" s="8" t="n">
        <v>2023</v>
      </c>
      <c r="F36" s="8" t="n">
        <v>2023</v>
      </c>
      <c r="G36" s="8" t="n">
        <v>2023</v>
      </c>
      <c r="H36" s="8" t="n">
        <v>2023</v>
      </c>
      <c r="I36" s="8" t="n">
        <v>2023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-347.3</v>
      </c>
      <c r="D16" s="8" t="n">
        <v>-607.5</v>
      </c>
      <c r="E16" s="8" t="n">
        <v>-683.4</v>
      </c>
      <c r="F16" s="8" t="n">
        <v>-646.9</v>
      </c>
      <c r="G16" s="8" t="n">
        <v>-587.8</v>
      </c>
      <c r="H16" s="8" t="n">
        <v>-630.6</v>
      </c>
      <c r="I16" s="8" t="n">
        <v>-662.6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515.6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233.5</v>
      </c>
      <c r="D32" s="8" t="n">
        <v>478.5</v>
      </c>
      <c r="E32" s="8" t="n">
        <v>540.5</v>
      </c>
      <c r="F32" s="8" t="n">
        <v>351.2</v>
      </c>
      <c r="G32" s="8" t="n">
        <v>372.5</v>
      </c>
      <c r="H32" s="8" t="n">
        <v>390.5</v>
      </c>
      <c r="I32" s="8" t="n">
        <v>402.9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BAPCO Benchmark Eurobond Notes</t>
        </is>
      </c>
    </row>
    <row r="7">
      <c r="B7" s="7" t="inlineStr">
        <is>
          <t xml:space="preserve">  Beginning Principal Balance</t>
        </is>
      </c>
      <c r="C7" s="8" t="n">
        <v>1984.2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661.4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440.9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0.0685</f>
        <v/>
      </c>
      <c r="D11" s="8">
        <f>D10 * 0.0685</f>
        <v/>
      </c>
      <c r="E11" s="8">
        <f>E10 * 0.0685</f>
        <v/>
      </c>
      <c r="F11" s="8">
        <f>F10 * 0.0685</f>
        <v/>
      </c>
      <c r="G11" s="8">
        <f>G10 * 0.0685</f>
        <v/>
      </c>
      <c r="H11" s="8">
        <f>H10 * 0.0685</f>
        <v/>
      </c>
      <c r="I11" s="8">
        <f>I10 * 0.0685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2425.2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622.5</v>
      </c>
      <c r="C32" s="8" t="n">
        <v>1141.2</v>
      </c>
      <c r="D32" s="8" t="n">
        <v>1452.5</v>
      </c>
      <c r="E32" s="8" t="n">
        <v>933.8</v>
      </c>
      <c r="F32" s="8" t="n">
        <v>622.5</v>
      </c>
      <c r="G32" s="8" t="n">
        <v>415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BAPCO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2334.4</v>
      </c>
      <c r="F37" s="29" t="inlineStr">
        <is>
          <t>6.850%</t>
        </is>
      </c>
      <c r="G37" s="30" t="n">
        <v>101.8</v>
      </c>
      <c r="H37" s="31" t="n">
        <v>6.85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BAPCO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1556.2</v>
      </c>
      <c r="F38" s="29" t="inlineStr">
        <is>
          <t>6.200%</t>
        </is>
      </c>
      <c r="G38" s="30" t="n">
        <v>101.5</v>
      </c>
      <c r="H38" s="31" t="n">
        <v>6.199999999999999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778.1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518.8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BAPCO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1452.5</v>
      </c>
    </row>
    <row r="45">
      <c r="B45" s="7" t="inlineStr">
        <is>
          <t>Drawn Amount ($M)</t>
        </is>
      </c>
      <c r="C45" s="8" t="n">
        <v>518.8</v>
      </c>
    </row>
    <row r="46">
      <c r="B46" s="18" t="inlineStr">
        <is>
          <t>AVAILABLE UNDRAWN HEADROOM ($M)</t>
        </is>
      </c>
      <c r="C46" s="19" t="n">
        <v>933.7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3.40x</t>
        </is>
      </c>
      <c r="E55" s="32" t="inlineStr">
        <is>
          <t>0.35x leverage buffer ($437.5M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3.10x</t>
        </is>
      </c>
      <c r="E56" s="32" t="inlineStr">
        <is>
          <t>+0.60x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5.1% of Assets</t>
        </is>
      </c>
      <c r="E57" s="32" t="inlineStr">
        <is>
          <t>$1870.0M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6.85%</t>
        </is>
      </c>
      <c r="F6" s="34" t="inlineStr">
        <is>
          <t>4.2x</t>
        </is>
      </c>
      <c r="G6" s="34" t="inlineStr">
        <is>
          <t>$101.80</t>
        </is>
      </c>
      <c r="H6" s="34" t="inlineStr">
        <is>
          <t>+0.0%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8.85%</t>
        </is>
      </c>
      <c r="F7" s="29" t="inlineStr">
        <is>
          <t>3.2x</t>
        </is>
      </c>
      <c r="G7" s="29" t="inlineStr">
        <is>
          <t>$84.90</t>
        </is>
      </c>
      <c r="H7" s="29" t="inlineStr">
        <is>
          <t>-16.6%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$68.00</t>
        </is>
      </c>
      <c r="H8" s="29" t="inlineStr">
        <is>
          <t>-33.2%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5.35%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+3.1%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1296.9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BAPCO Senior Unsecured Eurobonds</t>
        </is>
      </c>
      <c r="C15" s="8" t="n">
        <v>3890.6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68.0%</t>
        </is>
      </c>
      <c r="G15" s="29" t="inlineStr">
        <is>
          <t>101.8%</t>
        </is>
      </c>
    </row>
    <row r="16">
      <c r="B16" s="7" t="inlineStr">
        <is>
          <t>Subordinated Debt &amp; Intercompany Notes</t>
        </is>
      </c>
      <c r="C16" s="8" t="n">
        <v>778.1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2075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Bapco Energies (nogaholding) (BAPCO) — Earnings Presentation &amp; Management Guidance</t>
        </is>
      </c>
    </row>
    <row r="3">
      <c r="B3" s="2" t="inlineStr">
        <is>
          <t>Source: Bapco Energies (nogaholding)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$9180.0M (+8.0% YoY growth)</t>
        </is>
      </c>
      <c r="D7" s="35" t="inlineStr">
        <is>
          <t>$9052.5M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$9180.0M (+8.0% YoY growth). With current run-rate at $9052.5M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$1375.0M (15.0% margin)</t>
        </is>
      </c>
      <c r="D8" s="35" t="inlineStr">
        <is>
          <t>$1350.0M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$1375.0M (15.0%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3.40x</t>
        </is>
      </c>
      <c r="E9" s="36" t="inlineStr">
        <is>
          <t>On Track</t>
        </is>
      </c>
      <c r="F9" s="37" t="inlineStr">
        <is>
          <t>Deleveraging on track with 0.35x buffer below covenant limit.
[QUESTION TO CFO TO VERIFY]: You previously committed to a Net Leverage ceiling of &lt; 3.25x Net Debt / EBITDA. Current actual leverage stands at 3.40x.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$459.4M (Maximum growth and sustaining envelope)</t>
        </is>
      </c>
      <c r="D10" s="35" t="inlineStr">
        <is>
          <t>$422.6M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$459.4M (Maximum growth and sustaining envelope). Current commitments stand at $422.6M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$437.5M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$937.5M in liquid bank deposits</t>
        </is>
      </c>
    </row>
    <row r="35">
      <c r="B35" s="9" t="inlineStr">
        <is>
          <t>Undrawn Committed Credit Lines</t>
        </is>
      </c>
      <c r="C35" s="37" t="inlineStr">
        <is>
          <t>$1815.6M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https://www.google.com/finance/quote/BAPCO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2026-10-23T04:16:23Z</dcterms:created>
  <dcterms:modified xmlns:dcterms="http://purl.org/dc/terms/" xmlns:xsi="http://www.w3.org/2001/XMLSchema-instance" xsi:type="dcterms:W3CDTF">2026-10-23T04:16:23Z</dcterms:modified>
</cp:coreProperties>
</file>