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(+$27.0M)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(+$30.4M)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(+$37.1M)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(+$27.0M)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(+$30.4M)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(+$37.1M)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Institutional Credit Model</t>
        </is>
      </c>
    </row>
    <row r="3">
      <c r="B3" s="2" t="inlineStr">
        <is>
          <t>Sector: Energy | Country: Angola | Rating: B+ / Ba3 | Benchmark: AZULE 8.45% 2030 @ $98.50 (8.45%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BP-Eni 50/50 incorporated JV; 220k boe/d net; Block 15/06 Agogo field + New Gas Consortium feeding Angola LNG.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AZULE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2359.125</v>
      </c>
      <c r="F26" s="7" t="inlineStr">
        <is>
          <t>8.45%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AZULE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1572.75</v>
      </c>
      <c r="F27" s="7" t="inlineStr">
        <is>
          <t>7.70%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1310.625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1202.2</v>
      </c>
      <c r="D16" s="8" t="n">
        <v>1449.8</v>
      </c>
      <c r="E16" s="8" t="n">
        <v>1626.6</v>
      </c>
      <c r="F16" s="8" t="n">
        <v>1768</v>
      </c>
      <c r="G16" s="8" t="n">
        <v>1909.4</v>
      </c>
      <c r="H16" s="8" t="n">
        <v>2033.2</v>
      </c>
      <c r="I16" s="8" t="n">
        <v>2121.6</v>
      </c>
    </row>
    <row r="17">
      <c r="B17" s="7" t="inlineStr">
        <is>
          <t>Downstream Refining &amp; Fuel Marketing</t>
        </is>
      </c>
      <c r="C17" s="8" t="n">
        <v>763</v>
      </c>
      <c r="D17" s="8" t="n">
        <v>920</v>
      </c>
      <c r="E17" s="8" t="n">
        <v>1032.2</v>
      </c>
      <c r="F17" s="8" t="n">
        <v>1122</v>
      </c>
      <c r="G17" s="8" t="n">
        <v>1211.8</v>
      </c>
      <c r="H17" s="8" t="n">
        <v>1290.3</v>
      </c>
      <c r="I17" s="8" t="n">
        <v>1346.4</v>
      </c>
    </row>
    <row r="18">
      <c r="B18" s="7" t="inlineStr">
        <is>
          <t>Petrochemicals &amp; Gas Processing</t>
        </is>
      </c>
      <c r="C18" s="8" t="n">
        <v>346.8</v>
      </c>
      <c r="D18" s="8" t="n">
        <v>418.2</v>
      </c>
      <c r="E18" s="8" t="n">
        <v>469.2</v>
      </c>
      <c r="F18" s="8" t="n">
        <v>510</v>
      </c>
      <c r="G18" s="8" t="n">
        <v>550.8</v>
      </c>
      <c r="H18" s="8" t="n">
        <v>586.5</v>
      </c>
      <c r="I18" s="8" t="n">
        <v>612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21.9</v>
      </c>
      <c r="D35" s="23" t="n">
        <v>27</v>
      </c>
      <c r="E35" s="23" t="n">
        <v>30.4</v>
      </c>
      <c r="F35" s="23" t="n">
        <v>33.8</v>
      </c>
      <c r="G35" s="23" t="n">
        <v>37.1</v>
      </c>
      <c r="H35" s="23" t="n">
        <v>39.8</v>
      </c>
      <c r="I35" s="23" t="n">
        <v>41.8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(+$21.9M)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(+$27.0M)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(+$30.4M)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(+$33.8M)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(+$37.1M)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(+$41.8M)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-625.2</v>
      </c>
      <c r="D16" s="8" t="n">
        <v>-1093.5</v>
      </c>
      <c r="E16" s="8" t="n">
        <v>-1230.2</v>
      </c>
      <c r="F16" s="8" t="n">
        <v>-1164.4</v>
      </c>
      <c r="G16" s="8" t="n">
        <v>-1058.1</v>
      </c>
      <c r="H16" s="8" t="n">
        <v>-1135</v>
      </c>
      <c r="I16" s="8" t="n">
        <v>-1192.7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928.1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125.6</v>
      </c>
      <c r="D32" s="8" t="n">
        <v>231.4</v>
      </c>
      <c r="E32" s="8" t="n">
        <v>262.6</v>
      </c>
      <c r="F32" s="8" t="n">
        <v>192</v>
      </c>
      <c r="G32" s="8" t="n">
        <v>202.2</v>
      </c>
      <c r="H32" s="8" t="n">
        <v>210.4</v>
      </c>
      <c r="I32" s="8" t="n">
        <v>216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AZULE Benchmark Eurobond Notes</t>
        </is>
      </c>
    </row>
    <row r="7">
      <c r="B7" s="7" t="inlineStr">
        <is>
          <t xml:space="preserve">  Beginning Principal Balance</t>
        </is>
      </c>
      <c r="C7" s="8" t="n">
        <v>2005.2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0.0845</f>
        <v/>
      </c>
      <c r="D11" s="8">
        <f>D10 * 0.0845</f>
        <v/>
      </c>
      <c r="E11" s="8">
        <f>E10 * 0.0845</f>
        <v/>
      </c>
      <c r="F11" s="8">
        <f>F10 * 0.0845</f>
        <v/>
      </c>
      <c r="G11" s="8">
        <f>G10 * 0.0845</f>
        <v/>
      </c>
      <c r="H11" s="8">
        <f>H10 * 0.0845</f>
        <v/>
      </c>
      <c r="I11" s="8">
        <f>I10 * 0.0845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2450.9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629.1</v>
      </c>
      <c r="C32" s="8" t="n">
        <v>1153.3</v>
      </c>
      <c r="D32" s="8" t="n">
        <v>1467.9</v>
      </c>
      <c r="E32" s="8" t="n">
        <v>943.6</v>
      </c>
      <c r="F32" s="8" t="n">
        <v>629.1</v>
      </c>
      <c r="G32" s="8" t="n">
        <v>419.4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AZULE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2359.1</v>
      </c>
      <c r="F37" s="29" t="inlineStr">
        <is>
          <t>8.450%</t>
        </is>
      </c>
      <c r="G37" s="30" t="n">
        <v>98.5</v>
      </c>
      <c r="H37" s="31" t="n">
        <v>8.449999999999999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AZULE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1572.8</v>
      </c>
      <c r="F38" s="29" t="inlineStr">
        <is>
          <t>7.800%</t>
        </is>
      </c>
      <c r="G38" s="30" t="n">
        <v>100.5</v>
      </c>
      <c r="H38" s="31" t="n">
        <v>7.799999999999999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786.4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524.2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AZULE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1467.9</v>
      </c>
    </row>
    <row r="45">
      <c r="B45" s="7" t="inlineStr">
        <is>
          <t>Drawn Amount ($M)</t>
        </is>
      </c>
      <c r="C45" s="8" t="n">
        <v>524.2</v>
      </c>
    </row>
    <row r="46">
      <c r="B46" s="18" t="inlineStr">
        <is>
          <t>AVAILABLE UNDRAWN HEADROOM ($M)</t>
        </is>
      </c>
      <c r="C46" s="19" t="n">
        <v>943.7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1.58x</t>
        </is>
      </c>
      <c r="E55" s="32" t="inlineStr">
        <is>
          <t>2.17x leverage buffer ($4882.5M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6.82x</t>
        </is>
      </c>
      <c r="E56" s="32" t="inlineStr">
        <is>
          <t>+4.32x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12.8% of Assets</t>
        </is>
      </c>
      <c r="E57" s="32" t="inlineStr">
        <is>
          <t>$748.0M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8.45%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10.45%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-11.2%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-24.9%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1310.6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AZULE Senior Unsecured Eurobonds</t>
        </is>
      </c>
      <c r="C15" s="8" t="n">
        <v>3931.9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2097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Earnings Presentation &amp; Management Guidance</t>
        </is>
      </c>
    </row>
    <row r="3">
      <c r="B3" s="2" t="inlineStr">
        <is>
          <t>Source: Azule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5" t="inlineStr">
        <is>
          <t>$3621.0M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$2475.0M (67.4% margin)</t>
        </is>
      </c>
      <c r="D8" s="35" t="inlineStr">
        <is>
          <t>$2430.0M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$2475.0M (67.4%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1.58x</t>
        </is>
      </c>
      <c r="E9" s="32" t="inlineStr">
        <is>
          <t>Ahead of Target</t>
        </is>
      </c>
      <c r="F9" s="37" t="inlineStr">
        <is>
          <t>Deleveraging on track with 2.17x buffer below covenant limit.
[QUESTION TO CFO TO VERIFY]: You previously committed to a Net Leverage ceiling of &lt; 3.25x Net Debt / EBITDA. Current actual leverage stands at 1.58x.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$826.9M (Maximum growth and sustaining envelope)</t>
        </is>
      </c>
      <c r="D10" s="35" t="inlineStr">
        <is>
          <t>$760.7M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$826.9M (Maximum growth and sustaining envelope). Current commitments stand at $760.7M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$787.5M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$1687.5M in liquid bank deposits</t>
        </is>
      </c>
    </row>
    <row r="35">
      <c r="B35" s="9" t="inlineStr">
        <is>
          <t>Undrawn Committed Credit Lines</t>
        </is>
      </c>
      <c r="C35" s="37" t="inlineStr">
        <is>
          <t>$1834.9M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https://www.google.com/finance/quote/AZULE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2026-10-08T04:22:30Z</dcterms:created>
  <dcterms:modified xmlns:dcterms="http://purl.org/dc/terms/" xmlns:xsi="http://www.w3.org/2001/XMLSchema-instance" xsi:type="dcterms:W3CDTF">2026-10-08T04:22:30Z</dcterms:modified>
</cp:coreProperties>
</file>