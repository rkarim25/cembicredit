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(+$21.9M)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(+$27.0M)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(+$30.4M)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(+$33.8M)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(+$37.1M)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(+$39.8M)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(+$41.8M)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(+$21.9M)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(+$27.0M)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(+$30.4M)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(+$33.8M)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(+$37.1M)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(+$39.8M)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(+$41.8M)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Azule Energy (AZULE) — Institutional Credit Model</t>
        </is>
      </c>
    </row>
    <row r="3">
      <c r="B3" s="2" t="inlineStr">
        <is>
          <t>Sector: Energy | Country: Angola | Rating: B+ / Ba3 | Benchmark: AZULE 8.45% 2030 @ $98.50 (8.45% YTM / +410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BP-Eni 50/50 incorporated JV; 220k boe/d net; Block 15/06 Agogo field + New Gas Consortium feeding Angola LNG.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AZULE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2359.125</v>
      </c>
      <c r="F26" s="7" t="inlineStr">
        <is>
          <t>8.45%</t>
        </is>
      </c>
      <c r="G26" s="7" t="inlineStr">
        <is>
          <t>$98.50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AZULE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1572.75</v>
      </c>
      <c r="F27" s="7" t="inlineStr">
        <is>
          <t>7.70%</t>
        </is>
      </c>
      <c r="G27" s="7" t="inlineStr">
        <is>
          <t>$101.00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1310.625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Azule Energy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Net Hydrocarbon Production (kboed)</t>
        </is>
      </c>
      <c r="C6" s="13" t="n">
        <v>85</v>
      </c>
      <c r="D6" s="13" t="n">
        <v>92.5</v>
      </c>
      <c r="E6" s="13" t="n">
        <v>98</v>
      </c>
      <c r="F6" s="13" t="n">
        <v>105</v>
      </c>
      <c r="G6" s="13" t="n">
        <v>112</v>
      </c>
      <c r="H6" s="13" t="n">
        <v>118</v>
      </c>
      <c r="I6" s="13" t="n">
        <v>125</v>
      </c>
    </row>
    <row r="7">
      <c r="B7" s="7" t="inlineStr">
        <is>
          <t>Crude Oil &amp; Liquids Share (%)</t>
        </is>
      </c>
      <c r="C7" s="13" t="n">
        <v>62</v>
      </c>
      <c r="D7" s="13" t="n">
        <v>61.5</v>
      </c>
      <c r="E7" s="13" t="n">
        <v>60</v>
      </c>
      <c r="F7" s="13" t="n">
        <v>59</v>
      </c>
      <c r="G7" s="13" t="n">
        <v>58.5</v>
      </c>
      <c r="H7" s="13" t="n">
        <v>58</v>
      </c>
      <c r="I7" s="13" t="n">
        <v>57.5</v>
      </c>
    </row>
    <row r="8">
      <c r="B8" s="7" t="inlineStr">
        <is>
          <t>Realized Blend Price ($/boe)</t>
        </is>
      </c>
      <c r="C8" s="13" t="n">
        <v>68.40000000000001</v>
      </c>
      <c r="D8" s="13" t="n">
        <v>94.2</v>
      </c>
      <c r="E8" s="13" t="n">
        <v>78.5</v>
      </c>
      <c r="F8" s="13" t="n">
        <v>76</v>
      </c>
      <c r="G8" s="13" t="n">
        <v>72.5</v>
      </c>
      <c r="H8" s="13" t="n">
        <v>70</v>
      </c>
      <c r="I8" s="13" t="n">
        <v>68</v>
      </c>
    </row>
    <row r="9">
      <c r="B9" s="7" t="inlineStr">
        <is>
          <t>Refining Crude Throughput (kbpd)</t>
        </is>
      </c>
      <c r="C9" s="13" t="n">
        <v>120</v>
      </c>
      <c r="D9" s="13" t="n">
        <v>128</v>
      </c>
      <c r="E9" s="13" t="n">
        <v>135</v>
      </c>
      <c r="F9" s="13" t="n">
        <v>142</v>
      </c>
      <c r="G9" s="13" t="n">
        <v>148</v>
      </c>
      <c r="H9" s="13" t="n">
        <v>154</v>
      </c>
      <c r="I9" s="13" t="n">
        <v>160</v>
      </c>
    </row>
    <row r="10">
      <c r="B10" s="7" t="inlineStr">
        <is>
          <t>Composite Refining Crack Spread ($/bbl)</t>
        </is>
      </c>
      <c r="C10" s="13" t="n">
        <v>8.5</v>
      </c>
      <c r="D10" s="13" t="n">
        <v>18.2</v>
      </c>
      <c r="E10" s="13" t="n">
        <v>12.4</v>
      </c>
      <c r="F10" s="13" t="n">
        <v>10.8</v>
      </c>
      <c r="G10" s="13" t="n">
        <v>9.5</v>
      </c>
      <c r="H10" s="13" t="n">
        <v>9</v>
      </c>
      <c r="I10" s="13" t="n">
        <v>8.800000000000001</v>
      </c>
    </row>
    <row r="11">
      <c r="B11" s="7" t="inlineStr">
        <is>
          <t>Cash Operating Lifting Cost ($/boe)</t>
        </is>
      </c>
      <c r="C11" s="13" t="n">
        <v>6.8</v>
      </c>
      <c r="D11" s="13" t="n">
        <v>7.4</v>
      </c>
      <c r="E11" s="13" t="n">
        <v>7.9</v>
      </c>
      <c r="F11" s="13" t="n">
        <v>8.199999999999999</v>
      </c>
      <c r="G11" s="13" t="n">
        <v>8.4</v>
      </c>
      <c r="H11" s="13" t="n">
        <v>8.6</v>
      </c>
      <c r="I11" s="13" t="n">
        <v>8.800000000000001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Upstream Exploration &amp; Production</t>
        </is>
      </c>
      <c r="C16" s="8" t="n">
        <v>1202.2</v>
      </c>
      <c r="D16" s="8" t="n">
        <v>1449.8</v>
      </c>
      <c r="E16" s="8" t="n">
        <v>1626.6</v>
      </c>
      <c r="F16" s="8" t="n">
        <v>1768</v>
      </c>
      <c r="G16" s="8" t="n">
        <v>1909.4</v>
      </c>
      <c r="H16" s="8" t="n">
        <v>2033.2</v>
      </c>
      <c r="I16" s="8" t="n">
        <v>2121.6</v>
      </c>
    </row>
    <row r="17">
      <c r="B17" s="7" t="inlineStr">
        <is>
          <t>Downstream Refining &amp; Fuel Marketing</t>
        </is>
      </c>
      <c r="C17" s="8" t="n">
        <v>763</v>
      </c>
      <c r="D17" s="8" t="n">
        <v>920</v>
      </c>
      <c r="E17" s="8" t="n">
        <v>1032.2</v>
      </c>
      <c r="F17" s="8" t="n">
        <v>1122</v>
      </c>
      <c r="G17" s="8" t="n">
        <v>1211.8</v>
      </c>
      <c r="H17" s="8" t="n">
        <v>1290.3</v>
      </c>
      <c r="I17" s="8" t="n">
        <v>1346.4</v>
      </c>
    </row>
    <row r="18">
      <c r="B18" s="7" t="inlineStr">
        <is>
          <t>Petrochemicals &amp; Gas Processing</t>
        </is>
      </c>
      <c r="C18" s="8" t="n">
        <v>346.8</v>
      </c>
      <c r="D18" s="8" t="n">
        <v>418.2</v>
      </c>
      <c r="E18" s="8" t="n">
        <v>469.2</v>
      </c>
      <c r="F18" s="8" t="n">
        <v>510</v>
      </c>
      <c r="G18" s="8" t="n">
        <v>550.8</v>
      </c>
      <c r="H18" s="8" t="n">
        <v>586.5</v>
      </c>
      <c r="I18" s="8" t="n">
        <v>612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Azule Energy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Upstream Exploration &amp; Production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Downstream Refining &amp; Fuel Marketing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Petrochemicals &amp; Gas Processing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21.9</v>
      </c>
      <c r="D35" s="23" t="n">
        <v>27</v>
      </c>
      <c r="E35" s="23" t="n">
        <v>30.4</v>
      </c>
      <c r="F35" s="23" t="n">
        <v>33.8</v>
      </c>
      <c r="G35" s="23" t="n">
        <v>37.1</v>
      </c>
      <c r="H35" s="23" t="n">
        <v>39.8</v>
      </c>
      <c r="I35" s="23" t="n">
        <v>41.8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Reconciled: Standard IFRS definition (Operating Profit + D&amp;A) aligns within 1.5% (+$21.9M) of Calculated EBITDA with zero aggressive management add-backs.</t>
        </is>
      </c>
    </row>
    <row r="43">
      <c r="B43" s="25" t="inlineStr">
        <is>
          <t>[2022A] Fully Reconciled: Standard IFRS definition (Operating Profit + D&amp;A) aligns within 1.5% (+$27.0M) of Calculated EBITDA with zero aggressive management add-backs.</t>
        </is>
      </c>
    </row>
    <row r="44">
      <c r="B44" s="25" t="inlineStr">
        <is>
          <t>[2023A] Fully Reconciled: Standard IFRS definition (Operating Profit + D&amp;A) aligns within 1.5% (+$30.4M) of Calculated EBITDA with zero aggressive management add-backs.</t>
        </is>
      </c>
    </row>
    <row r="45">
      <c r="B45" s="25" t="inlineStr">
        <is>
          <t>[2024A] Fully Reconciled: Standard IFRS definition (Operating Profit + D&amp;A) aligns within 1.5% (+$33.8M) of Calculated EBITDA with zero aggressive management add-backs.</t>
        </is>
      </c>
    </row>
    <row r="46">
      <c r="B46" s="25" t="inlineStr">
        <is>
          <t>[2025E] Fully Reconciled: Standard IFRS definition (Operating Profit + D&amp;A) aligns within 1.5% (+$37.1M) of Calculated EBITDA with zero aggressive management add-backs.</t>
        </is>
      </c>
    </row>
    <row r="47">
      <c r="B47" s="25" t="inlineStr">
        <is>
          <t>[2026E] Fully Reconciled: Standard IFRS definition (Operating Profit + D&amp;A) aligns within 1.5% (+$39.8M) of Calculated EBITDA with zero aggressive management add-backs.</t>
        </is>
      </c>
    </row>
    <row r="48">
      <c r="B48" s="25" t="inlineStr">
        <is>
          <t>[2027E] Fully Reconciled: Standard IFRS definition (Operating Profit + D&amp;A) aligns within 1.5% (+$41.8M)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Azule Energy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3468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809.2</v>
      </c>
      <c r="D36" s="8" t="n">
        <v>809.2</v>
      </c>
      <c r="E36" s="8" t="n">
        <v>809.2</v>
      </c>
      <c r="F36" s="8" t="n">
        <v>809.2</v>
      </c>
      <c r="G36" s="8" t="n">
        <v>809.2</v>
      </c>
      <c r="H36" s="8" t="n">
        <v>809.2</v>
      </c>
      <c r="I36" s="8" t="n">
        <v>809.2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Azule Energy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-625.2</v>
      </c>
      <c r="D16" s="8" t="n">
        <v>-1093.5</v>
      </c>
      <c r="E16" s="8" t="n">
        <v>-1230.2</v>
      </c>
      <c r="F16" s="8" t="n">
        <v>-1164.4</v>
      </c>
      <c r="G16" s="8" t="n">
        <v>-1058.1</v>
      </c>
      <c r="H16" s="8" t="n">
        <v>-1135</v>
      </c>
      <c r="I16" s="8" t="n">
        <v>-1192.7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928.1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125.6</v>
      </c>
      <c r="D32" s="8" t="n">
        <v>231.4</v>
      </c>
      <c r="E32" s="8" t="n">
        <v>262.6</v>
      </c>
      <c r="F32" s="8" t="n">
        <v>192</v>
      </c>
      <c r="G32" s="8" t="n">
        <v>202.2</v>
      </c>
      <c r="H32" s="8" t="n">
        <v>210.4</v>
      </c>
      <c r="I32" s="8" t="n">
        <v>216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comfortably covers operational working capital needs and debt service.</t>
        </is>
      </c>
    </row>
    <row r="39">
      <c r="B39" s="25" t="inlineStr">
        <is>
          <t>[2022A] Working capital absorption due to higher inventory values temporarily dampens FCF.</t>
        </is>
      </c>
    </row>
    <row r="40">
      <c r="B40" s="25" t="inlineStr">
        <is>
          <t>[2023A] Positive FCF generation resumes as working capital investments reverse into cash.</t>
        </is>
      </c>
    </row>
    <row r="41">
      <c r="B41" s="25" t="inlineStr">
        <is>
          <t>[2024A] Robust operating cash flow supports debt amortization and unencumbered cash build.</t>
        </is>
      </c>
    </row>
    <row r="42">
      <c r="B42" s="25" t="inlineStr">
        <is>
          <t>[2025E] Solid free cash flow generation enables continued deleveraging and dividend flexibility.</t>
        </is>
      </c>
    </row>
    <row r="43">
      <c r="B43" s="25" t="inlineStr">
        <is>
          <t>[2026E] Expanding FCF conversion provides flexible options for bond refinancing or early tender.</t>
        </is>
      </c>
    </row>
    <row r="44">
      <c r="B44" s="25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21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Azule Energy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AZULE Benchmark Eurobond Notes</t>
        </is>
      </c>
    </row>
    <row r="7">
      <c r="B7" s="7" t="inlineStr">
        <is>
          <t xml:space="preserve">  Beginning Principal Balance</t>
        </is>
      </c>
      <c r="C7" s="8" t="n">
        <v>2005.2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668.4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445.6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0.0845</f>
        <v/>
      </c>
      <c r="D11" s="8">
        <f>D10 * 0.0845</f>
        <v/>
      </c>
      <c r="E11" s="8">
        <f>E10 * 0.0845</f>
        <v/>
      </c>
      <c r="F11" s="8">
        <f>F10 * 0.0845</f>
        <v/>
      </c>
      <c r="G11" s="8">
        <f>G10 * 0.0845</f>
        <v/>
      </c>
      <c r="H11" s="8">
        <f>H10 * 0.0845</f>
        <v/>
      </c>
      <c r="I11" s="8">
        <f>I10 * 0.0845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2450.9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629.1</v>
      </c>
      <c r="C32" s="8" t="n">
        <v>1153.3</v>
      </c>
      <c r="D32" s="8" t="n">
        <v>1467.9</v>
      </c>
      <c r="E32" s="8" t="n">
        <v>943.6</v>
      </c>
      <c r="F32" s="8" t="n">
        <v>629.1</v>
      </c>
      <c r="G32" s="8" t="n">
        <v>419.4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AZULE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2359.1</v>
      </c>
      <c r="F37" s="29" t="inlineStr">
        <is>
          <t>8.450%</t>
        </is>
      </c>
      <c r="G37" s="30" t="n">
        <v>98.5</v>
      </c>
      <c r="H37" s="31" t="n">
        <v>8.449999999999999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AZULE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1572.8</v>
      </c>
      <c r="F38" s="29" t="inlineStr">
        <is>
          <t>7.800%</t>
        </is>
      </c>
      <c r="G38" s="30" t="n">
        <v>100.5</v>
      </c>
      <c r="H38" s="31" t="n">
        <v>7.799999999999999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786.4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524.2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AZULE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1467.9</v>
      </c>
    </row>
    <row r="45">
      <c r="B45" s="7" t="inlineStr">
        <is>
          <t>Drawn Amount ($M)</t>
        </is>
      </c>
      <c r="C45" s="8" t="n">
        <v>524.2</v>
      </c>
    </row>
    <row r="46">
      <c r="B46" s="18" t="inlineStr">
        <is>
          <t>AVAILABLE UNDRAWN HEADROOM ($M)</t>
        </is>
      </c>
      <c r="C46" s="19" t="n">
        <v>943.7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1.58x</t>
        </is>
      </c>
      <c r="E55" s="32" t="inlineStr">
        <is>
          <t>2.17x leverage buffer ($4882.5M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6.82x</t>
        </is>
      </c>
      <c r="E56" s="32" t="inlineStr">
        <is>
          <t>+4.32x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12.8% of Assets</t>
        </is>
      </c>
      <c r="E57" s="32" t="inlineStr">
        <is>
          <t>$748.0M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Azule Energy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Azule Energy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8.45%</t>
        </is>
      </c>
      <c r="F6" s="34" t="inlineStr">
        <is>
          <t>4.2x</t>
        </is>
      </c>
      <c r="G6" s="34" t="inlineStr">
        <is>
          <t>$101.00</t>
        </is>
      </c>
      <c r="H6" s="34" t="inlineStr">
        <is>
          <t>+2.5%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10.45%</t>
        </is>
      </c>
      <c r="F7" s="29" t="inlineStr">
        <is>
          <t>3.2x</t>
        </is>
      </c>
      <c r="G7" s="29" t="inlineStr">
        <is>
          <t>$87.50</t>
        </is>
      </c>
      <c r="H7" s="29" t="inlineStr">
        <is>
          <t>-11.2%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$74.00</t>
        </is>
      </c>
      <c r="H8" s="29" t="inlineStr">
        <is>
          <t>-24.9%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6.95%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+6.6%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1310.6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AZULE Senior Unsecured Eurobonds</t>
        </is>
      </c>
      <c r="C15" s="8" t="n">
        <v>3931.9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74.0%</t>
        </is>
      </c>
      <c r="G15" s="29" t="inlineStr">
        <is>
          <t>101.0%</t>
        </is>
      </c>
    </row>
    <row r="16">
      <c r="B16" s="7" t="inlineStr">
        <is>
          <t>Subordinated Debt &amp; Intercompany Notes</t>
        </is>
      </c>
      <c r="C16" s="8" t="n">
        <v>786.4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2097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Angola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78" customWidth="1" min="3" max="3"/>
    <col width="32" customWidth="1" min="4" max="4"/>
    <col width="19" customWidth="1" min="5" max="5"/>
    <col width="367" customWidth="1" min="6" max="6"/>
    <col width="14" customWidth="1" min="7" max="7"/>
    <col width="125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Azule Energy (AZULE) — Earnings Presentation &amp; Management Guidance</t>
        </is>
      </c>
    </row>
    <row r="3">
      <c r="B3" s="2" t="inlineStr">
        <is>
          <t>Source: Azule Energy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$3672.0M (+8.0% YoY growth)</t>
        </is>
      </c>
      <c r="D7" s="35" t="inlineStr">
        <is>
          <t>$3621.0M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$3672.0M (+8.0% YoY growth). With current run-rate at $3621.0M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$2475.0M (67.4% margin)</t>
        </is>
      </c>
      <c r="D8" s="35" t="inlineStr">
        <is>
          <t>$2430.0M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$2475.0M (67.4%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1.58x</t>
        </is>
      </c>
      <c r="E9" s="32" t="inlineStr">
        <is>
          <t>Ahead of Target</t>
        </is>
      </c>
      <c r="F9" s="37" t="inlineStr">
        <is>
          <t>Deleveraging on track with 2.17x buffer below covenant limit.
[QUESTION TO CFO TO VERIFY]: You previously committed to a Net Leverage ceiling of &lt; 3.25x Net Debt / EBITDA. Current actual leverage stands at 1.58x.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$826.9M (Maximum growth and sustaining envelope)</t>
        </is>
      </c>
      <c r="D10" s="35" t="inlineStr">
        <is>
          <t>$760.7M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$826.9M (Maximum growth and sustaining envelope). Current commitments stand at $760.7M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7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7" t="inlineStr">
        <is>
          <t>$787.5M (55% sustaining maintenance / 45% strategic growth)</t>
        </is>
      </c>
    </row>
    <row r="17">
      <c r="B17" s="9" t="inlineStr">
        <is>
          <t>Project Execution Milestones</t>
        </is>
      </c>
      <c r="C17" s="37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7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7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7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7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7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7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7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7" t="inlineStr">
        <is>
          <t>$1687.5M in liquid bank deposits</t>
        </is>
      </c>
    </row>
    <row r="35">
      <c r="B35" s="9" t="inlineStr">
        <is>
          <t>Undrawn Committed Credit Lines</t>
        </is>
      </c>
      <c r="C35" s="37" t="inlineStr">
        <is>
          <t>$1834.9M in revolving bank facilities</t>
        </is>
      </c>
    </row>
    <row r="36">
      <c r="B36" s="9" t="inlineStr">
        <is>
          <t>Net Debt Headroom</t>
        </is>
      </c>
      <c r="C36" s="37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Unhedged Hydrocarbon Price Sensitivity &amp; Breakeven FCF</t>
        </is>
      </c>
      <c r="C40" s="37" t="inlineStr">
        <is>
          <t>What is the company's unhedged cash Free Cash Flow breakeven Brent crude price after fully accounting for maintenance capex, pipeline tariffs, and debt service for 2025-2026?</t>
        </is>
      </c>
      <c r="F40" s="25" t="inlineStr">
        <is>
          <t>Determines leverage trajectory during commodity down-cycles and confirms debt service headroom below $70/bbl.</t>
        </is>
      </c>
      <c r="H40" s="38" t="inlineStr">
        <is>
          <t>FCF breakeven below $55/bbl warrants High conviction Overweight; breakeven above $72/bbl requires spread buffer &gt;400 bps.</t>
        </is>
      </c>
    </row>
    <row r="41">
      <c r="B41" s="9" t="inlineStr">
        <is>
          <t>State Royalty &amp; Windfall Tax Stability</t>
        </is>
      </c>
      <c r="C41" s="37" t="inlineStr">
        <is>
          <t>Are there ongoing discussions with the host government regarding modifications to hydrocarbon royalty scales, domestic market obligations (DMO), or windfall profit taxes?</t>
        </is>
      </c>
      <c r="F41" s="25" t="inlineStr">
        <is>
          <t>Fiscal terms can shift cash flows overnight in emerging markets, bypassing corporate credit protections.</t>
        </is>
      </c>
      <c r="H41" s="38" t="inlineStr">
        <is>
          <t>Locked multi-year concession terms eliminate fiscal drag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7" t="inlineStr">
        <is>
          <t>2026-11-12</t>
        </is>
      </c>
    </row>
    <row r="47">
      <c r="B47" s="9" t="inlineStr">
        <is>
          <t>Reporting Period</t>
        </is>
      </c>
      <c r="C47" s="37" t="inlineStr">
        <is>
          <t>Q3 2026 / 9M</t>
        </is>
      </c>
    </row>
    <row r="48">
      <c r="B48" s="9" t="inlineStr">
        <is>
          <t>Confirmation Status</t>
        </is>
      </c>
      <c r="C48" s="37" t="inlineStr">
        <is>
          <t>Estimated</t>
        </is>
      </c>
    </row>
    <row r="49">
      <c r="B49" s="9" t="inlineStr">
        <is>
          <t>Conference Call &amp; Webcast Schedule</t>
        </is>
      </c>
      <c r="C49" s="37" t="inlineStr">
        <is>
          <t>14:00 Local / Pre-Market</t>
        </is>
      </c>
    </row>
    <row r="50">
      <c r="B50" s="9" t="inlineStr">
        <is>
          <t>Official IR Portal / Webcast URL</t>
        </is>
      </c>
      <c r="C50" s="37" t="inlineStr">
        <is>
          <t>https://www.google.com/finance/quote/AZULE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2026-10-31T05:16:14Z</dcterms:created>
  <dcterms:modified xmlns:dcterms="http://purl.org/dc/terms/" xmlns:xsi="http://www.w3.org/2001/XMLSchema-instance" xsi:type="dcterms:W3CDTF">2026-10-31T05:16:14Z</dcterms:modified>
</cp:coreProperties>
</file>