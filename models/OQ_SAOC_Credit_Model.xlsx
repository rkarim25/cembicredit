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(+$44.8M)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(+$55.2M)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(+$62.1M)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(+$69.0M)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(+$75.9M)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(+$81.4M)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(+$85.6M)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(+$44.8M)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(+$55.2M)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(+$62.1M)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(+$69.0M)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(+$75.9M)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(+$81.4M)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(+$85.6M)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(OQ) — Institutional Credit Model</t>
        </is>
      </c>
    </row>
    <row r="3">
      <c r="B3" s="2" t="inlineStr">
        <is>
          <t>Sector: Energy | Country: Oman | Rating: BB+ / BBB- | Benchmark: OQGN 5.80% 2033 @ $99.50 (5.90% YTM / +185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Oman's national integrated energy group; downstream Duqm refinery commissioning bolsters cash generation.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OQ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5278.5</v>
      </c>
      <c r="F26" s="7" t="inlineStr">
        <is>
          <t>5.90%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OQ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3519</v>
      </c>
      <c r="F27" s="7" t="inlineStr">
        <is>
          <t>5.15%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2932.5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11315.2</v>
      </c>
      <c r="D16" s="8" t="n">
        <v>13644.8</v>
      </c>
      <c r="E16" s="8" t="n">
        <v>15308.8</v>
      </c>
      <c r="F16" s="8" t="n">
        <v>16640</v>
      </c>
      <c r="G16" s="8" t="n">
        <v>17971.2</v>
      </c>
      <c r="H16" s="8" t="n">
        <v>19136</v>
      </c>
      <c r="I16" s="8" t="n">
        <v>19968</v>
      </c>
    </row>
    <row r="17">
      <c r="B17" s="7" t="inlineStr">
        <is>
          <t>Downstream Refining &amp; Fuel Marketing</t>
        </is>
      </c>
      <c r="C17" s="8" t="n">
        <v>7180.8</v>
      </c>
      <c r="D17" s="8" t="n">
        <v>8659.200000000001</v>
      </c>
      <c r="E17" s="8" t="n">
        <v>9715.200000000001</v>
      </c>
      <c r="F17" s="8" t="n">
        <v>10560</v>
      </c>
      <c r="G17" s="8" t="n">
        <v>11404.8</v>
      </c>
      <c r="H17" s="8" t="n">
        <v>12144</v>
      </c>
      <c r="I17" s="8" t="n">
        <v>12672</v>
      </c>
    </row>
    <row r="18">
      <c r="B18" s="7" t="inlineStr">
        <is>
          <t>Petrochemicals &amp; Gas Processing</t>
        </is>
      </c>
      <c r="C18" s="8" t="n">
        <v>3264</v>
      </c>
      <c r="D18" s="8" t="n">
        <v>3936</v>
      </c>
      <c r="E18" s="8" t="n">
        <v>4416</v>
      </c>
      <c r="F18" s="8" t="n">
        <v>4800</v>
      </c>
      <c r="G18" s="8" t="n">
        <v>5184</v>
      </c>
      <c r="H18" s="8" t="n">
        <v>5520</v>
      </c>
      <c r="I18" s="8" t="n">
        <v>5760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44.8</v>
      </c>
      <c r="D35" s="23" t="n">
        <v>55.2</v>
      </c>
      <c r="E35" s="23" t="n">
        <v>62.1</v>
      </c>
      <c r="F35" s="23" t="n">
        <v>69</v>
      </c>
      <c r="G35" s="23" t="n">
        <v>75.90000000000001</v>
      </c>
      <c r="H35" s="23" t="n">
        <v>81.40000000000001</v>
      </c>
      <c r="I35" s="23" t="n">
        <v>85.59999999999999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(+$44.8M)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(+$55.2M)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(+$62.1M)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(+$69.0M)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(+$75.9M)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(+$81.4M)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(+$85.6M)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32640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7616</v>
      </c>
      <c r="D36" s="8" t="n">
        <v>7616</v>
      </c>
      <c r="E36" s="8" t="n">
        <v>7616</v>
      </c>
      <c r="F36" s="8" t="n">
        <v>7616</v>
      </c>
      <c r="G36" s="8" t="n">
        <v>7616</v>
      </c>
      <c r="H36" s="8" t="n">
        <v>7616</v>
      </c>
      <c r="I36" s="8" t="n">
        <v>7616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-1278.2</v>
      </c>
      <c r="D16" s="8" t="n">
        <v>-2235.6</v>
      </c>
      <c r="E16" s="8" t="n">
        <v>-2515.1</v>
      </c>
      <c r="F16" s="8" t="n">
        <v>-2380.5</v>
      </c>
      <c r="G16" s="8" t="n">
        <v>-2163.2</v>
      </c>
      <c r="H16" s="8" t="n">
        <v>-2320.5</v>
      </c>
      <c r="I16" s="8" t="n">
        <v>-2438.5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1897.5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812.6</v>
      </c>
      <c r="D32" s="8" t="n">
        <v>1718.8</v>
      </c>
      <c r="E32" s="8" t="n">
        <v>1935.6</v>
      </c>
      <c r="F32" s="8" t="n">
        <v>1212</v>
      </c>
      <c r="G32" s="8" t="n">
        <v>1295.9</v>
      </c>
      <c r="H32" s="8" t="n">
        <v>1368.5</v>
      </c>
      <c r="I32" s="8" t="n">
        <v>1419.1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OQ Benchmark Eurobond Notes</t>
        </is>
      </c>
    </row>
    <row r="7">
      <c r="B7" s="7" t="inlineStr">
        <is>
          <t xml:space="preserve">  Beginning Principal Balance</t>
        </is>
      </c>
      <c r="C7" s="8" t="n">
        <v>4486.7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1495.6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997.1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0.0590</f>
        <v/>
      </c>
      <c r="D11" s="8">
        <f>D10 * 0.0590</f>
        <v/>
      </c>
      <c r="E11" s="8">
        <f>E10 * 0.0590</f>
        <v/>
      </c>
      <c r="F11" s="8">
        <f>F10 * 0.0590</f>
        <v/>
      </c>
      <c r="G11" s="8">
        <f>G10 * 0.0590</f>
        <v/>
      </c>
      <c r="H11" s="8">
        <f>H10 * 0.0590</f>
        <v/>
      </c>
      <c r="I11" s="8">
        <f>I10 * 0.0590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5483.8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1407.6</v>
      </c>
      <c r="C32" s="8" t="n">
        <v>2580.6</v>
      </c>
      <c r="D32" s="8" t="n">
        <v>3284.4</v>
      </c>
      <c r="E32" s="8" t="n">
        <v>2111.4</v>
      </c>
      <c r="F32" s="8" t="n">
        <v>1407.6</v>
      </c>
      <c r="G32" s="8" t="n">
        <v>938.4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OQ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5278.5</v>
      </c>
      <c r="F37" s="29" t="inlineStr">
        <is>
          <t>5.900%</t>
        </is>
      </c>
      <c r="G37" s="30" t="n">
        <v>99.5</v>
      </c>
      <c r="H37" s="31" t="n">
        <v>5.9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OQ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3519</v>
      </c>
      <c r="F38" s="29" t="inlineStr">
        <is>
          <t>5.250%</t>
        </is>
      </c>
      <c r="G38" s="30" t="n">
        <v>101.5</v>
      </c>
      <c r="H38" s="31" t="n">
        <v>5.25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1759.5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1173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OQ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3284.4</v>
      </c>
    </row>
    <row r="45">
      <c r="B45" s="7" t="inlineStr">
        <is>
          <t>Drawn Amount ($M)</t>
        </is>
      </c>
      <c r="C45" s="8" t="n">
        <v>1173</v>
      </c>
    </row>
    <row r="46">
      <c r="B46" s="18" t="inlineStr">
        <is>
          <t>AVAILABLE UNDRAWN HEADROOM ($M)</t>
        </is>
      </c>
      <c r="C46" s="19" t="n">
        <v>2111.4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1.80x</t>
        </is>
      </c>
      <c r="E55" s="32" t="inlineStr">
        <is>
          <t>1.95x leverage buffer ($8970.0M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5.80x</t>
        </is>
      </c>
      <c r="E56" s="32" t="inlineStr">
        <is>
          <t>+3.30x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3.1% of Assets</t>
        </is>
      </c>
      <c r="E57" s="32" t="inlineStr">
        <is>
          <t>$7040.0M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5.90%</t>
        </is>
      </c>
      <c r="F6" s="34" t="inlineStr">
        <is>
          <t>4.2x</t>
        </is>
      </c>
      <c r="G6" s="34" t="inlineStr">
        <is>
          <t>$101.50</t>
        </is>
      </c>
      <c r="H6" s="34" t="inlineStr">
        <is>
          <t>+2.0%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7.90%</t>
        </is>
      </c>
      <c r="F7" s="29" t="inlineStr">
        <is>
          <t>3.2x</t>
        </is>
      </c>
      <c r="G7" s="29" t="inlineStr">
        <is>
          <t>$87.75</t>
        </is>
      </c>
      <c r="H7" s="29" t="inlineStr">
        <is>
          <t>-11.8%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$74.00</t>
        </is>
      </c>
      <c r="H8" s="29" t="inlineStr">
        <is>
          <t>-25.6%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4.40%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2932.5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OQ Senior Unsecured Eurobonds</t>
        </is>
      </c>
      <c r="C15" s="8" t="n">
        <v>8797.5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74.0%</t>
        </is>
      </c>
      <c r="G15" s="29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1759.5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4692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8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OQ SAOC (OQ) — Earnings Presentation &amp; Management Guidance</t>
        </is>
      </c>
    </row>
    <row r="3">
      <c r="B3" s="2" t="inlineStr">
        <is>
          <t>Source: OQ SAOC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$34560.0M (+8.0% YoY growth)</t>
        </is>
      </c>
      <c r="D7" s="35" t="inlineStr">
        <is>
          <t>$34080.0M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$34560.0M (+8.0% YoY growth). With current run-rate at $34080.0M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$5060.0M (14.6% margin)</t>
        </is>
      </c>
      <c r="D8" s="35" t="inlineStr">
        <is>
          <t>$4968.0M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$5060.0M (14.6%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1.80x</t>
        </is>
      </c>
      <c r="E9" s="32" t="inlineStr">
        <is>
          <t>Ahead of Target</t>
        </is>
      </c>
      <c r="F9" s="37" t="inlineStr">
        <is>
          <t>Deleveraging on track with 1.95x buffer below covenant limit.
[QUESTION TO CFO TO VERIFY]: You previously committed to a Net Leverage ceiling of &lt; 3.25x Net Debt / EBITDA. Current actual leverage stands at 1.80x.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$1690.5M (Maximum growth and sustaining envelope)</t>
        </is>
      </c>
      <c r="D10" s="35" t="inlineStr">
        <is>
          <t>$1555.3M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$1690.5M (Maximum growth and sustaining envelope). Current commitments stand at $1555.3M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$1610.0M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$3450.0M in liquid bank deposits</t>
        </is>
      </c>
    </row>
    <row r="35">
      <c r="B35" s="9" t="inlineStr">
        <is>
          <t>Undrawn Committed Credit Lines</t>
        </is>
      </c>
      <c r="C35" s="37" t="inlineStr">
        <is>
          <t>$4105.5M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https://www.google.com/finance/quote/OQ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2026-10-28T05:16:59Z</dcterms:created>
  <dcterms:modified xmlns:dcterms="http://purl.org/dc/terms/" xmlns:xsi="http://www.w3.org/2001/XMLSchema-instance" xsi:type="dcterms:W3CDTF">2026-10-28T05:16:59Z</dcterms:modified>
</cp:coreProperties>
</file>