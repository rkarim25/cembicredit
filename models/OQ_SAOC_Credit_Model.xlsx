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OQ SAOC</t>
        </is>
      </c>
    </row>
    <row r="3">
      <c r="B3" s="2" t="inlineStr">
        <is>
          <t>CEMBI CEEMEA Institutional Credit Assessment | Country: Oman (GCC) | Sector: Energy | Benchmark: OQGN 5.80% 2033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OQGN 5.80% 2033</t>
        </is>
      </c>
      <c r="C6" s="5" t="inlineStr">
        <is>
          <t>5.90% (+185 bp)</t>
        </is>
      </c>
      <c r="D6" s="4" t="inlineStr">
        <is>
          <t>BB+ / BBB-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$74.00</t>
        </is>
      </c>
      <c r="D7" s="4" t="inlineStr">
        <is>
          <t>Base Case Fair Value</t>
        </is>
      </c>
      <c r="E7" s="5" t="inlineStr">
        <is>
          <t>$101.50</t>
        </is>
      </c>
    </row>
    <row r="9">
      <c r="B9" s="6" t="inlineStr">
        <is>
          <t>INSTITUTIONAL INVESTMENT THESIS</t>
        </is>
      </c>
    </row>
    <row r="10">
      <c r="B10" s="7" t="inlineStr">
        <is>
          <t>Oman's national integrated energy group; downstream Duqm refinery commissioning bolsters cash generation.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OQ SAOC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21760</v>
      </c>
      <c r="D7" s="13" t="n">
        <v>26240</v>
      </c>
      <c r="E7" s="13" t="n">
        <v>29440</v>
      </c>
      <c r="F7" s="13" t="n">
        <v>32000</v>
      </c>
      <c r="G7" s="14" t="n">
        <v>34560</v>
      </c>
      <c r="H7" s="14" t="n">
        <v>36800</v>
      </c>
      <c r="I7" s="14" t="n">
        <v>38400</v>
      </c>
    </row>
    <row r="8">
      <c r="B8" s="12" t="inlineStr">
        <is>
          <t>EBITDA</t>
        </is>
      </c>
      <c r="C8" s="13" t="n">
        <v>2990</v>
      </c>
      <c r="D8" s="13" t="n">
        <v>3680</v>
      </c>
      <c r="E8" s="13" t="n">
        <v>4140</v>
      </c>
      <c r="F8" s="13" t="n">
        <v>4600</v>
      </c>
      <c r="G8" s="14" t="n">
        <v>5060</v>
      </c>
      <c r="H8" s="14" t="n">
        <v>5428</v>
      </c>
      <c r="I8" s="14" t="n">
        <v>5704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475.9</v>
      </c>
      <c r="D10" s="17" t="n">
        <v>594.8</v>
      </c>
      <c r="E10" s="17" t="n">
        <v>713.8</v>
      </c>
      <c r="F10" s="17" t="n">
        <v>793.1</v>
      </c>
      <c r="G10" s="18" t="n">
        <v>761.4</v>
      </c>
      <c r="H10" s="18" t="n">
        <v>729.7</v>
      </c>
      <c r="I10" s="18" t="n">
        <v>697.9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2424.2</v>
      </c>
      <c r="D12" s="13" t="n">
        <v>3049.8</v>
      </c>
      <c r="E12" s="13" t="n">
        <v>3440.8</v>
      </c>
      <c r="F12" s="13" t="n">
        <v>3910</v>
      </c>
      <c r="G12" s="14" t="n">
        <v>4301</v>
      </c>
      <c r="H12" s="14" t="n">
        <v>4613.8</v>
      </c>
      <c r="I12" s="14" t="n">
        <v>4887.5</v>
      </c>
    </row>
    <row r="13">
      <c r="B13" s="5" t="inlineStr">
        <is>
          <t>Capital Expenditures (Capex)</t>
        </is>
      </c>
      <c r="C13" s="17" t="n">
        <v>1127</v>
      </c>
      <c r="D13" s="17" t="n">
        <v>1368.5</v>
      </c>
      <c r="E13" s="17" t="n">
        <v>1529.5</v>
      </c>
      <c r="F13" s="17" t="n">
        <v>1610</v>
      </c>
      <c r="G13" s="18" t="n">
        <v>1690.5</v>
      </c>
      <c r="H13" s="18" t="n">
        <v>1642.2</v>
      </c>
      <c r="I13" s="18" t="n">
        <v>1577.8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1897.5</v>
      </c>
      <c r="D16" s="13" t="n">
        <v>2415</v>
      </c>
      <c r="E16" s="13" t="n">
        <v>2932.5</v>
      </c>
      <c r="F16" s="13" t="n">
        <v>3450</v>
      </c>
      <c r="G16" s="14" t="n">
        <v>4071</v>
      </c>
      <c r="H16" s="14" t="n">
        <v>4657.5</v>
      </c>
      <c r="I16" s="14" t="n">
        <v>5175</v>
      </c>
    </row>
    <row r="17">
      <c r="B17" s="12" t="inlineStr">
        <is>
          <t>Gross Total Debt</t>
        </is>
      </c>
      <c r="C17" s="13" t="n">
        <v>9970.5</v>
      </c>
      <c r="D17" s="13" t="n">
        <v>10791.6</v>
      </c>
      <c r="E17" s="13" t="n">
        <v>11495.4</v>
      </c>
      <c r="F17" s="13" t="n">
        <v>11730</v>
      </c>
      <c r="G17" s="14" t="n">
        <v>11495.4</v>
      </c>
      <c r="H17" s="14" t="n">
        <v>11143.5</v>
      </c>
      <c r="I17" s="14" t="n">
        <v>10557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OQ SAOC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5.90%</t>
        </is>
      </c>
      <c r="F6" s="21" t="inlineStr">
        <is>
          <t>2028 / 2029</t>
        </is>
      </c>
      <c r="G6" s="17" t="n">
        <v>5278.5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2932.5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1759.5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1173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586.5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2932.5</v>
      </c>
    </row>
    <row r="15">
      <c r="B15" t="inlineStr">
        <is>
          <t>Committed Undrawn RCF Capacity</t>
        </is>
      </c>
      <c r="C15" s="22" t="n">
        <v>1840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2200.7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OQ SAOC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4600</v>
      </c>
      <c r="D6" s="17" t="n">
        <v>3910</v>
      </c>
      <c r="E6" s="25" t="n">
        <v>2990</v>
      </c>
    </row>
    <row r="7">
      <c r="B7" s="5" t="inlineStr">
        <is>
          <t>Free Cash Flow ($M)</t>
        </is>
      </c>
      <c r="C7" s="17" t="n">
        <v>2300</v>
      </c>
      <c r="D7" s="17" t="n">
        <v>1380</v>
      </c>
      <c r="E7" s="25" t="n">
        <v>345</v>
      </c>
    </row>
    <row r="8">
      <c r="B8" s="12" t="inlineStr">
        <is>
          <t>Net Leverage Ratio (x)</t>
        </is>
      </c>
      <c r="C8" s="26" t="n">
        <v>1.8</v>
      </c>
      <c r="D8" s="26" t="n">
        <v>2.25</v>
      </c>
      <c r="E8" s="27" t="n">
        <v>3.33</v>
      </c>
    </row>
    <row r="9">
      <c r="B9" s="5" t="inlineStr">
        <is>
          <t>Interest Coverage Ratio (x)</t>
        </is>
      </c>
      <c r="C9" s="26" t="n">
        <v>5.8</v>
      </c>
      <c r="D9" s="26" t="n">
        <v>4.52</v>
      </c>
      <c r="E9" s="27" t="n">
        <v>2.61</v>
      </c>
    </row>
    <row r="10">
      <c r="B10" s="12" t="inlineStr">
        <is>
          <t>Implied Senior Paper Trading / Recovery ($)</t>
        </is>
      </c>
      <c r="C10" s="12" t="inlineStr">
        <is>
          <t>$101.50</t>
        </is>
      </c>
      <c r="D10" s="12" t="inlineStr">
        <is>
          <t>$86.00</t>
        </is>
      </c>
      <c r="E10" s="28" t="inlineStr">
        <is>
          <t>$74.00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2026-09-19T18:23:34Z</dcterms:created>
  <dcterms:modified xmlns:dcterms="http://purl.org/dc/terms/" xmlns:xsi="http://www.w3.org/2001/XMLSchema-instance" xsi:type="dcterms:W3CDTF">2026-09-19T18:23:34Z</dcterms:modified>
</cp:coreProperties>
</file>