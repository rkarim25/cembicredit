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2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Leverage Commentary (2021A):
Balance sheet liquidity remains strong with conservative short-term debt ratios.</t>
      </text>
    </comment>
    <comment ref="D8" authorId="0" shapeId="0">
      <text>
        <t>CEMBI Credit Desk Leverage Commentary (2022A):
Gross leverage stable; interest coverage remains robust against historic averages.</t>
      </text>
    </comment>
    <comment ref="E8" authorId="0" shapeId="0">
      <text>
        <t>CEMBI Credit Desk Leverage Commentary (2023A):
Prudent debt management preserves active compliance with all debt incurrence covenants.</t>
      </text>
    </comment>
    <comment ref="F8" authorId="0" shapeId="0">
      <text>
        <t>CEMBI Credit Desk Leverage Commentary (2024A):
Credit metrics improve with net leverage trending well below long-term target ceilings.</t>
      </text>
    </comment>
    <comment ref="G8" authorId="0" shapeId="0">
      <text>
        <t>CEMBI Credit Desk Leverage Commentary (2025E):
Net leverage projected to decline steadily, enhancing structural balance sheet resilience.</t>
      </text>
    </comment>
    <comment ref="H8" authorId="0" shapeId="0">
      <text>
        <t>CEMBI Credit Desk Leverage Commentary (2026E):
Credit ratios strengthen significantly, expanding headroom under all maintenance covenants.</t>
      </text>
    </comment>
    <comment ref="I8" authorId="0" shapeId="0">
      <text>
        <t>CEMBI Credit Desk Leverage Commentary (2027E):
Conservative leverage profile with strong liquidity buffers ensuring full financial flexibility.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OQ SAOC (OQ) — Institutional Credit Model</t>
        </is>
      </c>
    </row>
    <row r="3">
      <c r="B3" s="2" t="inlineStr">
        <is>
          <t>Sector: Energy | Country: Oman | Rating: BB+ / BBB- | Benchmark: OQGN 5.80% 2033 @ $99.50 (5.90% YTM / +185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Oman's national integrated energy group; downstream Duqm refinery commissioning bolsters cash generation.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OQ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5278.5</v>
      </c>
      <c r="F26" s="7" t="inlineStr">
        <is>
          <t>5.90%</t>
        </is>
      </c>
      <c r="G26" s="7" t="inlineStr">
        <is>
          <t>$99.50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OQ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3519</v>
      </c>
      <c r="F27" s="7" t="inlineStr">
        <is>
          <t>5.15%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2932.5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OQ SAOC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11315.2</v>
      </c>
      <c r="D16" s="8" t="n">
        <v>13644.8</v>
      </c>
      <c r="E16" s="8" t="n">
        <v>15308.8</v>
      </c>
      <c r="F16" s="8" t="n">
        <v>16640</v>
      </c>
      <c r="G16" s="8" t="n">
        <v>17971.2</v>
      </c>
      <c r="H16" s="8" t="n">
        <v>19136</v>
      </c>
      <c r="I16" s="8" t="n">
        <v>19968</v>
      </c>
    </row>
    <row r="17">
      <c r="B17" s="7" t="inlineStr">
        <is>
          <t>Downstream Refining &amp; Fuel Marketing</t>
        </is>
      </c>
      <c r="C17" s="8" t="n">
        <v>7180.8</v>
      </c>
      <c r="D17" s="8" t="n">
        <v>8659.200000000001</v>
      </c>
      <c r="E17" s="8" t="n">
        <v>9715.200000000001</v>
      </c>
      <c r="F17" s="8" t="n">
        <v>10560</v>
      </c>
      <c r="G17" s="8" t="n">
        <v>11404.8</v>
      </c>
      <c r="H17" s="8" t="n">
        <v>12144</v>
      </c>
      <c r="I17" s="8" t="n">
        <v>12672</v>
      </c>
    </row>
    <row r="18">
      <c r="B18" s="7" t="inlineStr">
        <is>
          <t>Petrochemicals &amp; Gas Processing</t>
        </is>
      </c>
      <c r="C18" s="8" t="n">
        <v>3264</v>
      </c>
      <c r="D18" s="8" t="n">
        <v>3936</v>
      </c>
      <c r="E18" s="8" t="n">
        <v>4416</v>
      </c>
      <c r="F18" s="8" t="n">
        <v>4800</v>
      </c>
      <c r="G18" s="8" t="n">
        <v>5184</v>
      </c>
      <c r="H18" s="8" t="n">
        <v>5520</v>
      </c>
      <c r="I18" s="8" t="n">
        <v>5760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OQ SAOC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OQ SAOC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32640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7616</v>
      </c>
      <c r="D36" s="8" t="n">
        <v>7616</v>
      </c>
      <c r="E36" s="8" t="n">
        <v>7616</v>
      </c>
      <c r="F36" s="8" t="n">
        <v>7616</v>
      </c>
      <c r="G36" s="8" t="n">
        <v>7616</v>
      </c>
      <c r="H36" s="8" t="n">
        <v>7616</v>
      </c>
      <c r="I36" s="8" t="n">
        <v>7616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3">
        <f>C21 - C39</f>
        <v/>
      </c>
      <c r="D41" s="23">
        <f>D21 - D39</f>
        <v/>
      </c>
      <c r="E41" s="23">
        <f>E21 - E39</f>
        <v/>
      </c>
      <c r="F41" s="23">
        <f>F21 - F39</f>
        <v/>
      </c>
      <c r="G41" s="23">
        <f>G21 - G39</f>
        <v/>
      </c>
      <c r="H41" s="23">
        <f>H21 - H39</f>
        <v/>
      </c>
      <c r="I41" s="23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OQ SAOC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-1127</v>
      </c>
      <c r="D16" s="8" t="n">
        <v>-1368.5</v>
      </c>
      <c r="E16" s="8" t="n">
        <v>-1529.5</v>
      </c>
      <c r="F16" s="8" t="n">
        <v>-1610</v>
      </c>
      <c r="G16" s="8" t="n">
        <v>-1690.5</v>
      </c>
      <c r="H16" s="8" t="n">
        <v>-1642.2</v>
      </c>
      <c r="I16" s="8" t="n">
        <v>-1577.8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1897.5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14" t="inlineStr">
        <is>
          <t>FREE CASH FLOW (FCF = CFO + Capex)</t>
        </is>
      </c>
      <c r="C28" s="15">
        <f>C14 + C16</f>
        <v/>
      </c>
      <c r="D28" s="15">
        <f>D14 + D16</f>
        <v/>
      </c>
      <c r="E28" s="15">
        <f>E14 + E16</f>
        <v/>
      </c>
      <c r="F28" s="15">
        <f>F14 + F16</f>
        <v/>
      </c>
      <c r="G28" s="15">
        <f>G14 + G16</f>
        <v/>
      </c>
      <c r="H28" s="15">
        <f>H14 + H16</f>
        <v/>
      </c>
      <c r="I28" s="15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OQ SAOC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OQ Benchmark Eurobond Notes</t>
        </is>
      </c>
    </row>
    <row r="7">
      <c r="B7" s="7" t="inlineStr">
        <is>
          <t xml:space="preserve">  Beginning Principal Balance</t>
        </is>
      </c>
      <c r="C7" s="8" t="n">
        <v>4486.7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1495.6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997.1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0.0590</f>
        <v/>
      </c>
      <c r="D11" s="8">
        <f>D10 * 0.0590</f>
        <v/>
      </c>
      <c r="E11" s="8">
        <f>E10 * 0.0590</f>
        <v/>
      </c>
      <c r="F11" s="8">
        <f>F10 * 0.0590</f>
        <v/>
      </c>
      <c r="G11" s="8">
        <f>G10 * 0.0590</f>
        <v/>
      </c>
      <c r="H11" s="8">
        <f>H10 * 0.0590</f>
        <v/>
      </c>
      <c r="I11" s="8">
        <f>I10 * 0.0590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5483.8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4" t="inlineStr">
        <is>
          <t>2025</t>
        </is>
      </c>
      <c r="C31" s="24" t="inlineStr">
        <is>
          <t>2026</t>
        </is>
      </c>
      <c r="D31" s="24" t="inlineStr">
        <is>
          <t>2027</t>
        </is>
      </c>
      <c r="E31" s="24" t="inlineStr">
        <is>
          <t>2028</t>
        </is>
      </c>
      <c r="F31" s="24" t="inlineStr">
        <is>
          <t>2029</t>
        </is>
      </c>
      <c r="G31" s="24" t="inlineStr">
        <is>
          <t>2030+</t>
        </is>
      </c>
    </row>
    <row r="32">
      <c r="B32" s="8" t="n">
        <v>1407.6</v>
      </c>
      <c r="C32" s="8" t="n">
        <v>2580.6</v>
      </c>
      <c r="D32" s="8" t="n">
        <v>3284.4</v>
      </c>
      <c r="E32" s="8" t="n">
        <v>2111.4</v>
      </c>
      <c r="F32" s="8" t="n">
        <v>1407.6</v>
      </c>
      <c r="G32" s="8" t="n">
        <v>938.4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OQ Benchmark Senior Notes</t>
        </is>
      </c>
      <c r="C37" s="7" t="inlineStr">
        <is>
          <t>Senior Unsecured RegS/144A Eurobond</t>
        </is>
      </c>
      <c r="D37" s="25" t="inlineStr">
        <is>
          <t>USD</t>
        </is>
      </c>
      <c r="E37" s="20" t="n">
        <v>5278.5</v>
      </c>
      <c r="F37" s="26" t="inlineStr">
        <is>
          <t>5.900%</t>
        </is>
      </c>
      <c r="G37" s="27" t="n">
        <v>99.5</v>
      </c>
      <c r="H37" s="28" t="n">
        <v>5.9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OQ Secondary Eurobond / Sukuk Tranche 2</t>
        </is>
      </c>
      <c r="C38" s="7" t="inlineStr">
        <is>
          <t>Senior Unsecured Notes</t>
        </is>
      </c>
      <c r="D38" s="25" t="inlineStr">
        <is>
          <t>USD</t>
        </is>
      </c>
      <c r="E38" s="20" t="n">
        <v>3519</v>
      </c>
      <c r="F38" s="26" t="inlineStr">
        <is>
          <t>5.250%</t>
        </is>
      </c>
      <c r="G38" s="27" t="n">
        <v>101.5</v>
      </c>
      <c r="H38" s="28" t="n">
        <v>5.25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5" t="inlineStr">
        <is>
          <t>USD / EUR</t>
        </is>
      </c>
      <c r="E39" s="20" t="n">
        <v>1759.5</v>
      </c>
      <c r="F39" s="26" t="inlineStr">
        <is>
          <t>SOFR + 185 bps</t>
        </is>
      </c>
      <c r="G39" s="27" t="n">
        <v>100</v>
      </c>
      <c r="H39" s="28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5" t="inlineStr">
        <is>
          <t>USD</t>
        </is>
      </c>
      <c r="E40" s="20" t="n">
        <v>1173</v>
      </c>
      <c r="F40" s="26" t="inlineStr">
        <is>
          <t>SOFR + 150 bps</t>
        </is>
      </c>
      <c r="G40" s="27" t="n">
        <v>100</v>
      </c>
      <c r="H40" s="28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OQ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3284.4</v>
      </c>
    </row>
    <row r="45">
      <c r="B45" s="7" t="inlineStr">
        <is>
          <t>Drawn Amount ($M)</t>
        </is>
      </c>
      <c r="C45" s="8" t="n">
        <v>1173</v>
      </c>
    </row>
    <row r="46">
      <c r="B46" s="18" t="inlineStr">
        <is>
          <t>AVAILABLE UNDRAWN HEADROOM ($M)</t>
        </is>
      </c>
      <c r="C46" s="19" t="n">
        <v>2111.4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5" t="inlineStr">
        <is>
          <t>3.75x</t>
        </is>
      </c>
      <c r="D55" s="29" t="inlineStr">
        <is>
          <t>1.80x</t>
        </is>
      </c>
      <c r="E55" s="30" t="inlineStr">
        <is>
          <t>1.95x leverage buffer ($8970.0M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5" t="inlineStr">
        <is>
          <t>2.50x</t>
        </is>
      </c>
      <c r="D56" s="29" t="inlineStr">
        <is>
          <t>5.80x</t>
        </is>
      </c>
      <c r="E56" s="30" t="inlineStr">
        <is>
          <t>+3.30x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5" t="inlineStr">
        <is>
          <t>15.0% of Consolidated Total Tangible Assets</t>
        </is>
      </c>
      <c r="D57" s="29" t="inlineStr">
        <is>
          <t>3.1% of Assets</t>
        </is>
      </c>
      <c r="E57" s="30" t="inlineStr">
        <is>
          <t>$7040.0M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5" t="inlineStr">
        <is>
          <t>101.00% Redemption</t>
        </is>
      </c>
      <c r="D58" s="29" t="inlineStr">
        <is>
          <t>N/A (Inactive)</t>
        </is>
      </c>
      <c r="E58" s="30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5" t="inlineStr">
        <is>
          <t>Builder Basket</t>
        </is>
      </c>
      <c r="D59" s="29" t="inlineStr">
        <is>
          <t>Within Capacity</t>
        </is>
      </c>
      <c r="E59" s="30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5" t="inlineStr">
        <is>
          <t>$50.0M threshold triggering cross-acceleration across all senior Eurobonds and syndicated loans.</t>
        </is>
      </c>
      <c r="D60" s="29" t="inlineStr">
        <is>
          <t>Zero Defaults</t>
        </is>
      </c>
      <c r="E60" s="30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OQ SAOC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EBITDA)</t>
        </is>
      </c>
      <c r="C8" s="31">
        <f>'Debt Schedule &amp; Tranches'!C26 / 'Income Statement (P&amp;L)'!C22</f>
        <v/>
      </c>
      <c r="D8" s="31">
        <f>'Debt Schedule &amp; Tranches'!D26 / 'Income Statement (P&amp;L)'!D22</f>
        <v/>
      </c>
      <c r="E8" s="31">
        <f>'Debt Schedule &amp; Tranches'!E26 / 'Income Statement (P&amp;L)'!E22</f>
        <v/>
      </c>
      <c r="F8" s="31">
        <f>'Debt Schedule &amp; Tranches'!F26 / 'Income Statement (P&amp;L)'!F22</f>
        <v/>
      </c>
      <c r="G8" s="31">
        <f>'Debt Schedule &amp; Tranches'!G26 / 'Income Statement (P&amp;L)'!G22</f>
        <v/>
      </c>
      <c r="H8" s="31">
        <f>'Debt Schedule &amp; Tranches'!H26 / 'Income Statement (P&amp;L)'!H22</f>
        <v/>
      </c>
      <c r="I8" s="31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8" t="inlineStr">
        <is>
          <t>EBITDA INTEREST COVERAGE</t>
        </is>
      </c>
      <c r="C10" s="31">
        <f>'Income Statement (P&amp;L)'!C22 / 'Debt Schedule &amp; Tranches'!C28</f>
        <v/>
      </c>
      <c r="D10" s="31">
        <f>'Income Statement (P&amp;L)'!D22 / 'Debt Schedule &amp; Tranches'!D28</f>
        <v/>
      </c>
      <c r="E10" s="31">
        <f>'Income Statement (P&amp;L)'!E22 / 'Debt Schedule &amp; Tranches'!E28</f>
        <v/>
      </c>
      <c r="F10" s="31">
        <f>'Income Statement (P&amp;L)'!F22 / 'Debt Schedule &amp; Tranches'!F28</f>
        <v/>
      </c>
      <c r="G10" s="31">
        <f>'Income Statement (P&amp;L)'!G22 / 'Debt Schedule &amp; Tranches'!G28</f>
        <v/>
      </c>
      <c r="H10" s="31">
        <f>'Income Statement (P&amp;L)'!H22 / 'Debt Schedule &amp; Tranches'!H28</f>
        <v/>
      </c>
      <c r="I10" s="31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OQ SAOC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4" t="inlineStr">
        <is>
          <t>Scenario Name</t>
        </is>
      </c>
      <c r="C5" s="24" t="inlineStr">
        <is>
          <t>Revenue Drop</t>
        </is>
      </c>
      <c r="D5" s="24" t="inlineStr">
        <is>
          <t>Margin Compression</t>
        </is>
      </c>
      <c r="E5" s="24" t="inlineStr">
        <is>
          <t>Refinancing Rate</t>
        </is>
      </c>
      <c r="F5" s="24" t="inlineStr">
        <is>
          <t>Exit EV Multiple</t>
        </is>
      </c>
      <c r="G5" s="24" t="inlineStr">
        <is>
          <t>Implied Recovery Px</t>
        </is>
      </c>
      <c r="H5" s="24" t="inlineStr">
        <is>
          <t>Upside / Downside</t>
        </is>
      </c>
    </row>
    <row r="6">
      <c r="B6" s="18" t="inlineStr">
        <is>
          <t>Base Case (Consensus Forecast)</t>
        </is>
      </c>
      <c r="C6" s="32" t="inlineStr">
        <is>
          <t>0.0%</t>
        </is>
      </c>
      <c r="D6" s="32" t="inlineStr">
        <is>
          <t>0 bp</t>
        </is>
      </c>
      <c r="E6" s="32" t="inlineStr">
        <is>
          <t>5.90%</t>
        </is>
      </c>
      <c r="F6" s="32" t="inlineStr">
        <is>
          <t>4.2x</t>
        </is>
      </c>
      <c r="G6" s="32" t="inlineStr">
        <is>
          <t>$101.50</t>
        </is>
      </c>
      <c r="H6" s="32" t="inlineStr">
        <is>
          <t>+2.0%</t>
        </is>
      </c>
    </row>
    <row r="7">
      <c r="B7" s="7" t="inlineStr">
        <is>
          <t>Downside Stress Case (Recession)</t>
        </is>
      </c>
      <c r="C7" s="26" t="inlineStr">
        <is>
          <t>-15.0%</t>
        </is>
      </c>
      <c r="D7" s="26" t="inlineStr">
        <is>
          <t>-300 bp</t>
        </is>
      </c>
      <c r="E7" s="26" t="inlineStr">
        <is>
          <t>7.90%</t>
        </is>
      </c>
      <c r="F7" s="26" t="inlineStr">
        <is>
          <t>3.2x</t>
        </is>
      </c>
      <c r="G7" s="26" t="inlineStr">
        <is>
          <t>$87.75</t>
        </is>
      </c>
      <c r="H7" s="26" t="inlineStr">
        <is>
          <t>-11.8%</t>
        </is>
      </c>
    </row>
    <row r="8">
      <c r="B8" s="7" t="inlineStr">
        <is>
          <t>Severe Distressed Floor (Liquidation)</t>
        </is>
      </c>
      <c r="C8" s="26" t="inlineStr">
        <is>
          <t>-35.0%</t>
        </is>
      </c>
      <c r="D8" s="26" t="inlineStr">
        <is>
          <t>-650 bp</t>
        </is>
      </c>
      <c r="E8" s="26" t="inlineStr">
        <is>
          <t>+500 bp spread</t>
        </is>
      </c>
      <c r="F8" s="26" t="inlineStr">
        <is>
          <t>Liquidation Value</t>
        </is>
      </c>
      <c r="G8" s="26" t="inlineStr">
        <is>
          <t>$74.00</t>
        </is>
      </c>
      <c r="H8" s="26" t="inlineStr">
        <is>
          <t>-25.6%</t>
        </is>
      </c>
    </row>
    <row r="9">
      <c r="B9" s="7" t="inlineStr">
        <is>
          <t>Bull Case (Cycle Peak / Accretion)</t>
        </is>
      </c>
      <c r="C9" s="26" t="inlineStr">
        <is>
          <t>+12.0%</t>
        </is>
      </c>
      <c r="D9" s="26" t="inlineStr">
        <is>
          <t>+200 bp</t>
        </is>
      </c>
      <c r="E9" s="26" t="inlineStr">
        <is>
          <t>4.40%</t>
        </is>
      </c>
      <c r="F9" s="26" t="inlineStr">
        <is>
          <t>5.7x</t>
        </is>
      </c>
      <c r="G9" s="26" t="inlineStr">
        <is>
          <t>$105.00</t>
        </is>
      </c>
      <c r="H9" s="26" t="inlineStr">
        <is>
          <t>+5.5%</t>
        </is>
      </c>
    </row>
    <row r="10"/>
    <row r="11"/>
    <row r="12">
      <c r="B12" s="3" t="inlineStr">
        <is>
          <t>II. PRIORITY CLAIM LIQUIDATION WATERFALL</t>
        </is>
      </c>
    </row>
    <row r="13">
      <c r="B13" s="24" t="inlineStr">
        <is>
          <t>Tranche Claim</t>
        </is>
      </c>
      <c r="C13" s="24" t="inlineStr">
        <is>
          <t>Claim Amount ($M)</t>
        </is>
      </c>
      <c r="D13" s="24" t="inlineStr">
        <is>
          <t>Seniority Ranking</t>
        </is>
      </c>
      <c r="E13" s="24" t="inlineStr">
        <is>
          <t>Estimated Collateral</t>
        </is>
      </c>
      <c r="F13" s="24" t="inlineStr">
        <is>
          <t>Recovery Floor (%)</t>
        </is>
      </c>
      <c r="G13" s="24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2932.5</v>
      </c>
      <c r="D14" s="7" t="inlineStr">
        <is>
          <t>Senior Secured (Pari Passu)</t>
        </is>
      </c>
      <c r="E14" s="7" t="inlineStr">
        <is>
          <t>First Lien Fixed Charges</t>
        </is>
      </c>
      <c r="F14" s="26" t="inlineStr">
        <is>
          <t>100.0%</t>
        </is>
      </c>
      <c r="G14" s="26" t="inlineStr">
        <is>
          <t>100.0%</t>
        </is>
      </c>
    </row>
    <row r="15">
      <c r="B15" s="7" t="inlineStr">
        <is>
          <t>OQ Senior Unsecured Eurobonds</t>
        </is>
      </c>
      <c r="C15" s="8" t="n">
        <v>8797.5</v>
      </c>
      <c r="D15" s="7" t="inlineStr">
        <is>
          <t>Senior Unsecured</t>
        </is>
      </c>
      <c r="E15" s="7" t="inlineStr">
        <is>
          <t>General Corporate Guarantee</t>
        </is>
      </c>
      <c r="F15" s="26" t="inlineStr">
        <is>
          <t>74.0%</t>
        </is>
      </c>
      <c r="G15" s="26" t="inlineStr">
        <is>
          <t>101.5%</t>
        </is>
      </c>
    </row>
    <row r="16">
      <c r="B16" s="7" t="inlineStr">
        <is>
          <t>Subordinated Debt &amp; Intercompany Notes</t>
        </is>
      </c>
      <c r="C16" s="8" t="n">
        <v>1759.5</v>
      </c>
      <c r="D16" s="7" t="inlineStr">
        <is>
          <t>Subordinated</t>
        </is>
      </c>
      <c r="E16" s="7" t="inlineStr">
        <is>
          <t>Junior Unsecured Claim</t>
        </is>
      </c>
      <c r="F16" s="26" t="inlineStr">
        <is>
          <t>0.0%</t>
        </is>
      </c>
      <c r="G16" s="26" t="inlineStr">
        <is>
          <t>25.0%</t>
        </is>
      </c>
    </row>
    <row r="17">
      <c r="B17" s="7" t="inlineStr">
        <is>
          <t>Equity Shareholders</t>
        </is>
      </c>
      <c r="C17" s="8" t="n">
        <v>4692</v>
      </c>
      <c r="D17" s="7" t="inlineStr">
        <is>
          <t>Residual Equity</t>
        </is>
      </c>
      <c r="E17" s="7" t="inlineStr">
        <is>
          <t>Ordinary Shares</t>
        </is>
      </c>
      <c r="F17" s="26" t="inlineStr">
        <is>
          <t>0.0%</t>
        </is>
      </c>
      <c r="G17" s="26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/ DIFC / NY Jurisdiction.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6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88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OQ SAOC (OQ) — Earnings Presentation &amp; Management Guidance</t>
        </is>
      </c>
    </row>
    <row r="3">
      <c r="B3" s="2" t="inlineStr">
        <is>
          <t>Source: OQ SAOC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$34560.0M (+8.0% YoY growth)</t>
        </is>
      </c>
      <c r="D7" s="33" t="inlineStr">
        <is>
          <t>$34080.0M (+6.5% YoY)</t>
        </is>
      </c>
      <c r="E7" s="34" t="inlineStr">
        <is>
          <t>On Track</t>
        </is>
      </c>
      <c r="F7" s="35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$5060.0M (14.6% margin)</t>
        </is>
      </c>
      <c r="D8" s="33" t="inlineStr">
        <is>
          <t>$4968.0M</t>
        </is>
      </c>
      <c r="E8" s="34" t="inlineStr">
        <is>
          <t>On Track</t>
        </is>
      </c>
      <c r="F8" s="35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3" t="inlineStr">
        <is>
          <t>1.80x</t>
        </is>
      </c>
      <c r="E9" s="30" t="inlineStr">
        <is>
          <t>Ahead of Target</t>
        </is>
      </c>
      <c r="F9" s="35" t="inlineStr">
        <is>
          <t>Deleveraging on track with 1.95x buffer below covenant limit.</t>
        </is>
      </c>
    </row>
    <row r="10">
      <c r="B10" s="9" t="inlineStr">
        <is>
          <t>2025E Strategic Capex Envelope</t>
        </is>
      </c>
      <c r="C10" s="9" t="inlineStr">
        <is>
          <t>$1690.5M (Maximum growth and sustaining envelope)</t>
        </is>
      </c>
      <c r="D10" s="33" t="inlineStr">
        <is>
          <t>$1555.3M committed</t>
        </is>
      </c>
      <c r="E10" s="34" t="inlineStr">
        <is>
          <t>On Track</t>
        </is>
      </c>
      <c r="F10" s="35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3" t="inlineStr">
        <is>
          <t>35% payout policy maintained</t>
        </is>
      </c>
      <c r="E11" s="34" t="inlineStr">
        <is>
          <t>On Track</t>
        </is>
      </c>
      <c r="F11" s="35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5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5" t="inlineStr">
        <is>
          <t>$1610.0M (55% sustaining maintenance / 45% strategic growth)</t>
        </is>
      </c>
    </row>
    <row r="17">
      <c r="B17" s="9" t="inlineStr">
        <is>
          <t>Project Execution Milestones</t>
        </is>
      </c>
      <c r="C17" s="35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5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5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5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5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5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5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5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5" t="inlineStr">
        <is>
          <t>$3450.0M in liquid bank deposits</t>
        </is>
      </c>
    </row>
    <row r="35">
      <c r="B35" s="9" t="inlineStr">
        <is>
          <t>Undrawn Committed Credit Lines</t>
        </is>
      </c>
      <c r="C35" s="35" t="inlineStr">
        <is>
          <t>$4105.5M in revolving bank facilities</t>
        </is>
      </c>
    </row>
    <row r="36">
      <c r="B36" s="9" t="inlineStr">
        <is>
          <t>Net Debt Headroom</t>
        </is>
      </c>
      <c r="C36" s="35" t="inlineStr">
        <is>
          <t>Conservative liquidity buffer providing over 30 months of debt service coverage</t>
        </is>
      </c>
    </row>
  </sheetData>
  <mergeCells count="24">
    <mergeCell ref="C36:I36"/>
    <mergeCell ref="C23:I23"/>
    <mergeCell ref="F9:I9"/>
    <mergeCell ref="C17:I17"/>
    <mergeCell ref="B3:I3"/>
    <mergeCell ref="C28:I28"/>
    <mergeCell ref="C18:I18"/>
    <mergeCell ref="B2:I2"/>
    <mergeCell ref="F11:I11"/>
    <mergeCell ref="C34:I34"/>
    <mergeCell ref="C24:I24"/>
    <mergeCell ref="C30:I30"/>
    <mergeCell ref="C15:I15"/>
    <mergeCell ref="C33:I33"/>
    <mergeCell ref="F10:I10"/>
    <mergeCell ref="C14:I14"/>
    <mergeCell ref="F7:I7"/>
    <mergeCell ref="C35:I35"/>
    <mergeCell ref="C29:I29"/>
    <mergeCell ref="C16:I16"/>
    <mergeCell ref="C22:I22"/>
    <mergeCell ref="F8:I8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2026-09-19T21:34:14Z</dcterms:created>
  <dcterms:modified xmlns:dcterms="http://purl.org/dc/terms/" xmlns:xsi="http://www.w3.org/2001/XMLSchema-instance" xsi:type="dcterms:W3CDTF">2026-09-19T21:34:14Z</dcterms:modified>
</cp:coreProperties>
</file>