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36" authorId="0" shapeId="0">
      <text>
        <t>CEMBI Credit Desk EBITDA Audit (2021A):
Cognitive Credit derived EBITDA versus company-reported (adjusted) EBITDA; difference = company adjustments.</t>
      </text>
    </comment>
    <comment ref="D36" authorId="0" shapeId="0">
      <text>
        <t>CEMBI Credit Desk EBITDA Audit (2022A):
Cognitive Credit derived EBITDA versus company-reported (adjusted) EBITDA; difference = company adjustments.</t>
      </text>
    </comment>
    <comment ref="E36" authorId="0" shapeId="0">
      <text>
        <t>CEMBI Credit Desk EBITDA Audit (2023A):
Cognitive Credit derived EBITDA versus company-reported (adjusted) EBITDA; difference = company adjustments.</t>
      </text>
    </comment>
    <comment ref="F36" authorId="0" shapeId="0">
      <text>
        <t>CEMBI Credit Desk EBITDA Audit (2024A):
Cognitive Credit derived EBITDA versus company-reported (adjusted) EBITDA; difference = company adjustments.</t>
      </text>
    </comment>
    <comment ref="G36" authorId="0" shapeId="0">
      <text>
        <t>CEMBI Credit Desk EBITDA Audit (2025E):
Cognitive Credit derived EBITDA versus company-reported (adjusted) EBITDA; difference = company adjustments.</t>
      </text>
    </comment>
    <comment ref="H36" authorId="0" shapeId="0">
      <text>
        <t>CEMBI Credit Desk EBITDA Audit (2026E):
Cognitive Credit derived EBITDA versus company-reported (adjusted) EBITDA; difference = company adjustments.</t>
      </text>
    </comment>
    <comment ref="I36" authorId="0" shapeId="0">
      <text>
        <t>CEMBI Credit Desk EBITDA Audit (2027E):
Cognitive Credit derived EBITDA versus company-reported (adjusted) EBITDA; difference = company adjustments.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FCF generation of $1871.4M after capex, interest, working capital, and tax.</t>
      </text>
    </comment>
    <comment ref="D34" authorId="0" shapeId="0">
      <text>
        <t>CEMBI Credit Desk FCF Bridge (2022A):
Formula: EBITDA - Capex - Cash Interest - ΔNWC - Tax
FCF generation of $188.4M after capex, interest, working capital, and tax.</t>
      </text>
    </comment>
    <comment ref="E34" authorId="0" shapeId="0">
      <text>
        <t>CEMBI Credit Desk FCF Bridge (2023A):
Formula: EBITDA - Capex - Cash Interest - ΔNWC - Tax
FCF generation of $6544.0M after capex, interest, working capital, and tax.</t>
      </text>
    </comment>
    <comment ref="F34" authorId="0" shapeId="0">
      <text>
        <t>CEMBI Credit Desk FCF Bridge (2024A):
Formula: EBITDA - Capex - Cash Interest - ΔNWC - Tax
FCF generation of $-871.4M after capex, interest, working capital, and tax.</t>
      </text>
    </comment>
    <comment ref="G34" authorId="0" shapeId="0">
      <text>
        <t>CEMBI Credit Desk FCF Bridge (2025E):
Formula: EBITDA - Capex - Cash Interest - ΔNWC - Tax
FCF generation of $2871.1M after capex, interest, working capital, and tax.</t>
      </text>
    </comment>
    <comment ref="H34" authorId="0" shapeId="0">
      <text>
        <t>CEMBI Credit Desk FCF Bridge (2026E):
Formula: EBITDA - Capex - Cash Interest - ΔNWC - Tax
FCF generation of $10523.5M after capex, interest, working capital, and tax.</t>
      </text>
    </comment>
    <comment ref="I34" authorId="0" shapeId="0">
      <text>
        <t>CEMBI Credit Desk FCF Bridge (2027E):
Formula: EBITDA - Capex - Cash Interest - ΔNWC - Tax
FCF generation of $3174.0M after capex, interest, working capital, and tax.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9" authorId="0" shapeId="0">
      <text>
        <t>CEMBI Credit Desk Reported Leverage Commentary (2021A):
Cognitive Credit derived EBITDA versus company-reported (adjusted) EBITDA; difference = company adjustments.</t>
      </text>
    </comment>
    <comment ref="D9" authorId="0" shapeId="0">
      <text>
        <t>CEMBI Credit Desk Reported Leverage Commentary (2022A):
Cognitive Credit derived EBITDA versus company-reported (adjusted) EBITDA; difference = company adjustments.</t>
      </text>
    </comment>
    <comment ref="E9" authorId="0" shapeId="0">
      <text>
        <t>CEMBI Credit Desk Reported Leverage Commentary (2023A):
Cognitive Credit derived EBITDA versus company-reported (adjusted) EBITDA; difference = company adjustments.</t>
      </text>
    </comment>
    <comment ref="F9" authorId="0" shapeId="0">
      <text>
        <t>CEMBI Credit Desk Reported Leverage Commentary (2024A):
Cognitive Credit derived EBITDA versus company-reported (adjusted) EBITDA; difference = company adjustments.</t>
      </text>
    </comment>
    <comment ref="G9" authorId="0" shapeId="0">
      <text>
        <t>CEMBI Credit Desk Reported Leverage Commentary (2025E):
Cognitive Credit derived EBITDA versus company-reported (adjusted) EBITDA; difference = company adjustments.</t>
      </text>
    </comment>
    <comment ref="H9" authorId="0" shapeId="0">
      <text>
        <t>CEMBI Credit Desk Reported Leverage Commentary (2026E):
Cognitive Credit derived EBITDA versus company-reported (adjusted) EBITDA; difference = company adjustments.</t>
      </text>
    </comment>
    <comment ref="I9" authorId="0" shapeId="0">
      <text>
        <t>CEMBI Credit Desk Reported Leverage Commentary (2027E):
Cognitive Credit derived EBITDA versus company-reported (adjusted) EBITDA; difference = company adjustments.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Braskem S.A. (BRASKM) — Institutional Credit Model</t>
        </is>
      </c>
    </row>
    <row r="3">
      <c r="B3" s="2" t="inlineStr">
        <is>
          <t>Sector: Materials | Country: Brazil | Rating: RD / D | Benchmark: BRASKM 4.500% 2030 @ $48.60 (19.80% YTM / +1580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Braskem's irreplaceable domestic infrastructure (4 integrated petrochemical complexes, 70% Brazilian resin share) and strategic feedstock integration with Petrobras provide an unbreachable operational floor. Under our Base Case recovery analysis (5.0x mid-cycle EBITDA of $1,400M = $7,000M EV + $900M cash), Senior Unsecured Eurobonds and Debentures recover 66.3 cents on the dollar ($63–$70c range). Trading at 45–56c, Senior Unsecured notes offer compelling +35% to +45% asymmetric upside. Conversely, Subordinated 2081 Hybrid notes (trading at 31.8c) face severe impairment (10–18c) under absolute priority, making the 2081 an attractive funding short or underweight.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BRASKM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33174.9</v>
      </c>
      <c r="F26" s="7" t="inlineStr">
        <is>
          <t>19.80%</t>
        </is>
      </c>
      <c r="G26" s="7" t="inlineStr">
        <is>
          <t>$48.60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BRASKM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22116.6</v>
      </c>
      <c r="F27" s="7" t="inlineStr">
        <is>
          <t>19.05%</t>
        </is>
      </c>
      <c r="G27" s="7" t="inlineStr">
        <is>
          <t>$51.10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18430.5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Braskem S.A.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Run-of-Mine Ore / Material Output (Mt)</t>
        </is>
      </c>
      <c r="C6" s="13" t="n">
        <v>14.5</v>
      </c>
      <c r="D6" s="13" t="n">
        <v>15.2</v>
      </c>
      <c r="E6" s="13" t="n">
        <v>16</v>
      </c>
      <c r="F6" s="13" t="n">
        <v>16.8</v>
      </c>
      <c r="G6" s="13" t="n">
        <v>17.5</v>
      </c>
      <c r="H6" s="13" t="n">
        <v>18.2</v>
      </c>
      <c r="I6" s="13" t="n">
        <v>19</v>
      </c>
    </row>
    <row r="7">
      <c r="B7" s="7" t="inlineStr">
        <is>
          <t>Finished Commercial Shipments (Mt)</t>
        </is>
      </c>
      <c r="C7" s="13" t="n">
        <v>9.800000000000001</v>
      </c>
      <c r="D7" s="13" t="n">
        <v>10.4</v>
      </c>
      <c r="E7" s="13" t="n">
        <v>11.1</v>
      </c>
      <c r="F7" s="13" t="n">
        <v>11.8</v>
      </c>
      <c r="G7" s="13" t="n">
        <v>12.4</v>
      </c>
      <c r="H7" s="13" t="n">
        <v>13</v>
      </c>
      <c r="I7" s="13" t="n">
        <v>13.6</v>
      </c>
    </row>
    <row r="8">
      <c r="B8" s="7" t="inlineStr">
        <is>
          <t>Realized Average Selling Price ($/t)</t>
        </is>
      </c>
      <c r="C8" s="14" t="n">
        <v>480</v>
      </c>
      <c r="D8" s="14" t="n">
        <v>640</v>
      </c>
      <c r="E8" s="14" t="n">
        <v>520</v>
      </c>
      <c r="F8" s="14" t="n">
        <v>510</v>
      </c>
      <c r="G8" s="14" t="n">
        <v>500</v>
      </c>
      <c r="H8" s="14" t="n">
        <v>490</v>
      </c>
      <c r="I8" s="14" t="n">
        <v>485</v>
      </c>
    </row>
    <row r="9">
      <c r="B9" s="7" t="inlineStr">
        <is>
          <t>Cash Production Cost ($/t)</t>
        </is>
      </c>
      <c r="C9" s="14" t="n">
        <v>290</v>
      </c>
      <c r="D9" s="14" t="n">
        <v>345</v>
      </c>
      <c r="E9" s="14" t="n">
        <v>330</v>
      </c>
      <c r="F9" s="14" t="n">
        <v>325</v>
      </c>
      <c r="G9" s="14" t="n">
        <v>320</v>
      </c>
      <c r="H9" s="14" t="n">
        <v>315</v>
      </c>
      <c r="I9" s="14" t="n">
        <v>310</v>
      </c>
    </row>
    <row r="10">
      <c r="B10" s="7" t="inlineStr">
        <is>
          <t>Capacity Utilization Rate (%)</t>
        </is>
      </c>
      <c r="C10" s="13" t="n">
        <v>84</v>
      </c>
      <c r="D10" s="13" t="n">
        <v>86.5</v>
      </c>
      <c r="E10" s="13" t="n">
        <v>88</v>
      </c>
      <c r="F10" s="13" t="n">
        <v>89.5</v>
      </c>
      <c r="G10" s="13" t="n">
        <v>90.5</v>
      </c>
      <c r="H10" s="13" t="n">
        <v>91.5</v>
      </c>
      <c r="I10" s="13" t="n">
        <v>92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Primary Industrial Commodities</t>
        </is>
      </c>
      <c r="C15" s="8" t="n">
        <v>63375.1</v>
      </c>
      <c r="D15" s="8" t="n">
        <v>57911.4</v>
      </c>
      <c r="E15" s="8" t="n">
        <v>42341.4</v>
      </c>
      <c r="F15" s="8" t="n">
        <v>46446.6</v>
      </c>
      <c r="G15" s="8" t="n">
        <v>600</v>
      </c>
      <c r="H15" s="8" t="n">
        <v>600</v>
      </c>
      <c r="I15" s="8" t="n">
        <v>600</v>
      </c>
    </row>
    <row r="16">
      <c r="B16" s="7" t="inlineStr">
        <is>
          <t>High-Margin Value-Added Products</t>
        </is>
      </c>
      <c r="C16" s="8" t="n">
        <v>29575.1</v>
      </c>
      <c r="D16" s="8" t="n">
        <v>27025.3</v>
      </c>
      <c r="E16" s="8" t="n">
        <v>19759.3</v>
      </c>
      <c r="F16" s="8" t="n">
        <v>21675.1</v>
      </c>
      <c r="G16" s="8" t="n">
        <v>280</v>
      </c>
      <c r="H16" s="8" t="n">
        <v>280</v>
      </c>
      <c r="I16" s="8" t="n">
        <v>280</v>
      </c>
    </row>
    <row r="17">
      <c r="B17" s="7" t="inlineStr">
        <is>
          <t>By-Product Processing &amp; Industrial Logistics</t>
        </is>
      </c>
      <c r="C17" s="8" t="n">
        <v>12675</v>
      </c>
      <c r="D17" s="8" t="n">
        <v>11582.3</v>
      </c>
      <c r="E17" s="8" t="n">
        <v>8468.299999999999</v>
      </c>
      <c r="F17" s="8" t="n">
        <v>9289.299999999999</v>
      </c>
      <c r="G17" s="8" t="n">
        <v>120</v>
      </c>
      <c r="H17" s="8" t="n">
        <v>120</v>
      </c>
      <c r="I17" s="8" t="n">
        <v>120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Braskem S.A.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Primary Industrial Commodities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High-Margin Value-Added Products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By-Product Processing &amp; Industrial Logistics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Cognitive Credit derived EBITDA versus company-reported (adjusted) EBITDA; difference = company adjustments.</t>
        </is>
      </c>
    </row>
    <row r="43">
      <c r="B43" s="26" t="inlineStr">
        <is>
          <t>[2022A] Cognitive Credit derived EBITDA versus company-reported (adjusted) EBITDA; difference = company adjustments.</t>
        </is>
      </c>
    </row>
    <row r="44">
      <c r="B44" s="26" t="inlineStr">
        <is>
          <t>[2023A] Cognitive Credit derived EBITDA versus company-reported (adjusted) EBITDA; difference = company adjustments.</t>
        </is>
      </c>
    </row>
    <row r="45">
      <c r="B45" s="26" t="inlineStr">
        <is>
          <t>[2024A] Cognitive Credit derived EBITDA versus company-reported (adjusted) EBITDA; difference = company adjustments.</t>
        </is>
      </c>
    </row>
    <row r="46">
      <c r="B46" s="26" t="inlineStr">
        <is>
          <t>[2025E] Cognitive Credit derived EBITDA versus company-reported (adjusted) EBITDA; difference = company adjustments.</t>
        </is>
      </c>
    </row>
    <row r="47">
      <c r="B47" s="26" t="inlineStr">
        <is>
          <t>[2026E] Cognitive Credit derived EBITDA versus company-reported (adjusted) EBITDA; difference = company adjustments.</t>
        </is>
      </c>
    </row>
    <row r="48">
      <c r="B48" s="26" t="inlineStr">
        <is>
          <t>[2027E] Cognitive Credit derived EBITDA versus company-reported (adjusted) EBITDA; difference = company adjustments.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Braskem S.A.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158437.8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36968.8</v>
      </c>
      <c r="D36" s="8" t="n">
        <v>36968.8</v>
      </c>
      <c r="E36" s="8" t="n">
        <v>36968.8</v>
      </c>
      <c r="F36" s="8" t="n">
        <v>36968.8</v>
      </c>
      <c r="G36" s="8" t="n">
        <v>36968.8</v>
      </c>
      <c r="H36" s="8" t="n">
        <v>36968.8</v>
      </c>
      <c r="I36" s="8" t="n">
        <v>36968.8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Braskem S.A.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3421.3</v>
      </c>
      <c r="D16" s="8" t="n">
        <v>4848</v>
      </c>
      <c r="E16" s="8" t="n">
        <v>4530</v>
      </c>
      <c r="F16" s="8" t="n">
        <v>3761</v>
      </c>
      <c r="G16" s="8" t="n">
        <v>-120</v>
      </c>
      <c r="H16" s="8" t="n">
        <v>-120</v>
      </c>
      <c r="I16" s="8" t="n">
        <v>-120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8680.700000000001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7309.1</v>
      </c>
      <c r="D32" s="8" t="n">
        <v>11409.1</v>
      </c>
      <c r="E32" s="8" t="n">
        <v>4698.2</v>
      </c>
      <c r="F32" s="8" t="n">
        <v>5759.2</v>
      </c>
      <c r="G32" s="8" t="n">
        <v>2608.5</v>
      </c>
      <c r="H32" s="8" t="n">
        <v>17593.7</v>
      </c>
      <c r="I32" s="8" t="n">
        <v>7693.6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organic cash generation supporting liquidity and debt service.</t>
        </is>
      </c>
    </row>
    <row r="39">
      <c r="B39" s="26" t="inlineStr">
        <is>
          <t>[2022A] Positive organic cash generation supporting liquidity and debt service.</t>
        </is>
      </c>
    </row>
    <row r="40">
      <c r="B40" s="26" t="inlineStr">
        <is>
          <t>[2023A] Positive organic cash generation supporting liquidity and debt service.</t>
        </is>
      </c>
    </row>
    <row r="41">
      <c r="B41" s="26" t="inlineStr">
        <is>
          <t>[2024A] Positive organic cash generation supporting liquidity and debt service.</t>
        </is>
      </c>
    </row>
    <row r="42">
      <c r="B42" s="26" t="inlineStr">
        <is>
          <t>[2025E] Positive organic cash generation supporting liquidity and debt service.</t>
        </is>
      </c>
    </row>
    <row r="43">
      <c r="B43" s="26" t="inlineStr">
        <is>
          <t>[2026E] Positive organic cash generation supporting liquidity and debt service.</t>
        </is>
      </c>
    </row>
    <row r="44">
      <c r="B44" s="26" t="inlineStr">
        <is>
          <t>[2027E] Positive organic cash generation supporting liquidity and debt service.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52" customWidth="1" min="3" max="3"/>
    <col width="36" customWidth="1" min="4" max="4"/>
    <col width="33" customWidth="1" min="5" max="5"/>
    <col width="59" customWidth="1" min="6" max="6"/>
    <col width="15" customWidth="1" min="7" max="7"/>
    <col width="14" customWidth="1" min="8" max="8"/>
    <col width="29" customWidth="1" min="9" max="9"/>
    <col width="28" customWidth="1" min="10" max="10"/>
    <col width="14" customWidth="1" min="11" max="11"/>
    <col width="14" customWidth="1" min="12" max="12"/>
  </cols>
  <sheetData>
    <row r="1"/>
    <row r="2">
      <c r="B2" s="1" t="inlineStr">
        <is>
          <t>Braskem S.A.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BRASKM Benchmark Eurobond Notes</t>
        </is>
      </c>
    </row>
    <row r="7">
      <c r="B7" s="7" t="inlineStr">
        <is>
          <t xml:space="preserve">  Beginning Principal Balance</t>
        </is>
      </c>
      <c r="C7" s="8" t="n">
        <v>24393.9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8131.3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5420.9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0.1980</f>
        <v/>
      </c>
      <c r="D11" s="8">
        <f>D10 * 0.1980</f>
        <v/>
      </c>
      <c r="E11" s="8">
        <f>E10 * 0.1980</f>
        <v/>
      </c>
      <c r="F11" s="8">
        <f>F10 * 0.1980</f>
        <v/>
      </c>
      <c r="G11" s="8">
        <f>G10 * 0.1980</f>
        <v/>
      </c>
      <c r="H11" s="8">
        <f>H10 * 0.1980</f>
        <v/>
      </c>
      <c r="I11" s="8">
        <f>I10 * 0.1980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29814.8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8846.6</v>
      </c>
      <c r="C32" s="8" t="n">
        <v>16218.8</v>
      </c>
      <c r="D32" s="8" t="n">
        <v>20642.2</v>
      </c>
      <c r="E32" s="8" t="n">
        <v>13270</v>
      </c>
      <c r="F32" s="8" t="n">
        <v>8846.6</v>
      </c>
      <c r="G32" s="8" t="n">
        <v>5897.8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Export Pre-Payment Facilities &amp; Bank Credit (PPE)</t>
        </is>
      </c>
      <c r="C37" s="7" t="inlineStr">
        <is>
          <t>Senior Secured / Priority Bank Loans</t>
        </is>
      </c>
      <c r="D37" s="29" t="inlineStr">
        <is>
          <t>USD / BRL</t>
        </is>
      </c>
      <c r="E37" s="21" t="n">
        <v>1100</v>
      </c>
      <c r="F37" s="30" t="inlineStr">
        <is>
          <t>SOFR / CDI + 285 bps</t>
        </is>
      </c>
      <c r="G37" s="31" t="n">
        <v>100</v>
      </c>
      <c r="H37" s="32" t="n">
        <v>7.85</v>
      </c>
      <c r="I37" s="7" t="inlineStr">
        <is>
          <t>Senior Secured / Priority</t>
        </is>
      </c>
      <c r="J37" s="17" t="inlineStr">
        <is>
          <t>Brazilian / New York Law</t>
        </is>
      </c>
    </row>
    <row r="38">
      <c r="B38" s="9" t="inlineStr">
        <is>
          <t>BRASKM 4.500% 2030 Senior Notes</t>
        </is>
      </c>
      <c r="C38" s="7" t="inlineStr">
        <is>
          <t>Senior Unsecured 144A/RegS Eurobond</t>
        </is>
      </c>
      <c r="D38" s="29" t="inlineStr">
        <is>
          <t>USD</t>
        </is>
      </c>
      <c r="E38" s="21" t="n">
        <v>1450</v>
      </c>
      <c r="F38" s="30" t="inlineStr">
        <is>
          <t>4.500%</t>
        </is>
      </c>
      <c r="G38" s="31" t="n">
        <v>48.6</v>
      </c>
      <c r="H38" s="32" t="n">
        <v>19.8</v>
      </c>
      <c r="I38" s="7" t="inlineStr">
        <is>
          <t>Senior Unsecured</t>
        </is>
      </c>
      <c r="J38" s="17" t="inlineStr">
        <is>
          <t>New York Law</t>
        </is>
      </c>
    </row>
    <row r="39">
      <c r="B39" s="9" t="inlineStr">
        <is>
          <t>BRASKM 7.250% 2033 Senior Notes</t>
        </is>
      </c>
      <c r="C39" s="7" t="inlineStr">
        <is>
          <t>Senior Unsecured 144A/RegS Eurobond</t>
        </is>
      </c>
      <c r="D39" s="29" t="inlineStr">
        <is>
          <t>USD</t>
        </is>
      </c>
      <c r="E39" s="21" t="n">
        <v>1200</v>
      </c>
      <c r="F39" s="30" t="inlineStr">
        <is>
          <t>7.250%</t>
        </is>
      </c>
      <c r="G39" s="31" t="n">
        <v>56.3</v>
      </c>
      <c r="H39" s="32" t="n">
        <v>18.2</v>
      </c>
      <c r="I39" s="7" t="inlineStr">
        <is>
          <t>Senior Unsecured</t>
        </is>
      </c>
      <c r="J39" s="17" t="inlineStr">
        <is>
          <t>New York Law</t>
        </is>
      </c>
    </row>
    <row r="40">
      <c r="B40" s="9" t="inlineStr">
        <is>
          <t>BRASKM 5.875% 2050 Senior Notes</t>
        </is>
      </c>
      <c r="C40" s="7" t="inlineStr">
        <is>
          <t>Senior Unsecured 144A/RegS Eurobond</t>
        </is>
      </c>
      <c r="D40" s="29" t="inlineStr">
        <is>
          <t>USD</t>
        </is>
      </c>
      <c r="E40" s="21" t="n">
        <v>1420</v>
      </c>
      <c r="F40" s="30" t="inlineStr">
        <is>
          <t>5.875%</t>
        </is>
      </c>
      <c r="G40" s="31" t="n">
        <v>44.7</v>
      </c>
      <c r="H40" s="32" t="n">
        <v>16.5</v>
      </c>
      <c r="I40" s="7" t="inlineStr">
        <is>
          <t>Senior Unsecured</t>
        </is>
      </c>
      <c r="J40" s="17" t="inlineStr">
        <is>
          <t>New York Law</t>
        </is>
      </c>
    </row>
    <row r="41">
      <c r="B41" s="9" t="inlineStr">
        <is>
          <t>BRASKM 8.000% 2034 Senior Notes</t>
        </is>
      </c>
      <c r="C41" s="7" t="inlineStr">
        <is>
          <t>Senior Unsecured Eurobond</t>
        </is>
      </c>
      <c r="D41" s="29" t="inlineStr">
        <is>
          <t>USD</t>
        </is>
      </c>
      <c r="E41" s="21" t="n">
        <v>980</v>
      </c>
      <c r="F41" s="30" t="inlineStr">
        <is>
          <t>8.000%</t>
        </is>
      </c>
      <c r="G41" s="31" t="n">
        <v>57.5</v>
      </c>
      <c r="H41" s="32" t="n">
        <v>17.4</v>
      </c>
      <c r="I41" s="7" t="inlineStr">
        <is>
          <t>Senior Unsecured</t>
        </is>
      </c>
      <c r="J41" s="17" t="inlineStr">
        <is>
          <t>New York Law</t>
        </is>
      </c>
    </row>
    <row r="42">
      <c r="B42" s="9" t="inlineStr">
        <is>
          <t>Domestic Brazilian Debentures (CDI-linked)</t>
        </is>
      </c>
      <c r="C42" s="7" t="inlineStr">
        <is>
          <t>Local Unsecured Debentures</t>
        </is>
      </c>
      <c r="D42" s="29" t="inlineStr">
        <is>
          <t>BRL</t>
        </is>
      </c>
      <c r="E42" s="21" t="n">
        <v>1400</v>
      </c>
      <c r="F42" s="30" t="inlineStr">
        <is>
          <t>CDI + 1.65%</t>
        </is>
      </c>
      <c r="G42" s="31" t="n">
        <v>52</v>
      </c>
      <c r="H42" s="32" t="n">
        <v>21.5</v>
      </c>
      <c r="I42" s="7" t="inlineStr">
        <is>
          <t>Senior Unsecured</t>
        </is>
      </c>
      <c r="J42" s="17" t="inlineStr">
        <is>
          <t>Brazilian Law</t>
        </is>
      </c>
    </row>
    <row r="43">
      <c r="B43" s="9" t="inlineStr">
        <is>
          <t>BRASKM 8.500% / 12.004% 2081 Subordinated Hybrid Notes</t>
        </is>
      </c>
      <c r="C43" s="7" t="inlineStr">
        <is>
          <t>Junior Subordinated Perpetual / Hybrid</t>
        </is>
      </c>
      <c r="D43" s="29" t="inlineStr">
        <is>
          <t>USD</t>
        </is>
      </c>
      <c r="E43" s="21" t="n">
        <v>1000</v>
      </c>
      <c r="F43" s="30" t="inlineStr">
        <is>
          <t>12.004%</t>
        </is>
      </c>
      <c r="G43" s="31" t="n">
        <v>31.8</v>
      </c>
      <c r="H43" s="32" t="n">
        <v>24.5</v>
      </c>
      <c r="I43" s="7" t="inlineStr">
        <is>
          <t>Junior Subordinated</t>
        </is>
      </c>
      <c r="J43" s="17" t="inlineStr">
        <is>
          <t>New York Law</t>
        </is>
      </c>
    </row>
    <row r="44"/>
    <row r="45">
      <c r="B45" s="3" t="inlineStr">
        <is>
          <t>VI. REVOLVING CREDIT FACILITY (RCF) &amp; BANK LIQUIDITY RUNWAY</t>
        </is>
      </c>
    </row>
    <row r="46">
      <c r="B46" s="7" t="inlineStr">
        <is>
          <t>Facility Designation</t>
        </is>
      </c>
      <c r="C46" s="7" t="inlineStr">
        <is>
          <t>Syndicated Revolving Credit Facility</t>
        </is>
      </c>
    </row>
    <row r="47">
      <c r="B47" s="9" t="inlineStr">
        <is>
          <t>Total Committed Capacity ($M)</t>
        </is>
      </c>
      <c r="C47" s="21" t="n">
        <v>1000</v>
      </c>
    </row>
    <row r="48">
      <c r="B48" s="7" t="inlineStr">
        <is>
          <t>Drawn Amount ($M)</t>
        </is>
      </c>
      <c r="C48" s="8" t="n">
        <v>200</v>
      </c>
    </row>
    <row r="49">
      <c r="B49" s="19" t="inlineStr">
        <is>
          <t>AVAILABLE UNDRAWN HEADROOM ($M)</t>
        </is>
      </c>
      <c r="C49" s="20" t="n">
        <v>800</v>
      </c>
    </row>
    <row r="50">
      <c r="B50" s="7" t="inlineStr">
        <is>
          <t>Drawn Borrowing Margin</t>
        </is>
      </c>
      <c r="C50" s="7" t="inlineStr">
        <is>
          <t>SOFR + 150 bps</t>
        </is>
      </c>
    </row>
    <row r="51">
      <c r="B51" s="7" t="inlineStr">
        <is>
          <t>Undrawn Commitment Fee</t>
        </is>
      </c>
      <c r="C51" s="7" t="inlineStr">
        <is>
          <t>52.5 bps</t>
        </is>
      </c>
    </row>
    <row r="52">
      <c r="B52" s="7" t="inlineStr">
        <is>
          <t>Maturity Date &amp; Extension Options</t>
        </is>
      </c>
      <c r="C52" s="7" t="inlineStr">
        <is>
          <t>2028-06-30</t>
        </is>
      </c>
    </row>
    <row r="53">
      <c r="B53" s="7" t="inlineStr">
        <is>
          <t>Syndicate Lenders / Arrangers</t>
        </is>
      </c>
      <c r="C53" s="7" t="inlineStr">
        <is>
          <t>Tier-1 International Commercial Banks</t>
        </is>
      </c>
    </row>
    <row r="54">
      <c r="B54" s="7" t="inlineStr">
        <is>
          <t>RCF Maintenance Covenants</t>
        </is>
      </c>
      <c r="C54" s="7" t="inlineStr">
        <is>
          <t>Tested semi-annually: Max Net Lev &amp; Min Coverage</t>
        </is>
      </c>
    </row>
    <row r="55"/>
    <row r="56">
      <c r="B56" s="3" t="inlineStr">
        <is>
          <t>VII. BOND COVENANT ANALYSIS &amp; HEADROOM SCORECARD</t>
        </is>
      </c>
    </row>
    <row r="57">
      <c r="B57" s="5" t="inlineStr">
        <is>
          <t>Covenant Test / Negative Pledge Dimension</t>
        </is>
      </c>
      <c r="C57" s="5" t="inlineStr">
        <is>
          <t>Governing Threshold / Limit</t>
        </is>
      </c>
      <c r="D57" s="5" t="inlineStr">
        <is>
          <t>Actual Current / Reported Metric</t>
        </is>
      </c>
      <c r="E57" s="5" t="inlineStr">
        <is>
          <t>Headroom / Compliance Status</t>
        </is>
      </c>
      <c r="F57" s="5" t="inlineStr">
        <is>
          <t>Covenant Terms / Description</t>
        </is>
      </c>
    </row>
    <row r="58">
      <c r="B58" s="9" t="inlineStr">
        <is>
          <t>Debt Incurrence Net Leverage Limit</t>
        </is>
      </c>
      <c r="C58" s="29" t="inlineStr">
        <is>
          <t>max 3.75x</t>
        </is>
      </c>
      <c r="D58" s="25" t="inlineStr">
        <is>
          <t>2.20x</t>
        </is>
      </c>
      <c r="E58" s="33" t="inlineStr">
        <is>
          <t>1.55x ($450M EBITDA headroom)</t>
        </is>
      </c>
      <c r="F58" s="17" t="inlineStr">
        <is>
          <t>Incurrence covenant for additional senior debt issuance</t>
        </is>
      </c>
    </row>
    <row r="59">
      <c r="B59" s="9" t="inlineStr">
        <is>
          <t>Fixed Charge / Interest Coverage Ratio (FCCR)</t>
        </is>
      </c>
      <c r="C59" s="29" t="inlineStr">
        <is>
          <t>min 2.50x</t>
        </is>
      </c>
      <c r="D59" s="25" t="inlineStr">
        <is>
          <t>4.80x</t>
        </is>
      </c>
      <c r="E59" s="33" t="inlineStr">
        <is>
          <t>2.30x headroom</t>
        </is>
      </c>
      <c r="F59" s="17" t="inlineStr">
        <is>
          <t>Maintenance / incurrence gateway test</t>
        </is>
      </c>
    </row>
    <row r="60">
      <c r="B60" s="9" t="inlineStr">
        <is>
          <t>Priority Secured Debt Basket</t>
        </is>
      </c>
      <c r="C60" s="29" t="inlineStr">
        <is>
          <t>15.0% Assets</t>
        </is>
      </c>
      <c r="D60" s="25" t="inlineStr">
        <is>
          <t>4.2% Assets</t>
        </is>
      </c>
      <c r="E60" s="33" t="inlineStr">
        <is>
          <t>Compliant (10.8% asset headroom)</t>
        </is>
      </c>
      <c r="F60" s="17" t="inlineStr">
        <is>
          <t>Permitted collateral carve-out limit</t>
        </is>
      </c>
    </row>
    <row r="61">
      <c r="B61" s="9" t="inlineStr">
        <is>
          <t>Change of Control Put Option</t>
        </is>
      </c>
      <c r="C61" s="29" t="inlineStr">
        <is>
          <t>101.00% Redemption</t>
        </is>
      </c>
      <c r="D61" s="25" t="inlineStr">
        <is>
          <t>N/A (Inactive)</t>
        </is>
      </c>
      <c r="E61" s="33" t="inlineStr">
        <is>
          <t>Compliant</t>
        </is>
      </c>
      <c r="F61" s="17" t="inlineStr">
        <is>
          <t>Put at 101% triggered upon Change of Control accompanied by rating downgrade below Investment Grade</t>
        </is>
      </c>
    </row>
    <row r="62">
      <c r="B62" s="9" t="inlineStr">
        <is>
          <t>Restricted Payments / Dividend Basket</t>
        </is>
      </c>
      <c r="C62" s="29" t="inlineStr">
        <is>
          <t>Builder Basket</t>
        </is>
      </c>
      <c r="D62" s="25" t="inlineStr">
        <is>
          <t>Within Capacity</t>
        </is>
      </c>
      <c r="E62" s="33" t="inlineStr">
        <is>
          <t>Compliant</t>
        </is>
      </c>
      <c r="F62" s="17" t="inlineStr">
        <is>
          <t>50% cumulative CNI builder basket gated by 2.5x FCCR</t>
        </is>
      </c>
    </row>
    <row r="63">
      <c r="B63" s="9" t="inlineStr">
        <is>
          <t>Cross-Default &amp; Cross-Acceleration</t>
        </is>
      </c>
      <c r="C63" s="29" t="inlineStr">
        <is>
          <t>$50.0M threshold</t>
        </is>
      </c>
      <c r="D63" s="25" t="inlineStr">
        <is>
          <t>Zero Defaults</t>
        </is>
      </c>
      <c r="E63" s="33" t="inlineStr">
        <is>
          <t>Compliant</t>
        </is>
      </c>
      <c r="F63" s="17" t="inlineStr">
        <is>
          <t>Cross-acceleration across all indebtedness exceeding threshold</t>
        </is>
      </c>
    </row>
  </sheetData>
  <mergeCells count="16">
    <mergeCell ref="F60:I60"/>
    <mergeCell ref="C52:F52"/>
    <mergeCell ref="C53:F53"/>
    <mergeCell ref="C48:F48"/>
    <mergeCell ref="C49:F49"/>
    <mergeCell ref="F61:I61"/>
    <mergeCell ref="B2:I2"/>
    <mergeCell ref="F58:I58"/>
    <mergeCell ref="F63:I63"/>
    <mergeCell ref="C46:F46"/>
    <mergeCell ref="F62:I62"/>
    <mergeCell ref="C54:F54"/>
    <mergeCell ref="F59:I59"/>
    <mergeCell ref="C51:F51"/>
    <mergeCell ref="C47:F47"/>
    <mergeCell ref="C50:F5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Braskem S.A.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Braskem S.A.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19.80%</t>
        </is>
      </c>
      <c r="F6" s="35" t="inlineStr">
        <is>
          <t>3.5x</t>
        </is>
      </c>
      <c r="G6" s="35" t="inlineStr">
        <is>
          <t>$66.30</t>
        </is>
      </c>
      <c r="H6" s="35" t="inlineStr">
        <is>
          <t>+36.4%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21.80%</t>
        </is>
      </c>
      <c r="F7" s="30" t="inlineStr">
        <is>
          <t>3.0x</t>
        </is>
      </c>
      <c r="G7" s="30" t="inlineStr">
        <is>
          <t>$44.15</t>
        </is>
      </c>
      <c r="H7" s="30" t="inlineStr">
        <is>
          <t>-9.2%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$22.00</t>
        </is>
      </c>
      <c r="H8" s="30" t="inlineStr">
        <is>
          <t>-54.7%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18.30%</t>
        </is>
      </c>
      <c r="F9" s="30" t="inlineStr">
        <is>
          <t>5.0x</t>
        </is>
      </c>
      <c r="G9" s="30" t="inlineStr">
        <is>
          <t>$78.23</t>
        </is>
      </c>
      <c r="H9" s="30" t="inlineStr">
        <is>
          <t>+61.0%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18430.5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BRASKM Senior Unsecured Eurobonds</t>
        </is>
      </c>
      <c r="C15" s="8" t="n">
        <v>55291.5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22.0%</t>
        </is>
      </c>
      <c r="G15" s="30" t="inlineStr">
        <is>
          <t>66.3%</t>
        </is>
      </c>
    </row>
    <row r="16">
      <c r="B16" s="7" t="inlineStr">
        <is>
          <t>Subordinated Debt &amp; Intercompany Notes</t>
        </is>
      </c>
      <c r="C16" s="8" t="n">
        <v>11058.3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29488.8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Recuperação Extrajudicial (Brazilian Law No. 11,101) &amp; US Chapter 15.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62" customWidth="1" min="3" max="3"/>
    <col width="77" customWidth="1" min="4" max="4"/>
    <col width="19" customWidth="1" min="5" max="5"/>
    <col width="149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Braskem S.A. (BRASKM) — Earnings Presentation &amp; Management Guidance</t>
        </is>
      </c>
    </row>
    <row r="3">
      <c r="B3" s="2" t="inlineStr">
        <is>
          <t>Source: Latest Investor Presentation | Reporting Currency: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Consolidated Recurring Cash EBITDA (Mid-Cycle Run-Rate)</t>
        </is>
      </c>
      <c r="C7" s="9" t="inlineStr">
        <is>
          <t>$1,300M - $1,500M normalized mid-cycle EBITDA</t>
        </is>
      </c>
      <c r="D7" s="36" t="inlineStr">
        <is>
          <t>$1,043M in 2Q26 annualized (~$1,200M run-rate)</t>
        </is>
      </c>
      <c r="E7" s="37" t="inlineStr">
        <is>
          <t>On Track</t>
        </is>
      </c>
      <c r="F7" s="38" t="inlineStr">
        <is>
          <t xml:space="preserve">Polymer spreads in South America and US recovering from historic 2023–2024 lows, driven by Asian supply discipline.
[QUESTION TO CFO TO VERIFY]: </t>
        </is>
      </c>
    </row>
    <row r="8">
      <c r="B8" s="9" t="inlineStr">
        <is>
          <t>Annual Strategic Capex Envelope</t>
        </is>
      </c>
      <c r="C8" s="9" t="inlineStr">
        <is>
          <t>&lt; $600.0M sustaining &amp; compliance capex</t>
        </is>
      </c>
      <c r="D8" s="36" t="inlineStr">
        <is>
          <t>$600.0M - $650.0M annualized</t>
        </is>
      </c>
      <c r="E8" s="37" t="inlineStr">
        <is>
          <t>On Track</t>
        </is>
      </c>
      <c r="F8" s="38" t="inlineStr">
        <is>
          <t xml:space="preserve">Discretionary growth initiatives frozen; sustaining capex fully contained to maintain plant integrity.
[QUESTION TO CFO TO VERIFY]: </t>
        </is>
      </c>
    </row>
    <row r="9">
      <c r="B9" s="9" t="inlineStr">
        <is>
          <t>Maceió Environmental Provisions Settlement Program</t>
        </is>
      </c>
      <c r="C9" s="9" t="inlineStr">
        <is>
          <t>Complete PCF program and execute Alagoas State settlement</t>
        </is>
      </c>
      <c r="D9" s="36" t="inlineStr">
        <is>
          <t>99.6% PCF claims disbursed; R$3.5B provisions remaining</t>
        </is>
      </c>
      <c r="E9" s="33" t="inlineStr">
        <is>
          <t>Ahead of Target</t>
        </is>
      </c>
      <c r="F9" s="38" t="inlineStr">
        <is>
          <t xml:space="preserve">Primary relocation completed; remaining obligations scheduled as R$80M–$120M annual disbursements through 2030+.
[QUESTION TO CFO TO VERIFY]: </t>
        </is>
      </c>
    </row>
    <row r="10">
      <c r="B10" s="9" t="inlineStr">
        <is>
          <t>Debt Deleveraging &amp; Balance Sheet Right-Sizing</t>
        </is>
      </c>
      <c r="C10" s="9" t="inlineStr">
        <is>
          <t>Reduce gross debt from $10.4B to &lt; $5.5B via restructuring</t>
        </is>
      </c>
      <c r="D10" s="36" t="inlineStr">
        <is>
          <t>Recuperação Extrajudicial negotiations ongoing with bondholder committees</t>
        </is>
      </c>
      <c r="E10" s="39" t="inlineStr">
        <is>
          <t>Under Watch</t>
        </is>
      </c>
      <c r="F10" s="38" t="inlineStr">
        <is>
          <t xml:space="preserve">Creditors rejected initial $2B tender plan, demanding $3B sponsor equity check from Petrobras/Novonor.
[QUESTION TO CFO TO VERIFY]: </t>
        </is>
      </c>
    </row>
    <row r="11"/>
    <row r="12">
      <c r="B12" s="3" t="inlineStr">
        <is>
          <t>II. CAPITAL ALLOCATION &amp; STRATEGIC PROJECT PIPELINE</t>
        </is>
      </c>
    </row>
    <row r="13">
      <c r="B13" s="5" t="inlineStr">
        <is>
          <t>Project / Capital Dimension</t>
        </is>
      </c>
      <c r="C13" s="5" t="inlineStr">
        <is>
          <t>Disclosure &amp; Execution Milestone</t>
        </is>
      </c>
    </row>
    <row r="14"/>
    <row r="15">
      <c r="B15" s="3" t="inlineStr">
        <is>
          <t>III. GEOGRAPHIC &amp; CURRENCY EXPOSURE MATRIX</t>
        </is>
      </c>
    </row>
    <row r="16">
      <c r="B16" s="5" t="inlineStr">
        <is>
          <t>Exposure Category</t>
        </is>
      </c>
      <c r="C16" s="5" t="inlineStr">
        <is>
          <t>Contractual / Balance Sheet Profile</t>
        </is>
      </c>
    </row>
    <row r="17"/>
    <row r="18">
      <c r="B18" s="3" t="inlineStr">
        <is>
          <t>IV. CONTRACT BACKLOG &amp; COMMERCIAL MOAT</t>
        </is>
      </c>
    </row>
    <row r="19">
      <c r="B19" s="5" t="inlineStr">
        <is>
          <t>Dimension</t>
        </is>
      </c>
      <c r="C19" s="5" t="inlineStr">
        <is>
          <t>Commercial / Asset Metrics</t>
        </is>
      </c>
    </row>
    <row r="20"/>
    <row r="21">
      <c r="B21" s="3" t="inlineStr">
        <is>
          <t>V. LIQUIDITY WATERFALL &amp; HEADROOM</t>
        </is>
      </c>
    </row>
    <row r="22">
      <c r="B22" s="5" t="inlineStr">
        <is>
          <t>Liquidity Component</t>
        </is>
      </c>
      <c r="C22" s="5" t="inlineStr">
        <is>
          <t>Available Buffer / Runway</t>
        </is>
      </c>
    </row>
    <row r="23"/>
    <row r="24">
      <c r="B24" s="3" t="inlineStr">
        <is>
          <t>SCHEDULED EARNINGS RELEASE &amp; INVESTOR RELATIONS CALENDAR</t>
        </is>
      </c>
    </row>
    <row r="25">
      <c r="B25" s="5" t="inlineStr">
        <is>
          <t>Calendar Dimension</t>
        </is>
      </c>
      <c r="C25" s="5" t="inlineStr">
        <is>
          <t>Scheduled Detail &amp; IR Access</t>
        </is>
      </c>
    </row>
    <row r="26">
      <c r="B26" s="9" t="inlineStr">
        <is>
          <t>Next Scheduled Earnings Date</t>
        </is>
      </c>
      <c r="C26" s="38" t="inlineStr">
        <is>
          <t>2026-11-12</t>
        </is>
      </c>
    </row>
    <row r="27">
      <c r="B27" s="9" t="inlineStr">
        <is>
          <t>Reporting Period</t>
        </is>
      </c>
      <c r="C27" s="38" t="inlineStr">
        <is>
          <t>Q3 2026 / 9M</t>
        </is>
      </c>
    </row>
    <row r="28">
      <c r="B28" s="9" t="inlineStr">
        <is>
          <t>Confirmation Status</t>
        </is>
      </c>
      <c r="C28" s="38" t="inlineStr">
        <is>
          <t>Estimated</t>
        </is>
      </c>
    </row>
    <row r="29">
      <c r="B29" s="9" t="inlineStr">
        <is>
          <t>Conference Call &amp; Webcast Schedule</t>
        </is>
      </c>
      <c r="C29" s="38" t="inlineStr">
        <is>
          <t>14:00 Local / Pre-Market</t>
        </is>
      </c>
    </row>
    <row r="30">
      <c r="B30" s="9" t="inlineStr">
        <is>
          <t>Official IR Portal / Webcast URL</t>
        </is>
      </c>
      <c r="C30" s="38" t="inlineStr">
        <is>
          <t>https://www.google.com/finance/quote/BRASKM</t>
        </is>
      </c>
    </row>
  </sheetData>
  <mergeCells count="16">
    <mergeCell ref="C28:I28"/>
    <mergeCell ref="C13:I13"/>
    <mergeCell ref="C22:I22"/>
    <mergeCell ref="F9:I9"/>
    <mergeCell ref="F7:I7"/>
    <mergeCell ref="F8:I8"/>
    <mergeCell ref="C26:I26"/>
    <mergeCell ref="B2:I2"/>
    <mergeCell ref="B3:I3"/>
    <mergeCell ref="C29:I29"/>
    <mergeCell ref="C30:I30"/>
    <mergeCell ref="C16:I16"/>
    <mergeCell ref="C25:I25"/>
    <mergeCell ref="F10:I10"/>
    <mergeCell ref="C27:I27"/>
    <mergeCell ref="C19:I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2026-10-23T04:16:24Z</dcterms:created>
  <dcterms:modified xmlns:dcterms="http://purl.org/dc/terms/" xmlns:xsi="http://www.w3.org/2001/XMLSchema-instance" xsi:type="dcterms:W3CDTF">2026-10-23T04:16:24Z</dcterms:modified>
</cp:coreProperties>
</file>