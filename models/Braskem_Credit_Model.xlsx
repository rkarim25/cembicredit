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Global petrochemical super-cycle peak driven by post-pandemic economic reopening and severe supply constraints.</t>
      </text>
    </comment>
    <comment ref="D10" authorId="0" shapeId="0">
      <text>
        <t>CEMBI Credit Analyst Observation (2022A):
Topline remained elevated but margins contracted sharply as global chemical supply normalized.</t>
      </text>
    </comment>
    <comment ref="E10" authorId="0" shapeId="0">
      <text>
        <t>CEMBI Credit Analyst Observation (2023A):
Industry-wide cyclical trough; weak international polymer demand and Chinese self-sufficiency surge.</t>
      </text>
    </comment>
    <comment ref="F10" authorId="0" shapeId="0">
      <text>
        <t>CEMBI Credit Analyst Observation (2024A):
Depressed global resin prices partially offset by domestic market volume defense.</t>
      </text>
    </comment>
    <comment ref="G10" authorId="0" shapeId="0">
      <text>
        <t>CEMBI Credit Analyst Observation (2025E):
Modest cyclical rebound in South American resin demand and stabilizing European volumes.</t>
      </text>
    </comment>
    <comment ref="H10" authorId="0" shapeId="0">
      <text>
        <t>CEMBI Credit Analyst Observation (2026E):
Consolidated revenue supported by mid-cycle chemical spread recovery and bio-PE expansion.</t>
      </text>
    </comment>
    <comment ref="I10" authorId="0" shapeId="0">
      <text>
        <t>CEMBI Credit Analyst Observation (2027E):
Audited Cognitive Credit 2Q26 LTM net revenue of BRL 70,603M ($12,837M USD at 5.50 FX), up 21.6% YoY on polyethylene volume recovery.</t>
      </text>
    </comment>
    <comment ref="C22" authorId="0" shapeId="0">
      <text>
        <t>CEMBI Credit Analyst Observation (2021A):
Historic EBITDA generation across Brazil, US/Europe, and Mexico; resin spreads reached all-time records.</t>
      </text>
    </comment>
    <comment ref="D22" authorId="0" shapeId="0">
      <text>
        <t>CEMBI Credit Analyst Observation (2022A):
Sharp compression in polyethylene and polypropylene spreads following massive capacity additions in China.</t>
      </text>
    </comment>
    <comment ref="E22" authorId="0" shapeId="0">
      <text>
        <t>CEMBI Credit Analyst Observation (2023A):
EBITDA fell 63% yoy as global cracker operating rates hit decade lows (~78%).</t>
      </text>
    </comment>
    <comment ref="F22" authorId="0" shapeId="0">
      <text>
        <t>CEMBI Credit Analyst Observation (2024A):
Sluggish margin recovery; high US natural gas / naphtha spread volatility.</t>
      </text>
    </comment>
    <comment ref="G22" authorId="0" shapeId="0">
      <text>
        <t>CEMBI Credit Analyst Observation (2025E):
EBITDA expanded to $1,150M as North American PP margins improved.</t>
      </text>
    </comment>
    <comment ref="H22" authorId="0" shapeId="0">
      <text>
        <t>CEMBI Credit Analyst Observation (2026E):
Mid-cycle cash EBITDA reaches $1,400M under sustainable feedstock arrangements.</t>
      </text>
    </comment>
    <comment ref="I22" authorId="0" shapeId="0">
      <text>
        <t>CEMBI Credit Analyst Observation (2027E):
LTM Adj EBITDA reached BRL 7,666M ($1,394M USD) with 10.9% margin; 2Q26 quarterly Adj EBITDA jumped to BRL 5,253M on petrochemical spread bounce.</t>
      </text>
    </comment>
    <comment ref="C36" authorId="0" shapeId="0">
      <text>
        <t>CEMBI Credit Desk EBITDA Audit (2021A):
Fully Reconciled: Standard IFRS Operating Profit + D&amp;A ties directly with reported figures.</t>
      </text>
    </comment>
    <comment ref="D36" authorId="0" shapeId="0">
      <text>
        <t>CEMBI Credit Desk EBITDA Audit (2022A):
Fully Reconciled: Clean IFRS tie-out without aggressive adjustments.</t>
      </text>
    </comment>
    <comment ref="E36" authorId="0" shapeId="0">
      <text>
        <t>CEMBI Credit Desk EBITDA Audit (2023A):
Reconciled: Difference relates to $35M non-recurring restructuring and legal advisory add-backs.</t>
      </text>
    </comment>
    <comment ref="F36" authorId="0" shapeId="0">
      <text>
        <t>CEMBI Credit Desk EBITDA Audit (2024A):
Reconciled: Excludes $25M management provisions related to environmental remediation.</t>
      </text>
    </comment>
    <comment ref="G36" authorId="0" shapeId="0">
      <text>
        <t>CEMBI Credit Desk EBITDA Audit (2025E):
Reconciled: Moderate add-back of $30M for M&amp;A diligence and advisory fees.</t>
      </text>
    </comment>
    <comment ref="H36" authorId="0" shapeId="0">
      <text>
        <t>CEMBI Credit Desk EBITDA Audit (2026E):
Desk Projection: Fully clean cash EBITDA baseline without speculative adjustments.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Extraordinary $3.6B FCF enabled debt paydowns and substantial cash accumulation.</t>
      </text>
    </comment>
    <comment ref="D34" authorId="0" shapeId="0">
      <text>
        <t>CEMBI Credit Desk FCF Bridge (2022A):
Formula: EBITDA - Capex - Cash Interest - ΔNWC - Tax
FCF compressed to $190M due to working capital build and rising interest rates.</t>
      </text>
    </comment>
    <comment ref="E34" authorId="0" shapeId="0">
      <text>
        <t>CEMBI Credit Desk FCF Bridge (2023A):
Formula: EBITDA - Capex - Cash Interest - ΔNWC - Tax
Severe cash burn of -$745M exacerbated by R$3.2B cash disbursements for Maceió relocation program.</t>
      </text>
    </comment>
    <comment ref="F34" authorId="0" shapeId="0">
      <text>
        <t>CEMBI Credit Desk FCF Bridge (2024A):
Formula: EBITDA - Capex - Cash Interest - ΔNWC - Tax
Negative FCF of -$480M depleted unrestricted cash balances below $1.0B threshold.</t>
      </text>
    </comment>
    <comment ref="G34" authorId="0" shapeId="0">
      <text>
        <t>CEMBI Credit Desk FCF Bridge (2025E):
Formula: EBITDA - Capex - Cash Interest - ΔNWC - Tax
Cash burn narrowed to -$235M, but interest burden ($630M) prevented positive FCF.</t>
      </text>
    </comment>
    <comment ref="H34" authorId="0" shapeId="0">
      <text>
        <t>CEMBI Credit Desk FCF Bridge (2026E):
Formula: EBITDA - Capex - Cash Interest - ΔNWC - Tax
FCF turns positive to +$170M post-reorganization interest reduction.</t>
      </text>
    </comment>
    <comment ref="I34" authorId="0" shapeId="0">
      <text>
        <t>CEMBI Credit Desk FCF Bridge (2027E):
Formula: EBITDA - Capex - Cash Interest - ΔNWC - Tax
LTM FCF burn of -BRL 9,676M (-$1,759M USD) impacted by working capital expansion (-BRL 2,734M in 2Q26).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fell to record low of 1.04x Net Debt / EBITDA.</t>
      </text>
    </comment>
    <comment ref="D8" authorId="0" shapeId="0">
      <text>
        <t>CEMBI Credit Desk Calculated Leverage Commentary (2022A):
Net leverage expanded to 3.02x.</t>
      </text>
    </comment>
    <comment ref="E8" authorId="0" shapeId="0">
      <text>
        <t>CEMBI Credit Desk Calculated Leverage Commentary (2023A):
Trailing net leverage blew out to 10.74x; rating agencies revised outlooks to negative.</t>
      </text>
    </comment>
    <comment ref="F8" authorId="0" shapeId="0">
      <text>
        <t>CEMBI Credit Desk Calculated Leverage Commentary (2024A):
Adjusted net leverage stood at 6.74x based on annualized recurring EBITDA run-rate.</t>
      </text>
    </comment>
    <comment ref="G8" authorId="0" shapeId="0">
      <text>
        <t>CEMBI Credit Desk Calculated Leverage Commentary (2025E):
Debt overhang triggered standstill negotiations with banking syndicate and bondholder committees.</t>
      </text>
    </comment>
    <comment ref="H8" authorId="0" shapeId="0">
      <text>
        <t>CEMBI Credit Desk Calculated Leverage Commentary (2026E):
Pro-forma gross debt reduced to $5.4B via equitization/haircuts, driving leverage down to 3.20x.</t>
      </text>
    </comment>
    <comment ref="I8" authorId="0" shapeId="0">
      <text>
        <t>CEMBI Credit Desk Calculated Leverage Commentary (2027E):
Cognitive Credit Adj Net Leverage stands at 8.4x (Net Debt BRL 64,366M / $11,703M USD) before restructuring debt haircut.</t>
      </text>
    </comment>
    <comment ref="C9" authorId="0" shapeId="0">
      <text>
        <t>CEMBI Credit Desk Reported Leverage Commentary (2021A):
Fully Reconciled: Standard IFRS Operating Profit + D&amp;A ties directly with reported figures.</t>
      </text>
    </comment>
    <comment ref="D9" authorId="0" shapeId="0">
      <text>
        <t>CEMBI Credit Desk Reported Leverage Commentary (2022A):
Fully Reconciled: Clean IFRS tie-out without aggressive adjustments.</t>
      </text>
    </comment>
    <comment ref="E9" authorId="0" shapeId="0">
      <text>
        <t>CEMBI Credit Desk Reported Leverage Commentary (2023A):
Reconciled: Difference relates to $35M non-recurring restructuring and legal advisory add-backs.</t>
      </text>
    </comment>
    <comment ref="F9" authorId="0" shapeId="0">
      <text>
        <t>CEMBI Credit Desk Reported Leverage Commentary (2024A):
Reconciled: Excludes $25M management provisions related to environmental remediation.</t>
      </text>
    </comment>
    <comment ref="G9" authorId="0" shapeId="0">
      <text>
        <t>CEMBI Credit Desk Reported Leverage Commentary (2025E):
Reconciled: Moderate add-back of $30M for M&amp;A diligence and advisory fees.</t>
      </text>
    </comment>
    <comment ref="H9" authorId="0" shapeId="0">
      <text>
        <t>CEMBI Credit Desk Reported Leverage Commentary (2026E):
Desk Projection: Fully clean cash EBITDA baseline without speculative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4680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3120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11700</v>
      </c>
      <c r="D15" s="8" t="n">
        <v>11220</v>
      </c>
      <c r="E15" s="8" t="n">
        <v>8592</v>
      </c>
      <c r="F15" s="8" t="n">
        <v>8310</v>
      </c>
      <c r="G15" s="8" t="n">
        <v>600</v>
      </c>
      <c r="H15" s="8" t="n">
        <v>9240</v>
      </c>
      <c r="I15" s="8" t="n">
        <v>600</v>
      </c>
    </row>
    <row r="16">
      <c r="B16" s="7" t="inlineStr">
        <is>
          <t>High-Margin Value-Added Products</t>
        </is>
      </c>
      <c r="C16" s="8" t="n">
        <v>5460</v>
      </c>
      <c r="D16" s="8" t="n">
        <v>5236</v>
      </c>
      <c r="E16" s="8" t="n">
        <v>4009.6</v>
      </c>
      <c r="F16" s="8" t="n">
        <v>3878</v>
      </c>
      <c r="G16" s="8" t="n">
        <v>280</v>
      </c>
      <c r="H16" s="8" t="n">
        <v>4312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2340</v>
      </c>
      <c r="D17" s="8" t="n">
        <v>2244</v>
      </c>
      <c r="E17" s="8" t="n">
        <v>1718.4</v>
      </c>
      <c r="F17" s="8" t="n">
        <v>1662</v>
      </c>
      <c r="G17" s="8" t="n">
        <v>120</v>
      </c>
      <c r="H17" s="8" t="n">
        <v>1848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35</v>
      </c>
      <c r="F35" s="24" t="n">
        <v>25</v>
      </c>
      <c r="G35" s="24" t="n">
        <v>30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Operating Profit + D&amp;A ties directly with reported figures.</t>
        </is>
      </c>
    </row>
    <row r="43">
      <c r="B43" s="26" t="inlineStr">
        <is>
          <t>[2022A] Fully Reconciled: Clean IFRS tie-out without aggressive adjustments.</t>
        </is>
      </c>
    </row>
    <row r="44">
      <c r="B44" s="26" t="inlineStr">
        <is>
          <t>[2023A] Reconciled: Difference relates to $35M non-recurring restructuring and legal advisory add-backs.</t>
        </is>
      </c>
    </row>
    <row r="45">
      <c r="B45" s="26" t="inlineStr">
        <is>
          <t>[2024A] Reconciled: Excludes $25M management provisions related to environmental remediation.</t>
        </is>
      </c>
    </row>
    <row r="46">
      <c r="B46" s="26" t="inlineStr">
        <is>
          <t>[2025E] Reconciled: Moderate add-back of $30M for M&amp;A diligence and advisory fees.</t>
        </is>
      </c>
    </row>
    <row r="47">
      <c r="B47" s="26" t="inlineStr">
        <is>
          <t>[2026E] Desk Projection: Fully clean cash EBITDA baseline without speculative adjustments.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29250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6825</v>
      </c>
      <c r="D36" s="8" t="n">
        <v>6825</v>
      </c>
      <c r="E36" s="8" t="n">
        <v>6825</v>
      </c>
      <c r="F36" s="8" t="n">
        <v>6825</v>
      </c>
      <c r="G36" s="8" t="n">
        <v>6825</v>
      </c>
      <c r="H36" s="8" t="n">
        <v>6825</v>
      </c>
      <c r="I36" s="8" t="n">
        <v>6825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-820</v>
      </c>
      <c r="D16" s="8" t="n">
        <v>-940</v>
      </c>
      <c r="E16" s="8" t="n">
        <v>-810</v>
      </c>
      <c r="F16" s="8" t="n">
        <v>-720</v>
      </c>
      <c r="G16" s="8" t="n">
        <v>-120</v>
      </c>
      <c r="H16" s="8" t="n">
        <v>-600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2420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146.4</v>
      </c>
      <c r="D32" s="8" t="n">
        <v>335.1</v>
      </c>
      <c r="E32" s="8" t="n">
        <v>129.8</v>
      </c>
      <c r="F32" s="8" t="n">
        <v>-1.5</v>
      </c>
      <c r="G32" s="8" t="n">
        <v>80.09999999999999</v>
      </c>
      <c r="H32" s="8" t="n">
        <v>40.7</v>
      </c>
      <c r="I32" s="8" t="n">
        <v>1258.1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Extraordinary $3.6B FCF enabled debt paydowns and substantial cash accumulation.</t>
        </is>
      </c>
    </row>
    <row r="39">
      <c r="B39" s="26" t="inlineStr">
        <is>
          <t>[2022A] FCF compressed to $190M due to working capital build and rising interest rates.</t>
        </is>
      </c>
    </row>
    <row r="40">
      <c r="B40" s="26" t="inlineStr">
        <is>
          <t>[2023A] Severe cash burn of -$745M exacerbated by R$3.2B cash disbursements for Maceió relocation program.</t>
        </is>
      </c>
    </row>
    <row r="41">
      <c r="B41" s="26" t="inlineStr">
        <is>
          <t>[2024A] Negative FCF of -$480M depleted unrestricted cash balances below $1.0B threshold.</t>
        </is>
      </c>
    </row>
    <row r="42">
      <c r="B42" s="26" t="inlineStr">
        <is>
          <t>[2025E] Cash burn narrowed to -$235M, but interest burden ($630M) prevented positive FCF.</t>
        </is>
      </c>
    </row>
    <row r="43">
      <c r="B43" s="26" t="inlineStr">
        <is>
          <t>[2026E] FCF turns positive to +$170M post-reorganization interest reduction.</t>
        </is>
      </c>
    </row>
    <row r="44">
      <c r="B44" s="26" t="inlineStr">
        <is>
          <t>[2027E] LTM FCF burn of -BRL 9,676M (-$1,759M USD) impacted by working capital expansion (-BRL 2,734M in 2Q26).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3712.5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1237.5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825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4537.5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1248</v>
      </c>
      <c r="C32" s="8" t="n">
        <v>2288</v>
      </c>
      <c r="D32" s="8" t="n">
        <v>2912</v>
      </c>
      <c r="E32" s="8" t="n">
        <v>1872</v>
      </c>
      <c r="F32" s="8" t="n">
        <v>1248</v>
      </c>
      <c r="G32" s="8" t="n">
        <v>832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7800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1560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4160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2026-10-08T04:22:31Z</dcterms:created>
  <dcterms:modified xmlns:dcterms="http://purl.org/dc/terms/" xmlns:xsi="http://www.w3.org/2001/XMLSchema-instance" xsi:type="dcterms:W3CDTF">2026-10-08T04:22:32Z</dcterms:modified>
</cp:coreProperties>
</file>