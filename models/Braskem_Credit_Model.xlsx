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$1871.4M after capex, interest, working capital, and tax.</t>
      </text>
    </comment>
    <comment ref="D34" authorId="0" shapeId="0">
      <text>
        <t>CEMBI Credit Desk FCF Bridge (2022A):
Formula: EBITDA - Capex - Cash Interest - ΔNWC - Tax
FCF generation of $188.4M after capex, interest, working capital, and tax.</t>
      </text>
    </comment>
    <comment ref="E34" authorId="0" shapeId="0">
      <text>
        <t>CEMBI Credit Desk FCF Bridge (2023A):
Formula: EBITDA - Capex - Cash Interest - ΔNWC - Tax
FCF generation of $6544.0M after capex, interest, working capital, and tax.</t>
      </text>
    </comment>
    <comment ref="F34" authorId="0" shapeId="0">
      <text>
        <t>CEMBI Credit Desk FCF Bridge (2024A):
Formula: EBITDA - Capex - Cash Interest - ΔNWC - Tax
FCF generation of $-871.4M after capex, interest, working capital, and tax.</t>
      </text>
    </comment>
    <comment ref="G34" authorId="0" shapeId="0">
      <text>
        <t>CEMBI Credit Desk FCF Bridge (2025E):
Formula: EBITDA - Capex - Cash Interest - ΔNWC - Tax
FCF generation of $2871.1M after capex, interest, working capital, and tax.</t>
      </text>
    </comment>
    <comment ref="H34" authorId="0" shapeId="0">
      <text>
        <t>CEMBI Credit Desk FCF Bridge (2026E):
Formula: EBITDA - Capex - Cash Interest - ΔNWC - Tax
FCF generation of $10523.5M after capex, interest, working capital, and tax.</t>
      </text>
    </comment>
    <comment ref="I34" authorId="0" shapeId="0">
      <text>
        <t>CEMBI Credit Desk FCF Bridge (2027E):
Formula: EBITDA - Capex - Cash Interest - ΔNWC - Tax
FCF generation of $3174.0M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33174.9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22116.6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18430.5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63375.1</v>
      </c>
      <c r="D15" s="8" t="n">
        <v>57911.4</v>
      </c>
      <c r="E15" s="8" t="n">
        <v>42341.4</v>
      </c>
      <c r="F15" s="8" t="n">
        <v>46446.6</v>
      </c>
      <c r="G15" s="8" t="n">
        <v>600</v>
      </c>
      <c r="H15" s="8" t="n">
        <v>600</v>
      </c>
      <c r="I15" s="8" t="n">
        <v>600</v>
      </c>
    </row>
    <row r="16">
      <c r="B16" s="7" t="inlineStr">
        <is>
          <t>High-Margin Value-Added Products</t>
        </is>
      </c>
      <c r="C16" s="8" t="n">
        <v>29575.1</v>
      </c>
      <c r="D16" s="8" t="n">
        <v>27025.3</v>
      </c>
      <c r="E16" s="8" t="n">
        <v>19759.3</v>
      </c>
      <c r="F16" s="8" t="n">
        <v>21675.1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12675</v>
      </c>
      <c r="D17" s="8" t="n">
        <v>11582.3</v>
      </c>
      <c r="E17" s="8" t="n">
        <v>8468.299999999999</v>
      </c>
      <c r="F17" s="8" t="n">
        <v>9289.299999999999</v>
      </c>
      <c r="G17" s="8" t="n">
        <v>120</v>
      </c>
      <c r="H17" s="8" t="n">
        <v>120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Cognitive Credit derived EBITDA versus company-reported (adjusted) EBITDA; difference = company adjustments.</t>
        </is>
      </c>
    </row>
    <row r="43">
      <c r="B43" s="26" t="inlineStr">
        <is>
          <t>[2022A] Cognitive Credit derived EBITDA versus company-reported (adjusted) EBITDA; difference = company adjustments.</t>
        </is>
      </c>
    </row>
    <row r="44">
      <c r="B44" s="26" t="inlineStr">
        <is>
          <t>[2023A] Cognitive Credit derived EBITDA versus company-reported (adjusted) EBITDA; difference = company adjustments.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158437.8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36968.8</v>
      </c>
      <c r="D36" s="8" t="n">
        <v>36968.8</v>
      </c>
      <c r="E36" s="8" t="n">
        <v>36968.8</v>
      </c>
      <c r="F36" s="8" t="n">
        <v>36968.8</v>
      </c>
      <c r="G36" s="8" t="n">
        <v>36968.8</v>
      </c>
      <c r="H36" s="8" t="n">
        <v>36968.8</v>
      </c>
      <c r="I36" s="8" t="n">
        <v>36968.8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3421.3</v>
      </c>
      <c r="D16" s="8" t="n">
        <v>4848</v>
      </c>
      <c r="E16" s="8" t="n">
        <v>4530</v>
      </c>
      <c r="F16" s="8" t="n">
        <v>3761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8680.700000000001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7309.1</v>
      </c>
      <c r="D32" s="8" t="n">
        <v>11409.1</v>
      </c>
      <c r="E32" s="8" t="n">
        <v>4698.2</v>
      </c>
      <c r="F32" s="8" t="n">
        <v>5759.2</v>
      </c>
      <c r="G32" s="8" t="n">
        <v>2608.5</v>
      </c>
      <c r="H32" s="8" t="n">
        <v>17593.7</v>
      </c>
      <c r="I32" s="8" t="n">
        <v>7693.6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24393.9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8131.3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5420.9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29814.8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8846.6</v>
      </c>
      <c r="C32" s="8" t="n">
        <v>16218.8</v>
      </c>
      <c r="D32" s="8" t="n">
        <v>20642.2</v>
      </c>
      <c r="E32" s="8" t="n">
        <v>13270</v>
      </c>
      <c r="F32" s="8" t="n">
        <v>8846.6</v>
      </c>
      <c r="G32" s="8" t="n">
        <v>5897.8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18430.5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55291.5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11058.3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29488.8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2026-10-31T05:16:16Z</dcterms:created>
  <dcterms:modified xmlns:dcterms="http://purl.org/dc/terms/" xmlns:xsi="http://www.w3.org/2001/XMLSchema-instance" xsi:type="dcterms:W3CDTF">2026-10-31T05:16:16Z</dcterms:modified>
</cp:coreProperties>
</file>