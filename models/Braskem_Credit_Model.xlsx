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$1871.4M after capex, interest, working capital, and tax.</t>
      </text>
    </comment>
    <comment ref="D34" authorId="0" shapeId="0">
      <text>
        <t>CEMBI Credit Desk FCF Bridge (2022A):
Formula: EBITDA - Capex - Cash Interest - ΔNWC - Tax
FCF generation of $188.4M after capex, interest, working capital, and tax.</t>
      </text>
    </comment>
    <comment ref="E34" authorId="0" shapeId="0">
      <text>
        <t>CEMBI Credit Desk FCF Bridge (2023A):
Formula: EBITDA - Capex - Cash Interest - ΔNWC - Tax
FCF generation of $6544.0M after capex, interest, working capital, and tax.</t>
      </text>
    </comment>
    <comment ref="F34" authorId="0" shapeId="0">
      <text>
        <t>CEMBI Credit Desk FCF Bridge (2024A):
Formula: EBITDA - Capex - Cash Interest - ΔNWC - Tax
FCF generation of $-871.4M after capex, interest, working capital, and tax.</t>
      </text>
    </comment>
    <comment ref="G34" authorId="0" shapeId="0">
      <text>
        <t>CEMBI Credit Desk FCF Bridge (2025E):
Formula: EBITDA - Capex - Cash Interest - ΔNWC - Tax
FCF generation of $2871.1M after capex, interest, working capital, and tax.</t>
      </text>
    </comment>
    <comment ref="H34" authorId="0" shapeId="0">
      <text>
        <t>CEMBI Credit Desk FCF Bridge (2026E):
Formula: EBITDA - Capex - Cash Interest - ΔNWC - Tax
FCF generation of $10523.5M after capex, interest, working capital, and tax.</t>
      </text>
    </comment>
    <comment ref="I34" authorId="0" shapeId="0">
      <text>
        <t>CEMBI Credit Desk FCF Bridge (2027E):
Formula: EBITDA - Capex - Cash Interest - ΔNWC - Tax
FCF generation of $3174.0M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33174.9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22116.6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18430.5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63375.1</v>
      </c>
      <c r="D15" s="8" t="n">
        <v>57911.4</v>
      </c>
      <c r="E15" s="8" t="n">
        <v>42341.4</v>
      </c>
      <c r="F15" s="8" t="n">
        <v>46446.6</v>
      </c>
      <c r="G15" s="8" t="n">
        <v>600</v>
      </c>
      <c r="H15" s="8" t="n">
        <v>600</v>
      </c>
      <c r="I15" s="8" t="n">
        <v>600</v>
      </c>
    </row>
    <row r="16">
      <c r="B16" s="7" t="inlineStr">
        <is>
          <t>High-Margin Value-Added Products</t>
        </is>
      </c>
      <c r="C16" s="8" t="n">
        <v>29575.1</v>
      </c>
      <c r="D16" s="8" t="n">
        <v>27025.3</v>
      </c>
      <c r="E16" s="8" t="n">
        <v>19759.3</v>
      </c>
      <c r="F16" s="8" t="n">
        <v>21675.1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12675</v>
      </c>
      <c r="D17" s="8" t="n">
        <v>11582.3</v>
      </c>
      <c r="E17" s="8" t="n">
        <v>8468.299999999999</v>
      </c>
      <c r="F17" s="8" t="n">
        <v>9289.299999999999</v>
      </c>
      <c r="G17" s="8" t="n">
        <v>120</v>
      </c>
      <c r="H17" s="8" t="n">
        <v>120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Cognitive Credit derived EBITDA versus company-reported (adjusted) EBITDA; difference = company adjustments.</t>
        </is>
      </c>
    </row>
    <row r="43">
      <c r="B43" s="26" t="inlineStr">
        <is>
          <t>[2022A] Cognitive Credit derived EBITDA versus company-reported (adjusted) EBITDA; difference = company adjustments.</t>
        </is>
      </c>
    </row>
    <row r="44">
      <c r="B44" s="26" t="inlineStr">
        <is>
          <t>[2023A] Cognitive Credit derived EBITDA versus company-reported (adjusted) EBITDA; difference = company adjustments.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158437.8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36968.8</v>
      </c>
      <c r="D36" s="8" t="n">
        <v>36968.8</v>
      </c>
      <c r="E36" s="8" t="n">
        <v>36968.8</v>
      </c>
      <c r="F36" s="8" t="n">
        <v>36968.8</v>
      </c>
      <c r="G36" s="8" t="n">
        <v>36968.8</v>
      </c>
      <c r="H36" s="8" t="n">
        <v>36968.8</v>
      </c>
      <c r="I36" s="8" t="n">
        <v>36968.8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3421.3</v>
      </c>
      <c r="D16" s="8" t="n">
        <v>4848</v>
      </c>
      <c r="E16" s="8" t="n">
        <v>4530</v>
      </c>
      <c r="F16" s="8" t="n">
        <v>3761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8680.700000000001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7309.1</v>
      </c>
      <c r="D32" s="8" t="n">
        <v>11409.1</v>
      </c>
      <c r="E32" s="8" t="n">
        <v>4698.2</v>
      </c>
      <c r="F32" s="8" t="n">
        <v>5759.2</v>
      </c>
      <c r="G32" s="8" t="n">
        <v>2608.5</v>
      </c>
      <c r="H32" s="8" t="n">
        <v>17593.7</v>
      </c>
      <c r="I32" s="8" t="n">
        <v>7693.6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24393.9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8131.3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5420.9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29814.8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8846.6</v>
      </c>
      <c r="C32" s="8" t="n">
        <v>16218.8</v>
      </c>
      <c r="D32" s="8" t="n">
        <v>20642.2</v>
      </c>
      <c r="E32" s="8" t="n">
        <v>13270</v>
      </c>
      <c r="F32" s="8" t="n">
        <v>8846.6</v>
      </c>
      <c r="G32" s="8" t="n">
        <v>5897.8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18430.5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55291.5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11058.3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29488.8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  <row r="23"/>
    <row r="24">
      <c r="B24" s="3" t="inlineStr">
        <is>
          <t>SCHEDULED EARNINGS RELEASE &amp; INVESTOR RELATIONS CALENDAR</t>
        </is>
      </c>
    </row>
    <row r="25">
      <c r="B25" s="5" t="inlineStr">
        <is>
          <t>Calendar Dimension</t>
        </is>
      </c>
      <c r="C25" s="5" t="inlineStr">
        <is>
          <t>Scheduled Detail &amp; IR Access</t>
        </is>
      </c>
    </row>
    <row r="26">
      <c r="B26" s="9" t="inlineStr">
        <is>
          <t>Next Scheduled Earnings Date</t>
        </is>
      </c>
      <c r="C26" s="38" t="inlineStr">
        <is>
          <t>2026-11-12</t>
        </is>
      </c>
    </row>
    <row r="27">
      <c r="B27" s="9" t="inlineStr">
        <is>
          <t>Reporting Period</t>
        </is>
      </c>
      <c r="C27" s="38" t="inlineStr">
        <is>
          <t>Q3 2026 / 9M</t>
        </is>
      </c>
    </row>
    <row r="28">
      <c r="B28" s="9" t="inlineStr">
        <is>
          <t>Confirmation Status</t>
        </is>
      </c>
      <c r="C28" s="38" t="inlineStr">
        <is>
          <t>Estimated</t>
        </is>
      </c>
    </row>
    <row r="29">
      <c r="B29" s="9" t="inlineStr">
        <is>
          <t>Conference Call &amp; Webcast Schedule</t>
        </is>
      </c>
      <c r="C29" s="38" t="inlineStr">
        <is>
          <t>14:00 Local / Pre-Market</t>
        </is>
      </c>
    </row>
    <row r="30">
      <c r="B30" s="9" t="inlineStr">
        <is>
          <t>Official IR Portal / Webcast URL</t>
        </is>
      </c>
      <c r="C30" s="38" t="inlineStr">
        <is>
          <t>https://www.google.com/finance/quote/BRASKM</t>
        </is>
      </c>
    </row>
  </sheetData>
  <mergeCells count="16">
    <mergeCell ref="C28:I28"/>
    <mergeCell ref="C13:I13"/>
    <mergeCell ref="C22:I22"/>
    <mergeCell ref="F9:I9"/>
    <mergeCell ref="F7:I7"/>
    <mergeCell ref="F8:I8"/>
    <mergeCell ref="C26:I26"/>
    <mergeCell ref="B2:I2"/>
    <mergeCell ref="B3:I3"/>
    <mergeCell ref="C29:I29"/>
    <mergeCell ref="C30:I30"/>
    <mergeCell ref="C16:I16"/>
    <mergeCell ref="C25:I25"/>
    <mergeCell ref="F10:I10"/>
    <mergeCell ref="C27:I27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2026-10-24T04:15:37Z</dcterms:created>
  <dcterms:modified xmlns:dcterms="http://purl.org/dc/terms/" xmlns:xsi="http://www.w3.org/2001/XMLSchema-instance" xsi:type="dcterms:W3CDTF">2026-10-24T04:15:37Z</dcterms:modified>
</cp:coreProperties>
</file>