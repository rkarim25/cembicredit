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Gold Fields Ltd</t>
        </is>
      </c>
    </row>
    <row r="3">
      <c r="B3" s="2" t="inlineStr">
        <is>
          <t>CEMBI CEEMEA Institutional Credit Assessment | Country: South Africa (Africa) | Sector: Materials | Benchmark: GFI 6.125%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GFI 6.125% 2029</t>
        </is>
      </c>
      <c r="C6" s="5" t="inlineStr">
        <is>
          <t>6.05% (+200 bp)</t>
        </is>
      </c>
      <c r="D6" s="4" t="inlineStr">
        <is>
          <t>BBB- / Baa3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$80.00</t>
        </is>
      </c>
      <c r="D7" s="4" t="inlineStr">
        <is>
          <t>Base Case Fair Value</t>
        </is>
      </c>
      <c r="E7" s="5" t="inlineStr">
        <is>
          <t>$101.50</t>
        </is>
      </c>
    </row>
    <row r="9">
      <c r="B9" s="6" t="inlineStr">
        <is>
          <t>INSTITUTIONAL INVESTMENT THESIS</t>
        </is>
      </c>
    </row>
    <row r="10">
      <c r="B10" s="7" t="inlineStr">
        <is>
          <t>Tier-1 global gold producer (Australia, Ghana, South Africa, Chile); benefit from high gold prices and Salares Norte ramp-up.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Gold Fields Ltd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3060</v>
      </c>
      <c r="D7" s="13" t="n">
        <v>3690</v>
      </c>
      <c r="E7" s="13" t="n">
        <v>4140</v>
      </c>
      <c r="F7" s="13" t="n">
        <v>4500</v>
      </c>
      <c r="G7" s="14" t="n">
        <v>4860</v>
      </c>
      <c r="H7" s="14" t="n">
        <v>5175</v>
      </c>
      <c r="I7" s="14" t="n">
        <v>5400</v>
      </c>
    </row>
    <row r="8">
      <c r="B8" s="12" t="inlineStr">
        <is>
          <t>EBITDA</t>
        </is>
      </c>
      <c r="C8" s="13" t="n">
        <v>1365</v>
      </c>
      <c r="D8" s="13" t="n">
        <v>1680</v>
      </c>
      <c r="E8" s="13" t="n">
        <v>1890</v>
      </c>
      <c r="F8" s="13" t="n">
        <v>2100</v>
      </c>
      <c r="G8" s="14" t="n">
        <v>2310</v>
      </c>
      <c r="H8" s="14" t="n">
        <v>2478</v>
      </c>
      <c r="I8" s="14" t="n">
        <v>2604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132.6</v>
      </c>
      <c r="D10" s="17" t="n">
        <v>165.8</v>
      </c>
      <c r="E10" s="17" t="n">
        <v>198.9</v>
      </c>
      <c r="F10" s="17" t="n">
        <v>221.1</v>
      </c>
      <c r="G10" s="18" t="n">
        <v>212.2</v>
      </c>
      <c r="H10" s="18" t="n">
        <v>203.4</v>
      </c>
      <c r="I10" s="18" t="n">
        <v>194.5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1106.7</v>
      </c>
      <c r="D12" s="13" t="n">
        <v>1392.3</v>
      </c>
      <c r="E12" s="13" t="n">
        <v>1570.8</v>
      </c>
      <c r="F12" s="13" t="n">
        <v>1785</v>
      </c>
      <c r="G12" s="14" t="n">
        <v>1963.5</v>
      </c>
      <c r="H12" s="14" t="n">
        <v>2106.3</v>
      </c>
      <c r="I12" s="14" t="n">
        <v>2231.2</v>
      </c>
    </row>
    <row r="13">
      <c r="B13" s="5" t="inlineStr">
        <is>
          <t>Capital Expenditures (Capex)</t>
        </is>
      </c>
      <c r="C13" s="17" t="n">
        <v>514.5</v>
      </c>
      <c r="D13" s="17" t="n">
        <v>624.8</v>
      </c>
      <c r="E13" s="17" t="n">
        <v>698.2</v>
      </c>
      <c r="F13" s="17" t="n">
        <v>735</v>
      </c>
      <c r="G13" s="18" t="n">
        <v>771.8</v>
      </c>
      <c r="H13" s="18" t="n">
        <v>749.7</v>
      </c>
      <c r="I13" s="18" t="n">
        <v>720.3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866.3</v>
      </c>
      <c r="D16" s="13" t="n">
        <v>1102.5</v>
      </c>
      <c r="E16" s="13" t="n">
        <v>1338.8</v>
      </c>
      <c r="F16" s="13" t="n">
        <v>1575</v>
      </c>
      <c r="G16" s="14" t="n">
        <v>1858.5</v>
      </c>
      <c r="H16" s="14" t="n">
        <v>2126.2</v>
      </c>
      <c r="I16" s="14" t="n">
        <v>2362.5</v>
      </c>
    </row>
    <row r="17">
      <c r="B17" s="12" t="inlineStr">
        <is>
          <t>Gross Total Debt</t>
        </is>
      </c>
      <c r="C17" s="13" t="n">
        <v>2856</v>
      </c>
      <c r="D17" s="13" t="n">
        <v>3091.2</v>
      </c>
      <c r="E17" s="13" t="n">
        <v>3292.8</v>
      </c>
      <c r="F17" s="13" t="n">
        <v>3360</v>
      </c>
      <c r="G17" s="14" t="n">
        <v>3292.8</v>
      </c>
      <c r="H17" s="14" t="n">
        <v>3192</v>
      </c>
      <c r="I17" s="14" t="n">
        <v>3024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Gold Fields Ltd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6.05%</t>
        </is>
      </c>
      <c r="F6" s="21" t="inlineStr">
        <is>
          <t>2028 / 2029</t>
        </is>
      </c>
      <c r="G6" s="17" t="n">
        <v>1512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840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504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336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168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1338.8</v>
      </c>
    </row>
    <row r="15">
      <c r="B15" t="inlineStr">
        <is>
          <t>Committed Undrawn RCF Capacity</t>
        </is>
      </c>
      <c r="C15" s="22" t="n">
        <v>840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624.3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Gold Fields Ltd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2100</v>
      </c>
      <c r="D6" s="17" t="n">
        <v>1785</v>
      </c>
      <c r="E6" s="25" t="n">
        <v>1365</v>
      </c>
    </row>
    <row r="7">
      <c r="B7" s="5" t="inlineStr">
        <is>
          <t>Free Cash Flow ($M)</t>
        </is>
      </c>
      <c r="C7" s="17" t="n">
        <v>1050</v>
      </c>
      <c r="D7" s="17" t="n">
        <v>630</v>
      </c>
      <c r="E7" s="25" t="n">
        <v>157.5</v>
      </c>
    </row>
    <row r="8">
      <c r="B8" s="12" t="inlineStr">
        <is>
          <t>Net Leverage Ratio (x)</t>
        </is>
      </c>
      <c r="C8" s="26" t="n">
        <v>0.85</v>
      </c>
      <c r="D8" s="26" t="n">
        <v>1.06</v>
      </c>
      <c r="E8" s="27" t="n">
        <v>1.57</v>
      </c>
    </row>
    <row r="9">
      <c r="B9" s="5" t="inlineStr">
        <is>
          <t>Interest Coverage Ratio (x)</t>
        </is>
      </c>
      <c r="C9" s="26" t="n">
        <v>9.5</v>
      </c>
      <c r="D9" s="26" t="n">
        <v>7.41</v>
      </c>
      <c r="E9" s="27" t="n">
        <v>4.28</v>
      </c>
    </row>
    <row r="10">
      <c r="B10" s="12" t="inlineStr">
        <is>
          <t>Implied Senior Paper Trading / Recovery ($)</t>
        </is>
      </c>
      <c r="C10" s="12" t="inlineStr">
        <is>
          <t>$101.50</t>
        </is>
      </c>
      <c r="D10" s="12" t="inlineStr">
        <is>
          <t>$92.00</t>
        </is>
      </c>
      <c r="E10" s="28" t="inlineStr">
        <is>
          <t>$80.00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2026-09-19T18:23:36Z</dcterms:created>
  <dcterms:modified xmlns:dcterms="http://purl.org/dc/terms/" xmlns:xsi="http://www.w3.org/2001/XMLSchema-instance" xsi:type="dcterms:W3CDTF">2026-09-19T18:23:36Z</dcterms:modified>
</cp:coreProperties>
</file>