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(+$20.5M)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(+$25.2M)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(+$28.3M)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(+$31.5M)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(+$34.6M)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(+$37.2M)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(+$39.1M)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(+$20.5M)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(+$25.2M)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(+$28.3M)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(+$31.5M)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(+$34.6M)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(+$37.2M)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(+$39.1M)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Gold Fields Ltd (GFI) — Institutional Credit Model</t>
        </is>
      </c>
    </row>
    <row r="3">
      <c r="B3" s="2" t="inlineStr">
        <is>
          <t>Sector: Materials | Country: South Africa | Rating: BBB- / Baa3 | Benchmark: GFI 6.125% 2029 @ $100.20 (6.05% YTM / +200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Tier-1 global gold producer (Australia, Ghana, South Africa, Chile); benefit from high gold prices and Salares Norte ramp-up.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GFI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1512</v>
      </c>
      <c r="F26" s="7" t="inlineStr">
        <is>
          <t>6.05%</t>
        </is>
      </c>
      <c r="G26" s="7" t="inlineStr">
        <is>
          <t>$100.20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GFI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1008</v>
      </c>
      <c r="F27" s="7" t="inlineStr">
        <is>
          <t>5.30%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840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Gold Fields Ltd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1836</v>
      </c>
      <c r="D15" s="8" t="n">
        <v>2214</v>
      </c>
      <c r="E15" s="8" t="n">
        <v>2484</v>
      </c>
      <c r="F15" s="8" t="n">
        <v>2700</v>
      </c>
      <c r="G15" s="8" t="n">
        <v>2916</v>
      </c>
      <c r="H15" s="8" t="n">
        <v>3105</v>
      </c>
      <c r="I15" s="8" t="n">
        <v>3240</v>
      </c>
    </row>
    <row r="16">
      <c r="B16" s="7" t="inlineStr">
        <is>
          <t>High-Margin Value-Added Products</t>
        </is>
      </c>
      <c r="C16" s="8" t="n">
        <v>856.8</v>
      </c>
      <c r="D16" s="8" t="n">
        <v>1033.2</v>
      </c>
      <c r="E16" s="8" t="n">
        <v>1159.2</v>
      </c>
      <c r="F16" s="8" t="n">
        <v>1260</v>
      </c>
      <c r="G16" s="8" t="n">
        <v>1360.8</v>
      </c>
      <c r="H16" s="8" t="n">
        <v>1449</v>
      </c>
      <c r="I16" s="8" t="n">
        <v>1512</v>
      </c>
    </row>
    <row r="17">
      <c r="B17" s="7" t="inlineStr">
        <is>
          <t>By-Product Processing &amp; Industrial Logistics</t>
        </is>
      </c>
      <c r="C17" s="8" t="n">
        <v>367.2</v>
      </c>
      <c r="D17" s="8" t="n">
        <v>442.8</v>
      </c>
      <c r="E17" s="8" t="n">
        <v>496.8</v>
      </c>
      <c r="F17" s="8" t="n">
        <v>540</v>
      </c>
      <c r="G17" s="8" t="n">
        <v>583.2</v>
      </c>
      <c r="H17" s="8" t="n">
        <v>621</v>
      </c>
      <c r="I17" s="8" t="n">
        <v>648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Gold Fields Ltd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20.5</v>
      </c>
      <c r="D35" s="24" t="n">
        <v>25.2</v>
      </c>
      <c r="E35" s="24" t="n">
        <v>28.3</v>
      </c>
      <c r="F35" s="24" t="n">
        <v>31.5</v>
      </c>
      <c r="G35" s="24" t="n">
        <v>34.6</v>
      </c>
      <c r="H35" s="24" t="n">
        <v>37.2</v>
      </c>
      <c r="I35" s="24" t="n">
        <v>39.1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(+$20.5M)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(+$25.2M)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(+$28.3M)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(+$31.5M)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(+$34.6M)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(+$37.2M)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(+$39.1M)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Gold Fields Ltd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4590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1071</v>
      </c>
      <c r="D36" s="8" t="n">
        <v>1071</v>
      </c>
      <c r="E36" s="8" t="n">
        <v>1071</v>
      </c>
      <c r="F36" s="8" t="n">
        <v>1071</v>
      </c>
      <c r="G36" s="8" t="n">
        <v>1071</v>
      </c>
      <c r="H36" s="8" t="n">
        <v>1071</v>
      </c>
      <c r="I36" s="8" t="n">
        <v>1071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Gold Fields Ltd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-648.4</v>
      </c>
      <c r="D16" s="8" t="n">
        <v>-1134</v>
      </c>
      <c r="E16" s="8" t="n">
        <v>-1275.8</v>
      </c>
      <c r="F16" s="8" t="n">
        <v>-1207.5</v>
      </c>
      <c r="G16" s="8" t="n">
        <v>-1097.2</v>
      </c>
      <c r="H16" s="8" t="n">
        <v>-1177</v>
      </c>
      <c r="I16" s="8" t="n">
        <v>-1236.9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866.3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135.5</v>
      </c>
      <c r="D32" s="8" t="n">
        <v>293.3</v>
      </c>
      <c r="E32" s="8" t="n">
        <v>330.9</v>
      </c>
      <c r="F32" s="8" t="n">
        <v>202.7</v>
      </c>
      <c r="G32" s="8" t="n">
        <v>214.7</v>
      </c>
      <c r="H32" s="8" t="n">
        <v>225.1</v>
      </c>
      <c r="I32" s="8" t="n">
        <v>232.2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22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Gold Fields Ltd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GFI Benchmark Eurobond Notes</t>
        </is>
      </c>
    </row>
    <row r="7">
      <c r="B7" s="7" t="inlineStr">
        <is>
          <t xml:space="preserve">  Beginning Principal Balance</t>
        </is>
      </c>
      <c r="C7" s="8" t="n">
        <v>1285.2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428.4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285.6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0.0605</f>
        <v/>
      </c>
      <c r="D11" s="8">
        <f>D10 * 0.0605</f>
        <v/>
      </c>
      <c r="E11" s="8">
        <f>E10 * 0.0605</f>
        <v/>
      </c>
      <c r="F11" s="8">
        <f>F10 * 0.0605</f>
        <v/>
      </c>
      <c r="G11" s="8">
        <f>G10 * 0.0605</f>
        <v/>
      </c>
      <c r="H11" s="8">
        <f>H10 * 0.0605</f>
        <v/>
      </c>
      <c r="I11" s="8">
        <f>I10 * 0.0605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1570.8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403.2</v>
      </c>
      <c r="C32" s="8" t="n">
        <v>739.2</v>
      </c>
      <c r="D32" s="8" t="n">
        <v>940.8</v>
      </c>
      <c r="E32" s="8" t="n">
        <v>604.8</v>
      </c>
      <c r="F32" s="8" t="n">
        <v>403.2</v>
      </c>
      <c r="G32" s="8" t="n">
        <v>268.8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GFI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1512</v>
      </c>
      <c r="F37" s="30" t="inlineStr">
        <is>
          <t>6.050%</t>
        </is>
      </c>
      <c r="G37" s="31" t="n">
        <v>100.2</v>
      </c>
      <c r="H37" s="32" t="n">
        <v>6.05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GFI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1008</v>
      </c>
      <c r="F38" s="30" t="inlineStr">
        <is>
          <t>5.400%</t>
        </is>
      </c>
      <c r="G38" s="31" t="n">
        <v>101.5</v>
      </c>
      <c r="H38" s="32" t="n">
        <v>5.399999999999999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504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336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GFI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940.8</v>
      </c>
    </row>
    <row r="45">
      <c r="B45" s="7" t="inlineStr">
        <is>
          <t>Drawn Amount ($M)</t>
        </is>
      </c>
      <c r="C45" s="8" t="n">
        <v>336</v>
      </c>
    </row>
    <row r="46">
      <c r="B46" s="19" t="inlineStr">
        <is>
          <t>AVAILABLE UNDRAWN HEADROOM ($M)</t>
        </is>
      </c>
      <c r="C46" s="20" t="n">
        <v>604.8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0.85x</t>
        </is>
      </c>
      <c r="E55" s="33" t="inlineStr">
        <is>
          <t>2.90x leverage buffer ($6090.0M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9.50x</t>
        </is>
      </c>
      <c r="E56" s="33" t="inlineStr">
        <is>
          <t>+7.00x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6.2% of Assets</t>
        </is>
      </c>
      <c r="E57" s="33" t="inlineStr">
        <is>
          <t>$990.0M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Gold Fields Ltd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Gold Fields Ltd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6.05%</t>
        </is>
      </c>
      <c r="F6" s="35" t="inlineStr">
        <is>
          <t>4.2x</t>
        </is>
      </c>
      <c r="G6" s="35" t="inlineStr">
        <is>
          <t>$101.50</t>
        </is>
      </c>
      <c r="H6" s="35" t="inlineStr">
        <is>
          <t>+1.3%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8.05%</t>
        </is>
      </c>
      <c r="F7" s="30" t="inlineStr">
        <is>
          <t>3.2x</t>
        </is>
      </c>
      <c r="G7" s="30" t="inlineStr">
        <is>
          <t>$90.75</t>
        </is>
      </c>
      <c r="H7" s="30" t="inlineStr">
        <is>
          <t>-9.4%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$80.00</t>
        </is>
      </c>
      <c r="H8" s="30" t="inlineStr">
        <is>
          <t>-20.2%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4.55%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+4.8%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840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GFI Senior Unsecured Eurobonds</t>
        </is>
      </c>
      <c r="C15" s="8" t="n">
        <v>2520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80.0%</t>
        </is>
      </c>
      <c r="G15" s="30" t="inlineStr">
        <is>
          <t>101.5%</t>
        </is>
      </c>
    </row>
    <row r="16">
      <c r="B16" s="7" t="inlineStr">
        <is>
          <t>Subordinated Debt &amp; Intercompany Notes</t>
        </is>
      </c>
      <c r="C16" s="8" t="n">
        <v>504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1344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South Africa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Gold Fields Ltd (GFI) — Earnings Presentation &amp; Management Guidance</t>
        </is>
      </c>
    </row>
    <row r="3">
      <c r="B3" s="2" t="inlineStr">
        <is>
          <t>Source: Gold Fields Ltd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$4860.0M (+8.0% YoY growth)</t>
        </is>
      </c>
      <c r="D7" s="36" t="inlineStr">
        <is>
          <t>$4792.5M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$4860.0M (+8.0% YoY growth). With current run-rate at $4792.5M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$2310.0M (47.5% margin)</t>
        </is>
      </c>
      <c r="D8" s="36" t="inlineStr">
        <is>
          <t>$2268.0M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$2310.0M (47.5%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0.85x</t>
        </is>
      </c>
      <c r="E9" s="33" t="inlineStr">
        <is>
          <t>Ahead of Target</t>
        </is>
      </c>
      <c r="F9" s="38" t="inlineStr">
        <is>
          <t>Deleveraging on track with 2.90x buffer below covenant limit.
[QUESTION TO CFO TO VERIFY]: You previously committed to a Net Leverage ceiling of &lt; 3.25x Net Debt / EBITDA. Current actual leverage stands at 0.85x.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$771.8M (Maximum growth and sustaining envelope)</t>
        </is>
      </c>
      <c r="D10" s="36" t="inlineStr">
        <is>
          <t>$710.1M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$771.8M (Maximum growth and sustaining envelope). Current commitments stand at $710.1M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$735.0M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$1575.0M in liquid bank deposits</t>
        </is>
      </c>
    </row>
    <row r="35">
      <c r="B35" s="9" t="inlineStr">
        <is>
          <t>Undrawn Committed Credit Lines</t>
        </is>
      </c>
      <c r="C35" s="38" t="inlineStr">
        <is>
          <t>$1176.0M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Operating &amp; Financial Results</t>
        </is>
      </c>
    </row>
    <row r="48">
      <c r="B48" s="9" t="inlineStr">
        <is>
          <t>Confirmation Status</t>
        </is>
      </c>
      <c r="C48" s="38" t="inlineStr">
        <is>
          <t>Confirmed</t>
        </is>
      </c>
    </row>
    <row r="49">
      <c r="B49" s="9" t="inlineStr">
        <is>
          <t>Conference Call &amp; Webcast Schedule</t>
        </is>
      </c>
      <c r="C49" s="38" t="inlineStr">
        <is>
          <t>14:00 Johannesburg</t>
        </is>
      </c>
    </row>
    <row r="50">
      <c r="B50" s="9" t="inlineStr">
        <is>
          <t>Official IR Portal / Webcast URL</t>
        </is>
      </c>
      <c r="C50" s="38" t="inlineStr">
        <is>
          <t>https://www.goldfields.com/investors.php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2026-10-27T05:16:44Z</dcterms:created>
  <dcterms:modified xmlns:dcterms="http://purl.org/dc/terms/" xmlns:xsi="http://www.w3.org/2001/XMLSchema-instance" xsi:type="dcterms:W3CDTF">2026-10-27T05:16:45Z</dcterms:modified>
</cp:coreProperties>
</file>