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(+$17.1M)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(+$77.0M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(+$86.6M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(+$96.2M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(+$28.9M)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(+$31.0M)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(+$32.5M)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(+$17.1M)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(+$77.0M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(+$86.6M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(+$96.2M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(+$28.9M)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(+$31.0M)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(+$32.5M)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(TCELL) — Institutional Credit Model</t>
        </is>
      </c>
    </row>
    <row r="3">
      <c r="B3" s="2" t="inlineStr">
        <is>
          <t>Sector: Technology | Country: Turkey | Rating: BB / BB- | Benchmark: TCELL 5.75% 2028 @ $96.80 (6.95% YTM / +290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Turkey's leading telecom operator; TVF controlled, high ARPU growth and strong hard currency cash buffer.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TCELL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1496.25</v>
      </c>
      <c r="F26" s="7" t="inlineStr">
        <is>
          <t>6.95%</t>
        </is>
      </c>
      <c r="G26" s="7" t="inlineStr">
        <is>
          <t>$96.80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TCELL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997.5</v>
      </c>
      <c r="F27" s="7" t="inlineStr">
        <is>
          <t>6.20%</t>
        </is>
      </c>
      <c r="G27" s="7" t="inlineStr">
        <is>
          <t>$99.30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831.25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1656.5</v>
      </c>
      <c r="D16" s="8" t="n">
        <v>1997.5</v>
      </c>
      <c r="E16" s="8" t="n">
        <v>2241.1</v>
      </c>
      <c r="F16" s="8" t="n">
        <v>2436</v>
      </c>
      <c r="G16" s="8" t="n">
        <v>2630.9</v>
      </c>
      <c r="H16" s="8" t="n">
        <v>2801.4</v>
      </c>
      <c r="I16" s="8" t="n">
        <v>2923.2</v>
      </c>
    </row>
    <row r="17">
      <c r="B17" s="7" t="inlineStr">
        <is>
          <t>Fixed Broadband &amp; Enterprise ICT</t>
        </is>
      </c>
      <c r="C17" s="8" t="n">
        <v>742.6</v>
      </c>
      <c r="D17" s="8" t="n">
        <v>895.4</v>
      </c>
      <c r="E17" s="8" t="n">
        <v>1004.6</v>
      </c>
      <c r="F17" s="8" t="n">
        <v>1092</v>
      </c>
      <c r="G17" s="8" t="n">
        <v>1179.4</v>
      </c>
      <c r="H17" s="8" t="n">
        <v>1255.8</v>
      </c>
      <c r="I17" s="8" t="n">
        <v>1310.4</v>
      </c>
    </row>
    <row r="18">
      <c r="B18" s="7" t="inlineStr">
        <is>
          <t>Fintech, Media &amp; Digital Services</t>
        </is>
      </c>
      <c r="C18" s="8" t="n">
        <v>457</v>
      </c>
      <c r="D18" s="8" t="n">
        <v>551</v>
      </c>
      <c r="E18" s="8" t="n">
        <v>618.2</v>
      </c>
      <c r="F18" s="8" t="n">
        <v>672</v>
      </c>
      <c r="G18" s="8" t="n">
        <v>725.8</v>
      </c>
      <c r="H18" s="8" t="n">
        <v>772.8</v>
      </c>
      <c r="I18" s="8" t="n">
        <v>806.4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17.1</v>
      </c>
      <c r="D35" s="23" t="n">
        <v>77</v>
      </c>
      <c r="E35" s="23" t="n">
        <v>86.59999999999999</v>
      </c>
      <c r="F35" s="23" t="n">
        <v>96.2</v>
      </c>
      <c r="G35" s="23" t="n">
        <v>28.9</v>
      </c>
      <c r="H35" s="23" t="n">
        <v>31</v>
      </c>
      <c r="I35" s="23" t="n">
        <v>32.5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(+$17.1M) of Calculated EBITDA with zero aggressive management add-backs.</t>
        </is>
      </c>
    </row>
    <row r="43">
      <c r="B43" s="25" t="inlineStr">
        <is>
          <t>[2022A] Hyperinflation Accounting (IAS 29 / TMS 29): Reported EBITDA restated under inflation accounting with monetary gain adjustments (+$77.0M / +5.5%); Standardized Calculated EBITDA reflects nominal operating cash receipts minus direct cash expenses.</t>
        </is>
      </c>
    </row>
    <row r="44">
      <c r="B44" s="25" t="inlineStr">
        <is>
          <t>[2023A] Hyperinflation Accounting (IAS 29 / TMS 29): Reported EBITDA restated under inflation accounting with monetary gain adjustments (+$86.6M / +5.5%); Standardized Calculated EBITDA reflects nominal operating cash receipts minus direct cash expenses.</t>
        </is>
      </c>
    </row>
    <row r="45">
      <c r="B45" s="25" t="inlineStr">
        <is>
          <t>[2024A] Hyperinflation Accounting (IAS 29 / TMS 29): Reported EBITDA restated under inflation accounting with monetary gain adjustments (+$96.2M / +5.5%); Standardized Calculated EBITDA reflects nominal operating cash receipts minus direct cash expenses.</t>
        </is>
      </c>
    </row>
    <row r="46">
      <c r="B46" s="25" t="inlineStr">
        <is>
          <t>[2025E] Fully Reconciled: Standard IFRS definition (Operating Profit + D&amp;A) aligns within 1.5% (+$28.9M)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(+$31.0M)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(+$32.5M)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4284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999.6</v>
      </c>
      <c r="D36" s="8" t="n">
        <v>999.6</v>
      </c>
      <c r="E36" s="8" t="n">
        <v>999.6</v>
      </c>
      <c r="F36" s="8" t="n">
        <v>999.6</v>
      </c>
      <c r="G36" s="8" t="n">
        <v>999.6</v>
      </c>
      <c r="H36" s="8" t="n">
        <v>999.6</v>
      </c>
      <c r="I36" s="8" t="n">
        <v>999.6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-453.9</v>
      </c>
      <c r="D16" s="8" t="n">
        <v>-793.8</v>
      </c>
      <c r="E16" s="8" t="n">
        <v>-893</v>
      </c>
      <c r="F16" s="8" t="n">
        <v>-845.2</v>
      </c>
      <c r="G16" s="8" t="n">
        <v>-768.1</v>
      </c>
      <c r="H16" s="8" t="n">
        <v>-823.9</v>
      </c>
      <c r="I16" s="8" t="n">
        <v>-865.8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721.9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156.7</v>
      </c>
      <c r="D32" s="8" t="n">
        <v>311.1</v>
      </c>
      <c r="E32" s="8" t="n">
        <v>351.5</v>
      </c>
      <c r="F32" s="8" t="n">
        <v>236.6</v>
      </c>
      <c r="G32" s="8" t="n">
        <v>250.9</v>
      </c>
      <c r="H32" s="8" t="n">
        <v>263.1</v>
      </c>
      <c r="I32" s="8" t="n">
        <v>271.4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TCELL Benchmark Eurobond Notes</t>
        </is>
      </c>
    </row>
    <row r="7">
      <c r="B7" s="7" t="inlineStr">
        <is>
          <t xml:space="preserve">  Beginning Principal Balance</t>
        </is>
      </c>
      <c r="C7" s="8" t="n">
        <v>1271.8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423.9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282.6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0.0695</f>
        <v/>
      </c>
      <c r="D11" s="8">
        <f>D10 * 0.0695</f>
        <v/>
      </c>
      <c r="E11" s="8">
        <f>E10 * 0.0695</f>
        <v/>
      </c>
      <c r="F11" s="8">
        <f>F10 * 0.0695</f>
        <v/>
      </c>
      <c r="G11" s="8">
        <f>G10 * 0.0695</f>
        <v/>
      </c>
      <c r="H11" s="8">
        <f>H10 * 0.0695</f>
        <v/>
      </c>
      <c r="I11" s="8">
        <f>I10 * 0.0695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1554.4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399</v>
      </c>
      <c r="C32" s="8" t="n">
        <v>731.5</v>
      </c>
      <c r="D32" s="8" t="n">
        <v>931</v>
      </c>
      <c r="E32" s="8" t="n">
        <v>598.5</v>
      </c>
      <c r="F32" s="8" t="n">
        <v>399</v>
      </c>
      <c r="G32" s="8" t="n">
        <v>266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TCELL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1496.2</v>
      </c>
      <c r="F37" s="29" t="inlineStr">
        <is>
          <t>6.950%</t>
        </is>
      </c>
      <c r="G37" s="30" t="n">
        <v>96.8</v>
      </c>
      <c r="H37" s="31" t="n">
        <v>6.95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TCELL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997.5</v>
      </c>
      <c r="F38" s="29" t="inlineStr">
        <is>
          <t>6.300%</t>
        </is>
      </c>
      <c r="G38" s="30" t="n">
        <v>98.8</v>
      </c>
      <c r="H38" s="31" t="n">
        <v>6.3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498.8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332.5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TCELL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931</v>
      </c>
    </row>
    <row r="45">
      <c r="B45" s="7" t="inlineStr">
        <is>
          <t>Drawn Amount ($M)</t>
        </is>
      </c>
      <c r="C45" s="8" t="n">
        <v>332.5</v>
      </c>
    </row>
    <row r="46">
      <c r="B46" s="18" t="inlineStr">
        <is>
          <t>AVAILABLE UNDRAWN HEADROOM ($M)</t>
        </is>
      </c>
      <c r="C46" s="19" t="n">
        <v>598.5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1.15x</t>
        </is>
      </c>
      <c r="E55" s="32" t="inlineStr">
        <is>
          <t>2.60x leverage buffer ($4550.0M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6.20x</t>
        </is>
      </c>
      <c r="E56" s="32" t="inlineStr">
        <is>
          <t>+3.70x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6.6% of Assets</t>
        </is>
      </c>
      <c r="E57" s="32" t="inlineStr">
        <is>
          <t>$924.0M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6.95%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+4.3%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8.95%</t>
        </is>
      </c>
      <c r="F7" s="29" t="inlineStr">
        <is>
          <t>3.2x</t>
        </is>
      </c>
      <c r="G7" s="29" t="inlineStr">
        <is>
          <t>$87.50</t>
        </is>
      </c>
      <c r="H7" s="29" t="inlineStr">
        <is>
          <t>-9.6%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$74.00</t>
        </is>
      </c>
      <c r="H8" s="29" t="inlineStr">
        <is>
          <t>-23.6%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5.45%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+8.5%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831.2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TCELL Senior Unsecured Eurobonds</t>
        </is>
      </c>
      <c r="C15" s="8" t="n">
        <v>2493.8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74.0%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498.8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1330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Turkcell İletişim (TCELL) — Earnings Presentation &amp; Management Guidance</t>
        </is>
      </c>
    </row>
    <row r="3">
      <c r="B3" s="2" t="inlineStr">
        <is>
          <t>Source: Turkcell İletişim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$4536.0M (+8.0% YoY growth)</t>
        </is>
      </c>
      <c r="D7" s="35" t="inlineStr">
        <is>
          <t>$4473.0M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$4536.0M (+8.0% YoY growth). With current run-rate at $4473.0M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$1925.0M (42.4% margin)</t>
        </is>
      </c>
      <c r="D8" s="35" t="inlineStr">
        <is>
          <t>$1890.0M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$1925.0M (42.4%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1.15x</t>
        </is>
      </c>
      <c r="E9" s="32" t="inlineStr">
        <is>
          <t>Ahead of Target</t>
        </is>
      </c>
      <c r="F9" s="37" t="inlineStr">
        <is>
          <t>Deleveraging on track with 2.60x buffer below covenant limit.
[QUESTION TO CFO TO VERIFY]: You previously committed to a Net Leverage ceiling of &lt; 3.25x Net Debt / EBITDA. Current actual leverage stands at 1.15x.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$643.1M (Maximum growth and sustaining envelope)</t>
        </is>
      </c>
      <c r="D10" s="35" t="inlineStr">
        <is>
          <t>$591.7M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$643.1M (Maximum growth and sustaining envelope). Current commitments stand at $591.7M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$1715.0M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$1890.0M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$1312.5M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$997.5M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Confirmed</t>
        </is>
      </c>
    </row>
    <row r="48">
      <c r="B48" s="9" t="inlineStr">
        <is>
          <t>Conference Call &amp; Webcast Schedule</t>
        </is>
      </c>
      <c r="C48" s="37" t="inlineStr">
        <is>
          <t>18:30 Istanbul / 15:30 UK</t>
        </is>
      </c>
    </row>
    <row r="49">
      <c r="B49" s="9" t="inlineStr">
        <is>
          <t>Official IR Portal / Webcast URL</t>
        </is>
      </c>
      <c r="C49" s="37" t="inlineStr">
        <is>
          <t>https://www.turkcell.com.tr/en/aboutus/investor-relations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2026-10-16T04:17:25Z</dcterms:created>
  <dcterms:modified xmlns:dcterms="http://purl.org/dc/terms/" xmlns:xsi="http://www.w3.org/2001/XMLSchema-instance" xsi:type="dcterms:W3CDTF">2026-10-16T04:17:25Z</dcterms:modified>
</cp:coreProperties>
</file>