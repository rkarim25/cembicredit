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Institutional Credit Model</t>
        </is>
      </c>
    </row>
    <row r="3">
      <c r="B3" s="2" t="inlineStr">
        <is>
          <t>Sector: Energy | Country: Angola | Rating: B- / B3 | Benchmark: SONANG 9.15% 2028 @ $97.20 (9.15% YTM / +475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Angola national oil concessionaire; offshore pre-salt blocks with Total &amp; Chevron; dollar escrow debt service.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SONANG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4406.400000000001</v>
      </c>
      <c r="F26" s="7" t="inlineStr">
        <is>
          <t>9.15%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SONANG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2937.6</v>
      </c>
      <c r="F27" s="7" t="inlineStr">
        <is>
          <t>8.40%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2448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4455.4</v>
      </c>
      <c r="D16" s="8" t="n">
        <v>5372.6</v>
      </c>
      <c r="E16" s="8" t="n">
        <v>6027.8</v>
      </c>
      <c r="F16" s="8" t="n">
        <v>6552</v>
      </c>
      <c r="G16" s="8" t="n">
        <v>7076.2</v>
      </c>
      <c r="H16" s="8" t="n">
        <v>7534.8</v>
      </c>
      <c r="I16" s="8" t="n">
        <v>7862.4</v>
      </c>
    </row>
    <row r="17">
      <c r="B17" s="7" t="inlineStr">
        <is>
          <t>Downstream Refining &amp; Fuel Marketing</t>
        </is>
      </c>
      <c r="C17" s="8" t="n">
        <v>2827.4</v>
      </c>
      <c r="D17" s="8" t="n">
        <v>3409.6</v>
      </c>
      <c r="E17" s="8" t="n">
        <v>3825.4</v>
      </c>
      <c r="F17" s="8" t="n">
        <v>4158</v>
      </c>
      <c r="G17" s="8" t="n">
        <v>4490.6</v>
      </c>
      <c r="H17" s="8" t="n">
        <v>4781.7</v>
      </c>
      <c r="I17" s="8" t="n">
        <v>4989.6</v>
      </c>
    </row>
    <row r="18">
      <c r="B18" s="7" t="inlineStr">
        <is>
          <t>Petrochemicals &amp; Gas Processing</t>
        </is>
      </c>
      <c r="C18" s="8" t="n">
        <v>1285.2</v>
      </c>
      <c r="D18" s="8" t="n">
        <v>1549.8</v>
      </c>
      <c r="E18" s="8" t="n">
        <v>1738.8</v>
      </c>
      <c r="F18" s="8" t="n">
        <v>1890</v>
      </c>
      <c r="G18" s="8" t="n">
        <v>2041.2</v>
      </c>
      <c r="H18" s="8" t="n">
        <v>2173.5</v>
      </c>
      <c r="I18" s="8" t="n">
        <v>2268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12852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2998.8</v>
      </c>
      <c r="D36" s="8" t="n">
        <v>2998.8</v>
      </c>
      <c r="E36" s="8" t="n">
        <v>2998.8</v>
      </c>
      <c r="F36" s="8" t="n">
        <v>2998.8</v>
      </c>
      <c r="G36" s="8" t="n">
        <v>2998.8</v>
      </c>
      <c r="H36" s="8" t="n">
        <v>2998.8</v>
      </c>
      <c r="I36" s="8" t="n">
        <v>2998.8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388.5</v>
      </c>
      <c r="D32" s="8" t="n">
        <v>761.8</v>
      </c>
      <c r="E32" s="8" t="n">
        <v>861.6</v>
      </c>
      <c r="F32" s="8" t="n">
        <v>587.7</v>
      </c>
      <c r="G32" s="8" t="n">
        <v>622.7</v>
      </c>
      <c r="H32" s="8" t="n">
        <v>652.2</v>
      </c>
      <c r="I32" s="8" t="n">
        <v>672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SONANG Benchmark Eurobond Notes</t>
        </is>
      </c>
    </row>
    <row r="7">
      <c r="B7" s="7" t="inlineStr">
        <is>
          <t xml:space="preserve">  Beginning Principal Balance</t>
        </is>
      </c>
      <c r="C7" s="8" t="n">
        <v>3745.4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1248.5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832.3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0.0915</f>
        <v/>
      </c>
      <c r="D11" s="8">
        <f>D10 * 0.0915</f>
        <v/>
      </c>
      <c r="E11" s="8">
        <f>E10 * 0.0915</f>
        <v/>
      </c>
      <c r="F11" s="8">
        <f>F10 * 0.0915</f>
        <v/>
      </c>
      <c r="G11" s="8">
        <f>G10 * 0.0915</f>
        <v/>
      </c>
      <c r="H11" s="8">
        <f>H10 * 0.0915</f>
        <v/>
      </c>
      <c r="I11" s="8">
        <f>I10 * 0.0915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4577.8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1175</v>
      </c>
      <c r="C32" s="8" t="n">
        <v>2154.2</v>
      </c>
      <c r="D32" s="8" t="n">
        <v>2741.8</v>
      </c>
      <c r="E32" s="8" t="n">
        <v>1762.6</v>
      </c>
      <c r="F32" s="8" t="n">
        <v>1175</v>
      </c>
      <c r="G32" s="8" t="n">
        <v>783.4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SONANG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4406.4</v>
      </c>
      <c r="F37" s="29" t="inlineStr">
        <is>
          <t>9.150%</t>
        </is>
      </c>
      <c r="G37" s="30" t="n">
        <v>97.2</v>
      </c>
      <c r="H37" s="31" t="n">
        <v>9.15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SONANG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2937.6</v>
      </c>
      <c r="F38" s="29" t="inlineStr">
        <is>
          <t>8.500%</t>
        </is>
      </c>
      <c r="G38" s="30" t="n">
        <v>99.2</v>
      </c>
      <c r="H38" s="31" t="n">
        <v>8.5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1468.8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979.2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SONANG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2741.8</v>
      </c>
    </row>
    <row r="45">
      <c r="B45" s="7" t="inlineStr">
        <is>
          <t>Drawn Amount ($M)</t>
        </is>
      </c>
      <c r="C45" s="8" t="n">
        <v>979.2</v>
      </c>
    </row>
    <row r="46">
      <c r="B46" s="18" t="inlineStr">
        <is>
          <t>AVAILABLE UNDRAWN HEADROOM ($M)</t>
        </is>
      </c>
      <c r="C46" s="19" t="n">
        <v>1762.6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1.29x</t>
        </is>
      </c>
      <c r="E55" s="32" t="inlineStr">
        <is>
          <t>2.46x leverage buffer ($11808.0M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6.40x</t>
        </is>
      </c>
      <c r="E56" s="32" t="inlineStr">
        <is>
          <t>+3.90x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$2772.0M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9.15%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-14.6%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-33.1%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2448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SONANG Senior Unsecured Eurobonds</t>
        </is>
      </c>
      <c r="C15" s="8" t="n">
        <v>7344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1468.8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3916.8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Earnings Presentation &amp; Management Guidance</t>
        </is>
      </c>
    </row>
    <row r="3">
      <c r="B3" s="2" t="inlineStr">
        <is>
          <t>Source: Sonangol EP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$13608.0M (+8.0% YoY growth)</t>
        </is>
      </c>
      <c r="D7" s="35" t="inlineStr">
        <is>
          <t>$13419.0M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$13608.0M (+8.0% YoY growth). With current run-rate at $13419.0M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(38.8%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1.29x</t>
        </is>
      </c>
      <c r="E9" s="32" t="inlineStr">
        <is>
          <t>Ahead of Target</t>
        </is>
      </c>
      <c r="F9" s="37" t="inlineStr">
        <is>
          <t>Deleveraging on track with 2.46x buffer below covenant limit.
[QUESTION TO CFO TO VERIFY]: You previously committed to a Net Leverage ceiling of &lt; 3.25x Net Debt / EBITDA. Current actual leverage stands at 1.29x.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$3427.2M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https://www.google.com/finance/quote/SONANG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2026-10-16T04:17:22Z</dcterms:created>
  <dcterms:modified xmlns:dcterms="http://purl.org/dc/terms/" xmlns:xsi="http://www.w3.org/2001/XMLSchema-instance" xsi:type="dcterms:W3CDTF">2026-10-16T04:17:22Z</dcterms:modified>
</cp:coreProperties>
</file>