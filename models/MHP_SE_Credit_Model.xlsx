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(+$4.5M)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(+$5.5M)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(+$6.2M)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(+$6.9M)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(+$7.6M)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(+$8.1M)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(+$8.6M)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(+$4.5M)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(+$5.5M)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(+$6.2M)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(+$6.9M)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(+$7.6M)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(+$8.1M)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(+$8.6M)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(MHPSA) — Institutional Credit Model</t>
        </is>
      </c>
    </row>
    <row r="3">
      <c r="B3" s="2" t="inlineStr">
        <is>
          <t>Sector: Consumer | Country: Ukraine | Rating: CCC+ / Caa2 | Benchmark: MHP 13.10% 2026 @ $82.50 (13.10% YTM / +875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Europe's lowest-cost poultry producer; 360k ha arable land; Perutnina Ptuj generating offshore EU cash flow.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MHPSA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753.48</v>
      </c>
      <c r="F26" s="7" t="inlineStr">
        <is>
          <t>13.10%</t>
        </is>
      </c>
      <c r="G26" s="7" t="inlineStr">
        <is>
          <t>$82.50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MHPSA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502.32</v>
      </c>
      <c r="F27" s="7" t="inlineStr">
        <is>
          <t>12.35%</t>
        </is>
      </c>
      <c r="G27" s="7" t="inlineStr">
        <is>
          <t>$85.00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418.6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Sales Volume (k Tonnes)</t>
        </is>
      </c>
      <c r="C6" s="13" t="n">
        <v>480</v>
      </c>
      <c r="D6" s="13" t="n">
        <v>520</v>
      </c>
      <c r="E6" s="13" t="n">
        <v>565</v>
      </c>
      <c r="F6" s="13" t="n">
        <v>615</v>
      </c>
      <c r="G6" s="13" t="n">
        <v>665</v>
      </c>
      <c r="H6" s="13" t="n">
        <v>715</v>
      </c>
      <c r="I6" s="13" t="n">
        <v>765</v>
      </c>
    </row>
    <row r="7">
      <c r="B7" s="7" t="inlineStr">
        <is>
          <t>Like-for-Like (LFL) Sales Growth (%)</t>
        </is>
      </c>
      <c r="C7" s="14" t="n">
        <v>8.5</v>
      </c>
      <c r="D7" s="14" t="n">
        <v>14.2</v>
      </c>
      <c r="E7" s="14" t="n">
        <v>11.8</v>
      </c>
      <c r="F7" s="14" t="n">
        <v>8.4</v>
      </c>
      <c r="G7" s="14" t="n">
        <v>7.5</v>
      </c>
      <c r="H7" s="14" t="n">
        <v>7</v>
      </c>
      <c r="I7" s="14" t="n">
        <v>6.5</v>
      </c>
    </row>
    <row r="8">
      <c r="B8" s="7" t="inlineStr">
        <is>
          <t>Average Unit Realized Price ($/unit)</t>
        </is>
      </c>
      <c r="C8" s="14" t="n">
        <v>18.5</v>
      </c>
      <c r="D8" s="14" t="n">
        <v>21</v>
      </c>
      <c r="E8" s="14" t="n">
        <v>22.5</v>
      </c>
      <c r="F8" s="14" t="n">
        <v>23.8</v>
      </c>
      <c r="G8" s="14" t="n">
        <v>24.5</v>
      </c>
      <c r="H8" s="14" t="n">
        <v>25.2</v>
      </c>
      <c r="I8" s="14" t="n">
        <v>25.8</v>
      </c>
    </row>
    <row r="9">
      <c r="B9" s="7" t="inlineStr">
        <is>
          <t>Retail Leasable Area (GLA) (k sqm)</t>
        </is>
      </c>
      <c r="C9" s="13" t="n">
        <v>850</v>
      </c>
      <c r="D9" s="13" t="n">
        <v>920</v>
      </c>
      <c r="E9" s="13" t="n">
        <v>990</v>
      </c>
      <c r="F9" s="13" t="n">
        <v>1060</v>
      </c>
      <c r="G9" s="13" t="n">
        <v>1130</v>
      </c>
      <c r="H9" s="13" t="n">
        <v>1200</v>
      </c>
      <c r="I9" s="13" t="n">
        <v>1270</v>
      </c>
    </row>
    <row r="10">
      <c r="B10" s="7" t="inlineStr">
        <is>
          <t>Customer Footfall (Million)</t>
        </is>
      </c>
      <c r="C10" s="13" t="n">
        <v>145</v>
      </c>
      <c r="D10" s="13" t="n">
        <v>162</v>
      </c>
      <c r="E10" s="13" t="n">
        <v>178</v>
      </c>
      <c r="F10" s="13" t="n">
        <v>194</v>
      </c>
      <c r="G10" s="13" t="n">
        <v>210</v>
      </c>
      <c r="H10" s="13" t="n">
        <v>225</v>
      </c>
      <c r="I10" s="13" t="n">
        <v>240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Branded Packaged Consumer Products</t>
        </is>
      </c>
      <c r="C15" s="8" t="n">
        <v>1159.4</v>
      </c>
      <c r="D15" s="8" t="n">
        <v>1398.1</v>
      </c>
      <c r="E15" s="8" t="n">
        <v>1568.6</v>
      </c>
      <c r="F15" s="8" t="n">
        <v>1705</v>
      </c>
      <c r="G15" s="8" t="n">
        <v>1841.4</v>
      </c>
      <c r="H15" s="8" t="n">
        <v>1960.8</v>
      </c>
      <c r="I15" s="8" t="n">
        <v>2046</v>
      </c>
    </row>
    <row r="16">
      <c r="B16" s="7" t="inlineStr">
        <is>
          <t>Retail Shopping Malls &amp; Commercial Real Estate</t>
        </is>
      </c>
      <c r="C16" s="8" t="n">
        <v>590.2</v>
      </c>
      <c r="D16" s="8" t="n">
        <v>711.8</v>
      </c>
      <c r="E16" s="8" t="n">
        <v>798.6</v>
      </c>
      <c r="F16" s="8" t="n">
        <v>868</v>
      </c>
      <c r="G16" s="8" t="n">
        <v>937.4</v>
      </c>
      <c r="H16" s="8" t="n">
        <v>998.2</v>
      </c>
      <c r="I16" s="8" t="n">
        <v>1041.6</v>
      </c>
    </row>
    <row r="17">
      <c r="B17" s="7" t="inlineStr">
        <is>
          <t>Wholesale Distribution &amp; Franchises</t>
        </is>
      </c>
      <c r="C17" s="8" t="n">
        <v>358.4</v>
      </c>
      <c r="D17" s="8" t="n">
        <v>432.1</v>
      </c>
      <c r="E17" s="8" t="n">
        <v>484.8</v>
      </c>
      <c r="F17" s="8" t="n">
        <v>527</v>
      </c>
      <c r="G17" s="8" t="n">
        <v>569.2</v>
      </c>
      <c r="H17" s="8" t="n">
        <v>606.1</v>
      </c>
      <c r="I17" s="8" t="n">
        <v>632.4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Branded Packaged Consumer Products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Retail Shopping Malls &amp; Commercial Real Estate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Wholesale Distribution &amp; Franchises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4.5</v>
      </c>
      <c r="D35" s="24" t="n">
        <v>5.5</v>
      </c>
      <c r="E35" s="24" t="n">
        <v>6.2</v>
      </c>
      <c r="F35" s="24" t="n">
        <v>6.9</v>
      </c>
      <c r="G35" s="24" t="n">
        <v>7.6</v>
      </c>
      <c r="H35" s="24" t="n">
        <v>8.1</v>
      </c>
      <c r="I35" s="24" t="n">
        <v>8.6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(+$4.5M)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(+$5.5M)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(+$6.2M)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(+$6.9M)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(+$7.6M)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(+$8.1M)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(+$8.6M)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3162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737.8</v>
      </c>
      <c r="D36" s="8" t="n">
        <v>737.8</v>
      </c>
      <c r="E36" s="8" t="n">
        <v>737.8</v>
      </c>
      <c r="F36" s="8" t="n">
        <v>737.8</v>
      </c>
      <c r="G36" s="8" t="n">
        <v>737.8</v>
      </c>
      <c r="H36" s="8" t="n">
        <v>737.8</v>
      </c>
      <c r="I36" s="8" t="n">
        <v>737.8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-99.40000000000001</v>
      </c>
      <c r="D16" s="8" t="n">
        <v>-173.9</v>
      </c>
      <c r="E16" s="8" t="n">
        <v>-195.6</v>
      </c>
      <c r="F16" s="8" t="n">
        <v>-185.1</v>
      </c>
      <c r="G16" s="8" t="n">
        <v>-168.2</v>
      </c>
      <c r="H16" s="8" t="n">
        <v>-180.5</v>
      </c>
      <c r="I16" s="8" t="n">
        <v>-189.7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189.8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75.8</v>
      </c>
      <c r="D32" s="8" t="n">
        <v>145.6</v>
      </c>
      <c r="E32" s="8" t="n">
        <v>164.5</v>
      </c>
      <c r="F32" s="8" t="n">
        <v>114.6</v>
      </c>
      <c r="G32" s="8" t="n">
        <v>121.9</v>
      </c>
      <c r="H32" s="8" t="n">
        <v>127.9</v>
      </c>
      <c r="I32" s="8" t="n">
        <v>132.2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MHP SE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MHPSA Benchmark Eurobond Notes</t>
        </is>
      </c>
    </row>
    <row r="7">
      <c r="B7" s="7" t="inlineStr">
        <is>
          <t xml:space="preserve">  Beginning Principal Balance</t>
        </is>
      </c>
      <c r="C7" s="8" t="n">
        <v>640.4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213.5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142.3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0.1310</f>
        <v/>
      </c>
      <c r="D11" s="8">
        <f>D10 * 0.1310</f>
        <v/>
      </c>
      <c r="E11" s="8">
        <f>E10 * 0.1310</f>
        <v/>
      </c>
      <c r="F11" s="8">
        <f>F10 * 0.1310</f>
        <v/>
      </c>
      <c r="G11" s="8">
        <f>G10 * 0.1310</f>
        <v/>
      </c>
      <c r="H11" s="8">
        <f>H10 * 0.1310</f>
        <v/>
      </c>
      <c r="I11" s="8">
        <f>I10 * 0.1310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782.8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200.9</v>
      </c>
      <c r="C32" s="8" t="n">
        <v>368.4</v>
      </c>
      <c r="D32" s="8" t="n">
        <v>468.8</v>
      </c>
      <c r="E32" s="8" t="n">
        <v>301.4</v>
      </c>
      <c r="F32" s="8" t="n">
        <v>200.9</v>
      </c>
      <c r="G32" s="8" t="n">
        <v>134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MHPSA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753.5</v>
      </c>
      <c r="F37" s="30" t="inlineStr">
        <is>
          <t>13.100%</t>
        </is>
      </c>
      <c r="G37" s="31" t="n">
        <v>82.5</v>
      </c>
      <c r="H37" s="32" t="n">
        <v>13.1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MHPSA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502.3</v>
      </c>
      <c r="F38" s="30" t="inlineStr">
        <is>
          <t>12.450%</t>
        </is>
      </c>
      <c r="G38" s="31" t="n">
        <v>84.5</v>
      </c>
      <c r="H38" s="32" t="n">
        <v>12.45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251.2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167.4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MHPSA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468.8</v>
      </c>
    </row>
    <row r="45">
      <c r="B45" s="7" t="inlineStr">
        <is>
          <t>Drawn Amount ($M)</t>
        </is>
      </c>
      <c r="C45" s="8" t="n">
        <v>167.4</v>
      </c>
    </row>
    <row r="46">
      <c r="B46" s="19" t="inlineStr">
        <is>
          <t>AVAILABLE UNDRAWN HEADROOM ($M)</t>
        </is>
      </c>
      <c r="C46" s="20" t="n">
        <v>301.4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2.89x</t>
        </is>
      </c>
      <c r="E55" s="33" t="inlineStr">
        <is>
          <t>0.86x leverage buffer ($395.6M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3.54x</t>
        </is>
      </c>
      <c r="E56" s="33" t="inlineStr">
        <is>
          <t>+1.04x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4.5% of Assets</t>
        </is>
      </c>
      <c r="E57" s="33" t="inlineStr">
        <is>
          <t>$682.0M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13.10%</t>
        </is>
      </c>
      <c r="F6" s="35" t="inlineStr">
        <is>
          <t>4.2x</t>
        </is>
      </c>
      <c r="G6" s="35" t="inlineStr">
        <is>
          <t>$90.00</t>
        </is>
      </c>
      <c r="H6" s="35" t="inlineStr">
        <is>
          <t>+9.1%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15.10%</t>
        </is>
      </c>
      <c r="F7" s="30" t="inlineStr">
        <is>
          <t>3.2x</t>
        </is>
      </c>
      <c r="G7" s="30" t="inlineStr">
        <is>
          <t>$70.00</t>
        </is>
      </c>
      <c r="H7" s="30" t="inlineStr">
        <is>
          <t>-15.2%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$50.00</t>
        </is>
      </c>
      <c r="H8" s="30" t="inlineStr">
        <is>
          <t>-39.4%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11.60%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+27.3%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418.6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MHPSA Senior Unsecured Eurobonds</t>
        </is>
      </c>
      <c r="C15" s="8" t="n">
        <v>1255.8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50.0%</t>
        </is>
      </c>
      <c r="G15" s="30" t="inlineStr">
        <is>
          <t>90.0%</t>
        </is>
      </c>
    </row>
    <row r="16">
      <c r="B16" s="7" t="inlineStr">
        <is>
          <t>Subordinated Debt &amp; Intercompany Notes</t>
        </is>
      </c>
      <c r="C16" s="8" t="n">
        <v>251.2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669.8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Ukraine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MHP SE (MHPSA) — Earnings Presentation &amp; Management Guidance</t>
        </is>
      </c>
    </row>
    <row r="3">
      <c r="B3" s="2" t="inlineStr">
        <is>
          <t>Source: MHP SE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$3348.0M (+8.0% YoY growth)</t>
        </is>
      </c>
      <c r="D7" s="36" t="inlineStr">
        <is>
          <t>$3301.5M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$3348.0M (+8.0% YoY growth). With current run-rate at $3301.5M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$506.0M (15.1% margin)</t>
        </is>
      </c>
      <c r="D8" s="36" t="inlineStr">
        <is>
          <t>$496.8M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$506.0M (15.1%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2.89x</t>
        </is>
      </c>
      <c r="E9" s="33" t="inlineStr">
        <is>
          <t>Ahead of Target</t>
        </is>
      </c>
      <c r="F9" s="38" t="inlineStr">
        <is>
          <t>Deleveraging on track with 0.86x buffer below covenant limit.
[QUESTION TO CFO TO VERIFY]: You previously committed to a Net Leverage ceiling of &lt; 3.25x Net Debt / EBITDA. Current actual leverage stands at 2.89x.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$169.1M (Maximum growth and sustaining envelope)</t>
        </is>
      </c>
      <c r="D10" s="36" t="inlineStr">
        <is>
          <t>$155.6M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$169.1M (Maximum growth and sustaining envelope). Current commitments stand at $155.6M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$402.5M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$2015.0M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Ukraine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$345.0M</t>
        </is>
      </c>
    </row>
    <row r="32">
      <c r="B32" s="9" t="inlineStr">
        <is>
          <t>Undrawn Committed Bank Rcfs</t>
        </is>
      </c>
      <c r="C32" s="38" t="inlineStr">
        <is>
          <t>$586.0M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2026-11-17</t>
        </is>
      </c>
    </row>
    <row r="44">
      <c r="B44" s="9" t="inlineStr">
        <is>
          <t>Reporting Period</t>
        </is>
      </c>
      <c r="C44" s="38" t="inlineStr">
        <is>
          <t>Q3 2026 Financial Results</t>
        </is>
      </c>
    </row>
    <row r="45">
      <c r="B45" s="9" t="inlineStr">
        <is>
          <t>Confirmation Status</t>
        </is>
      </c>
      <c r="C45" s="38" t="inlineStr">
        <is>
          <t>Confirmed</t>
        </is>
      </c>
    </row>
    <row r="46">
      <c r="B46" s="9" t="inlineStr">
        <is>
          <t>Conference Call &amp; Webcast Schedule</t>
        </is>
      </c>
      <c r="C46" s="38" t="inlineStr">
        <is>
          <t>14:00 London / 09:00 EST</t>
        </is>
      </c>
    </row>
    <row r="47">
      <c r="B47" s="9" t="inlineStr">
        <is>
          <t>Official IR Portal / Webcast URL</t>
        </is>
      </c>
      <c r="C47" s="38" t="inlineStr">
        <is>
          <t>https://mhp.com.ua/en/investor-relations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2026-10-24T04:15:51Z</dcterms:created>
  <dcterms:modified xmlns:dcterms="http://purl.org/dc/terms/" xmlns:xsi="http://www.w3.org/2001/XMLSchema-instance" xsi:type="dcterms:W3CDTF">2026-10-24T04:15:51Z</dcterms:modified>
</cp:coreProperties>
</file>