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(+$8.3M)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(+$10.2M)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(+$11.5M)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(+$12.7M)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(+$14.0M)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(+$15.0M)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(+$15.8M)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(+$8.3M)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(+$10.2M)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(+$11.5M)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(+$12.7M)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(+$14.0M)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(+$15.0M)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(+$15.8M)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QazaqGaz (KazTransGas) (QAZGAS) — Institutional Credit Model</t>
        </is>
      </c>
    </row>
    <row r="3">
      <c r="B3" s="2" t="inlineStr">
        <is>
          <t>Sector: Infrastructure | Country: Kazakhstan | Rating: BBB- | Benchmark: QAZGAS 4.375% 2027 @ $97.20 (5.95% YTM / +190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Monopoly operator of Kazakhstan's gas pipeline network; strategic transit route for Central Asia-China pipeline.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QAZGAS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745.875</v>
      </c>
      <c r="F26" s="7" t="inlineStr">
        <is>
          <t>5.95%</t>
        </is>
      </c>
      <c r="G26" s="7" t="inlineStr">
        <is>
          <t>$97.20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QAZGAS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497.25</v>
      </c>
      <c r="F27" s="7" t="inlineStr">
        <is>
          <t>5.20%</t>
        </is>
      </c>
      <c r="G27" s="7" t="inlineStr">
        <is>
          <t>$99.70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414.375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QazaqGaz (KazTransGas)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Container Throughput (M TEU)</t>
        </is>
      </c>
      <c r="C6" s="13" t="n">
        <v>72</v>
      </c>
      <c r="D6" s="13" t="n">
        <v>78.5</v>
      </c>
      <c r="E6" s="13" t="n">
        <v>82.40000000000001</v>
      </c>
      <c r="F6" s="13" t="n">
        <v>86.8</v>
      </c>
      <c r="G6" s="13" t="n">
        <v>91.5</v>
      </c>
      <c r="H6" s="13" t="n">
        <v>96</v>
      </c>
      <c r="I6" s="13" t="n">
        <v>101</v>
      </c>
    </row>
    <row r="7">
      <c r="B7" s="7" t="inlineStr">
        <is>
          <t>Consolidated Terminal Volume (M TEU)</t>
        </is>
      </c>
      <c r="C7" s="13" t="n">
        <v>45</v>
      </c>
      <c r="D7" s="13" t="n">
        <v>49.2</v>
      </c>
      <c r="E7" s="13" t="n">
        <v>52</v>
      </c>
      <c r="F7" s="13" t="n">
        <v>55.4</v>
      </c>
      <c r="G7" s="13" t="n">
        <v>58.8</v>
      </c>
      <c r="H7" s="13" t="n">
        <v>62</v>
      </c>
      <c r="I7" s="13" t="n">
        <v>65.5</v>
      </c>
    </row>
    <row r="8">
      <c r="B8" s="7" t="inlineStr">
        <is>
          <t>Average Revenue per TEU ($/TEU)</t>
        </is>
      </c>
      <c r="C8" s="14" t="n">
        <v>142</v>
      </c>
      <c r="D8" s="14" t="n">
        <v>158</v>
      </c>
      <c r="E8" s="14" t="n">
        <v>152</v>
      </c>
      <c r="F8" s="14" t="n">
        <v>149</v>
      </c>
      <c r="G8" s="14" t="n">
        <v>148</v>
      </c>
      <c r="H8" s="14" t="n">
        <v>147</v>
      </c>
      <c r="I8" s="14" t="n">
        <v>146</v>
      </c>
    </row>
    <row r="9">
      <c r="B9" s="7" t="inlineStr">
        <is>
          <t>Concession Life Remaining (Years)</t>
        </is>
      </c>
      <c r="C9" s="14" t="n">
        <v>28</v>
      </c>
      <c r="D9" s="14" t="n">
        <v>27</v>
      </c>
      <c r="E9" s="14" t="n">
        <v>26</v>
      </c>
      <c r="F9" s="14" t="n">
        <v>25</v>
      </c>
      <c r="G9" s="14" t="n">
        <v>24</v>
      </c>
      <c r="H9" s="14" t="n">
        <v>23</v>
      </c>
      <c r="I9" s="14" t="n">
        <v>22</v>
      </c>
    </row>
    <row r="10">
      <c r="B10" s="7" t="inlineStr">
        <is>
          <t>Terminal Utilization Rate (%)</t>
        </is>
      </c>
      <c r="C10" s="13" t="n">
        <v>78.5</v>
      </c>
      <c r="D10" s="13" t="n">
        <v>81.2</v>
      </c>
      <c r="E10" s="13" t="n">
        <v>82.8</v>
      </c>
      <c r="F10" s="13" t="n">
        <v>84.5</v>
      </c>
      <c r="G10" s="13" t="n">
        <v>85.8</v>
      </c>
      <c r="H10" s="13" t="n">
        <v>87</v>
      </c>
      <c r="I10" s="13" t="n">
        <v>88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Container Terminal Handling</t>
        </is>
      </c>
      <c r="C15" s="8" t="n">
        <v>1180.5</v>
      </c>
      <c r="D15" s="8" t="n">
        <v>1423.5</v>
      </c>
      <c r="E15" s="8" t="n">
        <v>1597.1</v>
      </c>
      <c r="F15" s="8" t="n">
        <v>1736</v>
      </c>
      <c r="G15" s="8" t="n">
        <v>1874.9</v>
      </c>
      <c r="H15" s="8" t="n">
        <v>1996.4</v>
      </c>
      <c r="I15" s="8" t="n">
        <v>2083.2</v>
      </c>
    </row>
    <row r="16">
      <c r="B16" s="7" t="inlineStr">
        <is>
          <t>Non-Container &amp; Marine Services</t>
        </is>
      </c>
      <c r="C16" s="8" t="n">
        <v>437.9</v>
      </c>
      <c r="D16" s="8" t="n">
        <v>528.1</v>
      </c>
      <c r="E16" s="8" t="n">
        <v>592.5</v>
      </c>
      <c r="F16" s="8" t="n">
        <v>644</v>
      </c>
      <c r="G16" s="8" t="n">
        <v>695.5</v>
      </c>
      <c r="H16" s="8" t="n">
        <v>740.6</v>
      </c>
      <c r="I16" s="8" t="n">
        <v>772.8</v>
      </c>
    </row>
    <row r="17">
      <c r="B17" s="7" t="inlineStr">
        <is>
          <t>Logistics, Free Zones &amp; Industrial Parks</t>
        </is>
      </c>
      <c r="C17" s="8" t="n">
        <v>285.6</v>
      </c>
      <c r="D17" s="8" t="n">
        <v>344.4</v>
      </c>
      <c r="E17" s="8" t="n">
        <v>386.4</v>
      </c>
      <c r="F17" s="8" t="n">
        <v>420</v>
      </c>
      <c r="G17" s="8" t="n">
        <v>453.6</v>
      </c>
      <c r="H17" s="8" t="n">
        <v>483</v>
      </c>
      <c r="I17" s="8" t="n">
        <v>504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QazaqGaz (KazTransGas)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Container Terminal Handling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Non-Container &amp; Marine Services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Logistics, Free Zones &amp; Industrial Parks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8.300000000000001</v>
      </c>
      <c r="D35" s="24" t="n">
        <v>10.2</v>
      </c>
      <c r="E35" s="24" t="n">
        <v>11.5</v>
      </c>
      <c r="F35" s="24" t="n">
        <v>12.7</v>
      </c>
      <c r="G35" s="24" t="n">
        <v>14</v>
      </c>
      <c r="H35" s="24" t="n">
        <v>15</v>
      </c>
      <c r="I35" s="24" t="n">
        <v>15.8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(+$8.3M)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(+$10.2M)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(+$11.5M)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(+$12.7M)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(+$14.0M)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(+$15.0M)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(+$15.8M)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QazaqGaz (KazTransGas)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2856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666.4</v>
      </c>
      <c r="D36" s="8" t="n">
        <v>666.4</v>
      </c>
      <c r="E36" s="8" t="n">
        <v>666.4</v>
      </c>
      <c r="F36" s="8" t="n">
        <v>666.4</v>
      </c>
      <c r="G36" s="8" t="n">
        <v>666.4</v>
      </c>
      <c r="H36" s="8" t="n">
        <v>666.4</v>
      </c>
      <c r="I36" s="8" t="n">
        <v>666.4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QazaqGaz (KazTransGas)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-220.4</v>
      </c>
      <c r="D16" s="8" t="n">
        <v>-385.6</v>
      </c>
      <c r="E16" s="8" t="n">
        <v>-433.8</v>
      </c>
      <c r="F16" s="8" t="n">
        <v>-410.5</v>
      </c>
      <c r="G16" s="8" t="n">
        <v>-373.1</v>
      </c>
      <c r="H16" s="8" t="n">
        <v>-400.2</v>
      </c>
      <c r="I16" s="8" t="n">
        <v>-420.5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350.6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95.09999999999999</v>
      </c>
      <c r="D32" s="8" t="n">
        <v>195.7</v>
      </c>
      <c r="E32" s="8" t="n">
        <v>220.6</v>
      </c>
      <c r="F32" s="8" t="n">
        <v>142.5</v>
      </c>
      <c r="G32" s="8" t="n">
        <v>152</v>
      </c>
      <c r="H32" s="8" t="n">
        <v>160.2</v>
      </c>
      <c r="I32" s="8" t="n">
        <v>165.8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QazaqGaz (KazTransGas)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QAZGAS Benchmark Eurobond Notes</t>
        </is>
      </c>
    </row>
    <row r="7">
      <c r="B7" s="7" t="inlineStr">
        <is>
          <t xml:space="preserve">  Beginning Principal Balance</t>
        </is>
      </c>
      <c r="C7" s="8" t="n">
        <v>634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211.3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140.9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0.0595</f>
        <v/>
      </c>
      <c r="D11" s="8">
        <f>D10 * 0.0595</f>
        <v/>
      </c>
      <c r="E11" s="8">
        <f>E10 * 0.0595</f>
        <v/>
      </c>
      <c r="F11" s="8">
        <f>F10 * 0.0595</f>
        <v/>
      </c>
      <c r="G11" s="8">
        <f>G10 * 0.0595</f>
        <v/>
      </c>
      <c r="H11" s="8">
        <f>H10 * 0.0595</f>
        <v/>
      </c>
      <c r="I11" s="8">
        <f>I10 * 0.0595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774.9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198.9</v>
      </c>
      <c r="C32" s="8" t="n">
        <v>364.6</v>
      </c>
      <c r="D32" s="8" t="n">
        <v>464.1</v>
      </c>
      <c r="E32" s="8" t="n">
        <v>298.3</v>
      </c>
      <c r="F32" s="8" t="n">
        <v>198.9</v>
      </c>
      <c r="G32" s="8" t="n">
        <v>132.6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QAZGAS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745.9</v>
      </c>
      <c r="F37" s="30" t="inlineStr">
        <is>
          <t>5.950%</t>
        </is>
      </c>
      <c r="G37" s="31" t="n">
        <v>97.2</v>
      </c>
      <c r="H37" s="32" t="n">
        <v>5.95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QAZGAS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497.2</v>
      </c>
      <c r="F38" s="30" t="inlineStr">
        <is>
          <t>5.300%</t>
        </is>
      </c>
      <c r="G38" s="31" t="n">
        <v>99.2</v>
      </c>
      <c r="H38" s="32" t="n">
        <v>5.3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248.6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165.8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QAZGAS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464.1</v>
      </c>
    </row>
    <row r="45">
      <c r="B45" s="7" t="inlineStr">
        <is>
          <t>Drawn Amount ($M)</t>
        </is>
      </c>
      <c r="C45" s="8" t="n">
        <v>165.8</v>
      </c>
    </row>
    <row r="46">
      <c r="B46" s="19" t="inlineStr">
        <is>
          <t>AVAILABLE UNDRAWN HEADROOM ($M)</t>
        </is>
      </c>
      <c r="C46" s="20" t="n">
        <v>298.3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1.20x</t>
        </is>
      </c>
      <c r="E55" s="33" t="inlineStr">
        <is>
          <t>2.55x leverage buffer ($2167.5M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7.20x</t>
        </is>
      </c>
      <c r="E56" s="33" t="inlineStr">
        <is>
          <t>+4.70x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4.9% of Assets</t>
        </is>
      </c>
      <c r="E57" s="33" t="inlineStr">
        <is>
          <t>$616.0M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QazaqGaz (KazTransGas)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QazaqGaz (KazTransGas)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5.95%</t>
        </is>
      </c>
      <c r="F6" s="35" t="inlineStr">
        <is>
          <t>4.2x</t>
        </is>
      </c>
      <c r="G6" s="35" t="inlineStr">
        <is>
          <t>$100.80</t>
        </is>
      </c>
      <c r="H6" s="35" t="inlineStr">
        <is>
          <t>+3.7%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7.95%</t>
        </is>
      </c>
      <c r="F7" s="30" t="inlineStr">
        <is>
          <t>3.2x</t>
        </is>
      </c>
      <c r="G7" s="30" t="inlineStr">
        <is>
          <t>$89.40</t>
        </is>
      </c>
      <c r="H7" s="30" t="inlineStr">
        <is>
          <t>-8.0%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$78.00</t>
        </is>
      </c>
      <c r="H8" s="30" t="inlineStr">
        <is>
          <t>-19.8%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4.45%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+8.0%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414.4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QAZGAS Senior Unsecured Eurobonds</t>
        </is>
      </c>
      <c r="C15" s="8" t="n">
        <v>1243.1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78.0%</t>
        </is>
      </c>
      <c r="G15" s="30" t="inlineStr">
        <is>
          <t>100.8%</t>
        </is>
      </c>
    </row>
    <row r="16">
      <c r="B16" s="7" t="inlineStr">
        <is>
          <t>Subordinated Debt &amp; Intercompany Notes</t>
        </is>
      </c>
      <c r="C16" s="8" t="n">
        <v>248.6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663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Kazakhstan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QazaqGaz (KazTransGas) (QAZGAS) — Earnings Presentation &amp; Management Guidance</t>
        </is>
      </c>
    </row>
    <row r="3">
      <c r="B3" s="2" t="inlineStr">
        <is>
          <t>Source: QazaqGaz (KazTransGas) FY2024 Global Investor Presentation &amp; Infrastructure Review | Reporting Currency: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$3024.0M (+8.0% YoY growth)</t>
        </is>
      </c>
      <c r="D7" s="36" t="inlineStr">
        <is>
          <t>$2982.0M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$3024.0M (+8.0% YoY growth). With current run-rate at $2982.0M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$935.0M (30.9% margin)</t>
        </is>
      </c>
      <c r="D8" s="36" t="inlineStr">
        <is>
          <t>$918.0M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$935.0M (30.9%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1.20x</t>
        </is>
      </c>
      <c r="E9" s="33" t="inlineStr">
        <is>
          <t>Ahead of Target</t>
        </is>
      </c>
      <c r="F9" s="38" t="inlineStr">
        <is>
          <t>Deleveraging on track with 2.55x buffer below covenant limit.
[QUESTION TO CFO TO VERIFY]: You previously committed to a Net Leverage ceiling of &lt; 3.25x Net Debt / EBITDA. Current actual leverage stands at 1.20x.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$312.4M (Maximum growth and sustaining envelope)</t>
        </is>
      </c>
      <c r="D10" s="36" t="inlineStr">
        <is>
          <t>$287.4M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$312.4M (Maximum growth and sustaining envelope). Current commitments stand at $287.4M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Infrastructure Expansion Projects</t>
        </is>
      </c>
      <c r="C15" s="38" t="inlineStr">
        <is>
          <t>Deep-Water Terminal Berth Deepening, Automated Quay Cranes, Logistics Free Zones</t>
        </is>
      </c>
    </row>
    <row r="16">
      <c r="B16" s="9" t="inlineStr">
        <is>
          <t>Multi Year Capex Program</t>
        </is>
      </c>
      <c r="C16" s="38" t="inlineStr">
        <is>
          <t>$892.5M across gateway port and logistics infrastructure</t>
        </is>
      </c>
    </row>
    <row r="17">
      <c r="B17" s="9" t="inlineStr">
        <is>
          <t>Concession Duration Profile</t>
        </is>
      </c>
      <c r="C17" s="38" t="inlineStr">
        <is>
          <t>26.8 years weighted average remaining life on port and terminal concessions</t>
        </is>
      </c>
    </row>
    <row r="18">
      <c r="B18" s="9" t="inlineStr">
        <is>
          <t>Automation Efficiency Gains</t>
        </is>
      </c>
      <c r="C18" s="38" t="inlineStr">
        <is>
          <t>Terminal electrification reducing carbon emissions per gross move by 22%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Tariff Share</t>
        </is>
      </c>
      <c r="C22" s="38" t="inlineStr">
        <is>
          <t>74.0% of revenue collected in USD or currencies pegged to the USD</t>
        </is>
      </c>
    </row>
    <row r="23">
      <c r="B23" s="9" t="inlineStr">
        <is>
          <t>Global Diversification</t>
        </is>
      </c>
      <c r="C23" s="38" t="inlineStr">
        <is>
          <t>Operations spanning strategic global maritime bottlenecks and trade arteries</t>
        </is>
      </c>
    </row>
    <row r="24">
      <c r="B24" s="9" t="inlineStr">
        <is>
          <t>Contractual Tariff Indexation</t>
        </is>
      </c>
      <c r="C24" s="38" t="inlineStr">
        <is>
          <t>Statutory concession agreements permit annual tariff adjustments linked to US/local CPI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Terminal Utilization Rate</t>
        </is>
      </c>
      <c r="C28" s="38" t="inlineStr">
        <is>
          <t>84.5% across primary gateway facilities (Optimal operating efficiency band)</t>
        </is>
      </c>
    </row>
    <row r="29">
      <c r="B29" s="9" t="inlineStr">
        <is>
          <t>Shipping Alliance Concentration</t>
        </is>
      </c>
      <c r="C29" s="38" t="inlineStr">
        <is>
          <t>Balanced volume allocation across top global maritime shipping alliances</t>
        </is>
      </c>
    </row>
    <row r="30">
      <c r="B30" s="9" t="inlineStr">
        <is>
          <t>Ancillary Logistics Share</t>
        </is>
      </c>
      <c r="C30" s="38" t="inlineStr">
        <is>
          <t>Expanding end-to-end supply chain logistics services to 28% of group revenue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Unrestricted Cash And Deposits</t>
        </is>
      </c>
      <c r="C34" s="38" t="inlineStr">
        <is>
          <t>$637.5M</t>
        </is>
      </c>
    </row>
    <row r="35">
      <c r="B35" s="9" t="inlineStr">
        <is>
          <t>Undrawn Committed Bank Rcfs</t>
        </is>
      </c>
      <c r="C35" s="38" t="inlineStr">
        <is>
          <t>$745.9M in long-term syndicated revolving facilities</t>
        </is>
      </c>
    </row>
    <row r="36">
      <c r="B36" s="9" t="inlineStr">
        <is>
          <t>Liquidity Coverage Ratio</t>
        </is>
      </c>
      <c r="C36" s="38" t="inlineStr">
        <is>
          <t>Available liquidity covers 36+ months of upcoming bond and loan maturities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2026-11-12</t>
        </is>
      </c>
    </row>
    <row r="47">
      <c r="B47" s="9" t="inlineStr">
        <is>
          <t>Reporting Period</t>
        </is>
      </c>
      <c r="C47" s="38" t="inlineStr">
        <is>
          <t>Q3 2026 / 9M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14:00 Local / Pre-Market</t>
        </is>
      </c>
    </row>
    <row r="50">
      <c r="B50" s="9" t="inlineStr">
        <is>
          <t>Official IR Portal / Webcast URL</t>
        </is>
      </c>
      <c r="C50" s="38" t="inlineStr">
        <is>
          <t>https://www.google.com/finance/quote/QAZGAS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2026-10-31T05:16:38Z</dcterms:created>
  <dcterms:modified xmlns:dcterms="http://purl.org/dc/terms/" xmlns:xsi="http://www.w3.org/2001/XMLSchema-instance" xsi:type="dcterms:W3CDTF">2026-10-31T05:16:38Z</dcterms:modified>
</cp:coreProperties>
</file>