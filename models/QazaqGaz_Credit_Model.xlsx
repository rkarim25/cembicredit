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QazaqGaz (KazTransGas)</t>
        </is>
      </c>
    </row>
    <row r="3">
      <c r="B3" s="2" t="inlineStr">
        <is>
          <t>CEMBI CEEMEA Institutional Credit Assessment | Country: Kazakhstan (Central Asia) | Sector: Infrastructure | Benchmark: QAZGAS 4.375%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QAZGAS 4.375% 2027</t>
        </is>
      </c>
      <c r="C6" s="5" t="inlineStr">
        <is>
          <t>5.95% (+190 bp)</t>
        </is>
      </c>
      <c r="D6" s="4" t="inlineStr">
        <is>
          <t>BBB-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$78.00</t>
        </is>
      </c>
      <c r="D7" s="4" t="inlineStr">
        <is>
          <t>Base Case Fair Value</t>
        </is>
      </c>
      <c r="E7" s="5" t="inlineStr">
        <is>
          <t>$100.80</t>
        </is>
      </c>
    </row>
    <row r="9">
      <c r="B9" s="6" t="inlineStr">
        <is>
          <t>INSTITUTIONAL INVESTMENT THESIS</t>
        </is>
      </c>
    </row>
    <row r="10">
      <c r="B10" s="7" t="inlineStr">
        <is>
          <t>Monopoly operator of Kazakhstan's gas pipeline network; strategic transit route for Central Asia-China pipeline.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QazaqGaz (KazTransGas)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1904</v>
      </c>
      <c r="D7" s="13" t="n">
        <v>2296</v>
      </c>
      <c r="E7" s="13" t="n">
        <v>2576</v>
      </c>
      <c r="F7" s="13" t="n">
        <v>2800</v>
      </c>
      <c r="G7" s="14" t="n">
        <v>3024</v>
      </c>
      <c r="H7" s="14" t="n">
        <v>3220</v>
      </c>
      <c r="I7" s="14" t="n">
        <v>3360</v>
      </c>
    </row>
    <row r="8">
      <c r="B8" s="12" t="inlineStr">
        <is>
          <t>EBITDA</t>
        </is>
      </c>
      <c r="C8" s="13" t="n">
        <v>552.5</v>
      </c>
      <c r="D8" s="13" t="n">
        <v>680</v>
      </c>
      <c r="E8" s="13" t="n">
        <v>765</v>
      </c>
      <c r="F8" s="13" t="n">
        <v>850</v>
      </c>
      <c r="G8" s="14" t="n">
        <v>935</v>
      </c>
      <c r="H8" s="14" t="n">
        <v>1003</v>
      </c>
      <c r="I8" s="14" t="n">
        <v>1054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70.8</v>
      </c>
      <c r="D10" s="17" t="n">
        <v>88.5</v>
      </c>
      <c r="E10" s="17" t="n">
        <v>106.2</v>
      </c>
      <c r="F10" s="17" t="n">
        <v>118.1</v>
      </c>
      <c r="G10" s="18" t="n">
        <v>113.3</v>
      </c>
      <c r="H10" s="18" t="n">
        <v>108.6</v>
      </c>
      <c r="I10" s="18" t="n">
        <v>103.9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447.9</v>
      </c>
      <c r="D12" s="13" t="n">
        <v>563.6</v>
      </c>
      <c r="E12" s="13" t="n">
        <v>635.8</v>
      </c>
      <c r="F12" s="13" t="n">
        <v>722.5</v>
      </c>
      <c r="G12" s="14" t="n">
        <v>794.8</v>
      </c>
      <c r="H12" s="14" t="n">
        <v>852.5</v>
      </c>
      <c r="I12" s="14" t="n">
        <v>903.1</v>
      </c>
    </row>
    <row r="13">
      <c r="B13" s="5" t="inlineStr">
        <is>
          <t>Capital Expenditures (Capex)</t>
        </is>
      </c>
      <c r="C13" s="17" t="n">
        <v>208.2</v>
      </c>
      <c r="D13" s="17" t="n">
        <v>252.9</v>
      </c>
      <c r="E13" s="17" t="n">
        <v>282.6</v>
      </c>
      <c r="F13" s="17" t="n">
        <v>297.5</v>
      </c>
      <c r="G13" s="18" t="n">
        <v>312.4</v>
      </c>
      <c r="H13" s="18" t="n">
        <v>303.4</v>
      </c>
      <c r="I13" s="18" t="n">
        <v>291.6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350.6</v>
      </c>
      <c r="D16" s="13" t="n">
        <v>446.2</v>
      </c>
      <c r="E16" s="13" t="n">
        <v>541.9</v>
      </c>
      <c r="F16" s="13" t="n">
        <v>637.5</v>
      </c>
      <c r="G16" s="14" t="n">
        <v>752.2</v>
      </c>
      <c r="H16" s="14" t="n">
        <v>860.6</v>
      </c>
      <c r="I16" s="14" t="n">
        <v>956.2</v>
      </c>
    </row>
    <row r="17">
      <c r="B17" s="12" t="inlineStr">
        <is>
          <t>Gross Total Debt</t>
        </is>
      </c>
      <c r="C17" s="13" t="n">
        <v>1408.9</v>
      </c>
      <c r="D17" s="13" t="n">
        <v>1524.9</v>
      </c>
      <c r="E17" s="13" t="n">
        <v>1624.3</v>
      </c>
      <c r="F17" s="13" t="n">
        <v>1657.5</v>
      </c>
      <c r="G17" s="14" t="n">
        <v>1624.3</v>
      </c>
      <c r="H17" s="14" t="n">
        <v>1574.6</v>
      </c>
      <c r="I17" s="14" t="n">
        <v>1491.8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QazaqGaz (KazTransGas)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5.95%</t>
        </is>
      </c>
      <c r="F6" s="21" t="inlineStr">
        <is>
          <t>2028 / 2029</t>
        </is>
      </c>
      <c r="G6" s="17" t="n">
        <v>745.9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414.4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248.6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165.8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82.90000000000001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541.9</v>
      </c>
    </row>
    <row r="15">
      <c r="B15" t="inlineStr">
        <is>
          <t>Committed Undrawn RCF Capacity</t>
        </is>
      </c>
      <c r="C15" s="22" t="n">
        <v>340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317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QazaqGaz (KazTransGas)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850</v>
      </c>
      <c r="D6" s="17" t="n">
        <v>722.5</v>
      </c>
      <c r="E6" s="25" t="n">
        <v>552.5</v>
      </c>
    </row>
    <row r="7">
      <c r="B7" s="5" t="inlineStr">
        <is>
          <t>Free Cash Flow ($M)</t>
        </is>
      </c>
      <c r="C7" s="17" t="n">
        <v>425</v>
      </c>
      <c r="D7" s="17" t="n">
        <v>255</v>
      </c>
      <c r="E7" s="25" t="n">
        <v>63.8</v>
      </c>
    </row>
    <row r="8">
      <c r="B8" s="12" t="inlineStr">
        <is>
          <t>Net Leverage Ratio (x)</t>
        </is>
      </c>
      <c r="C8" s="26" t="n">
        <v>1.2</v>
      </c>
      <c r="D8" s="26" t="n">
        <v>1.5</v>
      </c>
      <c r="E8" s="27" t="n">
        <v>2.22</v>
      </c>
    </row>
    <row r="9">
      <c r="B9" s="5" t="inlineStr">
        <is>
          <t>Interest Coverage Ratio (x)</t>
        </is>
      </c>
      <c r="C9" s="26" t="n">
        <v>7.2</v>
      </c>
      <c r="D9" s="26" t="n">
        <v>5.62</v>
      </c>
      <c r="E9" s="27" t="n">
        <v>3.24</v>
      </c>
    </row>
    <row r="10">
      <c r="B10" s="12" t="inlineStr">
        <is>
          <t>Implied Senior Paper Trading / Recovery ($)</t>
        </is>
      </c>
      <c r="C10" s="12" t="inlineStr">
        <is>
          <t>$100.80</t>
        </is>
      </c>
      <c r="D10" s="12" t="inlineStr">
        <is>
          <t>$90.00</t>
        </is>
      </c>
      <c r="E10" s="28" t="inlineStr">
        <is>
          <t>$78.00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