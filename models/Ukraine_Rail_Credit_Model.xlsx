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Institutional Credit Model</t>
        </is>
      </c>
    </row>
    <row r="3">
      <c r="B3" s="2" t="inlineStr">
        <is>
          <t>Sector: Transportation &amp; Logistics (Railways) | Country: Ukraine | Rating: CCC / Caa3 | Benchmark: RAILUA 8.25% 2026 (LPN) @ $64.00 (19.25% YTM / +1485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DISTRESSED FOCUS: 100% state-owned rail monopoly operating 82% of Ukraine's freight. $595M 2026 and $300M 2028 notes price in deep 36% haircut; base restructuring expectation is standalone 3-year maturity extension + partial PIK yielding $71.50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RAILUA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778.5</v>
      </c>
      <c r="F26" s="7" t="inlineStr">
        <is>
          <t>19.25%</t>
        </is>
      </c>
      <c r="G26" s="7" t="inlineStr">
        <is>
          <t>$64.00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RAILUA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519</v>
      </c>
      <c r="F27" s="7" t="inlineStr">
        <is>
          <t>18.50%</t>
        </is>
      </c>
      <c r="G27" s="7" t="inlineStr">
        <is>
          <t>$66.50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Freight Volume Carried (Mt)</t>
        </is>
      </c>
      <c r="C6" s="13" t="n">
        <v>175.2</v>
      </c>
      <c r="D6" s="13" t="n">
        <v>121.4</v>
      </c>
      <c r="E6" s="13" t="n">
        <v>148.4</v>
      </c>
      <c r="F6" s="13" t="n">
        <v>175.2</v>
      </c>
      <c r="G6" s="13" t="n">
        <v>192</v>
      </c>
      <c r="H6" s="13" t="n">
        <v>210</v>
      </c>
      <c r="I6" s="13" t="n">
        <v>228</v>
      </c>
    </row>
    <row r="7">
      <c r="B7" s="7" t="inlineStr">
        <is>
          <t>Gross Freight Turnover (Bntkm)</t>
        </is>
      </c>
      <c r="C7" s="13" t="n">
        <v>180.5</v>
      </c>
      <c r="D7" s="13" t="n">
        <v>119.8</v>
      </c>
      <c r="E7" s="13" t="n">
        <v>142.1</v>
      </c>
      <c r="F7" s="13" t="n">
        <v>168</v>
      </c>
      <c r="G7" s="13" t="n">
        <v>184</v>
      </c>
      <c r="H7" s="13" t="n">
        <v>201</v>
      </c>
      <c r="I7" s="13" t="n">
        <v>218</v>
      </c>
    </row>
    <row r="8">
      <c r="B8" s="7" t="inlineStr">
        <is>
          <t>Electric Traction Turnover Share (%)</t>
        </is>
      </c>
      <c r="C8" s="13" t="n">
        <v>86</v>
      </c>
      <c r="D8" s="13" t="n">
        <v>84.2</v>
      </c>
      <c r="E8" s="13" t="n">
        <v>85.09999999999999</v>
      </c>
      <c r="F8" s="13" t="n">
        <v>86</v>
      </c>
      <c r="G8" s="13" t="n">
        <v>86.5</v>
      </c>
      <c r="H8" s="13" t="n">
        <v>87</v>
      </c>
      <c r="I8" s="13" t="n">
        <v>87.5</v>
      </c>
    </row>
    <row r="9">
      <c r="B9" s="7" t="inlineStr">
        <is>
          <t>Network Electrification Share (%)</t>
        </is>
      </c>
      <c r="C9" s="13" t="n">
        <v>48.2</v>
      </c>
      <c r="D9" s="13" t="n">
        <v>48.2</v>
      </c>
      <c r="E9" s="13" t="n">
        <v>48.2</v>
      </c>
      <c r="F9" s="13" t="n">
        <v>48.2</v>
      </c>
      <c r="G9" s="13" t="n">
        <v>48.5</v>
      </c>
      <c r="H9" s="13" t="n">
        <v>49</v>
      </c>
      <c r="I9" s="13" t="n">
        <v>49.5</v>
      </c>
    </row>
    <row r="10">
      <c r="B10" s="7" t="inlineStr">
        <is>
          <t>Multilateral Non-Repayable Grants ($M)</t>
        </is>
      </c>
      <c r="C10" s="13" t="n">
        <v>0</v>
      </c>
      <c r="D10" s="13" t="n">
        <v>120</v>
      </c>
      <c r="E10" s="13" t="n">
        <v>195</v>
      </c>
      <c r="F10" s="13" t="n">
        <v>280</v>
      </c>
      <c r="G10" s="13" t="n">
        <v>250</v>
      </c>
      <c r="H10" s="13" t="n">
        <v>200</v>
      </c>
      <c r="I10" s="13" t="n">
        <v>150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Agricultural Grain &amp; Mineral Freight</t>
        </is>
      </c>
      <c r="C15" s="8" t="n">
        <v>1965.4</v>
      </c>
      <c r="D15" s="8" t="n">
        <v>1450.8</v>
      </c>
      <c r="E15" s="8" t="n">
        <v>1630.6</v>
      </c>
      <c r="F15" s="8" t="n">
        <v>1767</v>
      </c>
      <c r="G15" s="8" t="n">
        <v>1959.2</v>
      </c>
      <c r="H15" s="8" t="n">
        <v>2182.4</v>
      </c>
      <c r="I15" s="8" t="n">
        <v>2449</v>
      </c>
    </row>
    <row r="16">
      <c r="B16" s="7" t="inlineStr">
        <is>
          <t>Passenger &amp; Military Wartime Logistics</t>
        </is>
      </c>
      <c r="C16" s="8" t="n">
        <v>824.2</v>
      </c>
      <c r="D16" s="8" t="n">
        <v>608.4</v>
      </c>
      <c r="E16" s="8" t="n">
        <v>683.8</v>
      </c>
      <c r="F16" s="8" t="n">
        <v>741</v>
      </c>
      <c r="G16" s="8" t="n">
        <v>821.6</v>
      </c>
      <c r="H16" s="8" t="n">
        <v>915.2</v>
      </c>
      <c r="I16" s="8" t="n">
        <v>1027</v>
      </c>
    </row>
    <row r="17">
      <c r="B17" s="7" t="inlineStr">
        <is>
          <t>Infrastructure Track Access &amp; Shunting</t>
        </is>
      </c>
      <c r="C17" s="8" t="n">
        <v>380.4</v>
      </c>
      <c r="D17" s="8" t="n">
        <v>280.8</v>
      </c>
      <c r="E17" s="8" t="n">
        <v>315.6</v>
      </c>
      <c r="F17" s="8" t="n">
        <v>342</v>
      </c>
      <c r="G17" s="8" t="n">
        <v>379.2</v>
      </c>
      <c r="H17" s="8" t="n">
        <v>422.4</v>
      </c>
      <c r="I17" s="8" t="n">
        <v>474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Agricultural Grain &amp; Mineral Freight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Passenger &amp; Military Wartime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Infrastructure Track Access &amp; Shunting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4755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1109.5</v>
      </c>
      <c r="D36" s="8" t="n">
        <v>1109.5</v>
      </c>
      <c r="E36" s="8" t="n">
        <v>1109.5</v>
      </c>
      <c r="F36" s="8" t="n">
        <v>1109.5</v>
      </c>
      <c r="G36" s="8" t="n">
        <v>1109.5</v>
      </c>
      <c r="H36" s="8" t="n">
        <v>1109.5</v>
      </c>
      <c r="I36" s="8" t="n">
        <v>1109.5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-280</v>
      </c>
      <c r="D16" s="8" t="n">
        <v>-345</v>
      </c>
      <c r="E16" s="8" t="n">
        <v>-365</v>
      </c>
      <c r="F16" s="8" t="n">
        <v>-400</v>
      </c>
      <c r="G16" s="8" t="n">
        <v>-400</v>
      </c>
      <c r="H16" s="8" t="n">
        <v>-400</v>
      </c>
      <c r="I16" s="8" t="n">
        <v>-400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RAILUA Benchmark Eurobond Notes</t>
        </is>
      </c>
    </row>
    <row r="7">
      <c r="B7" s="7" t="inlineStr">
        <is>
          <t xml:space="preserve">  Beginning Principal Balance</t>
        </is>
      </c>
      <c r="C7" s="8" t="n">
        <v>729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0.1925</f>
        <v/>
      </c>
      <c r="D11" s="8">
        <f>D10 * 0.1925</f>
        <v/>
      </c>
      <c r="E11" s="8">
        <f>E10 * 0.1925</f>
        <v/>
      </c>
      <c r="F11" s="8">
        <f>F10 * 0.1925</f>
        <v/>
      </c>
      <c r="G11" s="8">
        <f>G10 * 0.1925</f>
        <v/>
      </c>
      <c r="H11" s="8">
        <f>H10 * 0.1925</f>
        <v/>
      </c>
      <c r="I11" s="8">
        <f>I10 * 0.1925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891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207.6</v>
      </c>
      <c r="C32" s="8" t="n">
        <v>380.6</v>
      </c>
      <c r="D32" s="8" t="n">
        <v>484.4</v>
      </c>
      <c r="E32" s="8" t="n">
        <v>311.4</v>
      </c>
      <c r="F32" s="8" t="n">
        <v>207.6</v>
      </c>
      <c r="G32" s="8" t="n">
        <v>138.4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RAILUA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778.5</v>
      </c>
      <c r="F37" s="26" t="inlineStr">
        <is>
          <t>19.250%</t>
        </is>
      </c>
      <c r="G37" s="27" t="n">
        <v>64</v>
      </c>
      <c r="H37" s="28" t="n">
        <v>19.25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RAILUA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519</v>
      </c>
      <c r="F38" s="26" t="inlineStr">
        <is>
          <t>18.600%</t>
        </is>
      </c>
      <c r="G38" s="27" t="n">
        <v>66</v>
      </c>
      <c r="H38" s="28" t="n">
        <v>18.6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259.5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173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RAILUA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484.4</v>
      </c>
    </row>
    <row r="45">
      <c r="B45" s="7" t="inlineStr">
        <is>
          <t>Drawn Amount ($M)</t>
        </is>
      </c>
      <c r="C45" s="8" t="n">
        <v>173</v>
      </c>
    </row>
    <row r="46">
      <c r="B46" s="18" t="inlineStr">
        <is>
          <t>AVAILABLE UNDRAWN HEADROOM ($M)</t>
        </is>
      </c>
      <c r="C46" s="19" t="n">
        <v>311.4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3.86x</t>
        </is>
      </c>
      <c r="E55" s="30" t="inlineStr">
        <is>
          <t>-0.11x leverage buffer ($-41.8M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2.81x</t>
        </is>
      </c>
      <c r="E56" s="30" t="inlineStr">
        <is>
          <t>+0.31x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5.1% of Assets</t>
        </is>
      </c>
      <c r="E57" s="30" t="inlineStr">
        <is>
          <t>$627.0M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19.25%</t>
        </is>
      </c>
      <c r="F6" s="32" t="inlineStr">
        <is>
          <t>3.5x</t>
        </is>
      </c>
      <c r="G6" s="32" t="inlineStr">
        <is>
          <t>$71.50</t>
        </is>
      </c>
      <c r="H6" s="32" t="inlineStr">
        <is>
          <t>+11.7%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21.25%</t>
        </is>
      </c>
      <c r="F7" s="26" t="inlineStr">
        <is>
          <t>3.0x</t>
        </is>
      </c>
      <c r="G7" s="26" t="inlineStr">
        <is>
          <t>$54.75</t>
        </is>
      </c>
      <c r="H7" s="26" t="inlineStr">
        <is>
          <t>-14.5%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$38.00</t>
        </is>
      </c>
      <c r="H8" s="26" t="inlineStr">
        <is>
          <t>-40.6%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17.75%</t>
        </is>
      </c>
      <c r="F9" s="26" t="inlineStr">
        <is>
          <t>5.0x</t>
        </is>
      </c>
      <c r="G9" s="26" t="inlineStr">
        <is>
          <t>$84.37</t>
        </is>
      </c>
      <c r="H9" s="26" t="inlineStr">
        <is>
          <t>+31.8%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RAILUA Senior Unsecured Eurobonds</t>
        </is>
      </c>
      <c r="C15" s="8" t="n">
        <v>1297.5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38.0%</t>
        </is>
      </c>
      <c r="G15" s="26" t="inlineStr">
        <is>
          <t>71.5%</t>
        </is>
      </c>
    </row>
    <row r="16">
      <c r="B16" s="7" t="inlineStr">
        <is>
          <t>Subordinated Debt &amp; Intercompany Notes</t>
        </is>
      </c>
      <c r="C16" s="8" t="n">
        <v>259.5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692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(Eurobonds) / Sovereign Umbrella Coordination.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5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Earnings Presentation &amp; Management Guidance</t>
        </is>
      </c>
    </row>
    <row r="3">
      <c r="B3" s="2" t="inlineStr">
        <is>
          <t>Source: Ukrzaliznytsia Wartime Operational Briefing &amp; International Creditor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$3160.0M (+10.9% YoY growth)</t>
        </is>
      </c>
      <c r="D7" s="33" t="inlineStr">
        <is>
          <t>$3035.2M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$440.0M (13.9% margin)</t>
        </is>
      </c>
      <c r="D8" s="33" t="inlineStr">
        <is>
          <t>$410.4M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3.86x</t>
        </is>
      </c>
      <c r="E9" s="34" t="inlineStr">
        <is>
          <t>On Track</t>
        </is>
      </c>
      <c r="F9" s="35" t="inlineStr">
        <is>
          <t>Deleveraging on track with -0.11x buffer below covenant limit.</t>
        </is>
      </c>
    </row>
    <row r="10">
      <c r="B10" s="9" t="inlineStr">
        <is>
          <t>2025E Strategic Capex Envelope</t>
        </is>
      </c>
      <c r="C10" s="9" t="inlineStr">
        <is>
          <t>$400.0M (Maximum growth and sustaining envelope)</t>
        </is>
      </c>
      <c r="D10" s="33" t="inlineStr">
        <is>
          <t>$368.0M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5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5" t="inlineStr">
        <is>
          <t>$1200.0M across gateway port and logistics infrastructure</t>
        </is>
      </c>
    </row>
    <row r="17">
      <c r="B17" s="9" t="inlineStr">
        <is>
          <t>Concession Duration Profile</t>
        </is>
      </c>
      <c r="C17" s="35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5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5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5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5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5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5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5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5" t="inlineStr">
        <is>
          <t>$265.0M</t>
        </is>
      </c>
    </row>
    <row r="35">
      <c r="B35" s="9" t="inlineStr">
        <is>
          <t>Undrawn Committed Bank Rcfs</t>
        </is>
      </c>
      <c r="C35" s="35" t="inlineStr">
        <is>
          <t>$778.5M in long-term syndicated revolving facilities</t>
        </is>
      </c>
    </row>
    <row r="36">
      <c r="B36" s="9" t="inlineStr">
        <is>
          <t>Liquidity Coverage Ratio</t>
        </is>
      </c>
      <c r="C36" s="35" t="inlineStr">
        <is>
          <t>Available liquidity covers 36+ months of upcoming bond and loan maturities</t>
        </is>
      </c>
    </row>
    <row r="37">
      <c r="B37" s="3" t="inlineStr">
        <is>
          <t>VI. WARTIME FREIGHT CORRIDORS AND DANUBE LOGISTICS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Black Sea Humanitarian Corridor</t>
        </is>
      </c>
      <c r="C39" s="35" t="inlineStr">
        <is>
          <t>Full reopening of Greater Odesa deep-water ports (Odesa, Chornomorsk, Pivdennyi) enabling grain export volume recovery to 3.8M tonnes/month by rail</t>
        </is>
      </c>
    </row>
    <row r="40">
      <c r="B40" s="9" t="inlineStr">
        <is>
          <t>Western Border Crossings Eu</t>
        </is>
      </c>
      <c r="C40" s="35" t="inlineStr">
        <is>
          <t>14 operational rail border crossings with Poland, Romania, Slovakia, and Hungary; ongoing track gauge interchange modernization (1520mm to 1435mm standard gauge)</t>
        </is>
      </c>
    </row>
    <row r="41">
      <c r="B41" s="9" t="inlineStr">
        <is>
          <t>Danube River Ports Feeder</t>
        </is>
      </c>
      <c r="C41" s="35" t="inlineStr">
        <is>
          <t>Bespoke rail-to-barge transshipment corridors to Izmail and Reni ports acting as permanent export redundancy</t>
        </is>
      </c>
    </row>
    <row r="42">
      <c r="B42" s="9" t="inlineStr">
        <is>
          <t>Mineral And Steel Freight Recovery</t>
        </is>
      </c>
      <c r="C42" s="35" t="inlineStr">
        <is>
          <t>Restoration of rail logistics for Ferrexpo and Metinvest iron ore pellet exports to Central European steelmakers</t>
        </is>
      </c>
    </row>
    <row r="43"/>
    <row r="44">
      <c r="B44" s="3" t="inlineStr">
        <is>
          <t>VII. MULTILATERAL DONOR GRANT PIPELINE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Total Committed Grant Envelope</t>
        </is>
      </c>
      <c r="C46" s="35" t="inlineStr">
        <is>
          <t>$1,250M+ in cumulative non-repayable multilateral grants and concessionary soft financing mobilized since 2022</t>
        </is>
      </c>
    </row>
    <row r="47">
      <c r="B47" s="9" t="inlineStr">
        <is>
          <t>World Bank Relief Funding</t>
        </is>
      </c>
      <c r="C47" s="35" t="inlineStr">
        <is>
          <t>$230M emergency grant under RELINC project for locomotive acquisition and flatcar procurement</t>
        </is>
      </c>
    </row>
    <row r="48">
      <c r="B48" s="9" t="inlineStr">
        <is>
          <t>Ebrd Liquidity And Substation Facility</t>
        </is>
      </c>
      <c r="C48" s="35" t="inlineStr">
        <is>
          <t>EUR 200M emergency liquidity facility + EUR 150M for traction power substation restoration and emergency generators</t>
        </is>
      </c>
    </row>
    <row r="49">
      <c r="B49" s="9" t="inlineStr">
        <is>
          <t>Eib Eu Solidarity Lanes</t>
        </is>
      </c>
      <c r="C49" s="35" t="inlineStr">
        <is>
          <t>EUR 100M soft loan for cross-border rail infrastructure integration with Trans-European Transport Network (TEN-T)</t>
        </is>
      </c>
    </row>
    <row r="50">
      <c r="B50" s="9" t="inlineStr">
        <is>
          <t>Usaid And Kfw Power Equipment</t>
        </is>
      </c>
      <c r="C50" s="35" t="inlineStr">
        <is>
          <t>$225M in direct grants for heavy autotransformers and grid resilience systems</t>
        </is>
      </c>
    </row>
    <row r="51"/>
    <row r="52">
      <c r="B52" s="3" t="inlineStr">
        <is>
          <t>VIII. FREIGHT TARIFF INDEXATION AND SUPPORT</t>
        </is>
      </c>
    </row>
    <row r="53">
      <c r="B53" s="5" t="inlineStr">
        <is>
          <t>Operational Asset / Disclosure Dimension</t>
        </is>
      </c>
      <c r="C53" s="5" t="inlineStr">
        <is>
          <t>Conference Call &amp; Investor Deck Detail</t>
        </is>
      </c>
    </row>
    <row r="54">
      <c r="B54" s="9" t="inlineStr">
        <is>
          <t>Freight Tariff Increase</t>
        </is>
      </c>
      <c r="C54" s="35" t="inlineStr">
        <is>
          <t>70% blanket indexation across all 29 freight cargo classes granted by Cabinet of Ministers decree</t>
        </is>
      </c>
    </row>
    <row r="55">
      <c r="B55" s="9" t="inlineStr">
        <is>
          <t>Revenue Impact</t>
        </is>
      </c>
      <c r="C55" s="35" t="inlineStr">
        <is>
          <t>Direct operational cash flow boost offsetting higher traction electricity and diesel fuel costs</t>
        </is>
      </c>
    </row>
    <row r="56">
      <c r="B56" s="9" t="inlineStr">
        <is>
          <t>Sovereign Guarantee Backing</t>
        </is>
      </c>
      <c r="C56" s="35" t="inlineStr">
        <is>
          <t>100% of multilateral debt service guaranteed by the Ministry of Finance of Ukraine</t>
        </is>
      </c>
    </row>
  </sheetData>
  <mergeCells count="39">
    <mergeCell ref="C36:I36"/>
    <mergeCell ref="C23:I23"/>
    <mergeCell ref="F9:I9"/>
    <mergeCell ref="C17:I17"/>
    <mergeCell ref="C48:I48"/>
    <mergeCell ref="C39:I39"/>
    <mergeCell ref="B3:I3"/>
    <mergeCell ref="C38:I38"/>
    <mergeCell ref="C53:I53"/>
    <mergeCell ref="C28:I28"/>
    <mergeCell ref="C18:I18"/>
    <mergeCell ref="B2:I2"/>
    <mergeCell ref="C49:I49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C54:I54"/>
    <mergeCell ref="C41:I41"/>
    <mergeCell ref="C55:I55"/>
    <mergeCell ref="C50:I50"/>
    <mergeCell ref="C22:I22"/>
    <mergeCell ref="C40:I40"/>
    <mergeCell ref="F8:I8"/>
    <mergeCell ref="C56:I56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2026-09-19T21:23:03Z</dcterms:created>
  <dcterms:modified xmlns:dcterms="http://purl.org/dc/terms/" xmlns:xsi="http://www.w3.org/2001/XMLSchema-instance" xsi:type="dcterms:W3CDTF">2026-09-19T21:23:03Z</dcterms:modified>
</cp:coreProperties>
</file>