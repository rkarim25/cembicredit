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Pre-war revenue normalization at $1,948M on record agricultural crop export volumes.</t>
      </text>
    </comment>
    <comment ref="D10" authorId="0" shapeId="0">
      <text>
        <t>CEMBI Credit Analyst Observation (2022A):
Revenue contracted to $744M following the outbreak of full-scale war and maritime port blockades.</t>
      </text>
    </comment>
    <comment ref="E10" authorId="0" shapeId="0">
      <text>
        <t>CEMBI Credit Analyst Observation (2023A):
Revenue rebounded +252% YoY to $2,622M following the 70% freight tariff indexation decree.</t>
      </text>
    </comment>
    <comment ref="F10" authorId="0" shapeId="0">
      <text>
        <t>CEMBI Credit Analyst Observation (2024A):
Revenue reached $2,850M as Black Sea humanitarian corridor achieved full maritime shipping scale.</t>
      </text>
    </comment>
    <comment ref="G10" authorId="0" shapeId="0">
      <text>
        <t>CEMBI Credit Analyst Observation (2025E):
Forecast revenue of $3,078M supported by sustained agricultural grain and metallurgical export demand.</t>
      </text>
    </comment>
    <comment ref="H10" authorId="0" shapeId="0">
      <text>
        <t>CEMBI Credit Analyst Observation (2026E):
Revenue expands to $3,277M as industrial manufacturing and steel logistics recover across Central Ukraine.</t>
      </text>
    </comment>
    <comment ref="I10" authorId="0" shapeId="0">
      <text>
        <t>CEMBI Credit Analyst Observation (2027E):
Top-line reaches $3,420M driven by full peacetime economic reconstruction and European freight integration.</t>
      </text>
    </comment>
    <comment ref="C22" authorId="0" shapeId="0">
      <text>
        <t>CEMBI Credit Analyst Observation (2021A):
EBITDA of $247M (12.7% margin) supported by 180.5 Bntkm gross freight turnover.</t>
      </text>
    </comment>
    <comment ref="D22" authorId="0" shapeId="0">
      <text>
        <t>CEMBI Credit Analyst Observation (2022A):
EBITDA compressed to $101M; emergency state subsidies and passenger evacuation priority.</t>
      </text>
    </comment>
    <comment ref="E22" authorId="0" shapeId="0">
      <text>
        <t>CEMBI Credit Analyst Observation (2023A):
EBITDA recovered strongly to $342M; Western border crossings and Danube barge transshipment active.</t>
      </text>
    </comment>
    <comment ref="F22" authorId="0" shapeId="0">
      <text>
        <t>CEMBI Credit Analyst Observation (2024A):
EBITDA expanded to $380M (13.3% margin) on 175.2 Mt consolidated freight volume carried.</t>
      </text>
    </comment>
    <comment ref="G22" authorId="0" shapeId="0">
      <text>
        <t>CEMBI Credit Analyst Observation (2025E):
EBITDA projected at $418M reflecting improved electric traction efficiency and normalized energy tariffs.</t>
      </text>
    </comment>
    <comment ref="H22" authorId="0" shapeId="0">
      <text>
        <t>CEMBI Credit Analyst Observation (2026E):
EBITDA reaches $448M; freight tariff stabilization supports long-term commercial contract renewals.</t>
      </text>
    </comment>
    <comment ref="I22" authorId="0" shapeId="0">
      <text>
        <t>CEMBI Credit Analyst Observation (2027E):
EBITDA reaches $471M with operating margin expanding toward 13.8% on modern electric locomotive fleet.</t>
      </text>
    </comment>
    <comment ref="C36" authorId="0" shapeId="0">
      <text>
        <t>CEMBI Credit Desk EBITDA Audit (2021A):
Reconciled: Pre/post-war normalized railway operations; minor +$9.7M (+2.0%) variance reflecting statutory scrap metal sales and passenger subsidy reimbursements.</t>
      </text>
    </comment>
    <comment ref="D36" authorId="0" shapeId="0">
      <text>
        <t>CEMBI Credit Desk EBITDA Audit (2022A):
Significant Divergence: Reported EBITDA includes +$35.2M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E36" authorId="0" shapeId="0">
      <text>
        <t>CEMBI Credit Desk EBITDA Audit (2023A):
Significant Divergence: Reported EBITDA includes +$62.9M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F36" authorId="0" shapeId="0">
      <text>
        <t>CEMBI Credit Desk EBITDA Audit (2024A):
Significant Divergence: Reported EBITDA includes +$70.3M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G36" authorId="0" shapeId="0">
      <text>
        <t>CEMBI Credit Desk EBITDA Audit (2025E):
Reconciled: Pre/post-war normalized railway operations; minor +$8.8M (+2.0%) variance reflecting statutory scrap metal sales and passenger subsidy reimbursements.</t>
      </text>
    </comment>
    <comment ref="H36" authorId="0" shapeId="0">
      <text>
        <t>CEMBI Credit Desk EBITDA Audit (2026E):
Reconciled: Pre/post-war normalized railway operations; minor +$10.2M (+2.0%) variance reflecting statutory scrap metal sales and passenger subsidy reimbursements.</t>
      </text>
    </comment>
    <comment ref="I36" authorId="0" shapeId="0">
      <text>
        <t>CEMBI Credit Desk EBITDA Audit (2027E):
Reconciled: Pre/post-war normalized railway operations; minor +$11.8M (+2.0%) variance reflecting statutory scrap metal sales and passenger subsidy reimbursements.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of $220M supported positive free cash flow of $187.2M.</t>
      </text>
    </comment>
    <comment ref="D34" authorId="0" shapeId="0">
      <text>
        <t>CEMBI Credit Desk FCF Bridge (2022A):
Formula: EBITDA - Capex - Cash Interest - ΔNWC - Tax
FCF supported by international donor assistance and operational cost retrenchment.</t>
      </text>
    </comment>
    <comment ref="E34" authorId="0" shapeId="0">
      <text>
        <t>CEMBI Credit Desk FCF Bridge (2023A):
Formula: EBITDA - Capex - Cash Interest - ΔNWC - Tax
FCF of $157.9M generated, rebuilding vital operational and rolling stock spare parts reserves.</t>
      </text>
    </comment>
    <comment ref="F34" authorId="0" shapeId="0">
      <text>
        <t>CEMBI Credit Desk FCF Bridge (2024A):
Formula: EBITDA - Capex - Cash Interest - ΔNWC - Tax
FCF of $190M maintains fortress cash balance ($380M) protecting against wartime logistics disruption.</t>
      </text>
    </comment>
    <comment ref="G34" authorId="0" shapeId="0">
      <text>
        <t>CEMBI Credit Desk FCF Bridge (2025E):
Formula: EBITDA - Capex - Cash Interest - ΔNWC - Tax
Free cash flow expected to reach $215.6M, ensuring self-sufficiency for scheduled operational liabilities.</t>
      </text>
    </comment>
    <comment ref="H34" authorId="0" shapeId="0">
      <text>
        <t>CEMBI Credit Desk FCF Bridge (2026E):
Formula: EBITDA - Capex - Cash Interest - ΔNWC - Tax
Robust FCF of $245.4M provides substantial liquidity buffer ahead of bond maturity restructuring.</t>
      </text>
    </comment>
    <comment ref="I34" authorId="0" shapeId="0">
      <text>
        <t>CEMBI Credit Desk FCF Bridge (2027E):
Formula: EBITDA - Capex - Cash Interest - ΔNWC - Tax
FCF generation hits $273.5M, allowing rapid retirement of commercial bank debt.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Consolidated net leverage stable at 5.57x under pre-war commercial operations.</t>
      </text>
    </comment>
    <comment ref="D8" authorId="0" shapeId="0">
      <text>
        <t>CEMBI Credit Desk Calculated Leverage Commentary (2022A):
Net leverage rose to 4.62x; initiation of comprehensive debt standstill with bondholders.</t>
      </text>
    </comment>
    <comment ref="E8" authorId="0" shapeId="0">
      <text>
        <t>CEMBI Credit Desk Calculated Leverage Commentary (2023A):
Net leverage improved to 4.29x with 100% sovereign backing on external debt obligations.</t>
      </text>
    </comment>
    <comment ref="F8" authorId="0" shapeId="0">
      <text>
        <t>CEMBI Credit Desk Calculated Leverage Commentary (2024A):
Net leverage reduced to 3.84x, providing significant headroom under restructured debt covenants.</t>
      </text>
    </comment>
    <comment ref="G8" authorId="0" shapeId="0">
      <text>
        <t>CEMBI Credit Desk Calculated Leverage Commentary (2025E):
Net leverage projected to drop to 3.28x under continued conservative financial management.</t>
      </text>
    </comment>
    <comment ref="H8" authorId="0" shapeId="0">
      <text>
        <t>CEMBI Credit Desk Calculated Leverage Commentary (2026E):
Net leverage declines to 2.84x; Ukraine Rail solidifies its role as the national economic backbone.</t>
      </text>
    </comment>
    <comment ref="I8" authorId="0" shapeId="0">
      <text>
        <t>CEMBI Credit Desk Calculated Leverage Commentary (2027E):
Net leverage reaches 2.42x, reflecting an institutional turnaround supported by sovereign and multilateral backing.</t>
      </text>
    </comment>
    <comment ref="C9" authorId="0" shapeId="0">
      <text>
        <t>CEMBI Credit Desk Reported Leverage Commentary (2021A):
Reconciled: Pre/post-war normalized railway operations; minor +$9.7M (+2.0%) variance reflecting statutory scrap metal sales and passenger subsidy reimbursements.</t>
      </text>
    </comment>
    <comment ref="D9" authorId="0" shapeId="0">
      <text>
        <t>CEMBI Credit Desk Reported Leverage Commentary (2022A):
Significant Divergence: Reported EBITDA includes +$35.2M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E9" authorId="0" shapeId="0">
      <text>
        <t>CEMBI Credit Desk Reported Leverage Commentary (2023A):
Significant Divergence: Reported EBITDA includes +$62.9M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F9" authorId="0" shapeId="0">
      <text>
        <t>CEMBI Credit Desk Reported Leverage Commentary (2024A):
Significant Divergence: Reported EBITDA includes +$70.3M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G9" authorId="0" shapeId="0">
      <text>
        <t>CEMBI Credit Desk Reported Leverage Commentary (2025E):
Reconciled: Pre/post-war normalized railway operations; minor +$8.8M (+2.0%) variance reflecting statutory scrap metal sales and passenger subsidy reimbursements.</t>
      </text>
    </comment>
    <comment ref="H9" authorId="0" shapeId="0">
      <text>
        <t>CEMBI Credit Desk Reported Leverage Commentary (2026E):
Reconciled: Pre/post-war normalized railway operations; minor +$10.2M (+2.0%) variance reflecting statutory scrap metal sales and passenger subsidy reimbursements.</t>
      </text>
    </comment>
    <comment ref="I9" authorId="0" shapeId="0">
      <text>
        <t>CEMBI Credit Desk Reported Leverage Commentary (2027E):
Reconciled: Pre/post-war normalized railway operations; minor +$11.8M (+2.0%) variance reflecting statutory scrap metal sales and passenger subsidy reimbursements.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(RAILUA) — Institutional Credit Model</t>
        </is>
      </c>
    </row>
    <row r="3">
      <c r="B3" s="2" t="inlineStr">
        <is>
          <t>Sector: Transportation &amp; Logistics (Railways) | Country: Ukraine | Rating: CCC / Caa3 | Benchmark: RAILUA 8.25% 2026 (LPN) @ $64.00 (19.25% YTM / +1485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FORENSIC DISTRESSED FOCUS: 100% state-owned rail monopoly operating 82% of Ukraine's freight. $595M 2026 and $300M 2028 notes price in deep 36% haircut; base restructuring expectation is standalone 3-year maturity extension + partial PIK yielding $71.50 recovery.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RAILUA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778.5</v>
      </c>
      <c r="F26" s="7" t="inlineStr">
        <is>
          <t>19.25%</t>
        </is>
      </c>
      <c r="G26" s="7" t="inlineStr">
        <is>
          <t>$64.00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RAILUA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519</v>
      </c>
      <c r="F27" s="7" t="inlineStr">
        <is>
          <t>18.50%</t>
        </is>
      </c>
      <c r="G27" s="7" t="inlineStr">
        <is>
          <t>$66.50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432.5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Freight Volume Carried (Mt)</t>
        </is>
      </c>
      <c r="C6" s="13" t="n">
        <v>175.2</v>
      </c>
      <c r="D6" s="13" t="n">
        <v>121.4</v>
      </c>
      <c r="E6" s="13" t="n">
        <v>148.4</v>
      </c>
      <c r="F6" s="13" t="n">
        <v>175.2</v>
      </c>
      <c r="G6" s="13" t="n">
        <v>192</v>
      </c>
      <c r="H6" s="13" t="n">
        <v>210</v>
      </c>
      <c r="I6" s="13" t="n">
        <v>228</v>
      </c>
    </row>
    <row r="7">
      <c r="B7" s="7" t="inlineStr">
        <is>
          <t>Gross Freight Turnover (Bntkm)</t>
        </is>
      </c>
      <c r="C7" s="13" t="n">
        <v>180.5</v>
      </c>
      <c r="D7" s="13" t="n">
        <v>119.8</v>
      </c>
      <c r="E7" s="13" t="n">
        <v>142.1</v>
      </c>
      <c r="F7" s="13" t="n">
        <v>168</v>
      </c>
      <c r="G7" s="13" t="n">
        <v>184</v>
      </c>
      <c r="H7" s="13" t="n">
        <v>201</v>
      </c>
      <c r="I7" s="13" t="n">
        <v>218</v>
      </c>
    </row>
    <row r="8">
      <c r="B8" s="7" t="inlineStr">
        <is>
          <t>Electric Traction Turnover Share (%)</t>
        </is>
      </c>
      <c r="C8" s="13" t="n">
        <v>86</v>
      </c>
      <c r="D8" s="13" t="n">
        <v>84.2</v>
      </c>
      <c r="E8" s="13" t="n">
        <v>85.09999999999999</v>
      </c>
      <c r="F8" s="13" t="n">
        <v>86</v>
      </c>
      <c r="G8" s="13" t="n">
        <v>86.5</v>
      </c>
      <c r="H8" s="13" t="n">
        <v>87</v>
      </c>
      <c r="I8" s="13" t="n">
        <v>87.5</v>
      </c>
    </row>
    <row r="9">
      <c r="B9" s="7" t="inlineStr">
        <is>
          <t>Network Electrification Share (%)</t>
        </is>
      </c>
      <c r="C9" s="13" t="n">
        <v>48.2</v>
      </c>
      <c r="D9" s="13" t="n">
        <v>48.2</v>
      </c>
      <c r="E9" s="13" t="n">
        <v>48.2</v>
      </c>
      <c r="F9" s="13" t="n">
        <v>48.2</v>
      </c>
      <c r="G9" s="13" t="n">
        <v>48.5</v>
      </c>
      <c r="H9" s="13" t="n">
        <v>49</v>
      </c>
      <c r="I9" s="13" t="n">
        <v>49.5</v>
      </c>
    </row>
    <row r="10">
      <c r="B10" s="7" t="inlineStr">
        <is>
          <t>Multilateral Non-Repayable Grants ($M)</t>
        </is>
      </c>
      <c r="C10" s="13" t="n">
        <v>0</v>
      </c>
      <c r="D10" s="13" t="n">
        <v>120</v>
      </c>
      <c r="E10" s="13" t="n">
        <v>195</v>
      </c>
      <c r="F10" s="13" t="n">
        <v>280</v>
      </c>
      <c r="G10" s="13" t="n">
        <v>250</v>
      </c>
      <c r="H10" s="13" t="n">
        <v>200</v>
      </c>
      <c r="I10" s="13" t="n">
        <v>150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Agricultural Grain &amp; Mineral Freight</t>
        </is>
      </c>
      <c r="C15" s="8" t="n">
        <v>1965.4</v>
      </c>
      <c r="D15" s="8" t="n">
        <v>1450.8</v>
      </c>
      <c r="E15" s="8" t="n">
        <v>1630.6</v>
      </c>
      <c r="F15" s="8" t="n">
        <v>1767</v>
      </c>
      <c r="G15" s="8" t="n">
        <v>1959.2</v>
      </c>
      <c r="H15" s="8" t="n">
        <v>2182.4</v>
      </c>
      <c r="I15" s="8" t="n">
        <v>2449</v>
      </c>
    </row>
    <row r="16">
      <c r="B16" s="7" t="inlineStr">
        <is>
          <t>Passenger &amp; Military Wartime Logistics</t>
        </is>
      </c>
      <c r="C16" s="8" t="n">
        <v>824.2</v>
      </c>
      <c r="D16" s="8" t="n">
        <v>608.4</v>
      </c>
      <c r="E16" s="8" t="n">
        <v>683.8</v>
      </c>
      <c r="F16" s="8" t="n">
        <v>741</v>
      </c>
      <c r="G16" s="8" t="n">
        <v>821.6</v>
      </c>
      <c r="H16" s="8" t="n">
        <v>915.2</v>
      </c>
      <c r="I16" s="8" t="n">
        <v>1027</v>
      </c>
    </row>
    <row r="17">
      <c r="B17" s="7" t="inlineStr">
        <is>
          <t>Infrastructure Track Access &amp; Shunting</t>
        </is>
      </c>
      <c r="C17" s="8" t="n">
        <v>380.4</v>
      </c>
      <c r="D17" s="8" t="n">
        <v>280.8</v>
      </c>
      <c r="E17" s="8" t="n">
        <v>315.6</v>
      </c>
      <c r="F17" s="8" t="n">
        <v>342</v>
      </c>
      <c r="G17" s="8" t="n">
        <v>379.2</v>
      </c>
      <c r="H17" s="8" t="n">
        <v>422.4</v>
      </c>
      <c r="I17" s="8" t="n">
        <v>474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Agricultural Grain &amp; Mineral Freight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Passenger &amp; Military Wartime Logistics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Infrastructure Track Access &amp; Shunting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9.699999999999999</v>
      </c>
      <c r="D35" s="23" t="n">
        <v>35.2</v>
      </c>
      <c r="E35" s="23" t="n">
        <v>62.9</v>
      </c>
      <c r="F35" s="23" t="n">
        <v>70.3</v>
      </c>
      <c r="G35" s="23" t="n">
        <v>8.800000000000001</v>
      </c>
      <c r="H35" s="23" t="n">
        <v>10.2</v>
      </c>
      <c r="I35" s="23" t="n">
        <v>11.8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Divergent</t>
        </is>
      </c>
      <c r="E39" s="24" t="inlineStr">
        <is>
          <t>Divergent</t>
        </is>
      </c>
      <c r="F39" s="24" t="inlineStr">
        <is>
          <t>Divergent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Reconciled: Pre/post-war normalized railway operations; minor +$9.7M (+2.0%) variance reflecting statutory scrap metal sales and passenger subsidy reimbursements.</t>
        </is>
      </c>
    </row>
    <row r="43">
      <c r="B43" s="25" t="inlineStr">
        <is>
          <t>[2022A] Significant Divergence: Reported EBITDA includes +$35.2M (+18.5%) in non-repayable multilateral humanitarian donor grants (World Bank/EBRD/EIB) recognized as other operating income; Standardized Credit Desk Calculated EBITDA strictly measures core railway freight tariffs and operational commercial cash flow.</t>
        </is>
      </c>
    </row>
    <row r="44">
      <c r="B44" s="25" t="inlineStr">
        <is>
          <t>[2023A] Significant Divergence: Reported EBITDA includes +$62.9M (+18.5%) in non-repayable multilateral humanitarian donor grants (World Bank/EBRD/EIB) recognized as other operating income; Standardized Credit Desk Calculated EBITDA strictly measures core railway freight tariffs and operational commercial cash flow.</t>
        </is>
      </c>
    </row>
    <row r="45">
      <c r="B45" s="25" t="inlineStr">
        <is>
          <t>[2024A] Significant Divergence: Reported EBITDA includes +$70.3M (+18.5%) in non-repayable multilateral humanitarian donor grants (World Bank/EBRD/EIB) recognized as other operating income; Standardized Credit Desk Calculated EBITDA strictly measures core railway freight tariffs and operational commercial cash flow.</t>
        </is>
      </c>
    </row>
    <row r="46">
      <c r="B46" s="25" t="inlineStr">
        <is>
          <t>[2025E] Reconciled: Pre/post-war normalized railway operations; minor +$8.8M (+2.0%) variance reflecting statutory scrap metal sales and passenger subsidy reimbursements.</t>
        </is>
      </c>
    </row>
    <row r="47">
      <c r="B47" s="25" t="inlineStr">
        <is>
          <t>[2026E] Reconciled: Pre/post-war normalized railway operations; minor +$10.2M (+2.0%) variance reflecting statutory scrap metal sales and passenger subsidy reimbursements.</t>
        </is>
      </c>
    </row>
    <row r="48">
      <c r="B48" s="25" t="inlineStr">
        <is>
          <t>[2027E] Reconciled: Pre/post-war normalized railway operations; minor +$11.8M (+2.0%) variance reflecting statutory scrap metal sales and passenger subsidy reimbursements.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4755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1109.5</v>
      </c>
      <c r="D36" s="8" t="n">
        <v>1109.5</v>
      </c>
      <c r="E36" s="8" t="n">
        <v>1109.5</v>
      </c>
      <c r="F36" s="8" t="n">
        <v>1109.5</v>
      </c>
      <c r="G36" s="8" t="n">
        <v>1109.5</v>
      </c>
      <c r="H36" s="8" t="n">
        <v>1109.5</v>
      </c>
      <c r="I36" s="8" t="n">
        <v>1109.5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-280</v>
      </c>
      <c r="D16" s="8" t="n">
        <v>-345</v>
      </c>
      <c r="E16" s="8" t="n">
        <v>-365</v>
      </c>
      <c r="F16" s="8" t="n">
        <v>-400</v>
      </c>
      <c r="G16" s="8" t="n">
        <v>-400</v>
      </c>
      <c r="H16" s="8" t="n">
        <v>-400</v>
      </c>
      <c r="I16" s="8" t="n">
        <v>-400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-82.2</v>
      </c>
      <c r="D32" s="8" t="n">
        <v>-167.9</v>
      </c>
      <c r="E32" s="8" t="n">
        <v>-186</v>
      </c>
      <c r="F32" s="8" t="n">
        <v>-194.8</v>
      </c>
      <c r="G32" s="8" t="n">
        <v>-185.3</v>
      </c>
      <c r="H32" s="8" t="n">
        <v>-174.1</v>
      </c>
      <c r="I32" s="8" t="n">
        <v>-163.9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of $220M supported positive free cash flow of $187.2M.</t>
        </is>
      </c>
    </row>
    <row r="39">
      <c r="B39" s="25" t="inlineStr">
        <is>
          <t>[2022A] FCF supported by international donor assistance and operational cost retrenchment.</t>
        </is>
      </c>
    </row>
    <row r="40">
      <c r="B40" s="25" t="inlineStr">
        <is>
          <t>[2023A] FCF of $157.9M generated, rebuilding vital operational and rolling stock spare parts reserves.</t>
        </is>
      </c>
    </row>
    <row r="41">
      <c r="B41" s="25" t="inlineStr">
        <is>
          <t>[2024A] FCF of $190M maintains fortress cash balance ($380M) protecting against wartime logistics disruption.</t>
        </is>
      </c>
    </row>
    <row r="42">
      <c r="B42" s="25" t="inlineStr">
        <is>
          <t>[2025E] Free cash flow expected to reach $215.6M, ensuring self-sufficiency for scheduled operational liabilities.</t>
        </is>
      </c>
    </row>
    <row r="43">
      <c r="B43" s="25" t="inlineStr">
        <is>
          <t>[2026E] Robust FCF of $245.4M provides substantial liquidity buffer ahead of bond maturity restructuring.</t>
        </is>
      </c>
    </row>
    <row r="44">
      <c r="B44" s="25" t="inlineStr">
        <is>
          <t>[2027E] FCF generation hits $273.5M, allowing rapid retirement of commercial bank debt.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RAILUA Benchmark Eurobond Notes</t>
        </is>
      </c>
    </row>
    <row r="7">
      <c r="B7" s="7" t="inlineStr">
        <is>
          <t xml:space="preserve">  Beginning Principal Balance</t>
        </is>
      </c>
      <c r="C7" s="8" t="n">
        <v>729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243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162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0.1925</f>
        <v/>
      </c>
      <c r="D11" s="8">
        <f>D10 * 0.1925</f>
        <v/>
      </c>
      <c r="E11" s="8">
        <f>E10 * 0.1925</f>
        <v/>
      </c>
      <c r="F11" s="8">
        <f>F10 * 0.1925</f>
        <v/>
      </c>
      <c r="G11" s="8">
        <f>G10 * 0.1925</f>
        <v/>
      </c>
      <c r="H11" s="8">
        <f>H10 * 0.1925</f>
        <v/>
      </c>
      <c r="I11" s="8">
        <f>I10 * 0.1925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891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207.6</v>
      </c>
      <c r="C32" s="8" t="n">
        <v>380.6</v>
      </c>
      <c r="D32" s="8" t="n">
        <v>484.4</v>
      </c>
      <c r="E32" s="8" t="n">
        <v>311.4</v>
      </c>
      <c r="F32" s="8" t="n">
        <v>207.6</v>
      </c>
      <c r="G32" s="8" t="n">
        <v>138.4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RAILUA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778.5</v>
      </c>
      <c r="F37" s="29" t="inlineStr">
        <is>
          <t>19.250%</t>
        </is>
      </c>
      <c r="G37" s="30" t="n">
        <v>64</v>
      </c>
      <c r="H37" s="31" t="n">
        <v>19.25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RAILUA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519</v>
      </c>
      <c r="F38" s="29" t="inlineStr">
        <is>
          <t>18.600%</t>
        </is>
      </c>
      <c r="G38" s="30" t="n">
        <v>66</v>
      </c>
      <c r="H38" s="31" t="n">
        <v>18.6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259.5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173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RAILUA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484.4</v>
      </c>
    </row>
    <row r="45">
      <c r="B45" s="7" t="inlineStr">
        <is>
          <t>Drawn Amount ($M)</t>
        </is>
      </c>
      <c r="C45" s="8" t="n">
        <v>173</v>
      </c>
    </row>
    <row r="46">
      <c r="B46" s="18" t="inlineStr">
        <is>
          <t>AVAILABLE UNDRAWN HEADROOM ($M)</t>
        </is>
      </c>
      <c r="C46" s="19" t="n">
        <v>311.4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3.86x</t>
        </is>
      </c>
      <c r="E55" s="32" t="inlineStr">
        <is>
          <t>-0.11x leverage buffer ($-41.8M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2.81x</t>
        </is>
      </c>
      <c r="E56" s="32" t="inlineStr">
        <is>
          <t>+0.31x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5.1% of Assets</t>
        </is>
      </c>
      <c r="E57" s="32" t="inlineStr">
        <is>
          <t>$627.0M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19.25%</t>
        </is>
      </c>
      <c r="F6" s="34" t="inlineStr">
        <is>
          <t>3.5x</t>
        </is>
      </c>
      <c r="G6" s="34" t="inlineStr">
        <is>
          <t>$71.50</t>
        </is>
      </c>
      <c r="H6" s="34" t="inlineStr">
        <is>
          <t>+11.7%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21.25%</t>
        </is>
      </c>
      <c r="F7" s="29" t="inlineStr">
        <is>
          <t>3.0x</t>
        </is>
      </c>
      <c r="G7" s="29" t="inlineStr">
        <is>
          <t>$54.75</t>
        </is>
      </c>
      <c r="H7" s="29" t="inlineStr">
        <is>
          <t>-14.5%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$38.00</t>
        </is>
      </c>
      <c r="H8" s="29" t="inlineStr">
        <is>
          <t>-40.6%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17.75%</t>
        </is>
      </c>
      <c r="F9" s="29" t="inlineStr">
        <is>
          <t>5.0x</t>
        </is>
      </c>
      <c r="G9" s="29" t="inlineStr">
        <is>
          <t>$84.37</t>
        </is>
      </c>
      <c r="H9" s="29" t="inlineStr">
        <is>
          <t>+31.8%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432.5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RAILUA Senior Unsecured Eurobonds</t>
        </is>
      </c>
      <c r="C15" s="8" t="n">
        <v>1297.5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38.0%</t>
        </is>
      </c>
      <c r="G15" s="29" t="inlineStr">
        <is>
          <t>71.5%</t>
        </is>
      </c>
    </row>
    <row r="16">
      <c r="B16" s="7" t="inlineStr">
        <is>
          <t>Subordinated Debt &amp; Intercompany Notes</t>
        </is>
      </c>
      <c r="C16" s="8" t="n">
        <v>259.5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692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(Eurobonds) / Sovereign Umbrella Coordination.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5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(RAILUA) — Earnings Presentation &amp; Management Guidance</t>
        </is>
      </c>
    </row>
    <row r="3">
      <c r="B3" s="2" t="inlineStr">
        <is>
          <t>Source: Ukrzaliznytsia Wartime Operational Briefing &amp; International Creditor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$3160.0M (+10.9% YoY growth)</t>
        </is>
      </c>
      <c r="D7" s="35" t="inlineStr">
        <is>
          <t>$3035.2M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$440.0M (13.9% margin)</t>
        </is>
      </c>
      <c r="D8" s="35" t="inlineStr">
        <is>
          <t>$410.4M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3.86x</t>
        </is>
      </c>
      <c r="E9" s="36" t="inlineStr">
        <is>
          <t>On Track</t>
        </is>
      </c>
      <c r="F9" s="37" t="inlineStr">
        <is>
          <t>Deleveraging on track with -0.11x buffer below covenant limit.</t>
        </is>
      </c>
    </row>
    <row r="10">
      <c r="B10" s="9" t="inlineStr">
        <is>
          <t>2025E Strategic Capex Envelope</t>
        </is>
      </c>
      <c r="C10" s="9" t="inlineStr">
        <is>
          <t>$400.0M (Maximum growth and sustaining envelope)</t>
        </is>
      </c>
      <c r="D10" s="35" t="inlineStr">
        <is>
          <t>$368.0M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7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7" t="inlineStr">
        <is>
          <t>$1200.0M across gateway port and logistics infrastructure</t>
        </is>
      </c>
    </row>
    <row r="17">
      <c r="B17" s="9" t="inlineStr">
        <is>
          <t>Concession Duration Profile</t>
        </is>
      </c>
      <c r="C17" s="37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7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7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7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7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7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7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7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7" t="inlineStr">
        <is>
          <t>$265.0M</t>
        </is>
      </c>
    </row>
    <row r="35">
      <c r="B35" s="9" t="inlineStr">
        <is>
          <t>Undrawn Committed Bank Rcfs</t>
        </is>
      </c>
      <c r="C35" s="37" t="inlineStr">
        <is>
          <t>$778.5M in long-term syndicated revolving facilities</t>
        </is>
      </c>
    </row>
    <row r="36">
      <c r="B36" s="9" t="inlineStr">
        <is>
          <t>Liquidity Coverage Ratio</t>
        </is>
      </c>
      <c r="C36" s="37" t="inlineStr">
        <is>
          <t>Available liquidity covers 36+ months of upcoming bond and loan maturities</t>
        </is>
      </c>
    </row>
    <row r="37">
      <c r="B37" s="3" t="inlineStr">
        <is>
          <t>VI. WARTIME FREIGHT CORRIDORS AND DANUBE LOGISTICS</t>
        </is>
      </c>
    </row>
    <row r="38">
      <c r="B38" s="5" t="inlineStr">
        <is>
          <t>Operational Asset / Disclosure Dimension</t>
        </is>
      </c>
      <c r="C38" s="5" t="inlineStr">
        <is>
          <t>Conference Call &amp; Investor Deck Detail</t>
        </is>
      </c>
    </row>
    <row r="39">
      <c r="B39" s="9" t="inlineStr">
        <is>
          <t>Black Sea Humanitarian Corridor</t>
        </is>
      </c>
      <c r="C39" s="37" t="inlineStr">
        <is>
          <t>Full reopening of Greater Odesa deep-water ports (Odesa, Chornomorsk, Pivdennyi) enabling grain export volume recovery to 3.8M tonnes/month by rail</t>
        </is>
      </c>
    </row>
    <row r="40">
      <c r="B40" s="9" t="inlineStr">
        <is>
          <t>Western Border Crossings Eu</t>
        </is>
      </c>
      <c r="C40" s="37" t="inlineStr">
        <is>
          <t>14 operational rail border crossings with Poland, Romania, Slovakia, and Hungary; ongoing track gauge interchange modernization (1520mm to 1435mm standard gauge)</t>
        </is>
      </c>
    </row>
    <row r="41">
      <c r="B41" s="9" t="inlineStr">
        <is>
          <t>Danube River Ports Feeder</t>
        </is>
      </c>
      <c r="C41" s="37" t="inlineStr">
        <is>
          <t>Bespoke rail-to-barge transshipment corridors to Izmail and Reni ports acting as permanent export redundancy</t>
        </is>
      </c>
    </row>
    <row r="42">
      <c r="B42" s="9" t="inlineStr">
        <is>
          <t>Mineral And Steel Freight Recovery</t>
        </is>
      </c>
      <c r="C42" s="37" t="inlineStr">
        <is>
          <t>Restoration of rail logistics for Ferrexpo and Metinvest iron ore pellet exports to Central European steelmakers</t>
        </is>
      </c>
    </row>
    <row r="43"/>
    <row r="44">
      <c r="B44" s="3" t="inlineStr">
        <is>
          <t>VI. MULTILATERAL DONOR GRANT PIPELINE</t>
        </is>
      </c>
    </row>
    <row r="45">
      <c r="B45" s="5" t="inlineStr">
        <is>
          <t>Operational Asset / Disclosure Dimension</t>
        </is>
      </c>
      <c r="C45" s="5" t="inlineStr">
        <is>
          <t>Conference Call &amp; Investor Deck Detail</t>
        </is>
      </c>
    </row>
    <row r="46">
      <c r="B46" s="9" t="inlineStr">
        <is>
          <t>Total Committed Grant Envelope</t>
        </is>
      </c>
      <c r="C46" s="37" t="inlineStr">
        <is>
          <t>$1,250M+ in cumulative non-repayable multilateral grants and concessionary soft financing mobilized since 2022</t>
        </is>
      </c>
    </row>
    <row r="47">
      <c r="B47" s="9" t="inlineStr">
        <is>
          <t>World Bank Relief Funding</t>
        </is>
      </c>
      <c r="C47" s="37" t="inlineStr">
        <is>
          <t>$230M emergency grant under RELINC project for locomotive acquisition and flatcar procurement</t>
        </is>
      </c>
    </row>
    <row r="48">
      <c r="B48" s="9" t="inlineStr">
        <is>
          <t>Ebrd Liquidity And Substation Facility</t>
        </is>
      </c>
      <c r="C48" s="37" t="inlineStr">
        <is>
          <t>EUR 200M emergency liquidity facility + EUR 150M for traction power substation restoration and emergency generators</t>
        </is>
      </c>
    </row>
    <row r="49">
      <c r="B49" s="9" t="inlineStr">
        <is>
          <t>Eib Eu Solidarity Lanes</t>
        </is>
      </c>
      <c r="C49" s="37" t="inlineStr">
        <is>
          <t>EUR 100M soft loan for cross-border rail infrastructure integration with Trans-European Transport Network (TEN-T)</t>
        </is>
      </c>
    </row>
    <row r="50">
      <c r="B50" s="9" t="inlineStr">
        <is>
          <t>Usaid And Kfw Power Equipment</t>
        </is>
      </c>
      <c r="C50" s="37" t="inlineStr">
        <is>
          <t>$225M in direct grants for heavy autotransformers and grid resilience systems</t>
        </is>
      </c>
    </row>
    <row r="51"/>
    <row r="52">
      <c r="B52" s="3" t="inlineStr">
        <is>
          <t>VI. FREIGHT TARIFF INDEXATION AND SUPPORT</t>
        </is>
      </c>
    </row>
    <row r="53">
      <c r="B53" s="5" t="inlineStr">
        <is>
          <t>Operational Asset / Disclosure Dimension</t>
        </is>
      </c>
      <c r="C53" s="5" t="inlineStr">
        <is>
          <t>Conference Call &amp; Investor Deck Detail</t>
        </is>
      </c>
    </row>
    <row r="54">
      <c r="B54" s="9" t="inlineStr">
        <is>
          <t>Freight Tariff Increase</t>
        </is>
      </c>
      <c r="C54" s="37" t="inlineStr">
        <is>
          <t>70% blanket indexation across all 29 freight cargo classes granted by Cabinet of Ministers decree</t>
        </is>
      </c>
    </row>
    <row r="55">
      <c r="B55" s="9" t="inlineStr">
        <is>
          <t>Revenue Impact</t>
        </is>
      </c>
      <c r="C55" s="37" t="inlineStr">
        <is>
          <t>Direct operational cash flow boost offsetting higher traction electricity and diesel fuel costs</t>
        </is>
      </c>
    </row>
    <row r="56">
      <c r="B56" s="9" t="inlineStr">
        <is>
          <t>Sovereign Guarantee Backing</t>
        </is>
      </c>
      <c r="C56" s="37" t="inlineStr">
        <is>
          <t>100% of multilateral debt service guaranteed by the Ministry of Finance of Ukraine</t>
        </is>
      </c>
    </row>
    <row r="57"/>
    <row r="58"/>
    <row r="59">
      <c r="B59" s="3" t="inlineStr">
        <is>
          <t>SCHEDULED EARNINGS RELEASE &amp; INVESTOR RELATIONS CALENDAR</t>
        </is>
      </c>
    </row>
    <row r="60">
      <c r="B60" s="5" t="inlineStr">
        <is>
          <t>Calendar Dimension</t>
        </is>
      </c>
      <c r="C60" s="5" t="inlineStr">
        <is>
          <t>Scheduled Detail &amp; IR Access</t>
        </is>
      </c>
    </row>
    <row r="61">
      <c r="B61" s="9" t="inlineStr">
        <is>
          <t>Next Scheduled Earnings Date</t>
        </is>
      </c>
      <c r="C61" s="37" t="inlineStr">
        <is>
          <t>2026-11-20</t>
        </is>
      </c>
    </row>
    <row r="62">
      <c r="B62" s="9" t="inlineStr">
        <is>
          <t>Reporting Period</t>
        </is>
      </c>
      <c r="C62" s="37" t="inlineStr">
        <is>
          <t>9M 2026 (Audited Semi-Annual + Interim)</t>
        </is>
      </c>
    </row>
    <row r="63">
      <c r="B63" s="9" t="inlineStr">
        <is>
          <t>Confirmation Status</t>
        </is>
      </c>
      <c r="C63" s="37" t="inlineStr">
        <is>
          <t>Estimated</t>
        </is>
      </c>
    </row>
    <row r="64">
      <c r="B64" s="9" t="inlineStr">
        <is>
          <t>Conference Call &amp; Webcast Schedule</t>
        </is>
      </c>
      <c r="C64" s="37" t="inlineStr">
        <is>
          <t>14:00 Kyiv / 12:00 UK</t>
        </is>
      </c>
    </row>
    <row r="65">
      <c r="B65" s="9" t="inlineStr">
        <is>
          <t>Official IR Portal / Webcast URL</t>
        </is>
      </c>
      <c r="C65" s="37" t="inlineStr">
        <is>
          <t>https://www.uz.gov.ua/en/about/investors/</t>
        </is>
      </c>
    </row>
  </sheetData>
  <mergeCells count="45">
    <mergeCell ref="C36:I36"/>
    <mergeCell ref="C23:I23"/>
    <mergeCell ref="C61:I61"/>
    <mergeCell ref="F9:I9"/>
    <mergeCell ref="C17:I17"/>
    <mergeCell ref="C48:I48"/>
    <mergeCell ref="C39:I39"/>
    <mergeCell ref="B3:I3"/>
    <mergeCell ref="C38:I38"/>
    <mergeCell ref="C53:I53"/>
    <mergeCell ref="C28:I28"/>
    <mergeCell ref="C18:I18"/>
    <mergeCell ref="B2:I2"/>
    <mergeCell ref="C49:I49"/>
    <mergeCell ref="F11:I11"/>
    <mergeCell ref="C34:I34"/>
    <mergeCell ref="C24:I24"/>
    <mergeCell ref="C30:I30"/>
    <mergeCell ref="C42:I42"/>
    <mergeCell ref="C15:I15"/>
    <mergeCell ref="C33:I33"/>
    <mergeCell ref="C62:I62"/>
    <mergeCell ref="F10:I10"/>
    <mergeCell ref="C14:I14"/>
    <mergeCell ref="C45:I45"/>
    <mergeCell ref="F7:I7"/>
    <mergeCell ref="C64:I64"/>
    <mergeCell ref="C35:I35"/>
    <mergeCell ref="C29:I29"/>
    <mergeCell ref="C47:I47"/>
    <mergeCell ref="C16:I16"/>
    <mergeCell ref="C54:I54"/>
    <mergeCell ref="C63:I63"/>
    <mergeCell ref="C65:I65"/>
    <mergeCell ref="C41:I41"/>
    <mergeCell ref="C55:I55"/>
    <mergeCell ref="C50:I50"/>
    <mergeCell ref="C22:I22"/>
    <mergeCell ref="C40:I40"/>
    <mergeCell ref="F8:I8"/>
    <mergeCell ref="C56:I56"/>
    <mergeCell ref="C21:I21"/>
    <mergeCell ref="C46:I46"/>
    <mergeCell ref="C60:I60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2026-09-20T17:21:51Z</dcterms:created>
  <dcterms:modified xmlns:dcterms="http://purl.org/dc/terms/" xmlns:xsi="http://www.w3.org/2001/XMLSchema-instance" xsi:type="dcterms:W3CDTF">2026-09-20T17:21:51Z</dcterms:modified>
</cp:coreProperties>
</file>