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&amp; Traffic Drivers" sheetId="2" state="visible" r:id="rId2"/>
    <sheet xmlns:r="http://schemas.openxmlformats.org/officeDocument/2006/relationships" name="Audited P&amp;L (USD &amp; UAH)" sheetId="3" state="visible" r:id="rId3"/>
    <sheet xmlns:r="http://schemas.openxmlformats.org/officeDocument/2006/relationships" name="Balance Sheet &amp; Debt" sheetId="4" state="visible" r:id="rId4"/>
    <sheet xmlns:r="http://schemas.openxmlformats.org/officeDocument/2006/relationships" name="Cash Flow &amp; Grants" sheetId="5" state="visible" r:id="rId5"/>
    <sheet xmlns:r="http://schemas.openxmlformats.org/officeDocument/2006/relationships" name="Debt Tranches &amp; Standstill" sheetId="6" state="visible" r:id="rId6"/>
    <sheet xmlns:r="http://schemas.openxmlformats.org/officeDocument/2006/relationships" name="Restructuring &amp; Recovery" sheetId="7" state="visible" r:id="rId7"/>
    <sheet xmlns:r="http://schemas.openxmlformats.org/officeDocument/2006/relationships" name="Wartime Infrastructu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$#,##0.0"/>
    <numFmt numFmtId="167" formatCode="0.00x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EF9E7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5" fillId="0" borderId="1" pivotButton="0" quotePrefix="0" xfId="0"/>
    <xf numFmtId="164" fontId="5" fillId="3" borderId="1" pivotButton="0" quotePrefix="0" xfId="0"/>
    <xf numFmtId="165" fontId="5" fillId="0" borderId="1" pivotButton="0" quotePrefix="0" xfId="0"/>
    <xf numFmtId="165" fontId="5" fillId="3" borderId="1" pivotButton="0" quotePrefix="0" xfId="0"/>
    <xf numFmtId="166" fontId="5" fillId="0" borderId="1" pivotButton="0" quotePrefix="0" xfId="0"/>
    <xf numFmtId="166" fontId="5" fillId="3" borderId="1" pivotButton="0" quotePrefix="0" xfId="0"/>
    <xf numFmtId="166" fontId="4" fillId="0" borderId="1" pivotButton="0" quotePrefix="0" xfId="0"/>
    <xf numFmtId="166" fontId="4" fillId="5" borderId="1" pivotButton="0" quotePrefix="0" xfId="0"/>
    <xf numFmtId="165" fontId="4" fillId="0" borderId="1" pivotButton="0" quotePrefix="0" xfId="0"/>
    <xf numFmtId="166" fontId="4" fillId="6" borderId="1" pivotButton="0" quotePrefix="0" xfId="0"/>
    <xf numFmtId="166" fontId="4" fillId="3" borderId="1" pivotButton="0" quotePrefix="0" xfId="0"/>
    <xf numFmtId="167" fontId="4" fillId="3" borderId="1" pivotButton="0" quotePrefix="0" xfId="0"/>
    <xf numFmtId="0" fontId="4" fillId="7" borderId="1" pivotButton="0" quotePrefix="0" xfId="0"/>
    <xf numFmtId="0" fontId="5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24" customWidth="1" min="4" max="4"/>
    <col width="24" customWidth="1" min="5" max="5"/>
    <col width="22" customWidth="1" min="6" max="6"/>
    <col width="22" customWidth="1" min="7" max="7"/>
    <col width="28" customWidth="1" min="8" max="8"/>
  </cols>
  <sheetData>
    <row r="2">
      <c r="B2" s="1" t="inlineStr">
        <is>
          <t>JSC Ukrainian Railways (Ukrzaliznytsia / UZ) — Institutional Credit Model</t>
        </is>
      </c>
    </row>
    <row r="3">
      <c r="B3" s="2" t="inlineStr">
        <is>
          <t>Distressed Sovereign &amp; Corporate Debt Analysis | Sovereign Linkage, Wartime Logistics, and Eurobond Restructuring</t>
        </is>
      </c>
    </row>
    <row r="5">
      <c r="B5" s="3" t="inlineStr">
        <is>
          <t>BENCHMARK INSTRUMENT</t>
        </is>
      </c>
      <c r="C5" s="3" t="inlineStr">
        <is>
          <t>PRICE / YIELD</t>
        </is>
      </c>
      <c r="D5" s="3" t="inlineStr">
        <is>
          <t>CREDIT RATING</t>
        </is>
      </c>
      <c r="E5" s="3" t="inlineStr">
        <is>
          <t>STRATEGY STANCE</t>
        </is>
      </c>
    </row>
    <row r="6">
      <c r="B6" s="4" t="inlineStr">
        <is>
          <t>RAILUA 8.25% due July 2026 (LPNs)</t>
        </is>
      </c>
      <c r="C6" s="5" t="inlineStr">
        <is>
          <t>$64.00 | 19.25% YTM (+1,485 bp)</t>
        </is>
      </c>
      <c r="D6" s="4" t="inlineStr">
        <is>
          <t>CCC / Caa3 (S&amp;P / Moody's)</t>
        </is>
      </c>
      <c r="E6" s="5" t="inlineStr">
        <is>
          <t>Overweight / Restructuring Play (&lt;65c)</t>
        </is>
      </c>
    </row>
    <row r="7">
      <c r="B7" s="4" t="inlineStr">
        <is>
          <t>Secondary Tranche</t>
        </is>
      </c>
      <c r="C7" s="5" t="inlineStr">
        <is>
          <t>RAILUA 7.875% due July 2028 ($300M)</t>
        </is>
      </c>
      <c r="D7" s="4" t="inlineStr">
        <is>
          <t>Sovereign Linkage</t>
        </is>
      </c>
      <c r="E7" s="5" t="inlineStr">
        <is>
          <t>100% State-Owned Monopoly</t>
        </is>
      </c>
    </row>
    <row r="9">
      <c r="B9" s="6" t="inlineStr">
        <is>
          <t>EXECUTIVE DISTRESSED CREDIT SUMMARY</t>
        </is>
      </c>
    </row>
    <row r="11">
      <c r="B11" s="7" t="inlineStr">
        <is>
          <t>1. Sovereign Linkage &amp; Strategic Moat: Ukrzaliznytsia is the indispensable logistical spine of Ukraine. It handles 82% of all freight turnover (ex-pipelines) and 60% of passenger traffic. It operates evacuation, military mobilization, coal/grain haulage, and government logistics during wartime.</t>
        </is>
      </c>
    </row>
    <row r="13">
      <c r="B13" s="7" t="inlineStr">
        <is>
          <t>2. Eurobond Restructuring Mechanics: UZ completed a 24-month standstill in August 2022, extending the $595M 8.25% notes from 2024 to July 2026, and the $300M 7.875% notes from 2026 to July 2028. Following Ukraine's sovereign Eurobond restructuring in August 2024 (37% nominal haircut), market expects UZ to negotiate standalone commercial maturity extensions (3-5 years) with partial PIK coupon features rather than deep principal haircuts.</t>
        </is>
      </c>
    </row>
    <row r="15">
      <c r="B15" s="7" t="inlineStr">
        <is>
          <t>3. Multilateral Non-Debt Capital: Over $1.4B in non-repayable grants and concessional facilities committed by EU Solidarity Lanes, EIB, and EBRD. Grant funding directly offsets wartime capital expenditure, preserving liquidity.</t>
        </is>
      </c>
    </row>
    <row r="17">
      <c r="B17" s="7" t="inlineStr">
        <is>
          <t>4. Valuation &amp; Asymmetric Risk/Reward: At $64.00, the bond prices in a deep 36% haircut. Given its critical defense role, western border gauge conversion to EU standards, and multilateral support, we model a base restructuring recovery of $68.00 - $74.00, with downside liquidation floor at $38.00.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24" customWidth="1" min="4" max="4"/>
    <col width="24" customWidth="1" min="5" max="5"/>
    <col width="22" customWidth="1" min="6" max="6"/>
    <col width="22" customWidth="1" min="7" max="7"/>
    <col width="28" customWidth="1" min="8" max="8"/>
  </cols>
  <sheetData>
    <row r="2">
      <c r="B2" s="1" t="inlineStr">
        <is>
          <t>Ukrzaliznytsia — Freight Volumes, Tariffs, and Passenger Operations</t>
        </is>
      </c>
    </row>
    <row r="3">
      <c r="B3" s="2" t="inlineStr">
        <is>
          <t>Historical physical traffic (2021A - 2024A) and post-war recovery forecasts (2025E - 2027E)</t>
        </is>
      </c>
    </row>
    <row r="5">
      <c r="B5" s="8" t="inlineStr">
        <is>
          <t>OPERATIONAL TRAFFIC METRIC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Total Freight Carried (Million Tonnes)</t>
        </is>
      </c>
      <c r="C6" s="11" t="n">
        <v>314.3</v>
      </c>
      <c r="D6" s="11" t="n">
        <v>150.6</v>
      </c>
      <c r="E6" s="11" t="n">
        <v>148.4</v>
      </c>
      <c r="F6" s="11" t="n">
        <v>175.2</v>
      </c>
      <c r="G6" s="12" t="n">
        <v>198</v>
      </c>
      <c r="H6" s="12" t="n">
        <v>225</v>
      </c>
      <c r="I6" s="12" t="n">
        <v>255</v>
      </c>
    </row>
    <row r="7">
      <c r="B7" s="5" t="inlineStr">
        <is>
          <t xml:space="preserve">  - Grain &amp; Agricultural Cargo (Million Tonnes)</t>
        </is>
      </c>
      <c r="C7" s="13" t="n">
        <v>33.7</v>
      </c>
      <c r="D7" s="13" t="n">
        <v>28.9</v>
      </c>
      <c r="E7" s="13" t="n">
        <v>30.6</v>
      </c>
      <c r="F7" s="13" t="n">
        <v>38.5</v>
      </c>
      <c r="G7" s="14" t="n">
        <v>44</v>
      </c>
      <c r="H7" s="14" t="n">
        <v>50</v>
      </c>
      <c r="I7" s="14" t="n">
        <v>56</v>
      </c>
    </row>
    <row r="8">
      <c r="B8" s="5" t="inlineStr">
        <is>
          <t xml:space="preserve">  - Iron &amp; Manganese Ore (Million Tonnes)</t>
        </is>
      </c>
      <c r="C8" s="13" t="n">
        <v>77.59999999999999</v>
      </c>
      <c r="D8" s="13" t="n">
        <v>31.7</v>
      </c>
      <c r="E8" s="13" t="n">
        <v>27.5</v>
      </c>
      <c r="F8" s="13" t="n">
        <v>41.2</v>
      </c>
      <c r="G8" s="14" t="n">
        <v>48</v>
      </c>
      <c r="H8" s="14" t="n">
        <v>56</v>
      </c>
      <c r="I8" s="14" t="n">
        <v>65</v>
      </c>
    </row>
    <row r="9">
      <c r="B9" s="5" t="inlineStr">
        <is>
          <t xml:space="preserve">  - Ferrous Metals (Million Tonnes)</t>
        </is>
      </c>
      <c r="C9" s="13" t="n">
        <v>19.7</v>
      </c>
      <c r="D9" s="13" t="n">
        <v>9.199999999999999</v>
      </c>
      <c r="E9" s="13" t="n">
        <v>8.4</v>
      </c>
      <c r="F9" s="13" t="n">
        <v>10.5</v>
      </c>
      <c r="G9" s="14" t="n">
        <v>12.5</v>
      </c>
      <c r="H9" s="14" t="n">
        <v>15</v>
      </c>
      <c r="I9" s="14" t="n">
        <v>18</v>
      </c>
    </row>
    <row r="10">
      <c r="B10" s="5" t="inlineStr">
        <is>
          <t xml:space="preserve">  - Coal &amp; Coke (Million Tonnes)</t>
        </is>
      </c>
      <c r="C10" s="13" t="n">
        <v>50.2</v>
      </c>
      <c r="D10" s="13" t="n">
        <v>29.5</v>
      </c>
      <c r="E10" s="13" t="n">
        <v>26.2</v>
      </c>
      <c r="F10" s="13" t="n">
        <v>28</v>
      </c>
      <c r="G10" s="14" t="n">
        <v>30</v>
      </c>
      <c r="H10" s="14" t="n">
        <v>32</v>
      </c>
      <c r="I10" s="14" t="n">
        <v>34</v>
      </c>
    </row>
    <row r="11">
      <c r="B11" s="5" t="inlineStr">
        <is>
          <t xml:space="preserve">  - Construction Materials &amp; Other (Million Tonnes)</t>
        </is>
      </c>
      <c r="C11" s="13" t="n">
        <v>133.1</v>
      </c>
      <c r="D11" s="13" t="n">
        <v>51.3</v>
      </c>
      <c r="E11" s="13" t="n">
        <v>55.7</v>
      </c>
      <c r="F11" s="13" t="n">
        <v>57</v>
      </c>
      <c r="G11" s="14" t="n">
        <v>63.5</v>
      </c>
      <c r="H11" s="14" t="n">
        <v>72</v>
      </c>
      <c r="I11" s="14" t="n">
        <v>82</v>
      </c>
    </row>
    <row r="12">
      <c r="B12" s="10" t="inlineStr">
        <is>
          <t>Freight Turnover (Billion t-km)</t>
        </is>
      </c>
      <c r="C12" s="11" t="n">
        <v>175.4</v>
      </c>
      <c r="D12" s="11" t="n">
        <v>82.3</v>
      </c>
      <c r="E12" s="11" t="n">
        <v>81.5</v>
      </c>
      <c r="F12" s="11" t="n">
        <v>96.8</v>
      </c>
      <c r="G12" s="12" t="n">
        <v>110</v>
      </c>
      <c r="H12" s="12" t="n">
        <v>126</v>
      </c>
      <c r="I12" s="12" t="n">
        <v>145</v>
      </c>
    </row>
    <row r="13">
      <c r="B13" s="5" t="inlineStr">
        <is>
          <t>Average Freight Tariff Indexation (YoY %)</t>
        </is>
      </c>
      <c r="C13" s="15" t="n">
        <v>0.12</v>
      </c>
      <c r="D13" s="15" t="n">
        <v>0.7</v>
      </c>
      <c r="E13" s="15" t="n">
        <v>0.15</v>
      </c>
      <c r="F13" s="15" t="n">
        <v>0.08</v>
      </c>
      <c r="G13" s="16" t="n">
        <v>0.1</v>
      </c>
      <c r="H13" s="16" t="n">
        <v>0.06</v>
      </c>
      <c r="I13" s="16" t="n">
        <v>0.05</v>
      </c>
    </row>
    <row r="14">
      <c r="B14" s="10" t="inlineStr">
        <is>
          <t>Passenger Journeys (Million Passengers)</t>
        </is>
      </c>
      <c r="C14" s="11" t="n">
        <v>82.5</v>
      </c>
      <c r="D14" s="11" t="n">
        <v>54.2</v>
      </c>
      <c r="E14" s="11" t="n">
        <v>60.1</v>
      </c>
      <c r="F14" s="11" t="n">
        <v>64.5</v>
      </c>
      <c r="G14" s="12" t="n">
        <v>68</v>
      </c>
      <c r="H14" s="12" t="n">
        <v>74</v>
      </c>
      <c r="I14" s="12" t="n">
        <v>80</v>
      </c>
    </row>
    <row r="15">
      <c r="B15" s="5" t="inlineStr">
        <is>
          <t>Network Length Operated (Thousand Track-km)</t>
        </is>
      </c>
      <c r="C15" s="13" t="n">
        <v>19.8</v>
      </c>
      <c r="D15" s="13" t="n">
        <v>16.5</v>
      </c>
      <c r="E15" s="13" t="n">
        <v>16.5</v>
      </c>
      <c r="F15" s="13" t="n">
        <v>16.8</v>
      </c>
      <c r="G15" s="14" t="n">
        <v>17.2</v>
      </c>
      <c r="H15" s="14" t="n">
        <v>18</v>
      </c>
      <c r="I15" s="14" t="n">
        <v>19.2</v>
      </c>
    </row>
    <row r="16">
      <c r="B16" s="5" t="inlineStr">
        <is>
          <t>Network Electrification Share (% of Total Track)</t>
        </is>
      </c>
      <c r="C16" s="15" t="n">
        <v>0.472</v>
      </c>
      <c r="D16" s="15" t="n">
        <v>0.47</v>
      </c>
      <c r="E16" s="15" t="n">
        <v>0.475</v>
      </c>
      <c r="F16" s="15" t="n">
        <v>0.482</v>
      </c>
      <c r="G16" s="16" t="n">
        <v>0.5</v>
      </c>
      <c r="H16" s="16" t="n">
        <v>0.525</v>
      </c>
      <c r="I16" s="16" t="n">
        <v>0.55</v>
      </c>
    </row>
    <row r="17">
      <c r="B17" s="5" t="inlineStr">
        <is>
          <t>Traffic Carried by Electric Traction (% of Turnover)</t>
        </is>
      </c>
      <c r="C17" s="15" t="n">
        <v>0.855</v>
      </c>
      <c r="D17" s="15" t="n">
        <v>0.82</v>
      </c>
      <c r="E17" s="15" t="n">
        <v>0.845</v>
      </c>
      <c r="F17" s="15" t="n">
        <v>0.86</v>
      </c>
      <c r="G17" s="16" t="n">
        <v>0.88</v>
      </c>
      <c r="H17" s="16" t="n">
        <v>0.9</v>
      </c>
      <c r="I17" s="16" t="n">
        <v>0.915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24" customWidth="1" min="4" max="4"/>
    <col width="24" customWidth="1" min="5" max="5"/>
    <col width="22" customWidth="1" min="6" max="6"/>
    <col width="22" customWidth="1" min="7" max="7"/>
    <col width="28" customWidth="1" min="8" max="8"/>
  </cols>
  <sheetData>
    <row r="2">
      <c r="B2" s="1" t="inlineStr">
        <is>
          <t>Ukrzaliznytsia — Comprehensive Income Statement (USD Millions)</t>
        </is>
      </c>
    </row>
    <row r="3">
      <c r="B3" s="2" t="inlineStr">
        <is>
          <t>Audited Financial Statements (2021A - 2024A) and Multi-Year Projections (2025E - 2027E)</t>
        </is>
      </c>
    </row>
    <row r="5">
      <c r="B5" s="8" t="inlineStr">
        <is>
          <t>INCOME STATEMENT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5" t="inlineStr">
        <is>
          <t>Freight Transportation Revenue</t>
        </is>
      </c>
      <c r="C6" s="17" t="n">
        <v>2650</v>
      </c>
      <c r="D6" s="17" t="n">
        <v>1920</v>
      </c>
      <c r="E6" s="17" t="n">
        <v>2150</v>
      </c>
      <c r="F6" s="17" t="n">
        <v>2350</v>
      </c>
      <c r="G6" s="18" t="n">
        <v>2600</v>
      </c>
      <c r="H6" s="18" t="n">
        <v>2900</v>
      </c>
      <c r="I6" s="18" t="n">
        <v>3250</v>
      </c>
    </row>
    <row r="7">
      <c r="B7" s="5" t="inlineStr">
        <is>
          <t>Passenger Transportation Revenue</t>
        </is>
      </c>
      <c r="C7" s="17" t="n">
        <v>240</v>
      </c>
      <c r="D7" s="17" t="n">
        <v>185</v>
      </c>
      <c r="E7" s="17" t="n">
        <v>210</v>
      </c>
      <c r="F7" s="17" t="n">
        <v>230</v>
      </c>
      <c r="G7" s="18" t="n">
        <v>260</v>
      </c>
      <c r="H7" s="18" t="n">
        <v>290</v>
      </c>
      <c r="I7" s="18" t="n">
        <v>330</v>
      </c>
    </row>
    <row r="8">
      <c r="B8" s="5" t="inlineStr">
        <is>
          <t>Ancillary &amp; Repair Services</t>
        </is>
      </c>
      <c r="C8" s="17" t="n">
        <v>160</v>
      </c>
      <c r="D8" s="17" t="n">
        <v>110</v>
      </c>
      <c r="E8" s="17" t="n">
        <v>125</v>
      </c>
      <c r="F8" s="17" t="n">
        <v>140</v>
      </c>
      <c r="G8" s="18" t="n">
        <v>160</v>
      </c>
      <c r="H8" s="18" t="n">
        <v>180</v>
      </c>
      <c r="I8" s="18" t="n">
        <v>210</v>
      </c>
    </row>
    <row r="9">
      <c r="B9" s="5" t="inlineStr">
        <is>
          <t>State Operating Compensation &amp; Passenger Subsidies</t>
        </is>
      </c>
      <c r="C9" s="17" t="n">
        <v>120</v>
      </c>
      <c r="D9" s="17" t="n">
        <v>125</v>
      </c>
      <c r="E9" s="17" t="n">
        <v>145</v>
      </c>
      <c r="F9" s="17" t="n">
        <v>130</v>
      </c>
      <c r="G9" s="18" t="n">
        <v>140</v>
      </c>
      <c r="H9" s="18" t="n">
        <v>150</v>
      </c>
      <c r="I9" s="18" t="n">
        <v>160</v>
      </c>
    </row>
    <row r="10">
      <c r="B10" s="4" t="inlineStr">
        <is>
          <t>TOTAL CONSOLIDATED REVENUE</t>
        </is>
      </c>
      <c r="C10" s="19">
        <f>SUM(C6:C9)</f>
        <v/>
      </c>
      <c r="D10" s="19">
        <f>SUM(D6:D9)</f>
        <v/>
      </c>
      <c r="E10" s="19">
        <f>SUM(E6:E9)</f>
        <v/>
      </c>
      <c r="F10" s="19">
        <f>SUM(F6:F9)</f>
        <v/>
      </c>
      <c r="G10" s="19">
        <f>SUM(G6:G9)</f>
        <v/>
      </c>
      <c r="H10" s="19">
        <f>SUM(H6:H9)</f>
        <v/>
      </c>
      <c r="I10" s="19">
        <f>SUM(I6:I9)</f>
        <v/>
      </c>
    </row>
    <row r="11">
      <c r="B11" s="5" t="inlineStr">
        <is>
          <t>Personnel &amp; Social Security Taxes (~185k staff)</t>
        </is>
      </c>
      <c r="C11" s="17" t="n">
        <v>1350</v>
      </c>
      <c r="D11" s="17" t="n">
        <v>980</v>
      </c>
      <c r="E11" s="17" t="n">
        <v>1050</v>
      </c>
      <c r="F11" s="17" t="n">
        <v>1120</v>
      </c>
      <c r="G11" s="18" t="n">
        <v>1220</v>
      </c>
      <c r="H11" s="18" t="n">
        <v>1340</v>
      </c>
      <c r="I11" s="18" t="n">
        <v>1480</v>
      </c>
    </row>
    <row r="12">
      <c r="B12" s="5" t="inlineStr">
        <is>
          <t>Traction Fuel (Diesel Fuel Procurement)</t>
        </is>
      </c>
      <c r="C12" s="17" t="n">
        <v>380</v>
      </c>
      <c r="D12" s="17" t="n">
        <v>420</v>
      </c>
      <c r="E12" s="17" t="n">
        <v>390</v>
      </c>
      <c r="F12" s="17" t="n">
        <v>410</v>
      </c>
      <c r="G12" s="18" t="n">
        <v>430</v>
      </c>
      <c r="H12" s="18" t="n">
        <v>450</v>
      </c>
      <c r="I12" s="18" t="n">
        <v>470</v>
      </c>
    </row>
    <row r="13">
      <c r="B13" s="5" t="inlineStr">
        <is>
          <t>Traction Electricity &amp; Power Grid Wholesale</t>
        </is>
      </c>
      <c r="C13" s="17" t="n">
        <v>310</v>
      </c>
      <c r="D13" s="17" t="n">
        <v>280</v>
      </c>
      <c r="E13" s="17" t="n">
        <v>320</v>
      </c>
      <c r="F13" s="17" t="n">
        <v>340</v>
      </c>
      <c r="G13" s="18" t="n">
        <v>360</v>
      </c>
      <c r="H13" s="18" t="n">
        <v>380</v>
      </c>
      <c r="I13" s="18" t="n">
        <v>410</v>
      </c>
    </row>
    <row r="14">
      <c r="B14" s="5" t="inlineStr">
        <is>
          <t>Materials, Spare Parts &amp; Track Maintenance</t>
        </is>
      </c>
      <c r="C14" s="17" t="n">
        <v>320</v>
      </c>
      <c r="D14" s="17" t="n">
        <v>240</v>
      </c>
      <c r="E14" s="17" t="n">
        <v>280</v>
      </c>
      <c r="F14" s="17" t="n">
        <v>310</v>
      </c>
      <c r="G14" s="18" t="n">
        <v>340</v>
      </c>
      <c r="H14" s="18" t="n">
        <v>380</v>
      </c>
      <c r="I14" s="18" t="n">
        <v>430</v>
      </c>
    </row>
    <row r="15">
      <c r="B15" s="5" t="inlineStr">
        <is>
          <t>Other Operating Expenses (Security, Insurance, Logistics)</t>
        </is>
      </c>
      <c r="C15" s="17" t="n">
        <v>280</v>
      </c>
      <c r="D15" s="17" t="n">
        <v>210</v>
      </c>
      <c r="E15" s="17" t="n">
        <v>240</v>
      </c>
      <c r="F15" s="17" t="n">
        <v>260</v>
      </c>
      <c r="G15" s="18" t="n">
        <v>280</v>
      </c>
      <c r="H15" s="18" t="n">
        <v>310</v>
      </c>
      <c r="I15" s="18" t="n">
        <v>340</v>
      </c>
    </row>
    <row r="16">
      <c r="B16" s="4" t="inlineStr">
        <is>
          <t>TOTAL OPERATING EXPENSES (OPEX)</t>
        </is>
      </c>
      <c r="C16" s="19">
        <f>SUM(C11:C15)</f>
        <v/>
      </c>
      <c r="D16" s="19">
        <f>SUM(D11:D15)</f>
        <v/>
      </c>
      <c r="E16" s="19">
        <f>SUM(E11:E15)</f>
        <v/>
      </c>
      <c r="F16" s="19">
        <f>SUM(F11:F15)</f>
        <v/>
      </c>
      <c r="G16" s="19">
        <f>SUM(G11:G15)</f>
        <v/>
      </c>
      <c r="H16" s="19">
        <f>SUM(H11:H15)</f>
        <v/>
      </c>
      <c r="I16" s="19">
        <f>SUM(I11:I15)</f>
        <v/>
      </c>
    </row>
    <row r="17">
      <c r="B17" s="4" t="inlineStr">
        <is>
          <t>OPERATING EBITDA</t>
        </is>
      </c>
      <c r="C17" s="20">
        <f>C10-C16</f>
        <v/>
      </c>
      <c r="D17" s="20">
        <f>D10-D16</f>
        <v/>
      </c>
      <c r="E17" s="20">
        <f>E10-E16</f>
        <v/>
      </c>
      <c r="F17" s="20">
        <f>F10-F16</f>
        <v/>
      </c>
      <c r="G17" s="20">
        <f>G10-G16</f>
        <v/>
      </c>
      <c r="H17" s="20">
        <f>H10-H16</f>
        <v/>
      </c>
      <c r="I17" s="20">
        <f>I10-I16</f>
        <v/>
      </c>
    </row>
    <row r="18">
      <c r="B18" s="10" t="inlineStr">
        <is>
          <t>EBITDA Margin (%)</t>
        </is>
      </c>
      <c r="C18" s="21">
        <f>C17/C10</f>
        <v/>
      </c>
      <c r="D18" s="21">
        <f>D17/D10</f>
        <v/>
      </c>
      <c r="E18" s="21">
        <f>E17/E10</f>
        <v/>
      </c>
      <c r="F18" s="21">
        <f>F17/F10</f>
        <v/>
      </c>
      <c r="G18" s="21">
        <f>G17/G10</f>
        <v/>
      </c>
      <c r="H18" s="21">
        <f>H17/H10</f>
        <v/>
      </c>
      <c r="I18" s="21">
        <f>I17/I10</f>
        <v/>
      </c>
    </row>
    <row r="19">
      <c r="B19" s="5" t="inlineStr">
        <is>
          <t>Depreciation &amp; Amortization</t>
        </is>
      </c>
      <c r="C19" s="17" t="n">
        <v>280</v>
      </c>
      <c r="D19" s="17" t="n">
        <v>220</v>
      </c>
      <c r="E19" s="17" t="n">
        <v>240</v>
      </c>
      <c r="F19" s="17" t="n">
        <v>250</v>
      </c>
      <c r="G19" s="18" t="n">
        <v>270</v>
      </c>
      <c r="H19" s="18" t="n">
        <v>290</v>
      </c>
      <c r="I19" s="18" t="n">
        <v>310</v>
      </c>
    </row>
    <row r="20">
      <c r="B20" s="5" t="inlineStr">
        <is>
          <t>Wartime Infrastructure Impairments &amp; Damage Write-Downs</t>
        </is>
      </c>
      <c r="C20" s="17" t="n">
        <v>0</v>
      </c>
      <c r="D20" s="17" t="n">
        <v>450</v>
      </c>
      <c r="E20" s="17" t="n">
        <v>80</v>
      </c>
      <c r="F20" s="17" t="n">
        <v>40</v>
      </c>
      <c r="G20" s="18" t="n">
        <v>20</v>
      </c>
      <c r="H20" s="18" t="n">
        <v>0</v>
      </c>
      <c r="I20" s="18" t="n">
        <v>0</v>
      </c>
    </row>
    <row r="21">
      <c r="B21" s="4" t="inlineStr">
        <is>
          <t>OPERATING PROFIT / (LOSS) (EBIT)</t>
        </is>
      </c>
      <c r="C21" s="19">
        <f>C17-C19-C20</f>
        <v/>
      </c>
      <c r="D21" s="19">
        <f>D17-D19-D20</f>
        <v/>
      </c>
      <c r="E21" s="19">
        <f>E17-E19-E20</f>
        <v/>
      </c>
      <c r="F21" s="19">
        <f>F17-F19-F20</f>
        <v/>
      </c>
      <c r="G21" s="19">
        <f>G17-G19-G20</f>
        <v/>
      </c>
      <c r="H21" s="19">
        <f>H17-H19-H20</f>
        <v/>
      </c>
      <c r="I21" s="19">
        <f>I17-I19-I20</f>
        <v/>
      </c>
    </row>
    <row r="22">
      <c r="B22" s="5" t="inlineStr">
        <is>
          <t>Net Finance Costs / Cash Interest Expense</t>
        </is>
      </c>
      <c r="C22" s="17" t="n">
        <v>125</v>
      </c>
      <c r="D22" s="17" t="n">
        <v>115</v>
      </c>
      <c r="E22" s="17" t="n">
        <v>130</v>
      </c>
      <c r="F22" s="17" t="n">
        <v>135</v>
      </c>
      <c r="G22" s="18" t="n">
        <v>140</v>
      </c>
      <c r="H22" s="18" t="n">
        <v>130</v>
      </c>
      <c r="I22" s="18" t="n">
        <v>120</v>
      </c>
    </row>
    <row r="23">
      <c r="B23" s="5" t="inlineStr">
        <is>
          <t>Foreign Exchange (Gain) / Loss on Hard Currency Debt</t>
        </is>
      </c>
      <c r="C23" s="17" t="n">
        <v>45</v>
      </c>
      <c r="D23" s="17" t="n">
        <v>680</v>
      </c>
      <c r="E23" s="17" t="n">
        <v>-90</v>
      </c>
      <c r="F23" s="17" t="n">
        <v>85</v>
      </c>
      <c r="G23" s="18" t="n">
        <v>40</v>
      </c>
      <c r="H23" s="18" t="n">
        <v>20</v>
      </c>
      <c r="I23" s="18" t="n">
        <v>0</v>
      </c>
    </row>
    <row r="24">
      <c r="B24" s="10" t="inlineStr">
        <is>
          <t>PROFIT / (LOSS) BEFORE TAX</t>
        </is>
      </c>
      <c r="C24" s="19">
        <f>C21-C22-C23</f>
        <v/>
      </c>
      <c r="D24" s="19">
        <f>D21-D22-D23</f>
        <v/>
      </c>
      <c r="E24" s="19">
        <f>E21-E22-E23</f>
        <v/>
      </c>
      <c r="F24" s="19">
        <f>F21-F22-F23</f>
        <v/>
      </c>
      <c r="G24" s="19">
        <f>G21-G22-G23</f>
        <v/>
      </c>
      <c r="H24" s="19">
        <f>H21-H22-H23</f>
        <v/>
      </c>
      <c r="I24" s="19">
        <f>I21-I22-I23</f>
        <v/>
      </c>
    </row>
    <row r="25">
      <c r="B25" s="5" t="inlineStr">
        <is>
          <t>Income Tax Expense / (Benefit)</t>
        </is>
      </c>
      <c r="C25" s="17" t="n">
        <v>15</v>
      </c>
      <c r="D25" s="17" t="n">
        <v>-35</v>
      </c>
      <c r="E25" s="17" t="n">
        <v>22</v>
      </c>
      <c r="F25" s="17" t="n">
        <v>18</v>
      </c>
      <c r="G25" s="18" t="n">
        <v>25</v>
      </c>
      <c r="H25" s="18" t="n">
        <v>45</v>
      </c>
      <c r="I25" s="18" t="n">
        <v>65</v>
      </c>
    </row>
    <row r="26">
      <c r="B26" s="4" t="inlineStr">
        <is>
          <t>NET PROFIT / (LOSS) AFTER TAX</t>
        </is>
      </c>
      <c r="C26" s="22">
        <f>C24-C25</f>
        <v/>
      </c>
      <c r="D26" s="22">
        <f>D24-D25</f>
        <v/>
      </c>
      <c r="E26" s="22">
        <f>E24-E25</f>
        <v/>
      </c>
      <c r="F26" s="22">
        <f>F24-F25</f>
        <v/>
      </c>
      <c r="G26" s="22">
        <f>G24-G25</f>
        <v/>
      </c>
      <c r="H26" s="22">
        <f>H24-H25</f>
        <v/>
      </c>
      <c r="I26" s="22">
        <f>I24-I25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24" customWidth="1" min="4" max="4"/>
    <col width="24" customWidth="1" min="5" max="5"/>
    <col width="22" customWidth="1" min="6" max="6"/>
    <col width="22" customWidth="1" min="7" max="7"/>
    <col width="28" customWidth="1" min="8" max="8"/>
  </cols>
  <sheetData>
    <row r="2">
      <c r="B2" s="1" t="inlineStr">
        <is>
          <t>Ukrzaliznytsia — Balance Sheet, Fixed Assets &amp; Debt Structure</t>
        </is>
      </c>
    </row>
    <row r="3">
      <c r="B3" s="2" t="inlineStr">
        <is>
          <t>Assets, Liabilities, Hard Currency Debt and Liquidity Buffers (USD Millions)</t>
        </is>
      </c>
    </row>
    <row r="5">
      <c r="B5" s="8" t="inlineStr">
        <is>
          <t>BALANCE SHEET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5" t="inlineStr">
        <is>
          <t>Property, Plant &amp; Equipment (Track, Signaling, Bridges)</t>
        </is>
      </c>
      <c r="C6" s="17" t="n">
        <v>3850</v>
      </c>
      <c r="D6" s="17" t="n">
        <v>3200</v>
      </c>
      <c r="E6" s="17" t="n">
        <v>3350</v>
      </c>
      <c r="F6" s="17" t="n">
        <v>3500</v>
      </c>
      <c r="G6" s="17" t="n">
        <v>3750</v>
      </c>
      <c r="H6" s="17" t="n">
        <v>4100</v>
      </c>
      <c r="I6" s="17" t="n">
        <v>4500</v>
      </c>
    </row>
    <row r="7">
      <c r="B7" s="5" t="inlineStr">
        <is>
          <t>Rolling Stock Asset Base (1,900 Locomotives, 80k Wagons)</t>
        </is>
      </c>
      <c r="C7" s="17" t="n">
        <v>1650</v>
      </c>
      <c r="D7" s="17" t="n">
        <v>1350</v>
      </c>
      <c r="E7" s="17" t="n">
        <v>1420</v>
      </c>
      <c r="F7" s="17" t="n">
        <v>1500</v>
      </c>
      <c r="G7" s="17" t="n">
        <v>1620</v>
      </c>
      <c r="H7" s="17" t="n">
        <v>1780</v>
      </c>
      <c r="I7" s="17" t="n">
        <v>1950</v>
      </c>
    </row>
    <row r="8">
      <c r="B8" s="5" t="inlineStr">
        <is>
          <t>Construction in Progress &amp; Standard-Gauge Integration</t>
        </is>
      </c>
      <c r="C8" s="17" t="n">
        <v>180</v>
      </c>
      <c r="D8" s="17" t="n">
        <v>110</v>
      </c>
      <c r="E8" s="17" t="n">
        <v>195</v>
      </c>
      <c r="F8" s="17" t="n">
        <v>280</v>
      </c>
      <c r="G8" s="17" t="n">
        <v>390</v>
      </c>
      <c r="H8" s="17" t="n">
        <v>520</v>
      </c>
      <c r="I8" s="17" t="n">
        <v>680</v>
      </c>
    </row>
    <row r="9">
      <c r="B9" s="5" t="inlineStr">
        <is>
          <t>Inventories (Fuel Reserves, Spare Parts)</t>
        </is>
      </c>
      <c r="C9" s="17" t="n">
        <v>140</v>
      </c>
      <c r="D9" s="17" t="n">
        <v>185</v>
      </c>
      <c r="E9" s="17" t="n">
        <v>165</v>
      </c>
      <c r="F9" s="17" t="n">
        <v>175</v>
      </c>
      <c r="G9" s="17" t="n">
        <v>190</v>
      </c>
      <c r="H9" s="17" t="n">
        <v>210</v>
      </c>
      <c r="I9" s="17" t="n">
        <v>230</v>
      </c>
    </row>
    <row r="10">
      <c r="B10" s="5" t="inlineStr">
        <is>
          <t>Trade &amp; Other Receivables (incl. VAT State Refunds)</t>
        </is>
      </c>
      <c r="C10" s="17" t="n">
        <v>195</v>
      </c>
      <c r="D10" s="17" t="n">
        <v>160</v>
      </c>
      <c r="E10" s="17" t="n">
        <v>180</v>
      </c>
      <c r="F10" s="17" t="n">
        <v>210</v>
      </c>
      <c r="G10" s="17" t="n">
        <v>230</v>
      </c>
      <c r="H10" s="17" t="n">
        <v>250</v>
      </c>
      <c r="I10" s="17" t="n">
        <v>280</v>
      </c>
    </row>
    <row r="11">
      <c r="B11" s="10" t="inlineStr">
        <is>
          <t>Cash &amp; Liquid Cash Equivalents</t>
        </is>
      </c>
      <c r="C11" s="23" t="n">
        <v>190</v>
      </c>
      <c r="D11" s="23" t="n">
        <v>245</v>
      </c>
      <c r="E11" s="23" t="n">
        <v>280</v>
      </c>
      <c r="F11" s="23" t="n">
        <v>265</v>
      </c>
      <c r="G11" s="23" t="n">
        <v>290</v>
      </c>
      <c r="H11" s="23" t="n">
        <v>320</v>
      </c>
      <c r="I11" s="23" t="n">
        <v>360</v>
      </c>
    </row>
    <row r="12">
      <c r="B12" s="10" t="inlineStr">
        <is>
          <t>TOTAL ASSETS</t>
        </is>
      </c>
      <c r="C12" s="23">
        <f>SUM(C6:C11)</f>
        <v/>
      </c>
      <c r="D12" s="23">
        <f>SUM(D6:D11)</f>
        <v/>
      </c>
      <c r="E12" s="23">
        <f>SUM(E6:E11)</f>
        <v/>
      </c>
      <c r="F12" s="23">
        <f>SUM(F6:F11)</f>
        <v/>
      </c>
      <c r="G12" s="23">
        <f>SUM(G6:G11)</f>
        <v/>
      </c>
      <c r="H12" s="23">
        <f>SUM(H6:H11)</f>
        <v/>
      </c>
      <c r="I12" s="23">
        <f>SUM(I6:I11)</f>
        <v/>
      </c>
    </row>
    <row r="13">
      <c r="B13" s="5" t="inlineStr">
        <is>
          <t>Senior Unsecured Eurobond (July 2026 8.25% LPNs)</t>
        </is>
      </c>
      <c r="C13" s="17" t="n">
        <v>595</v>
      </c>
      <c r="D13" s="17" t="n">
        <v>595</v>
      </c>
      <c r="E13" s="17" t="n">
        <v>595</v>
      </c>
      <c r="F13" s="17" t="n">
        <v>595</v>
      </c>
      <c r="G13" s="17" t="n">
        <v>595</v>
      </c>
      <c r="H13" s="17" t="n">
        <v>595</v>
      </c>
      <c r="I13" s="17" t="n">
        <v>400</v>
      </c>
    </row>
    <row r="14">
      <c r="B14" s="5" t="inlineStr">
        <is>
          <t>Secondary Senior Eurobond (July 2028 7.875% LPNs)</t>
        </is>
      </c>
      <c r="C14" s="17" t="n">
        <v>300</v>
      </c>
      <c r="D14" s="17" t="n">
        <v>300</v>
      </c>
      <c r="E14" s="17" t="n">
        <v>300</v>
      </c>
      <c r="F14" s="17" t="n">
        <v>300</v>
      </c>
      <c r="G14" s="17" t="n">
        <v>300</v>
      </c>
      <c r="H14" s="17" t="n">
        <v>300</v>
      </c>
      <c r="I14" s="17" t="n">
        <v>300</v>
      </c>
    </row>
    <row r="15">
      <c r="B15" s="5" t="inlineStr">
        <is>
          <t>EBRD Sovereign-Guaranteed Infrastructure Facilities</t>
        </is>
      </c>
      <c r="C15" s="17" t="n">
        <v>280</v>
      </c>
      <c r="D15" s="17" t="n">
        <v>320</v>
      </c>
      <c r="E15" s="17" t="n">
        <v>350</v>
      </c>
      <c r="F15" s="17" t="n">
        <v>380</v>
      </c>
      <c r="G15" s="17" t="n">
        <v>360</v>
      </c>
      <c r="H15" s="17" t="n">
        <v>330</v>
      </c>
      <c r="I15" s="17" t="n">
        <v>300</v>
      </c>
    </row>
    <row r="16">
      <c r="B16" s="5" t="inlineStr">
        <is>
          <t>EIB (European Investment Bank) Emergency Loans</t>
        </is>
      </c>
      <c r="C16" s="17" t="n">
        <v>190</v>
      </c>
      <c r="D16" s="17" t="n">
        <v>210</v>
      </c>
      <c r="E16" s="17" t="n">
        <v>240</v>
      </c>
      <c r="F16" s="17" t="n">
        <v>260</v>
      </c>
      <c r="G16" s="17" t="n">
        <v>280</v>
      </c>
      <c r="H16" s="17" t="n">
        <v>260</v>
      </c>
      <c r="I16" s="17" t="n">
        <v>240</v>
      </c>
    </row>
    <row r="17">
      <c r="B17" s="5" t="inlineStr">
        <is>
          <t>Domestic State Bank Loans (Oschad, Ukreximbank)</t>
        </is>
      </c>
      <c r="C17" s="17" t="n">
        <v>160</v>
      </c>
      <c r="D17" s="17" t="n">
        <v>140</v>
      </c>
      <c r="E17" s="17" t="n">
        <v>120</v>
      </c>
      <c r="F17" s="17" t="n">
        <v>110</v>
      </c>
      <c r="G17" s="17" t="n">
        <v>95</v>
      </c>
      <c r="H17" s="17" t="n">
        <v>80</v>
      </c>
      <c r="I17" s="17" t="n">
        <v>60</v>
      </c>
    </row>
    <row r="18">
      <c r="B18" s="5" t="inlineStr">
        <is>
          <t>Lease Liabilities &amp; Supplier Trade Credit</t>
        </is>
      </c>
      <c r="C18" s="17" t="n">
        <v>85</v>
      </c>
      <c r="D18" s="17" t="n">
        <v>95</v>
      </c>
      <c r="E18" s="17" t="n">
        <v>90</v>
      </c>
      <c r="F18" s="17" t="n">
        <v>85</v>
      </c>
      <c r="G18" s="17" t="n">
        <v>80</v>
      </c>
      <c r="H18" s="17" t="n">
        <v>75</v>
      </c>
      <c r="I18" s="17" t="n">
        <v>70</v>
      </c>
    </row>
    <row r="19">
      <c r="B19" s="10" t="inlineStr">
        <is>
          <t>TOTAL GROSS DEBT</t>
        </is>
      </c>
      <c r="C19" s="23">
        <f>SUM(C13:C18)</f>
        <v/>
      </c>
      <c r="D19" s="23">
        <f>SUM(D13:D18)</f>
        <v/>
      </c>
      <c r="E19" s="23">
        <f>SUM(E13:E18)</f>
        <v/>
      </c>
      <c r="F19" s="23">
        <f>SUM(F13:F18)</f>
        <v/>
      </c>
      <c r="G19" s="23">
        <f>SUM(G13:G18)</f>
        <v/>
      </c>
      <c r="H19" s="23">
        <f>SUM(H13:H18)</f>
        <v/>
      </c>
      <c r="I19" s="23">
        <f>SUM(I13:I18)</f>
        <v/>
      </c>
    </row>
    <row r="20">
      <c r="B20" s="10" t="inlineStr">
        <is>
          <t>NET DEBT (Gross Debt - Cash)</t>
        </is>
      </c>
      <c r="C20" s="23">
        <f>C19-C11</f>
        <v/>
      </c>
      <c r="D20" s="23">
        <f>D19-D11</f>
        <v/>
      </c>
      <c r="E20" s="23">
        <f>E19-E11</f>
        <v/>
      </c>
      <c r="F20" s="23">
        <f>F19-F11</f>
        <v/>
      </c>
      <c r="G20" s="23">
        <f>G19-G11</f>
        <v/>
      </c>
      <c r="H20" s="23">
        <f>H19-H11</f>
        <v/>
      </c>
      <c r="I20" s="23">
        <f>I19-I11</f>
        <v/>
      </c>
    </row>
    <row r="21">
      <c r="B21" s="10" t="inlineStr">
        <is>
          <t>NET LEVERAGE (Net Debt / EBITDA)</t>
        </is>
      </c>
      <c r="C21" s="24">
        <f>C20/'Audited P&amp;L (USD &amp; UAH)'!C17</f>
        <v/>
      </c>
      <c r="D21" s="24">
        <f>D20/'Audited P&amp;L (USD &amp; UAH)'!D17</f>
        <v/>
      </c>
      <c r="E21" s="24">
        <f>E20/'Audited P&amp;L (USD &amp; UAH)'!E17</f>
        <v/>
      </c>
      <c r="F21" s="24">
        <f>F20/'Audited P&amp;L (USD &amp; UAH)'!F17</f>
        <v/>
      </c>
      <c r="G21" s="24">
        <f>G20/'Audited P&amp;L (USD &amp; UAH)'!G17</f>
        <v/>
      </c>
      <c r="H21" s="24">
        <f>H20/'Audited P&amp;L (USD &amp; UAH)'!H17</f>
        <v/>
      </c>
      <c r="I21" s="24">
        <f>I20/'Audited P&amp;L (USD &amp; UAH)'!I17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24" customWidth="1" min="4" max="4"/>
    <col width="24" customWidth="1" min="5" max="5"/>
    <col width="22" customWidth="1" min="6" max="6"/>
    <col width="22" customWidth="1" min="7" max="7"/>
    <col width="28" customWidth="1" min="8" max="8"/>
  </cols>
  <sheetData>
    <row r="2">
      <c r="B2" s="1" t="inlineStr">
        <is>
          <t>Ukrzaliznytsia — Cash Flow Statement &amp; Non-Repayable Grants Waterfall</t>
        </is>
      </c>
    </row>
    <row r="3">
      <c r="B3" s="2" t="inlineStr">
        <is>
          <t>Emergency capex, Western gauge integration, and international grant funding (USD Millions)</t>
        </is>
      </c>
    </row>
    <row r="5">
      <c r="B5" s="8" t="inlineStr">
        <is>
          <t>CASH FLOW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Cash Flow from Operations (CFO)</t>
        </is>
      </c>
      <c r="C6" s="23" t="n">
        <v>410</v>
      </c>
      <c r="D6" s="23" t="n">
        <v>240</v>
      </c>
      <c r="E6" s="23" t="n">
        <v>380</v>
      </c>
      <c r="F6" s="23" t="n">
        <v>420</v>
      </c>
      <c r="G6" s="23" t="n">
        <v>460</v>
      </c>
      <c r="H6" s="23" t="n">
        <v>520</v>
      </c>
      <c r="I6" s="23" t="n">
        <v>590</v>
      </c>
    </row>
    <row r="7">
      <c r="B7" s="5" t="inlineStr">
        <is>
          <t>Emergency Wartime Capex (Track/Bridge Repairs)</t>
        </is>
      </c>
      <c r="C7" s="17" t="n">
        <v>-240</v>
      </c>
      <c r="D7" s="17" t="n">
        <v>-320</v>
      </c>
      <c r="E7" s="17" t="n">
        <v>-280</v>
      </c>
      <c r="F7" s="17" t="n">
        <v>-260</v>
      </c>
      <c r="G7" s="17" t="n">
        <v>-220</v>
      </c>
      <c r="H7" s="17" t="n">
        <v>-180</v>
      </c>
      <c r="I7" s="17" t="n">
        <v>-150</v>
      </c>
    </row>
    <row r="8">
      <c r="B8" s="5" t="inlineStr">
        <is>
          <t>Standard-Gauge (1435mm) Cross-Border Expansion Capex</t>
        </is>
      </c>
      <c r="C8" s="17" t="n">
        <v>-40</v>
      </c>
      <c r="D8" s="17" t="n">
        <v>-25</v>
      </c>
      <c r="E8" s="17" t="n">
        <v>-85</v>
      </c>
      <c r="F8" s="17" t="n">
        <v>-140</v>
      </c>
      <c r="G8" s="17" t="n">
        <v>-180</v>
      </c>
      <c r="H8" s="17" t="n">
        <v>-220</v>
      </c>
      <c r="I8" s="17" t="n">
        <v>-250</v>
      </c>
    </row>
    <row r="9">
      <c r="B9" s="10" t="inlineStr">
        <is>
          <t>Total Capital Expenditures (Capex)</t>
        </is>
      </c>
      <c r="C9" s="23">
        <f>SUM(C7:C8)</f>
        <v/>
      </c>
      <c r="D9" s="23">
        <f>SUM(D7:D8)</f>
        <v/>
      </c>
      <c r="E9" s="23">
        <f>SUM(E7:E8)</f>
        <v/>
      </c>
      <c r="F9" s="23">
        <f>SUM(F7:F8)</f>
        <v/>
      </c>
      <c r="G9" s="23">
        <f>SUM(G7:G8)</f>
        <v/>
      </c>
      <c r="H9" s="23">
        <f>SUM(H7:H8)</f>
        <v/>
      </c>
      <c r="I9" s="23">
        <f>SUM(I7:I8)</f>
        <v/>
      </c>
    </row>
    <row r="10">
      <c r="B10" s="10" t="inlineStr">
        <is>
          <t>Non-Repayable International Grants (EU/EBRD/USAID/WB)</t>
        </is>
      </c>
      <c r="C10" s="23" t="n">
        <v>45</v>
      </c>
      <c r="D10" s="23" t="n">
        <v>195</v>
      </c>
      <c r="E10" s="23" t="n">
        <v>240</v>
      </c>
      <c r="F10" s="23" t="n">
        <v>280</v>
      </c>
      <c r="G10" s="23" t="n">
        <v>220</v>
      </c>
      <c r="H10" s="23" t="n">
        <v>160</v>
      </c>
      <c r="I10" s="23" t="n">
        <v>110</v>
      </c>
    </row>
    <row r="11">
      <c r="B11" s="10" t="inlineStr">
        <is>
          <t>NET FREE CASH FLOW (FCF = CFO + Capex + Grants)</t>
        </is>
      </c>
      <c r="C11" s="23">
        <f>C6+C9+C10</f>
        <v/>
      </c>
      <c r="D11" s="23">
        <f>D6+D9+D10</f>
        <v/>
      </c>
      <c r="E11" s="23">
        <f>E6+E9+E10</f>
        <v/>
      </c>
      <c r="F11" s="23">
        <f>F6+F9+F10</f>
        <v/>
      </c>
      <c r="G11" s="23">
        <f>G6+G9+G10</f>
        <v/>
      </c>
      <c r="H11" s="23">
        <f>H6+H9+H10</f>
        <v/>
      </c>
      <c r="I11" s="23">
        <f>I6+I9+I10</f>
        <v/>
      </c>
    </row>
    <row r="12">
      <c r="B12" s="5" t="inlineStr">
        <is>
          <t>Cash Interest Debt Service Paid</t>
        </is>
      </c>
      <c r="C12" s="17" t="n">
        <v>-125</v>
      </c>
      <c r="D12" s="17" t="n">
        <v>-115</v>
      </c>
      <c r="E12" s="17" t="n">
        <v>-130</v>
      </c>
      <c r="F12" s="17" t="n">
        <v>-135</v>
      </c>
      <c r="G12" s="17" t="n">
        <v>-140</v>
      </c>
      <c r="H12" s="17" t="n">
        <v>-130</v>
      </c>
      <c r="I12" s="17" t="n">
        <v>-120</v>
      </c>
    </row>
    <row r="13">
      <c r="B13" s="5" t="inlineStr">
        <is>
          <t>Principal Debt Repayments (Excl. Restructured Standstill)</t>
        </is>
      </c>
      <c r="C13" s="17" t="n">
        <v>-60</v>
      </c>
      <c r="D13" s="17" t="n">
        <v>-40</v>
      </c>
      <c r="E13" s="17" t="n">
        <v>-45</v>
      </c>
      <c r="F13" s="17" t="n">
        <v>-50</v>
      </c>
      <c r="G13" s="17" t="n">
        <v>-60</v>
      </c>
      <c r="H13" s="17" t="n">
        <v>-70</v>
      </c>
      <c r="I13" s="17" t="n">
        <v>-80</v>
      </c>
    </row>
    <row r="14">
      <c r="B14" s="10" t="inlineStr">
        <is>
          <t>NET SURPLUS CASH GENERATION</t>
        </is>
      </c>
      <c r="C14" s="22">
        <f>C11+C12+C13</f>
        <v/>
      </c>
      <c r="D14" s="22">
        <f>D11+D12+D13</f>
        <v/>
      </c>
      <c r="E14" s="22">
        <f>E11+E12+E13</f>
        <v/>
      </c>
      <c r="F14" s="22">
        <f>F11+F12+F13</f>
        <v/>
      </c>
      <c r="G14" s="22">
        <f>G11+G12+G13</f>
        <v/>
      </c>
      <c r="H14" s="22">
        <f>H11+H12+H13</f>
        <v/>
      </c>
      <c r="I14" s="22">
        <f>I11+I12+I13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24" customWidth="1" min="4" max="4"/>
    <col width="24" customWidth="1" min="5" max="5"/>
    <col width="22" customWidth="1" min="6" max="6"/>
    <col width="22" customWidth="1" min="7" max="7"/>
    <col width="28" customWidth="1" min="8" max="8"/>
  </cols>
  <sheetData>
    <row r="2">
      <c r="B2" s="1" t="inlineStr">
        <is>
          <t>Ukrzaliznytsia — Debt Instrument Tranches &amp; Restructuring Schedule</t>
        </is>
      </c>
    </row>
    <row r="3">
      <c r="B3" s="2" t="inlineStr">
        <is>
          <t>Eurobonds, Sovereign-Guaranteed Loans, ISINs, Standstill Dates, and Covenants</t>
        </is>
      </c>
    </row>
    <row r="5">
      <c r="B5" s="3" t="inlineStr">
        <is>
          <t>Debt Instrument</t>
        </is>
      </c>
      <c r="C5" s="3" t="inlineStr">
        <is>
          <t>ISIN / Identifier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Original Maturity</t>
        </is>
      </c>
      <c r="G5" s="3" t="inlineStr">
        <is>
          <t>Standstill Maturity</t>
        </is>
      </c>
      <c r="H5" s="3" t="inlineStr">
        <is>
          <t>Principal ($M)</t>
        </is>
      </c>
      <c r="I5" s="3" t="inlineStr">
        <is>
          <t>Sovereign Guarantee Status</t>
        </is>
      </c>
    </row>
    <row r="6">
      <c r="B6" s="10" t="inlineStr">
        <is>
          <t>RAILUA 8.25% Loan Participation Notes</t>
        </is>
      </c>
      <c r="C6" s="5" t="inlineStr">
        <is>
          <t>XS2010038446</t>
        </is>
      </c>
      <c r="D6" s="5" t="inlineStr">
        <is>
          <t>USD</t>
        </is>
      </c>
      <c r="E6" s="5" t="inlineStr">
        <is>
          <t>8.25% s.a.</t>
        </is>
      </c>
      <c r="F6" s="5" t="inlineStr">
        <is>
          <t>July 2024</t>
        </is>
      </c>
      <c r="G6" s="25" t="inlineStr">
        <is>
          <t>July 9, 2026</t>
        </is>
      </c>
      <c r="H6" s="19" t="n">
        <v>595</v>
      </c>
      <c r="I6" s="5" t="inlineStr">
        <is>
          <t>Unguaranteed Standalone Corporate Credit</t>
        </is>
      </c>
    </row>
    <row r="7">
      <c r="B7" s="10" t="inlineStr">
        <is>
          <t>RAILUA 7.875% Loan Participation Notes</t>
        </is>
      </c>
      <c r="C7" s="5" t="inlineStr">
        <is>
          <t>XS2363198544</t>
        </is>
      </c>
      <c r="D7" s="5" t="inlineStr">
        <is>
          <t>USD</t>
        </is>
      </c>
      <c r="E7" s="5" t="inlineStr">
        <is>
          <t>7.875% s.a.</t>
        </is>
      </c>
      <c r="F7" s="5" t="inlineStr">
        <is>
          <t>July 2026</t>
        </is>
      </c>
      <c r="G7" s="25" t="inlineStr">
        <is>
          <t>July 15, 2028</t>
        </is>
      </c>
      <c r="H7" s="19" t="n">
        <v>300</v>
      </c>
      <c r="I7" s="5" t="inlineStr">
        <is>
          <t>Unguaranteed Standalone Corporate Credit</t>
        </is>
      </c>
    </row>
    <row r="8">
      <c r="B8" s="10" t="inlineStr">
        <is>
          <t>EBRD Emergency Liquidity Facility</t>
        </is>
      </c>
      <c r="C8" s="5" t="inlineStr">
        <is>
          <t>EBRD-53102</t>
        </is>
      </c>
      <c r="D8" s="5" t="inlineStr">
        <is>
          <t>EUR</t>
        </is>
      </c>
      <c r="E8" s="5" t="inlineStr">
        <is>
          <t>EURIBOR + 1.80%</t>
        </is>
      </c>
      <c r="F8" s="5" t="inlineStr">
        <is>
          <t>Amortizing</t>
        </is>
      </c>
      <c r="G8" s="25" t="inlineStr">
        <is>
          <t>2029</t>
        </is>
      </c>
      <c r="H8" s="19" t="n">
        <v>165</v>
      </c>
      <c r="I8" s="5" t="inlineStr">
        <is>
          <t>100% Sovereign Guarantee from Ukraine MoF</t>
        </is>
      </c>
    </row>
    <row r="9">
      <c r="B9" s="10" t="inlineStr">
        <is>
          <t>EBRD Infrastructure Rehabilitation</t>
        </is>
      </c>
      <c r="C9" s="5" t="inlineStr">
        <is>
          <t>EBRD-54200</t>
        </is>
      </c>
      <c r="D9" s="5" t="inlineStr">
        <is>
          <t>EUR</t>
        </is>
      </c>
      <c r="E9" s="5" t="inlineStr">
        <is>
          <t>EURIBOR + 2.00%</t>
        </is>
      </c>
      <c r="F9" s="5" t="inlineStr">
        <is>
          <t>Amortizing</t>
        </is>
      </c>
      <c r="G9" s="25" t="inlineStr">
        <is>
          <t>2032</t>
        </is>
      </c>
      <c r="H9" s="19" t="n">
        <v>215</v>
      </c>
      <c r="I9" s="5" t="inlineStr">
        <is>
          <t>100% Sovereign Guarantee from Ukraine MoF</t>
        </is>
      </c>
    </row>
    <row r="10">
      <c r="B10" s="10" t="inlineStr">
        <is>
          <t>EIB Ukraine Rail Solidarity Loan</t>
        </is>
      </c>
      <c r="C10" s="5" t="inlineStr">
        <is>
          <t>EIB-FI-9120</t>
        </is>
      </c>
      <c r="D10" s="5" t="inlineStr">
        <is>
          <t>EUR</t>
        </is>
      </c>
      <c r="E10" s="5" t="inlineStr">
        <is>
          <t>Fixed 1.50%</t>
        </is>
      </c>
      <c r="F10" s="5" t="inlineStr">
        <is>
          <t>Amortizing</t>
        </is>
      </c>
      <c r="G10" s="25" t="inlineStr">
        <is>
          <t>2034</t>
        </is>
      </c>
      <c r="H10" s="19" t="n">
        <v>260</v>
      </c>
      <c r="I10" s="5" t="inlineStr">
        <is>
          <t>100% Sovereign Guarantee + EU Budget Cover</t>
        </is>
      </c>
    </row>
    <row r="11">
      <c r="B11" s="10" t="inlineStr">
        <is>
          <t>Domestic State Bank Syndicated Facility</t>
        </is>
      </c>
      <c r="C11" s="5" t="inlineStr">
        <is>
          <t>Oschad / Ukrex</t>
        </is>
      </c>
      <c r="D11" s="5" t="inlineStr">
        <is>
          <t>UAH</t>
        </is>
      </c>
      <c r="E11" s="5" t="inlineStr">
        <is>
          <t>NBU Key Rate + 2.5%</t>
        </is>
      </c>
      <c r="F11" s="5" t="inlineStr">
        <is>
          <t>Revolving</t>
        </is>
      </c>
      <c r="G11" s="25" t="inlineStr">
        <is>
          <t>2026</t>
        </is>
      </c>
      <c r="H11" s="19" t="n">
        <v>110</v>
      </c>
      <c r="I11" s="5" t="inlineStr">
        <is>
          <t>State Commercial Bank Support</t>
        </is>
      </c>
    </row>
    <row r="12">
      <c r="B12" s="10" t="inlineStr">
        <is>
          <t>Rolling Stock &amp; Equipment Lease Liabilities</t>
        </is>
      </c>
      <c r="C12" s="5" t="inlineStr">
        <is>
          <t>Various</t>
        </is>
      </c>
      <c r="D12" s="5" t="inlineStr">
        <is>
          <t>USD / UAH</t>
        </is>
      </c>
      <c r="E12" s="5" t="inlineStr">
        <is>
          <t>Market Lease Rates</t>
        </is>
      </c>
      <c r="F12" s="5" t="inlineStr">
        <is>
          <t>Amortizing</t>
        </is>
      </c>
      <c r="G12" s="25" t="inlineStr">
        <is>
          <t>2025 - 2029</t>
        </is>
      </c>
      <c r="H12" s="19" t="n">
        <v>85</v>
      </c>
      <c r="I12" s="5" t="inlineStr">
        <is>
          <t>Secured by Locomotives &amp; Wagons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24" customWidth="1" min="4" max="4"/>
    <col width="24" customWidth="1" min="5" max="5"/>
    <col width="22" customWidth="1" min="6" max="6"/>
    <col width="22" customWidth="1" min="7" max="7"/>
    <col width="28" customWidth="1" min="8" max="8"/>
  </cols>
  <sheetData>
    <row r="2">
      <c r="B2" s="1" t="inlineStr">
        <is>
          <t>Ukrzaliznytsia — Distressed Restructuring Scenarios &amp; Recovery Analysis</t>
        </is>
      </c>
    </row>
    <row r="3">
      <c r="B3" s="2" t="inlineStr">
        <is>
          <t>Valuation matrix for RAILUA 2026 &amp; 2028 notes across 4 distinct restructuring and downside pathways</t>
        </is>
      </c>
    </row>
    <row r="5">
      <c r="B5" s="3" t="inlineStr">
        <is>
          <t>Parameter / Analytical Driver</t>
        </is>
      </c>
      <c r="C5" s="3" t="inlineStr">
        <is>
          <t>Scenario A: Standalone Extension (Base)</t>
        </is>
      </c>
      <c r="D5" s="3" t="inlineStr">
        <is>
          <t>Scenario B: Sovereign Debt Mirror</t>
        </is>
      </c>
      <c r="E5" s="3" t="inlineStr">
        <is>
          <t>Scenario C: Severe War Escalation</t>
        </is>
      </c>
      <c r="F5" s="3" t="inlineStr">
        <is>
          <t>Scenario D: EU Accession Bull Case</t>
        </is>
      </c>
    </row>
    <row r="6">
      <c r="B6" s="5" t="inlineStr">
        <is>
          <t>Nominal Principal Haircut</t>
        </is>
      </c>
      <c r="C6" s="26" t="inlineStr">
        <is>
          <t>0.0% (Maturity Extension Only)</t>
        </is>
      </c>
      <c r="D6" s="26" t="inlineStr">
        <is>
          <t>25.0% Nominal Haircut</t>
        </is>
      </c>
      <c r="E6" s="26" t="inlineStr">
        <is>
          <t>45.0% Nominal Haircut</t>
        </is>
      </c>
      <c r="F6" s="26" t="inlineStr">
        <is>
          <t>0.0% (Tender at Par)</t>
        </is>
      </c>
    </row>
    <row r="7">
      <c r="B7" s="5" t="inlineStr">
        <is>
          <t>New Maturity Date</t>
        </is>
      </c>
      <c r="C7" s="26" t="inlineStr">
        <is>
          <t>July 2029 / July 2031 (3-Year Ext)</t>
        </is>
      </c>
      <c r="D7" s="26" t="inlineStr">
        <is>
          <t>2030 / 2034 Amortizing Notes</t>
        </is>
      </c>
      <c r="E7" s="26" t="inlineStr">
        <is>
          <t>Indefinite Debt Moratorium</t>
        </is>
      </c>
      <c r="F7" s="26" t="inlineStr">
        <is>
          <t>July 2026 / 2028 Maintained</t>
        </is>
      </c>
    </row>
    <row r="8">
      <c r="B8" s="5" t="inlineStr">
        <is>
          <t>Coupon Structure</t>
        </is>
      </c>
      <c r="C8" s="26" t="inlineStr">
        <is>
          <t>5.50% Cash + 2.75% PIK</t>
        </is>
      </c>
      <c r="D8" s="26" t="inlineStr">
        <is>
          <t>3.00% Step-Up to 6.00% Cash</t>
        </is>
      </c>
      <c r="E8" s="26" t="inlineStr">
        <is>
          <t>0.0% Non-Accrual</t>
        </is>
      </c>
      <c r="F8" s="26" t="inlineStr">
        <is>
          <t>8.25% Cash Reinstated</t>
        </is>
      </c>
    </row>
    <row r="9">
      <c r="B9" s="5" t="inlineStr">
        <is>
          <t>Exit Discount Yield Assumption</t>
        </is>
      </c>
      <c r="C9" s="26" t="inlineStr">
        <is>
          <t>12.50% Exit Yield</t>
        </is>
      </c>
      <c r="D9" s="26" t="inlineStr">
        <is>
          <t>14.50% Exit Yield</t>
        </is>
      </c>
      <c r="E9" s="26" t="inlineStr">
        <is>
          <t>24.00% Distressed Yield</t>
        </is>
      </c>
      <c r="F9" s="26" t="inlineStr">
        <is>
          <t>8.50% Pre-Accession Yield</t>
        </is>
      </c>
    </row>
    <row r="10">
      <c r="B10" s="10" t="inlineStr">
        <is>
          <t>Gross Recovery Target ($ per $100 par)</t>
        </is>
      </c>
      <c r="C10" s="27" t="inlineStr">
        <is>
          <t>$71.50</t>
        </is>
      </c>
      <c r="D10" s="27" t="inlineStr">
        <is>
          <t>$61.00</t>
        </is>
      </c>
      <c r="E10" s="27" t="inlineStr">
        <is>
          <t>$38.00</t>
        </is>
      </c>
      <c r="F10" s="27" t="inlineStr">
        <is>
          <t>$88.50</t>
        </is>
      </c>
    </row>
    <row r="11">
      <c r="B11" s="5" t="inlineStr">
        <is>
          <t>Current Trading Price ($ per $100 par)</t>
        </is>
      </c>
      <c r="C11" s="26" t="inlineStr">
        <is>
          <t>$64.00</t>
        </is>
      </c>
      <c r="D11" s="26" t="inlineStr">
        <is>
          <t>$64.00</t>
        </is>
      </c>
      <c r="E11" s="26" t="inlineStr">
        <is>
          <t>$64.00</t>
        </is>
      </c>
      <c r="F11" s="26" t="inlineStr">
        <is>
          <t>$64.00</t>
        </is>
      </c>
    </row>
    <row r="12">
      <c r="B12" s="10" t="inlineStr">
        <is>
          <t>Implied Upside / (Downside) (%)</t>
        </is>
      </c>
      <c r="C12" s="28" t="inlineStr">
        <is>
          <t>+11.7%</t>
        </is>
      </c>
      <c r="D12" s="29" t="inlineStr">
        <is>
          <t>-4.7%</t>
        </is>
      </c>
      <c r="E12" s="29" t="inlineStr">
        <is>
          <t>-40.6%</t>
        </is>
      </c>
      <c r="F12" s="28" t="inlineStr">
        <is>
          <t>+38.3%</t>
        </is>
      </c>
    </row>
    <row r="13">
      <c r="B13" s="10" t="inlineStr">
        <is>
          <t>Recommended Portfolio Action</t>
        </is>
      </c>
      <c r="C13" s="30" t="inlineStr">
        <is>
          <t>Overweight / Accumulate &lt;65c</t>
        </is>
      </c>
      <c r="D13" s="30" t="inlineStr">
        <is>
          <t>Neutral / Hold for Accrual</t>
        </is>
      </c>
      <c r="E13" s="30" t="inlineStr">
        <is>
          <t>Stop-Loss Trigger &lt;52c</t>
        </is>
      </c>
      <c r="F13" s="30" t="inlineStr">
        <is>
          <t>High-Beta Outperform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4" customWidth="1" min="3" max="3"/>
    <col width="24" customWidth="1" min="4" max="4"/>
    <col width="24" customWidth="1" min="5" max="5"/>
    <col width="22" customWidth="1" min="6" max="6"/>
    <col width="22" customWidth="1" min="7" max="7"/>
    <col width="28" customWidth="1" min="8" max="8"/>
  </cols>
  <sheetData>
    <row r="2">
      <c r="B2" s="1" t="inlineStr">
        <is>
          <t>Ukrzaliznytsia — Physical Network Resilience &amp; Export Corridor Allocation</t>
        </is>
      </c>
    </row>
    <row r="3">
      <c r="B3" s="2" t="inlineStr">
        <is>
          <t>Port vs Western rail crossing volumes, electricity grid decentralization, and asset damage tracking</t>
        </is>
      </c>
    </row>
    <row r="5">
      <c r="B5" s="8" t="inlineStr">
        <is>
          <t>PHYSICAL INFRASTRUCTURE PARAMETER</t>
        </is>
      </c>
      <c r="C5" s="8" t="inlineStr">
        <is>
          <t>CURRENT STATUS (2024A)</t>
        </is>
      </c>
      <c r="D5" s="8" t="inlineStr">
        <is>
          <t>HISTORICAL COMPARISON (2021A)</t>
        </is>
      </c>
      <c r="E5" s="8" t="inlineStr">
        <is>
          <t>RISK MITIGATION MECHANISM</t>
        </is>
      </c>
    </row>
    <row r="6">
      <c r="B6" s="10" t="inlineStr">
        <is>
          <t>Black Sea Odesa Ports Export Volume</t>
        </is>
      </c>
      <c r="C6" s="31" t="inlineStr">
        <is>
          <t>74% of grain &amp; metal exports</t>
        </is>
      </c>
      <c r="D6" s="31" t="inlineStr">
        <is>
          <t>88% of total agricultural exports</t>
        </is>
      </c>
      <c r="E6" s="31" t="inlineStr">
        <is>
          <t>Defense de-mining &amp; naval grain corridor</t>
        </is>
      </c>
    </row>
    <row r="7">
      <c r="B7" s="10" t="inlineStr">
        <is>
          <t>Western Border Rail Crossings (Poland, Romania)</t>
        </is>
      </c>
      <c r="C7" s="31" t="inlineStr">
        <is>
          <t>26% of grain export throughput</t>
        </is>
      </c>
      <c r="D7" s="31" t="inlineStr">
        <is>
          <t>12% of total agricultural exports</t>
        </is>
      </c>
      <c r="E7" s="31" t="inlineStr">
        <is>
          <t>Dual-gauge transshipment &amp; EU Solidarity Lanes</t>
        </is>
      </c>
    </row>
    <row r="8">
      <c r="B8" s="10" t="inlineStr">
        <is>
          <t>Electric Traction Substation Vulnerability</t>
        </is>
      </c>
      <c r="C8" s="31" t="inlineStr">
        <is>
          <t>145 substations damaged by missiles</t>
        </is>
      </c>
      <c r="D8" s="31" t="inlineStr">
        <is>
          <t>Zero damage / fully centralized grid</t>
        </is>
      </c>
      <c r="E8" s="31" t="inlineStr">
        <is>
          <t>Mobile backup diesel locomotives &amp; US power units</t>
        </is>
      </c>
    </row>
    <row r="9">
      <c r="B9" s="10" t="inlineStr">
        <is>
          <t>Locomotive Fleet Availability</t>
        </is>
      </c>
      <c r="C9" s="31" t="inlineStr">
        <is>
          <t>1,150 active mainline locomotives</t>
        </is>
      </c>
      <c r="D9" s="31" t="inlineStr">
        <is>
          <t>1,850 active mainline locomotives</t>
        </is>
      </c>
      <c r="E9" s="31" t="inlineStr">
        <is>
          <t>Alstom / Wabtec supply agreements &amp; cannibalization</t>
        </is>
      </c>
    </row>
    <row r="10">
      <c r="B10" s="10" t="inlineStr">
        <is>
          <t>Rolling Stock Wagon Inventory</t>
        </is>
      </c>
      <c r="C10" s="31" t="inlineStr">
        <is>
          <t>68,000 active freight wagons</t>
        </is>
      </c>
      <c r="D10" s="31" t="inlineStr">
        <is>
          <t>84,000 active freight wagons</t>
        </is>
      </c>
      <c r="E10" s="31" t="inlineStr">
        <is>
          <t>State wagon pooling &amp; private fleet integration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2026-09-19T20:50:49Z</dcterms:created>
  <dcterms:modified xmlns:dcterms="http://purl.org/dc/terms/" xmlns:xsi="http://www.w3.org/2001/XMLSchema-instance" xsi:type="dcterms:W3CDTF">2026-09-19T20:50:49Z</dcterms:modified>
</cp:coreProperties>
</file>