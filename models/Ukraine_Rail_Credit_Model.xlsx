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  <comment ref="C36" authorId="0" shapeId="0">
      <text>
        <t>CEMBI Credit Desk EBITDA Audit (2021A):
Reconciled: Pre/post-war normalized railway operations; minor +$9.7M (+2.0%) variance reflecting statutory scrap metal sales and passenger subsidy reimbursements.</t>
      </text>
    </comment>
    <comment ref="D36" authorId="0" shapeId="0">
      <text>
        <t>CEMBI Credit Desk EBITDA Audit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36" authorId="0" shapeId="0">
      <text>
        <t>CEMBI Credit Desk EBITDA Audit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36" authorId="0" shapeId="0">
      <text>
        <t>CEMBI Credit Desk EBITDA Audit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36" authorId="0" shapeId="0">
      <text>
        <t>CEMBI Credit Desk EBITDA Audit (2025E):
Reconciled: Pre/post-war normalized railway operations; minor +$8.8M (+2.0%) variance reflecting statutory scrap metal sales and passenger subsidy reimbursements.</t>
      </text>
    </comment>
    <comment ref="H36" authorId="0" shapeId="0">
      <text>
        <t>CEMBI Credit Desk EBITDA Audit (2026E):
Reconciled: Pre/post-war normalized railway operations; minor +$10.2M (+2.0%) variance reflecting statutory scrap metal sales and passenger subsidy reimbursements.</t>
      </text>
    </comment>
    <comment ref="I36" authorId="0" shapeId="0">
      <text>
        <t>CEMBI Credit Desk EBITDA Audit (2027E):
Reconciled: Pre/post-war normalized railway operations; minor +$11.8M (+2.0%) variance reflecting statutory scrap metal sales and passenger subsidy reimbursements.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of $220M supported positive free cash flow of $187.2M.</t>
      </text>
    </comment>
    <comment ref="D34" authorId="0" shapeId="0">
      <text>
        <t>CEMBI Credit Desk FCF Bridge (2022A):
Formula: EBITDA - Capex - Cash Interest - ΔNWC - Tax
FCF supported by international donor assistance and operational cost retrenchment.</t>
      </text>
    </comment>
    <comment ref="E34" authorId="0" shapeId="0">
      <text>
        <t>CEMBI Credit Desk FCF Bridge (2023A):
Formula: EBITDA - Capex - Cash Interest - ΔNWC - Tax
FCF of $157.9M generated, rebuilding vital operational and rolling stock spare parts reserves.</t>
      </text>
    </comment>
    <comment ref="F34" authorId="0" shapeId="0">
      <text>
        <t>CEMBI Credit Desk FCF Bridge (2024A):
Formula: EBITDA - Capex - Cash Interest - ΔNWC - Tax
FCF of $190M maintains fortress cash balance ($380M) protecting against wartime logistics disruption.</t>
      </text>
    </comment>
    <comment ref="G34" authorId="0" shapeId="0">
      <text>
        <t>CEMBI Credit Desk FCF Bridge (2025E):
Formula: EBITDA - Capex - Cash Interest - ΔNWC - Tax
Free cash flow expected to reach $215.6M, ensuring self-sufficiency for scheduled operational liabilities.</t>
      </text>
    </comment>
    <comment ref="H34" authorId="0" shapeId="0">
      <text>
        <t>CEMBI Credit Desk FCF Bridge (2026E):
Formula: EBITDA - Capex - Cash Interest - ΔNWC - Tax
Robust FCF of $245.4M provides substantial liquidity buffer ahead of bond maturity restructuring.</t>
      </text>
    </comment>
    <comment ref="I34" authorId="0" shapeId="0">
      <text>
        <t>CEMBI Credit Desk FCF Bridge (2027E):
Formula: EBITDA - Capex - Cash Interest - ΔNWC - Tax
FCF generation hits $273.5M, allowing rapid retirement of commercial bank debt.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Consolidated net leverage stable at 5.57x under pre-war commercial operations.</t>
      </text>
    </comment>
    <comment ref="D8" authorId="0" shapeId="0">
      <text>
        <t>CEMBI Credit Desk Calculated Leverage Commentary (2022A):
Net leverage rose to 4.62x; initiation of comprehensive debt standstill with bondholders.</t>
      </text>
    </comment>
    <comment ref="E8" authorId="0" shapeId="0">
      <text>
        <t>CEMBI Credit Desk Calculated Leverage Commentary (2023A):
Net leverage improved to 4.29x with 100% sovereign backing on external debt obligations.</t>
      </text>
    </comment>
    <comment ref="F8" authorId="0" shapeId="0">
      <text>
        <t>CEMBI Credit Desk Calculated Leverage Commentary (2024A):
Net leverage reduced to 3.84x, providing significant headroom under restructured debt covenants.</t>
      </text>
    </comment>
    <comment ref="G8" authorId="0" shapeId="0">
      <text>
        <t>CEMBI Credit Desk Calculated Leverage Commentary (2025E):
Net leverage projected to drop to 3.28x under continued conservative financial management.</t>
      </text>
    </comment>
    <comment ref="H8" authorId="0" shapeId="0">
      <text>
        <t>CEMBI Credit Desk Calculated Leverage Commentary (2026E):
Net leverage declines to 2.84x; Ukraine Rail solidifies its role as the national economic backbone.</t>
      </text>
    </comment>
    <comment ref="I8" authorId="0" shapeId="0">
      <text>
        <t>CEMBI Credit Desk Calculated Leverage Commentary (2027E):
Net leverage reaches 2.42x, reflecting an institutional turnaround supported by sovereign and multilateral backing.</t>
      </text>
    </comment>
    <comment ref="C9" authorId="0" shapeId="0">
      <text>
        <t>CEMBI Credit Desk Reported Leverage Commentary (2021A):
Reconciled: Pre/post-war normalized railway operations; minor +$9.7M (+2.0%) variance reflecting statutory scrap metal sales and passenger subsidy reimbursements.</t>
      </text>
    </comment>
    <comment ref="D9" authorId="0" shapeId="0">
      <text>
        <t>CEMBI Credit Desk Reported Leverage Commentary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9" authorId="0" shapeId="0">
      <text>
        <t>CEMBI Credit Desk Reported Leverage Commentary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9" authorId="0" shapeId="0">
      <text>
        <t>CEMBI Credit Desk Reported Leverage Commentary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9" authorId="0" shapeId="0">
      <text>
        <t>CEMBI Credit Desk Reported Leverage Commentary (2025E):
Reconciled: Pre/post-war normalized railway operations; minor +$8.8M (+2.0%) variance reflecting statutory scrap metal sales and passenger subsidy reimbursements.</t>
      </text>
    </comment>
    <comment ref="H9" authorId="0" shapeId="0">
      <text>
        <t>CEMBI Credit Desk Reported Leverage Commentary (2026E):
Reconciled: Pre/post-war normalized railway operations; minor +$10.2M (+2.0%) variance reflecting statutory scrap metal sales and passenger subsidy reimbursements.</t>
      </text>
    </comment>
    <comment ref="I9" authorId="0" shapeId="0">
      <text>
        <t>CEMBI Credit Desk Reported Leverage Commentary (2027E):
Reconciled: Pre/post-war normalized railway operations; minor +$11.8M (+2.0%) variance reflecting statutory scrap metal sales and passenger subsidy reimbursements.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9.699999999999999</v>
      </c>
      <c r="D35" s="23" t="n">
        <v>35.2</v>
      </c>
      <c r="E35" s="23" t="n">
        <v>62.9</v>
      </c>
      <c r="F35" s="23" t="n">
        <v>70.3</v>
      </c>
      <c r="G35" s="23" t="n">
        <v>8.800000000000001</v>
      </c>
      <c r="H35" s="23" t="n">
        <v>10.2</v>
      </c>
      <c r="I35" s="23" t="n">
        <v>11.8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Divergent</t>
        </is>
      </c>
      <c r="E39" s="24" t="inlineStr">
        <is>
          <t>Divergent</t>
        </is>
      </c>
      <c r="F39" s="24" t="inlineStr">
        <is>
          <t>Divergent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Reconciled: Pre/post-war normalized railway operations; minor +$9.7M (+2.0%) variance reflecting statutory scrap metal sales and passenger subsidy reimbursements.</t>
        </is>
      </c>
    </row>
    <row r="43">
      <c r="B43" s="25" t="inlineStr">
        <is>
          <t>[2022A] 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4">
      <c r="B44" s="25" t="inlineStr">
        <is>
          <t>[2023A] 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5">
      <c r="B45" s="25" t="inlineStr">
        <is>
          <t>[2024A] 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6">
      <c r="B46" s="25" t="inlineStr">
        <is>
          <t>[2025E] Reconciled: Pre/post-war normalized railway operations; minor +$8.8M (+2.0%) variance reflecting statutory scrap metal sales and passenger subsidy reimbursements.</t>
        </is>
      </c>
    </row>
    <row r="47">
      <c r="B47" s="25" t="inlineStr">
        <is>
          <t>[2026E] Reconciled: Pre/post-war normalized railway operations; minor +$10.2M (+2.0%) variance reflecting statutory scrap metal sales and passenger subsidy reimbursements.</t>
        </is>
      </c>
    </row>
    <row r="48">
      <c r="B48" s="25" t="inlineStr">
        <is>
          <t>[2027E] Reconciled: Pre/post-war normalized railway operations; minor +$11.8M (+2.0%) variance reflecting statutory scrap metal sales and passenger subsidy reimbursements.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-280</v>
      </c>
      <c r="D16" s="8" t="n">
        <v>-345</v>
      </c>
      <c r="E16" s="8" t="n">
        <v>-365</v>
      </c>
      <c r="F16" s="8" t="n">
        <v>-400</v>
      </c>
      <c r="G16" s="8" t="n">
        <v>-400</v>
      </c>
      <c r="H16" s="8" t="n">
        <v>-400</v>
      </c>
      <c r="I16" s="8" t="n">
        <v>-400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-82.2</v>
      </c>
      <c r="D32" s="8" t="n">
        <v>-167.9</v>
      </c>
      <c r="E32" s="8" t="n">
        <v>-186</v>
      </c>
      <c r="F32" s="8" t="n">
        <v>-194.8</v>
      </c>
      <c r="G32" s="8" t="n">
        <v>-185.3</v>
      </c>
      <c r="H32" s="8" t="n">
        <v>-174.1</v>
      </c>
      <c r="I32" s="8" t="n">
        <v>-163.9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of $220M supported positive free cash flow of $187.2M.</t>
        </is>
      </c>
    </row>
    <row r="39">
      <c r="B39" s="25" t="inlineStr">
        <is>
          <t>[2022A] FCF supported by international donor assistance and operational cost retrenchment.</t>
        </is>
      </c>
    </row>
    <row r="40">
      <c r="B40" s="25" t="inlineStr">
        <is>
          <t>[2023A] FCF of $157.9M generated, rebuilding vital operational and rolling stock spare parts reserves.</t>
        </is>
      </c>
    </row>
    <row r="41">
      <c r="B41" s="25" t="inlineStr">
        <is>
          <t>[2024A] FCF of $190M maintains fortress cash balance ($380M) protecting against wartime logistics disruption.</t>
        </is>
      </c>
    </row>
    <row r="42">
      <c r="B42" s="25" t="inlineStr">
        <is>
          <t>[2025E] Free cash flow expected to reach $215.6M, ensuring self-sufficiency for scheduled operational liabilities.</t>
        </is>
      </c>
    </row>
    <row r="43">
      <c r="B43" s="25" t="inlineStr">
        <is>
          <t>[2026E] Robust FCF of $245.4M provides substantial liquidity buffer ahead of bond maturity restructuring.</t>
        </is>
      </c>
    </row>
    <row r="44">
      <c r="B44" s="25" t="inlineStr">
        <is>
          <t>[2027E] FCF generation hits $273.5M, allowing rapid retirement of commercial bank debt.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778.5</v>
      </c>
      <c r="F37" s="29" t="inlineStr">
        <is>
          <t>19.250%</t>
        </is>
      </c>
      <c r="G37" s="30" t="n">
        <v>64</v>
      </c>
      <c r="H37" s="31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519</v>
      </c>
      <c r="F38" s="29" t="inlineStr">
        <is>
          <t>18.600%</t>
        </is>
      </c>
      <c r="G38" s="30" t="n">
        <v>66</v>
      </c>
      <c r="H38" s="31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3.86x</t>
        </is>
      </c>
      <c r="E55" s="32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2.81x</t>
        </is>
      </c>
      <c r="E56" s="32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19.25%</t>
        </is>
      </c>
      <c r="F6" s="34" t="inlineStr">
        <is>
          <t>3.5x</t>
        </is>
      </c>
      <c r="G6" s="34" t="inlineStr">
        <is>
          <t>$71.50</t>
        </is>
      </c>
      <c r="H6" s="34" t="inlineStr">
        <is>
          <t>+11.7%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21.25%</t>
        </is>
      </c>
      <c r="F7" s="29" t="inlineStr">
        <is>
          <t>3.0x</t>
        </is>
      </c>
      <c r="G7" s="29" t="inlineStr">
        <is>
          <t>$54.75</t>
        </is>
      </c>
      <c r="H7" s="29" t="inlineStr">
        <is>
          <t>-14.5%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$38.00</t>
        </is>
      </c>
      <c r="H8" s="29" t="inlineStr">
        <is>
          <t>-40.6%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17.75%</t>
        </is>
      </c>
      <c r="F9" s="29" t="inlineStr">
        <is>
          <t>5.0x</t>
        </is>
      </c>
      <c r="G9" s="29" t="inlineStr">
        <is>
          <t>$84.37</t>
        </is>
      </c>
      <c r="H9" s="29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38.0%</t>
        </is>
      </c>
      <c r="G15" s="29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36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5" t="inlineStr">
        <is>
          <t>$3035.2M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$3160.0M (+10.9% YoY growth). With current run-rate at $3035.2M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5" t="inlineStr">
        <is>
          <t>$410.4M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$440.0M (13.9%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3.86x</t>
        </is>
      </c>
      <c r="E9" s="36" t="inlineStr">
        <is>
          <t>On Track</t>
        </is>
      </c>
      <c r="F9" s="37" t="inlineStr">
        <is>
          <t>Deleveraging on track with -0.11x buffer below covenant limit.
[QUESTION TO CFO TO VERIFY]: You previously committed to a Net Leverage ceiling of &lt; 3.25x Net Debt / EBITDA. Current actual leverage stands at 3.86x.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5" t="inlineStr">
        <is>
          <t>$368.0M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$400.0M (Maximum growth and sustaining envelope). Current commitments stand at $368.0M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7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7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7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7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7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7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7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7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7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7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7" t="inlineStr">
        <is>
          <t>$265.0M</t>
        </is>
      </c>
    </row>
    <row r="35">
      <c r="B35" s="9" t="inlineStr">
        <is>
          <t>Undrawn Committed Bank Rcfs</t>
        </is>
      </c>
      <c r="C35" s="37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7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7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7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7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7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7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7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7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7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7" t="inlineStr">
        <is>
          <t>$225M in direct grants for heavy autotransformers and grid resilience systems</t>
        </is>
      </c>
    </row>
    <row r="51"/>
    <row r="52">
      <c r="B52" s="3" t="inlineStr">
        <is>
          <t>VI.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7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7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7" t="inlineStr">
        <is>
          <t>100% of multilateral debt service guaranteed by the Ministry of Finance of Ukraine</t>
        </is>
      </c>
    </row>
    <row r="57"/>
    <row r="58"/>
    <row r="59">
      <c r="B59" s="3" t="inlineStr">
        <is>
          <t>INSTITUTIONAL MANAGEMENT QUESTIONS &amp; CONVICTION DRIVERS (1-ON-1 DUE DILIGENCE)</t>
        </is>
      </c>
    </row>
    <row r="60">
      <c r="B60" s="5" t="inlineStr">
        <is>
          <t>Focus Area</t>
        </is>
      </c>
      <c r="C60" s="5" t="inlineStr">
        <is>
          <t>Question to Ask CFO / Management</t>
        </is>
      </c>
      <c r="F60" s="5" t="inlineStr">
        <is>
          <t>Credit Relevance &amp; Deduced Ambiguity</t>
        </is>
      </c>
      <c r="H60" s="5" t="inlineStr">
        <is>
          <t>Conviction Trigger &amp; Decision Rule</t>
        </is>
      </c>
    </row>
    <row r="61">
      <c r="B61" s="9" t="inlineStr">
        <is>
          <t>Ring-Fencing of Multilateral Donor Grants vs. Commercial Freight Working Capital</t>
        </is>
      </c>
      <c r="C61" s="37" t="inlineStr">
        <is>
          <t>Are the $240M EBRD/World Bank Western rail corridor facilities strictly ring-fenced for capital track/locomotive purchases, or can surplus funds be fungibly deployed toward operational fuel, electricity, and rolling stock maintenance to preserve commercial liquidity?</t>
        </is>
      </c>
      <c r="F61" s="25" t="inlineStr">
        <is>
          <t>Ukraine Rail reported positive EBITDA in 2023-2024 primarily due to $195M in donor grant recognition. If multilateral lenders mandate strict project-specific escrow accounts, that cash cannot be touched to service commercial liabilities or bridge domestic freight receivables.</t>
        </is>
      </c>
      <c r="H61" s="38" t="inlineStr">
        <is>
          <t>If operational fungibility is permitted, default risk on commercial bank lines drops dramatically. If strictly ring-fenced, desk must evaluate the credit purely on domestic cash freight margins without grant subsidies.</t>
        </is>
      </c>
    </row>
    <row r="62">
      <c r="B62" s="9" t="inlineStr">
        <is>
          <t>Commercial Debt Moratorium Exit Strategy &amp; Seniority Ranking</t>
        </is>
      </c>
      <c r="C62" s="37" t="inlineStr">
        <is>
          <t>Following Ukraine's sovereign Eurobond restructuring, what specific framework is being discussed with the Ad Hoc Creditor Committee for the 2026 and 2028 Eurobonds? Will Ukrzaliznytsia seek a standalone state guarantee or a coupon step-up tied to Black Sea freight volume recovery?</t>
        </is>
      </c>
      <c r="F62" s="25" t="inlineStr">
        <is>
          <t>Eurobonds currently trade in the 60-70 context reflecting moratorium extensions. Understanding whether management intends to treat commercial bondholders pari passu with multilateral lenders or demand principal haircuts dictates recovery valuation.</t>
        </is>
      </c>
      <c r="H62" s="38" t="inlineStr">
        <is>
          <t>Confirmation of no principal haircut and coupon resumption tied to freight index raises recovery target to 75-80 cents.</t>
        </is>
      </c>
    </row>
    <row r="65">
      <c r="B65" s="3" t="inlineStr">
        <is>
          <t>SCHEDULED EARNINGS RELEASE &amp; INVESTOR RELATIONS CALENDAR</t>
        </is>
      </c>
    </row>
    <row r="66">
      <c r="B66" s="5" t="inlineStr">
        <is>
          <t>Calendar Dimension</t>
        </is>
      </c>
      <c r="C66" s="5" t="inlineStr">
        <is>
          <t>Scheduled Detail &amp; IR Access</t>
        </is>
      </c>
    </row>
    <row r="67">
      <c r="B67" s="9" t="inlineStr">
        <is>
          <t>Next Scheduled Earnings Date</t>
        </is>
      </c>
      <c r="C67" s="37" t="inlineStr">
        <is>
          <t>2026-11-20</t>
        </is>
      </c>
    </row>
    <row r="68">
      <c r="B68" s="9" t="inlineStr">
        <is>
          <t>Reporting Period</t>
        </is>
      </c>
      <c r="C68" s="37" t="inlineStr">
        <is>
          <t>9M 2026 (Audited Semi-Annual + Interim)</t>
        </is>
      </c>
    </row>
    <row r="69">
      <c r="B69" s="9" t="inlineStr">
        <is>
          <t>Confirmation Status</t>
        </is>
      </c>
      <c r="C69" s="37" t="inlineStr">
        <is>
          <t>Estimated</t>
        </is>
      </c>
    </row>
    <row r="70">
      <c r="B70" s="9" t="inlineStr">
        <is>
          <t>Conference Call &amp; Webcast Schedule</t>
        </is>
      </c>
      <c r="C70" s="37" t="inlineStr">
        <is>
          <t>14:00 Kyiv / 12:00 UK</t>
        </is>
      </c>
    </row>
    <row r="71">
      <c r="B71" s="9" t="inlineStr">
        <is>
          <t>Official IR Portal / Webcast URL</t>
        </is>
      </c>
      <c r="C71" s="37" t="inlineStr">
        <is>
          <t>https://www.uz.gov.ua/en/about/investors/</t>
        </is>
      </c>
    </row>
  </sheetData>
  <mergeCells count="54">
    <mergeCell ref="C36:I36"/>
    <mergeCell ref="C23:I23"/>
    <mergeCell ref="C70:I70"/>
    <mergeCell ref="F9:I9"/>
    <mergeCell ref="C17:I17"/>
    <mergeCell ref="C48:I48"/>
    <mergeCell ref="C39:I39"/>
    <mergeCell ref="B3:I3"/>
    <mergeCell ref="C38:I38"/>
    <mergeCell ref="C67:I67"/>
    <mergeCell ref="C53:I53"/>
    <mergeCell ref="C28:I28"/>
    <mergeCell ref="C60:E60"/>
    <mergeCell ref="C66:I66"/>
    <mergeCell ref="C69:I69"/>
    <mergeCell ref="C18:I18"/>
    <mergeCell ref="B2:I2"/>
    <mergeCell ref="C49:I49"/>
    <mergeCell ref="F11:I11"/>
    <mergeCell ref="H60:I60"/>
    <mergeCell ref="C34:I34"/>
    <mergeCell ref="C61:E61"/>
    <mergeCell ref="C24:I24"/>
    <mergeCell ref="C30:I30"/>
    <mergeCell ref="C42:I42"/>
    <mergeCell ref="C15:I15"/>
    <mergeCell ref="C33:I33"/>
    <mergeCell ref="H61:I61"/>
    <mergeCell ref="F10:I10"/>
    <mergeCell ref="C68:I68"/>
    <mergeCell ref="C14:I14"/>
    <mergeCell ref="C45:I45"/>
    <mergeCell ref="F62:G62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F61:G61"/>
    <mergeCell ref="C62:E62"/>
    <mergeCell ref="C22:I22"/>
    <mergeCell ref="C40:I40"/>
    <mergeCell ref="F8:I8"/>
    <mergeCell ref="C56:I56"/>
    <mergeCell ref="H62:I62"/>
    <mergeCell ref="C21:I21"/>
    <mergeCell ref="F60:G60"/>
    <mergeCell ref="C46:I46"/>
    <mergeCell ref="C27:I27"/>
    <mergeCell ref="C71:I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2026-09-20T18:03:55Z</dcterms:created>
  <dcterms:modified xmlns:dcterms="http://purl.org/dc/terms/" xmlns:xsi="http://www.w3.org/2001/XMLSchema-instance" xsi:type="dcterms:W3CDTF">2026-09-20T18:03:55Z</dcterms:modified>
</cp:coreProperties>
</file>