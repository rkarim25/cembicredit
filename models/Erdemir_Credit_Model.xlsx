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(+$14.0M)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(+$37.4M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(+$42.1M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(+$46.8M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(+$14.0M)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Institutional Credit Model</t>
        </is>
      </c>
    </row>
    <row r="3">
      <c r="B3" s="2" t="inlineStr">
        <is>
          <t>Sector: Materials | Country: Turkey | Rating: BB- / B1 | Benchmark: EREGL 7.95% 2029 @ $98.50 (7.95% YTM / +355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Flat steel monopoly in Turkey; OYAK pension backing; $3.2B green DRI decarbonization transformation.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EREGL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1097.775</v>
      </c>
      <c r="F26" s="7" t="inlineStr">
        <is>
          <t>7.95%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EREGL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731.85</v>
      </c>
      <c r="F27" s="7" t="inlineStr">
        <is>
          <t>7.20%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609.875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2774.4</v>
      </c>
      <c r="D15" s="8" t="n">
        <v>3345.6</v>
      </c>
      <c r="E15" s="8" t="n">
        <v>3753.6</v>
      </c>
      <c r="F15" s="8" t="n">
        <v>4080</v>
      </c>
      <c r="G15" s="8" t="n">
        <v>4406.4</v>
      </c>
      <c r="H15" s="8" t="n">
        <v>4692</v>
      </c>
      <c r="I15" s="8" t="n">
        <v>4896</v>
      </c>
    </row>
    <row r="16">
      <c r="B16" s="7" t="inlineStr">
        <is>
          <t>High-Margin Value-Added Products</t>
        </is>
      </c>
      <c r="C16" s="8" t="n">
        <v>1294.7</v>
      </c>
      <c r="D16" s="8" t="n">
        <v>1561.3</v>
      </c>
      <c r="E16" s="8" t="n">
        <v>1751.7</v>
      </c>
      <c r="F16" s="8" t="n">
        <v>1904</v>
      </c>
      <c r="G16" s="8" t="n">
        <v>2056.3</v>
      </c>
      <c r="H16" s="8" t="n">
        <v>2189.6</v>
      </c>
      <c r="I16" s="8" t="n">
        <v>2284.8</v>
      </c>
    </row>
    <row r="17">
      <c r="B17" s="7" t="inlineStr">
        <is>
          <t>By-Product Processing &amp; Industrial Logistics</t>
        </is>
      </c>
      <c r="C17" s="8" t="n">
        <v>554.9</v>
      </c>
      <c r="D17" s="8" t="n">
        <v>669.1</v>
      </c>
      <c r="E17" s="8" t="n">
        <v>750.7</v>
      </c>
      <c r="F17" s="8" t="n">
        <v>816</v>
      </c>
      <c r="G17" s="8" t="n">
        <v>881.3</v>
      </c>
      <c r="H17" s="8" t="n">
        <v>938.4</v>
      </c>
      <c r="I17" s="8" t="n">
        <v>979.2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8.300000000000001</v>
      </c>
      <c r="D35" s="24" t="n">
        <v>37.4</v>
      </c>
      <c r="E35" s="24" t="n">
        <v>42.1</v>
      </c>
      <c r="F35" s="24" t="n">
        <v>46.8</v>
      </c>
      <c r="G35" s="24" t="n">
        <v>14</v>
      </c>
      <c r="H35" s="24" t="n">
        <v>15</v>
      </c>
      <c r="I35" s="24" t="n">
        <v>15.8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(+$37.4M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(+$42.1M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(+$46.8M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(+$14.0M)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1618.4</v>
      </c>
      <c r="D36" s="8" t="n">
        <v>1618.4</v>
      </c>
      <c r="E36" s="8" t="n">
        <v>1618.4</v>
      </c>
      <c r="F36" s="8" t="n">
        <v>1618.4</v>
      </c>
      <c r="G36" s="8" t="n">
        <v>1618.4</v>
      </c>
      <c r="H36" s="8" t="n">
        <v>1618.4</v>
      </c>
      <c r="I36" s="8" t="n">
        <v>1618.4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-262.4</v>
      </c>
      <c r="D16" s="8" t="n">
        <v>-459</v>
      </c>
      <c r="E16" s="8" t="n">
        <v>-516.4</v>
      </c>
      <c r="F16" s="8" t="n">
        <v>-488.7</v>
      </c>
      <c r="G16" s="8" t="n">
        <v>-444.1</v>
      </c>
      <c r="H16" s="8" t="n">
        <v>-476.4</v>
      </c>
      <c r="I16" s="8" t="n">
        <v>-500.6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350.6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197.2</v>
      </c>
      <c r="D32" s="8" t="n">
        <v>433.6</v>
      </c>
      <c r="E32" s="8" t="n">
        <v>487.9</v>
      </c>
      <c r="F32" s="8" t="n">
        <v>292.8</v>
      </c>
      <c r="G32" s="8" t="n">
        <v>313.1</v>
      </c>
      <c r="H32" s="8" t="n">
        <v>330.8</v>
      </c>
      <c r="I32" s="8" t="n">
        <v>343.1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EREGL Benchmark Eurobond Notes</t>
        </is>
      </c>
    </row>
    <row r="7">
      <c r="B7" s="7" t="inlineStr">
        <is>
          <t xml:space="preserve">  Beginning Principal Balance</t>
        </is>
      </c>
      <c r="C7" s="8" t="n">
        <v>933.1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207.4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0.0795</f>
        <v/>
      </c>
      <c r="D11" s="8">
        <f>D10 * 0.0795</f>
        <v/>
      </c>
      <c r="E11" s="8">
        <f>E10 * 0.0795</f>
        <v/>
      </c>
      <c r="F11" s="8">
        <f>F10 * 0.0795</f>
        <v/>
      </c>
      <c r="G11" s="8">
        <f>G10 * 0.0795</f>
        <v/>
      </c>
      <c r="H11" s="8">
        <f>H10 * 0.0795</f>
        <v/>
      </c>
      <c r="I11" s="8">
        <f>I10 * 0.0795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1140.5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292.7</v>
      </c>
      <c r="C32" s="8" t="n">
        <v>536.7</v>
      </c>
      <c r="D32" s="8" t="n">
        <v>683.1</v>
      </c>
      <c r="E32" s="8" t="n">
        <v>439.1</v>
      </c>
      <c r="F32" s="8" t="n">
        <v>292.7</v>
      </c>
      <c r="G32" s="8" t="n">
        <v>195.2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EREGL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1097.8</v>
      </c>
      <c r="F37" s="30" t="inlineStr">
        <is>
          <t>7.950%</t>
        </is>
      </c>
      <c r="G37" s="31" t="n">
        <v>98.5</v>
      </c>
      <c r="H37" s="32" t="n">
        <v>7.95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EREGL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731.9</v>
      </c>
      <c r="F38" s="30" t="inlineStr">
        <is>
          <t>7.300%</t>
        </is>
      </c>
      <c r="G38" s="31" t="n">
        <v>100.5</v>
      </c>
      <c r="H38" s="32" t="n">
        <v>7.3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365.9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243.9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EREGL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683.1</v>
      </c>
    </row>
    <row r="45">
      <c r="B45" s="7" t="inlineStr">
        <is>
          <t>Drawn Amount ($M)</t>
        </is>
      </c>
      <c r="C45" s="8" t="n">
        <v>243.9</v>
      </c>
    </row>
    <row r="46">
      <c r="B46" s="19" t="inlineStr">
        <is>
          <t>AVAILABLE UNDRAWN HEADROOM ($M)</t>
        </is>
      </c>
      <c r="C46" s="20" t="n">
        <v>439.2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2.12x</t>
        </is>
      </c>
      <c r="E55" s="33" t="inlineStr">
        <is>
          <t>1.63x leverage buffer ($1385.5M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5.10x</t>
        </is>
      </c>
      <c r="E56" s="33" t="inlineStr">
        <is>
          <t>+2.60x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3.0% of Assets</t>
        </is>
      </c>
      <c r="E57" s="33" t="inlineStr">
        <is>
          <t>$1496.0M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7.95%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9.95%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609.9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EREGL Senior Unsecured Eurobonds</t>
        </is>
      </c>
      <c r="C15" s="8" t="n">
        <v>1829.6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365.9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975.8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Erdemir (EREGL) — Earnings Presentation &amp; Management Guidance</t>
        </is>
      </c>
    </row>
    <row r="3">
      <c r="B3" s="2" t="inlineStr">
        <is>
          <t>Source: Erdemir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$7344.0M (+8.0% YoY growth)</t>
        </is>
      </c>
      <c r="D7" s="36" t="inlineStr">
        <is>
          <t>$7242.0M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$7344.0M (+8.0% YoY growth). With current run-rate at $7242.0M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$935.0M (12.7% margin)</t>
        </is>
      </c>
      <c r="D8" s="36" t="inlineStr">
        <is>
          <t>$918.0M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$935.0M (12.7%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2.12x</t>
        </is>
      </c>
      <c r="E9" s="33" t="inlineStr">
        <is>
          <t>Ahead of Target</t>
        </is>
      </c>
      <c r="F9" s="38" t="inlineStr">
        <is>
          <t>Deleveraging on track with 1.63x buffer below covenant limit.
[QUESTION TO CFO TO VERIFY]: You previously committed to a Net Leverage ceiling of &lt; 3.25x Net Debt / EBITDA. Current actual leverage stands at 2.12x.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$312.4M (Maximum growth and sustaining envelope)</t>
        </is>
      </c>
      <c r="D10" s="36" t="inlineStr">
        <is>
          <t>$287.4M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$312.4M (Maximum growth and sustaining envelope). Current commitments stand at $287.4M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$297.5M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$637.5M in liquid bank deposits</t>
        </is>
      </c>
    </row>
    <row r="35">
      <c r="B35" s="9" t="inlineStr">
        <is>
          <t>Undrawn Committed Credit Lines</t>
        </is>
      </c>
      <c r="C35" s="38" t="inlineStr">
        <is>
          <t>$853.8M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2026-11-04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18:00 Istanbul</t>
        </is>
      </c>
    </row>
    <row r="50">
      <c r="B50" s="9" t="inlineStr">
        <is>
          <t>Official IR Portal / Webcast URL</t>
        </is>
      </c>
      <c r="C50" s="38" t="inlineStr">
        <is>
          <t>https://www.erdemir.com.tr/investor-relations/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2026-09-25T04:18:14Z</dcterms:created>
  <dcterms:modified xmlns:dcterms="http://purl.org/dc/terms/" xmlns:xsi="http://www.w3.org/2001/XMLSchema-instance" xsi:type="dcterms:W3CDTF">2026-09-25T04:18:14Z</dcterms:modified>
</cp:coreProperties>
</file>