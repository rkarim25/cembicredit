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PKN Orlen</t>
        </is>
      </c>
    </row>
    <row r="3">
      <c r="B3" s="2" t="inlineStr">
        <is>
          <t>CEMBI CEEMEA Institutional Credit Assessment | Country: Poland (CEE) | Sector: Energy | Benchmark: PKN 4.75% 2030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PKN 4.75% 2030</t>
        </is>
      </c>
      <c r="C6" s="5" t="inlineStr">
        <is>
          <t>5.05% (+100 bp)</t>
        </is>
      </c>
      <c r="D6" s="4" t="inlineStr">
        <is>
          <t>BBB+ / A3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$85.00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Largest oil refiner and multi-energy utility in CEE; strategic Polish national champion with conservative leverage.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PKN Orlen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46240</v>
      </c>
      <c r="D7" s="13" t="n">
        <v>55760</v>
      </c>
      <c r="E7" s="13" t="n">
        <v>62560</v>
      </c>
      <c r="F7" s="13" t="n">
        <v>68000</v>
      </c>
      <c r="G7" s="14" t="n">
        <v>73440</v>
      </c>
      <c r="H7" s="14" t="n">
        <v>78200</v>
      </c>
      <c r="I7" s="14" t="n">
        <v>81600</v>
      </c>
    </row>
    <row r="8">
      <c r="B8" s="12" t="inlineStr">
        <is>
          <t>EBITDA</t>
        </is>
      </c>
      <c r="C8" s="13" t="n">
        <v>5525</v>
      </c>
      <c r="D8" s="13" t="n">
        <v>6800</v>
      </c>
      <c r="E8" s="13" t="n">
        <v>7650</v>
      </c>
      <c r="F8" s="13" t="n">
        <v>8500</v>
      </c>
      <c r="G8" s="14" t="n">
        <v>9350</v>
      </c>
      <c r="H8" s="14" t="n">
        <v>10030</v>
      </c>
      <c r="I8" s="14" t="n">
        <v>10540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536.8</v>
      </c>
      <c r="D10" s="17" t="n">
        <v>671.1</v>
      </c>
      <c r="E10" s="17" t="n">
        <v>805.3</v>
      </c>
      <c r="F10" s="17" t="n">
        <v>894.7</v>
      </c>
      <c r="G10" s="18" t="n">
        <v>858.9</v>
      </c>
      <c r="H10" s="18" t="n">
        <v>823.2</v>
      </c>
      <c r="I10" s="18" t="n">
        <v>787.4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4479.5</v>
      </c>
      <c r="D12" s="13" t="n">
        <v>5635.5</v>
      </c>
      <c r="E12" s="13" t="n">
        <v>6358</v>
      </c>
      <c r="F12" s="13" t="n">
        <v>7225</v>
      </c>
      <c r="G12" s="14" t="n">
        <v>7947.5</v>
      </c>
      <c r="H12" s="14" t="n">
        <v>8525.5</v>
      </c>
      <c r="I12" s="14" t="n">
        <v>9031.200000000001</v>
      </c>
    </row>
    <row r="13">
      <c r="B13" s="5" t="inlineStr">
        <is>
          <t>Capital Expenditures (Capex)</t>
        </is>
      </c>
      <c r="C13" s="17" t="n">
        <v>2082.5</v>
      </c>
      <c r="D13" s="17" t="n">
        <v>2528.8</v>
      </c>
      <c r="E13" s="17" t="n">
        <v>2826.2</v>
      </c>
      <c r="F13" s="17" t="n">
        <v>2975</v>
      </c>
      <c r="G13" s="18" t="n">
        <v>3123.8</v>
      </c>
      <c r="H13" s="18" t="n">
        <v>3034.5</v>
      </c>
      <c r="I13" s="18" t="n">
        <v>2915.5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3506.3</v>
      </c>
      <c r="D16" s="13" t="n">
        <v>4462.5</v>
      </c>
      <c r="E16" s="13" t="n">
        <v>5418.8</v>
      </c>
      <c r="F16" s="13" t="n">
        <v>6375</v>
      </c>
      <c r="G16" s="14" t="n">
        <v>7522.5</v>
      </c>
      <c r="H16" s="14" t="n">
        <v>8606.200000000001</v>
      </c>
      <c r="I16" s="14" t="n">
        <v>9562.5</v>
      </c>
    </row>
    <row r="17">
      <c r="B17" s="12" t="inlineStr">
        <is>
          <t>Gross Total Debt</t>
        </is>
      </c>
      <c r="C17" s="13" t="n">
        <v>12282.5</v>
      </c>
      <c r="D17" s="13" t="n">
        <v>13294</v>
      </c>
      <c r="E17" s="13" t="n">
        <v>14161</v>
      </c>
      <c r="F17" s="13" t="n">
        <v>14450</v>
      </c>
      <c r="G17" s="14" t="n">
        <v>14161</v>
      </c>
      <c r="H17" s="14" t="n">
        <v>13727.5</v>
      </c>
      <c r="I17" s="14" t="n">
        <v>13005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PKN Orlen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5.05%</t>
        </is>
      </c>
      <c r="F6" s="21" t="inlineStr">
        <is>
          <t>2028 / 2029</t>
        </is>
      </c>
      <c r="G6" s="17" t="n">
        <v>6502.5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3612.5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2167.5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1445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722.5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5418.8</v>
      </c>
    </row>
    <row r="15">
      <c r="B15" t="inlineStr">
        <is>
          <t>Committed Undrawn RCF Capacity</t>
        </is>
      </c>
      <c r="C15" s="22" t="n">
        <v>3400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2628.7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PKN Orlen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8500</v>
      </c>
      <c r="D6" s="17" t="n">
        <v>7225</v>
      </c>
      <c r="E6" s="25" t="n">
        <v>5525</v>
      </c>
    </row>
    <row r="7">
      <c r="B7" s="5" t="inlineStr">
        <is>
          <t>Free Cash Flow ($M)</t>
        </is>
      </c>
      <c r="C7" s="17" t="n">
        <v>4250</v>
      </c>
      <c r="D7" s="17" t="n">
        <v>2550</v>
      </c>
      <c r="E7" s="25" t="n">
        <v>637.5</v>
      </c>
    </row>
    <row r="8">
      <c r="B8" s="12" t="inlineStr">
        <is>
          <t>Net Leverage Ratio (x)</t>
        </is>
      </c>
      <c r="C8" s="26" t="n">
        <v>0.95</v>
      </c>
      <c r="D8" s="26" t="n">
        <v>1.19</v>
      </c>
      <c r="E8" s="27" t="n">
        <v>1.76</v>
      </c>
    </row>
    <row r="9">
      <c r="B9" s="5" t="inlineStr">
        <is>
          <t>Interest Coverage Ratio (x)</t>
        </is>
      </c>
      <c r="C9" s="26" t="n">
        <v>9.5</v>
      </c>
      <c r="D9" s="26" t="n">
        <v>7.41</v>
      </c>
      <c r="E9" s="27" t="n">
        <v>4.28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$97.00</t>
        </is>
      </c>
      <c r="E10" s="28" t="inlineStr">
        <is>
          <t>$85.00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