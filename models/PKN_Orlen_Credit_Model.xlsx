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(+$82.9M)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(+$102.0M)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(+$114.7M)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(+$127.5M)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(+$140.2M)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(+$150.4M)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(+$158.1M)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(+$82.9M)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(+$102.0M)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(+$114.7M)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(+$127.5M)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(+$140.2M)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(+$150.4M)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(+$158.1M)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(PKN) — Institutional Credit Model</t>
        </is>
      </c>
    </row>
    <row r="3">
      <c r="B3" s="2" t="inlineStr">
        <is>
          <t>Sector: Energy | Country: Poland | Rating: BBB+ / A3 | Benchmark: PKN 4.75% 2030 @ $98.80 (5.05% YTM / +100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Largest oil refiner and multi-energy utility in CEE; strategic Polish national champion with conservative leverage.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PKN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6502.5</v>
      </c>
      <c r="F26" s="7" t="inlineStr">
        <is>
          <t>5.05%</t>
        </is>
      </c>
      <c r="G26" s="7" t="inlineStr">
        <is>
          <t>$98.80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PKN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4335</v>
      </c>
      <c r="F27" s="7" t="inlineStr">
        <is>
          <t>4.30%</t>
        </is>
      </c>
      <c r="G27" s="7" t="inlineStr">
        <is>
          <t>$101.30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3612.5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24044.8</v>
      </c>
      <c r="D16" s="8" t="n">
        <v>28995.2</v>
      </c>
      <c r="E16" s="8" t="n">
        <v>32531.2</v>
      </c>
      <c r="F16" s="8" t="n">
        <v>35360</v>
      </c>
      <c r="G16" s="8" t="n">
        <v>38188.8</v>
      </c>
      <c r="H16" s="8" t="n">
        <v>40664</v>
      </c>
      <c r="I16" s="8" t="n">
        <v>42432</v>
      </c>
    </row>
    <row r="17">
      <c r="B17" s="7" t="inlineStr">
        <is>
          <t>Downstream Refining &amp; Fuel Marketing</t>
        </is>
      </c>
      <c r="C17" s="8" t="n">
        <v>15259.2</v>
      </c>
      <c r="D17" s="8" t="n">
        <v>18400.8</v>
      </c>
      <c r="E17" s="8" t="n">
        <v>20644.8</v>
      </c>
      <c r="F17" s="8" t="n">
        <v>22440</v>
      </c>
      <c r="G17" s="8" t="n">
        <v>24235.2</v>
      </c>
      <c r="H17" s="8" t="n">
        <v>25806</v>
      </c>
      <c r="I17" s="8" t="n">
        <v>26928</v>
      </c>
    </row>
    <row r="18">
      <c r="B18" s="7" t="inlineStr">
        <is>
          <t>Petrochemicals &amp; Gas Processing</t>
        </is>
      </c>
      <c r="C18" s="8" t="n">
        <v>6936</v>
      </c>
      <c r="D18" s="8" t="n">
        <v>8364</v>
      </c>
      <c r="E18" s="8" t="n">
        <v>9384</v>
      </c>
      <c r="F18" s="8" t="n">
        <v>10200</v>
      </c>
      <c r="G18" s="8" t="n">
        <v>11016</v>
      </c>
      <c r="H18" s="8" t="n">
        <v>11730</v>
      </c>
      <c r="I18" s="8" t="n">
        <v>12240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82.90000000000001</v>
      </c>
      <c r="D35" s="23" t="n">
        <v>102</v>
      </c>
      <c r="E35" s="23" t="n">
        <v>114.7</v>
      </c>
      <c r="F35" s="23" t="n">
        <v>127.5</v>
      </c>
      <c r="G35" s="23" t="n">
        <v>140.2</v>
      </c>
      <c r="H35" s="23" t="n">
        <v>150.4</v>
      </c>
      <c r="I35" s="23" t="n">
        <v>158.1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(+$82.9M)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(+$102.0M)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(+$114.7M)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(+$127.5M)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(+$140.2M)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(+$150.4M)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(+$158.1M)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69360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16184</v>
      </c>
      <c r="D36" s="8" t="n">
        <v>16184</v>
      </c>
      <c r="E36" s="8" t="n">
        <v>16184</v>
      </c>
      <c r="F36" s="8" t="n">
        <v>16184</v>
      </c>
      <c r="G36" s="8" t="n">
        <v>16184</v>
      </c>
      <c r="H36" s="8" t="n">
        <v>16184</v>
      </c>
      <c r="I36" s="8" t="n">
        <v>16184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-2361.9</v>
      </c>
      <c r="D16" s="8" t="n">
        <v>-4131</v>
      </c>
      <c r="E16" s="8" t="n">
        <v>-4647.4</v>
      </c>
      <c r="F16" s="8" t="n">
        <v>-4398.8</v>
      </c>
      <c r="G16" s="8" t="n">
        <v>-3997.1</v>
      </c>
      <c r="H16" s="8" t="n">
        <v>-4287.8</v>
      </c>
      <c r="I16" s="8" t="n">
        <v>-4505.8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3506.3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1643.1</v>
      </c>
      <c r="D32" s="8" t="n">
        <v>3548.3</v>
      </c>
      <c r="E32" s="8" t="n">
        <v>3989.1</v>
      </c>
      <c r="F32" s="8" t="n">
        <v>2437.7</v>
      </c>
      <c r="G32" s="8" t="n">
        <v>2619.1</v>
      </c>
      <c r="H32" s="8" t="n">
        <v>2776.4</v>
      </c>
      <c r="I32" s="8" t="n">
        <v>2887.4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22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PKN Benchmark Eurobond Notes</t>
        </is>
      </c>
    </row>
    <row r="7">
      <c r="B7" s="7" t="inlineStr">
        <is>
          <t xml:space="preserve">  Beginning Principal Balance</t>
        </is>
      </c>
      <c r="C7" s="8" t="n">
        <v>5527.1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1842.4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1228.2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0.0505</f>
        <v/>
      </c>
      <c r="D11" s="8">
        <f>D10 * 0.0505</f>
        <v/>
      </c>
      <c r="E11" s="8">
        <f>E10 * 0.0505</f>
        <v/>
      </c>
      <c r="F11" s="8">
        <f>F10 * 0.0505</f>
        <v/>
      </c>
      <c r="G11" s="8">
        <f>G10 * 0.0505</f>
        <v/>
      </c>
      <c r="H11" s="8">
        <f>H10 * 0.0505</f>
        <v/>
      </c>
      <c r="I11" s="8">
        <f>I10 * 0.0505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6755.4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1734</v>
      </c>
      <c r="C32" s="8" t="n">
        <v>3179</v>
      </c>
      <c r="D32" s="8" t="n">
        <v>4046</v>
      </c>
      <c r="E32" s="8" t="n">
        <v>2601</v>
      </c>
      <c r="F32" s="8" t="n">
        <v>1734</v>
      </c>
      <c r="G32" s="8" t="n">
        <v>1156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PKN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6502.5</v>
      </c>
      <c r="F37" s="29" t="inlineStr">
        <is>
          <t>5.050%</t>
        </is>
      </c>
      <c r="G37" s="30" t="n">
        <v>98.8</v>
      </c>
      <c r="H37" s="31" t="n">
        <v>5.05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PKN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4335</v>
      </c>
      <c r="F38" s="29" t="inlineStr">
        <is>
          <t>4.400%</t>
        </is>
      </c>
      <c r="G38" s="30" t="n">
        <v>100.8</v>
      </c>
      <c r="H38" s="31" t="n">
        <v>4.399999999999999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2167.5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1445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PKN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4046</v>
      </c>
    </row>
    <row r="45">
      <c r="B45" s="7" t="inlineStr">
        <is>
          <t>Drawn Amount ($M)</t>
        </is>
      </c>
      <c r="C45" s="8" t="n">
        <v>1445</v>
      </c>
    </row>
    <row r="46">
      <c r="B46" s="18" t="inlineStr">
        <is>
          <t>AVAILABLE UNDRAWN HEADROOM ($M)</t>
        </is>
      </c>
      <c r="C46" s="19" t="n">
        <v>2601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0.95x</t>
        </is>
      </c>
      <c r="E55" s="32" t="inlineStr">
        <is>
          <t>2.80x leverage buffer ($23800.0M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9.50x</t>
        </is>
      </c>
      <c r="E56" s="32" t="inlineStr">
        <is>
          <t>+7.00x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1.8% of Assets</t>
        </is>
      </c>
      <c r="E57" s="32" t="inlineStr">
        <is>
          <t>$14960.0M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5.05%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+2.2%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7.05%</t>
        </is>
      </c>
      <c r="F7" s="29" t="inlineStr">
        <is>
          <t>3.2x</t>
        </is>
      </c>
      <c r="G7" s="29" t="inlineStr">
        <is>
          <t>$93.00</t>
        </is>
      </c>
      <c r="H7" s="29" t="inlineStr">
        <is>
          <t>-5.9%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$85.00</t>
        </is>
      </c>
      <c r="H8" s="29" t="inlineStr">
        <is>
          <t>-14.0%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3.55%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+6.3%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3612.5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PKN Senior Unsecured Eurobonds</t>
        </is>
      </c>
      <c r="C15" s="8" t="n">
        <v>10837.5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85.0%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2167.5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5780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Poland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8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PKN Orlen (PKN) — Earnings Presentation &amp; Management Guidance</t>
        </is>
      </c>
    </row>
    <row r="3">
      <c r="B3" s="2" t="inlineStr">
        <is>
          <t>Source: PKN Orlen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$73440.0M (+8.0% YoY growth)</t>
        </is>
      </c>
      <c r="D7" s="35" t="inlineStr">
        <is>
          <t>$72420.0M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$73440.0M (+8.0% YoY growth). With current run-rate at $72420.0M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$9350.0M (12.7% margin)</t>
        </is>
      </c>
      <c r="D8" s="35" t="inlineStr">
        <is>
          <t>$9180.0M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$9350.0M (12.7%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0.95x</t>
        </is>
      </c>
      <c r="E9" s="32" t="inlineStr">
        <is>
          <t>Ahead of Target</t>
        </is>
      </c>
      <c r="F9" s="37" t="inlineStr">
        <is>
          <t>Deleveraging on track with 2.80x buffer below covenant limit.
[QUESTION TO CFO TO VERIFY]: You previously committed to a Net Leverage ceiling of &lt; 3.25x Net Debt / EBITDA. Current actual leverage stands at 0.95x.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$3123.8M (Maximum growth and sustaining envelope)</t>
        </is>
      </c>
      <c r="D10" s="35" t="inlineStr">
        <is>
          <t>$2873.9M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$3123.8M (Maximum growth and sustaining envelope). Current commitments stand at $2873.9M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$2975.0M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$6375.0M in liquid bank deposits</t>
        </is>
      </c>
    </row>
    <row r="35">
      <c r="B35" s="9" t="inlineStr">
        <is>
          <t>Undrawn Committed Credit Lines</t>
        </is>
      </c>
      <c r="C35" s="37" t="inlineStr">
        <is>
          <t>$5057.5M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2026-10-29</t>
        </is>
      </c>
    </row>
    <row r="47">
      <c r="B47" s="9" t="inlineStr">
        <is>
          <t>Reporting Period</t>
        </is>
      </c>
      <c r="C47" s="37" t="inlineStr">
        <is>
          <t>Q3 2026</t>
        </is>
      </c>
    </row>
    <row r="48">
      <c r="B48" s="9" t="inlineStr">
        <is>
          <t>Confirmation Status</t>
        </is>
      </c>
      <c r="C48" s="37" t="inlineStr">
        <is>
          <t>Confirmed</t>
        </is>
      </c>
    </row>
    <row r="49">
      <c r="B49" s="9" t="inlineStr">
        <is>
          <t>Conference Call &amp; Webcast Schedule</t>
        </is>
      </c>
      <c r="C49" s="37" t="inlineStr">
        <is>
          <t>08:00 Warsaw / 07:00 UK</t>
        </is>
      </c>
    </row>
    <row r="50">
      <c r="B50" s="9" t="inlineStr">
        <is>
          <t>Official IR Portal / Webcast URL</t>
        </is>
      </c>
      <c r="C50" s="37" t="inlineStr">
        <is>
          <t>https://www.orlen.pl/en/investor-relations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2026-10-28T05:16:59Z</dcterms:created>
  <dcterms:modified xmlns:dcterms="http://purl.org/dc/terms/" xmlns:xsi="http://www.w3.org/2001/XMLSchema-instance" xsi:type="dcterms:W3CDTF">2026-10-28T05:16:59Z</dcterms:modified>
</cp:coreProperties>
</file>