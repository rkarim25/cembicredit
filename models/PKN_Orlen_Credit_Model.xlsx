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(+$82.9M)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(+$114.7M)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(+$140.2M)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(+$82.9M)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(+$114.7M)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(+$140.2M)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82.90000000000001</v>
      </c>
      <c r="D35" s="23" t="n">
        <v>102</v>
      </c>
      <c r="E35" s="23" t="n">
        <v>114.7</v>
      </c>
      <c r="F35" s="23" t="n">
        <v>127.5</v>
      </c>
      <c r="G35" s="23" t="n">
        <v>140.2</v>
      </c>
      <c r="H35" s="23" t="n">
        <v>150.4</v>
      </c>
      <c r="I35" s="23" t="n">
        <v>158.1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(+$82.9M)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(+$102.0M)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(+$114.7M)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(+$140.2M)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-2361.9</v>
      </c>
      <c r="D16" s="8" t="n">
        <v>-4131</v>
      </c>
      <c r="E16" s="8" t="n">
        <v>-4647.4</v>
      </c>
      <c r="F16" s="8" t="n">
        <v>-4398.8</v>
      </c>
      <c r="G16" s="8" t="n">
        <v>-3997.1</v>
      </c>
      <c r="H16" s="8" t="n">
        <v>-4287.8</v>
      </c>
      <c r="I16" s="8" t="n">
        <v>-4505.8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1643.1</v>
      </c>
      <c r="D32" s="8" t="n">
        <v>3548.3</v>
      </c>
      <c r="E32" s="8" t="n">
        <v>3989.1</v>
      </c>
      <c r="F32" s="8" t="n">
        <v>2437.7</v>
      </c>
      <c r="G32" s="8" t="n">
        <v>2619.1</v>
      </c>
      <c r="H32" s="8" t="n">
        <v>2776.4</v>
      </c>
      <c r="I32" s="8" t="n">
        <v>2887.4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PKN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6502.5</v>
      </c>
      <c r="F37" s="29" t="inlineStr">
        <is>
          <t>5.050%</t>
        </is>
      </c>
      <c r="G37" s="30" t="n">
        <v>98.8</v>
      </c>
      <c r="H37" s="31" t="n">
        <v>5.05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PKN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4335</v>
      </c>
      <c r="F38" s="29" t="inlineStr">
        <is>
          <t>4.400%</t>
        </is>
      </c>
      <c r="G38" s="30" t="n">
        <v>100.8</v>
      </c>
      <c r="H38" s="31" t="n">
        <v>4.399999999999999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2167.5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1445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PKN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4046</v>
      </c>
    </row>
    <row r="45">
      <c r="B45" s="7" t="inlineStr">
        <is>
          <t>Drawn Amount ($M)</t>
        </is>
      </c>
      <c r="C45" s="8" t="n">
        <v>1445</v>
      </c>
    </row>
    <row r="46">
      <c r="B46" s="18" t="inlineStr">
        <is>
          <t>AVAILABLE UNDRAWN HEADROOM ($M)</t>
        </is>
      </c>
      <c r="C46" s="19" t="n">
        <v>2601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0.95x</t>
        </is>
      </c>
      <c r="E55" s="32" t="inlineStr">
        <is>
          <t>2.80x leverage buffer ($23800.0M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9.50x</t>
        </is>
      </c>
      <c r="E56" s="32" t="inlineStr">
        <is>
          <t>+7.00x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1.8% of Assets</t>
        </is>
      </c>
      <c r="E57" s="32" t="inlineStr">
        <is>
          <t>$14960.0M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+2.2%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7.05%</t>
        </is>
      </c>
      <c r="F7" s="29" t="inlineStr">
        <is>
          <t>3.2x</t>
        </is>
      </c>
      <c r="G7" s="29" t="inlineStr">
        <is>
          <t>$93.00</t>
        </is>
      </c>
      <c r="H7" s="29" t="inlineStr">
        <is>
          <t>-5.9%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-14.0%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$73440.0M (+8.0% YoY growth)</t>
        </is>
      </c>
      <c r="D7" s="35" t="inlineStr">
        <is>
          <t>$72420.0M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$73440.0M (+8.0% YoY growth). With current run-rate at $72420.0M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$9350.0M (12.7% margin)</t>
        </is>
      </c>
      <c r="D8" s="35" t="inlineStr">
        <is>
          <t>$9180.0M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$9350.0M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0.95x</t>
        </is>
      </c>
      <c r="E9" s="32" t="inlineStr">
        <is>
          <t>Ahead of Target</t>
        </is>
      </c>
      <c r="F9" s="37" t="inlineStr">
        <is>
          <t>Deleveraging on track with 2.80x buffer below covenant limit.
[QUESTION TO CFO TO VERIFY]: You previously committed to a Net Leverage ceiling of &lt; 3.25x Net Debt / EBITDA. Current actual leverage stands at 0.95x.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$3123.8M (Maximum growth and sustaining envelope)</t>
        </is>
      </c>
      <c r="D10" s="35" t="inlineStr">
        <is>
          <t>$2873.9M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$3123.8M (Maximum growth and sustaining envelope). Current commitments stand at $2873.9M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$2975.0M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$6375.0M in liquid bank deposits</t>
        </is>
      </c>
    </row>
    <row r="35">
      <c r="B35" s="9" t="inlineStr">
        <is>
          <t>Undrawn Committed Credit Lines</t>
        </is>
      </c>
      <c r="C35" s="37" t="inlineStr">
        <is>
          <t>$5057.5M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2026-10-29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Warsaw / 07:00 UK</t>
        </is>
      </c>
    </row>
    <row r="50">
      <c r="B50" s="9" t="inlineStr">
        <is>
          <t>Official IR Portal / Webcast URL</t>
        </is>
      </c>
      <c r="C50" s="37" t="inlineStr">
        <is>
          <t>https://www.orlen.pl/en/investor-relations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2026-10-24T04:15:53Z</dcterms:created>
  <dcterms:modified xmlns:dcterms="http://purl.org/dc/terms/" xmlns:xsi="http://www.w3.org/2001/XMLSchema-instance" xsi:type="dcterms:W3CDTF">2026-10-24T04:15:53Z</dcterms:modified>
</cp:coreProperties>
</file>