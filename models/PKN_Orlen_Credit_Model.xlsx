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Institutional Credit Model</t>
        </is>
      </c>
    </row>
    <row r="3">
      <c r="B3" s="2" t="inlineStr">
        <is>
          <t>Sector: Energy | Country: Poland | Rating: BBB+ / A3 | Benchmark: PKN 4.75% 2030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Largest oil refiner and multi-energy utility in CEE; strategic Polish national champion with conservative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PKN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6502.5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PKN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4335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3612.5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24044.8</v>
      </c>
      <c r="D16" s="8" t="n">
        <v>28995.2</v>
      </c>
      <c r="E16" s="8" t="n">
        <v>32531.2</v>
      </c>
      <c r="F16" s="8" t="n">
        <v>35360</v>
      </c>
      <c r="G16" s="8" t="n">
        <v>38188.8</v>
      </c>
      <c r="H16" s="8" t="n">
        <v>40664</v>
      </c>
      <c r="I16" s="8" t="n">
        <v>42432</v>
      </c>
    </row>
    <row r="17">
      <c r="B17" s="7" t="inlineStr">
        <is>
          <t>Downstream Refining &amp; Fuel Marketing</t>
        </is>
      </c>
      <c r="C17" s="8" t="n">
        <v>15259.2</v>
      </c>
      <c r="D17" s="8" t="n">
        <v>18400.8</v>
      </c>
      <c r="E17" s="8" t="n">
        <v>20644.8</v>
      </c>
      <c r="F17" s="8" t="n">
        <v>22440</v>
      </c>
      <c r="G17" s="8" t="n">
        <v>24235.2</v>
      </c>
      <c r="H17" s="8" t="n">
        <v>25806</v>
      </c>
      <c r="I17" s="8" t="n">
        <v>26928</v>
      </c>
    </row>
    <row r="18">
      <c r="B18" s="7" t="inlineStr">
        <is>
          <t>Petrochemicals &amp; Gas Processing</t>
        </is>
      </c>
      <c r="C18" s="8" t="n">
        <v>6936</v>
      </c>
      <c r="D18" s="8" t="n">
        <v>8364</v>
      </c>
      <c r="E18" s="8" t="n">
        <v>9384</v>
      </c>
      <c r="F18" s="8" t="n">
        <v>10200</v>
      </c>
      <c r="G18" s="8" t="n">
        <v>11016</v>
      </c>
      <c r="H18" s="8" t="n">
        <v>11730</v>
      </c>
      <c r="I18" s="8" t="n">
        <v>12240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16184</v>
      </c>
      <c r="D36" s="8" t="n">
        <v>16184</v>
      </c>
      <c r="E36" s="8" t="n">
        <v>16184</v>
      </c>
      <c r="F36" s="8" t="n">
        <v>16184</v>
      </c>
      <c r="G36" s="8" t="n">
        <v>16184</v>
      </c>
      <c r="H36" s="8" t="n">
        <v>16184</v>
      </c>
      <c r="I36" s="8" t="n">
        <v>16184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-2082.5</v>
      </c>
      <c r="D16" s="8" t="n">
        <v>-2528.8</v>
      </c>
      <c r="E16" s="8" t="n">
        <v>-2826.2</v>
      </c>
      <c r="F16" s="8" t="n">
        <v>-2975</v>
      </c>
      <c r="G16" s="8" t="n">
        <v>-3123.8</v>
      </c>
      <c r="H16" s="8" t="n">
        <v>-3034.5</v>
      </c>
      <c r="I16" s="8" t="n">
        <v>-2915.5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3506.3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PKN Benchmark Eurobond Notes</t>
        </is>
      </c>
    </row>
    <row r="7">
      <c r="B7" s="7" t="inlineStr">
        <is>
          <t xml:space="preserve">  Beginning Principal Balance</t>
        </is>
      </c>
      <c r="C7" s="8" t="n">
        <v>5527.1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1842.4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1228.2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6755.4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1734</v>
      </c>
      <c r="C32" s="8" t="n">
        <v>3179</v>
      </c>
      <c r="D32" s="8" t="n">
        <v>4046</v>
      </c>
      <c r="E32" s="8" t="n">
        <v>2601</v>
      </c>
      <c r="F32" s="8" t="n">
        <v>1734</v>
      </c>
      <c r="G32" s="8" t="n">
        <v>1156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PKN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6502.5</v>
      </c>
      <c r="F37" s="26" t="inlineStr">
        <is>
          <t>5.050%</t>
        </is>
      </c>
      <c r="G37" s="27" t="n">
        <v>98.8</v>
      </c>
      <c r="H37" s="28" t="n">
        <v>5.05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PKN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4335</v>
      </c>
      <c r="F38" s="26" t="inlineStr">
        <is>
          <t>4.400%</t>
        </is>
      </c>
      <c r="G38" s="27" t="n">
        <v>100.8</v>
      </c>
      <c r="H38" s="28" t="n">
        <v>4.399999999999999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2167.5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1445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PKN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4046</v>
      </c>
    </row>
    <row r="45">
      <c r="B45" s="7" t="inlineStr">
        <is>
          <t>Drawn Amount ($M)</t>
        </is>
      </c>
      <c r="C45" s="8" t="n">
        <v>1445</v>
      </c>
    </row>
    <row r="46">
      <c r="B46" s="18" t="inlineStr">
        <is>
          <t>AVAILABLE UNDRAWN HEADROOM ($M)</t>
        </is>
      </c>
      <c r="C46" s="19" t="n">
        <v>2601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0.95x</t>
        </is>
      </c>
      <c r="E55" s="30" t="inlineStr">
        <is>
          <t>2.80x leverage buffer ($23800.0M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9.50x</t>
        </is>
      </c>
      <c r="E56" s="30" t="inlineStr">
        <is>
          <t>+7.00x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1.8% of Assets</t>
        </is>
      </c>
      <c r="E57" s="30" t="inlineStr">
        <is>
          <t>$14960.0M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5.05%</t>
        </is>
      </c>
      <c r="F6" s="32" t="inlineStr">
        <is>
          <t>4.2x</t>
        </is>
      </c>
      <c r="G6" s="32" t="inlineStr">
        <is>
          <t>$101.00</t>
        </is>
      </c>
      <c r="H6" s="32" t="inlineStr">
        <is>
          <t>+2.2%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7.05%</t>
        </is>
      </c>
      <c r="F7" s="26" t="inlineStr">
        <is>
          <t>3.2x</t>
        </is>
      </c>
      <c r="G7" s="26" t="inlineStr">
        <is>
          <t>$93.00</t>
        </is>
      </c>
      <c r="H7" s="26" t="inlineStr">
        <is>
          <t>-5.9%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$85.00</t>
        </is>
      </c>
      <c r="H8" s="26" t="inlineStr">
        <is>
          <t>-14.0%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3.55%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3612.5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PKN Senior Unsecured Eurobonds</t>
        </is>
      </c>
      <c r="C15" s="8" t="n">
        <v>10837.5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85.0%</t>
        </is>
      </c>
      <c r="G15" s="26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2167.5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5780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Earnings Presentation &amp; Management Guidance</t>
        </is>
      </c>
    </row>
    <row r="3">
      <c r="B3" s="2" t="inlineStr">
        <is>
          <t>Source: PKN Orlen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$73440.0M (+8.0% YoY growth)</t>
        </is>
      </c>
      <c r="D7" s="33" t="inlineStr">
        <is>
          <t>$72420.0M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$9350.0M (12.7% margin)</t>
        </is>
      </c>
      <c r="D8" s="33" t="inlineStr">
        <is>
          <t>$9180.0M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0.95x</t>
        </is>
      </c>
      <c r="E9" s="30" t="inlineStr">
        <is>
          <t>Ahead of Target</t>
        </is>
      </c>
      <c r="F9" s="35" t="inlineStr">
        <is>
          <t>Deleveraging on track with 2.80x buffer below covenant limit.</t>
        </is>
      </c>
    </row>
    <row r="10">
      <c r="B10" s="9" t="inlineStr">
        <is>
          <t>2025E Strategic Capex Envelope</t>
        </is>
      </c>
      <c r="C10" s="9" t="inlineStr">
        <is>
          <t>$3123.8M (Maximum growth and sustaining envelope)</t>
        </is>
      </c>
      <c r="D10" s="33" t="inlineStr">
        <is>
          <t>$2873.9M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5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5" t="inlineStr">
        <is>
          <t>$2975.0M (55% sustaining maintenance / 45% strategic growth)</t>
        </is>
      </c>
    </row>
    <row r="17">
      <c r="B17" s="9" t="inlineStr">
        <is>
          <t>Project Execution Milestones</t>
        </is>
      </c>
      <c r="C17" s="35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5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5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5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5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5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5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5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5" t="inlineStr">
        <is>
          <t>$6375.0M in liquid bank deposits</t>
        </is>
      </c>
    </row>
    <row r="35">
      <c r="B35" s="9" t="inlineStr">
        <is>
          <t>Undrawn Committed Credit Lines</t>
        </is>
      </c>
      <c r="C35" s="35" t="inlineStr">
        <is>
          <t>$5057.5M in revolving bank facilities</t>
        </is>
      </c>
    </row>
    <row r="36">
      <c r="B36" s="9" t="inlineStr">
        <is>
          <t>Net Debt Headroom</t>
        </is>
      </c>
      <c r="C36" s="35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2026-09-19T21:22:56Z</dcterms:created>
  <dcterms:modified xmlns:dcterms="http://purl.org/dc/terms/" xmlns:xsi="http://www.w3.org/2001/XMLSchema-instance" xsi:type="dcterms:W3CDTF">2026-09-19T21:22:56Z</dcterms:modified>
</cp:coreProperties>
</file>