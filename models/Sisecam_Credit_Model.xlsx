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right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2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Şişecam (SISE) — Institutional Credit Model</t>
        </is>
      </c>
    </row>
    <row r="3">
      <c r="B3" s="2" t="inlineStr">
        <is>
          <t>Sector: Materials | Country: Turkey | Rating: BB- / B1 | Benchmark: SISETR 6.85% 2029 @ $99.50 (6.85% YTM / +245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Global glassware/soda ash titan; 65% export revenues; lowest-cost Wyoming natural trona assets.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EBITDA Margin (%)</t>
        </is>
      </c>
      <c r="C13" s="10">
        <f>'Income Statement (P&amp;L)'!C23</f>
        <v/>
      </c>
      <c r="D13" s="10">
        <f>'Income Statement (P&amp;L)'!D23</f>
        <v/>
      </c>
      <c r="E13" s="10">
        <f>'Income Statement (P&amp;L)'!E23</f>
        <v/>
      </c>
      <c r="F13" s="10">
        <f>'Income Statement (P&amp;L)'!F23</f>
        <v/>
      </c>
      <c r="G13" s="10">
        <f>'Income Statement (P&amp;L)'!G23</f>
        <v/>
      </c>
      <c r="H13" s="10">
        <f>'Income Statement (P&amp;L)'!H23</f>
        <v/>
      </c>
      <c r="I13" s="10">
        <f>'Income Statement (P&amp;L)'!I23</f>
        <v/>
      </c>
    </row>
    <row r="14">
      <c r="B14" s="7" t="inlineStr">
        <is>
          <t>Cash Flow from Operations (CFO)</t>
        </is>
      </c>
      <c r="C14" s="8">
        <f>'Cash Flow Statement'!C14</f>
        <v/>
      </c>
      <c r="D14" s="8">
        <f>'Cash Flow Statement'!D14</f>
        <v/>
      </c>
      <c r="E14" s="8">
        <f>'Cash Flow Statement'!E14</f>
        <v/>
      </c>
      <c r="F14" s="8">
        <f>'Cash Flow Statement'!F14</f>
        <v/>
      </c>
      <c r="G14" s="8">
        <f>'Cash Flow Statement'!G14</f>
        <v/>
      </c>
      <c r="H14" s="8">
        <f>'Cash Flow Statement'!H14</f>
        <v/>
      </c>
      <c r="I14" s="8">
        <f>'Cash Flow Statement'!I14</f>
        <v/>
      </c>
    </row>
    <row r="15">
      <c r="B15" s="7" t="inlineStr">
        <is>
          <t>Capital Expenditures (Capex)</t>
        </is>
      </c>
      <c r="C15" s="8">
        <f>'Cash Flow Statement'!C16</f>
        <v/>
      </c>
      <c r="D15" s="8">
        <f>'Cash Flow Statement'!D16</f>
        <v/>
      </c>
      <c r="E15" s="8">
        <f>'Cash Flow Statement'!E16</f>
        <v/>
      </c>
      <c r="F15" s="8">
        <f>'Cash Flow Statement'!F16</f>
        <v/>
      </c>
      <c r="G15" s="8">
        <f>'Cash Flow Statement'!G16</f>
        <v/>
      </c>
      <c r="H15" s="8">
        <f>'Cash Flow Statement'!H16</f>
        <v/>
      </c>
      <c r="I15" s="8">
        <f>'Cash Flow Statement'!I16</f>
        <v/>
      </c>
    </row>
    <row r="16">
      <c r="B16" s="7" t="inlineStr">
        <is>
          <t>Free Cash Flow (FCF)</t>
        </is>
      </c>
      <c r="C16" s="8">
        <f>'Cash Flow Statement'!C26</f>
        <v/>
      </c>
      <c r="D16" s="8">
        <f>'Cash Flow Statement'!D26</f>
        <v/>
      </c>
      <c r="E16" s="8">
        <f>'Cash Flow Statement'!E26</f>
        <v/>
      </c>
      <c r="F16" s="8">
        <f>'Cash Flow Statement'!F26</f>
        <v/>
      </c>
      <c r="G16" s="8">
        <f>'Cash Flow Statement'!G26</f>
        <v/>
      </c>
      <c r="H16" s="8">
        <f>'Cash Flow Statement'!H26</f>
        <v/>
      </c>
      <c r="I16" s="8">
        <f>'Cash Flow Statement'!I26</f>
        <v/>
      </c>
    </row>
    <row r="17">
      <c r="B17" s="7" t="inlineStr">
        <is>
          <t>Cash &amp; Liquid Reserves</t>
        </is>
      </c>
      <c r="C17" s="8">
        <f>'Balance Sheet'!C8</f>
        <v/>
      </c>
      <c r="D17" s="8">
        <f>'Balance Sheet'!D8</f>
        <v/>
      </c>
      <c r="E17" s="8">
        <f>'Balance Sheet'!E8</f>
        <v/>
      </c>
      <c r="F17" s="8">
        <f>'Balance Sheet'!F8</f>
        <v/>
      </c>
      <c r="G17" s="8">
        <f>'Balance Sheet'!G8</f>
        <v/>
      </c>
      <c r="H17" s="8">
        <f>'Balance Sheet'!H8</f>
        <v/>
      </c>
      <c r="I17" s="8">
        <f>'Balance Sheet'!I8</f>
        <v/>
      </c>
    </row>
    <row r="18">
      <c r="B18" s="7" t="inlineStr">
        <is>
          <t>Consolidated Gross Debt</t>
        </is>
      </c>
      <c r="C18" s="8">
        <f>'Debt Schedule &amp; Tranches'!C24</f>
        <v/>
      </c>
      <c r="D18" s="8">
        <f>'Debt Schedule &amp; Tranches'!D24</f>
        <v/>
      </c>
      <c r="E18" s="8">
        <f>'Debt Schedule &amp; Tranches'!E24</f>
        <v/>
      </c>
      <c r="F18" s="8">
        <f>'Debt Schedule &amp; Tranches'!F24</f>
        <v/>
      </c>
      <c r="G18" s="8">
        <f>'Debt Schedule &amp; Tranches'!G24</f>
        <v/>
      </c>
      <c r="H18" s="8">
        <f>'Debt Schedule &amp; Tranches'!H24</f>
        <v/>
      </c>
      <c r="I18" s="8">
        <f>'Debt Schedule &amp; Tranches'!I24</f>
        <v/>
      </c>
    </row>
    <row r="19">
      <c r="B19" s="7" t="inlineStr">
        <is>
          <t>Consolidated Net Debt</t>
        </is>
      </c>
      <c r="C19" s="8">
        <f>'Debt Schedule &amp; Tranches'!C26</f>
        <v/>
      </c>
      <c r="D19" s="8">
        <f>'Debt Schedule &amp; Tranches'!D26</f>
        <v/>
      </c>
      <c r="E19" s="8">
        <f>'Debt Schedule &amp; Tranches'!E26</f>
        <v/>
      </c>
      <c r="F19" s="8">
        <f>'Debt Schedule &amp; Tranches'!F26</f>
        <v/>
      </c>
      <c r="G19" s="8">
        <f>'Debt Schedule &amp; Tranches'!G26</f>
        <v/>
      </c>
      <c r="H19" s="8">
        <f>'Debt Schedule &amp; Tranches'!H26</f>
        <v/>
      </c>
      <c r="I19" s="8">
        <f>'Debt Schedule &amp; Tranches'!I26</f>
        <v/>
      </c>
    </row>
    <row r="20">
      <c r="B20" s="9" t="inlineStr">
        <is>
          <t>Net Leverage (Net Debt / EBITDA)</t>
        </is>
      </c>
      <c r="C20" s="11">
        <f>'Credit Metrics &amp; Ratios'!C8</f>
        <v/>
      </c>
      <c r="D20" s="11">
        <f>'Credit Metrics &amp; Ratios'!D8</f>
        <v/>
      </c>
      <c r="E20" s="11">
        <f>'Credit Metrics &amp; Ratios'!E8</f>
        <v/>
      </c>
      <c r="F20" s="11">
        <f>'Credit Metrics &amp; Ratios'!F8</f>
        <v/>
      </c>
      <c r="G20" s="11">
        <f>'Credit Metrics &amp; Ratios'!G8</f>
        <v/>
      </c>
      <c r="H20" s="11">
        <f>'Credit Metrics &amp; Ratios'!H8</f>
        <v/>
      </c>
      <c r="I20" s="11">
        <f>'Credit Metrics &amp; Ratios'!I8</f>
        <v/>
      </c>
    </row>
    <row r="21">
      <c r="B21" s="9" t="inlineStr">
        <is>
          <t>EBITDA Interest Coverage</t>
        </is>
      </c>
      <c r="C21" s="12">
        <f>'Credit Metrics &amp; Ratios'!C10</f>
        <v/>
      </c>
      <c r="D21" s="12">
        <f>'Credit Metrics &amp; Ratios'!D10</f>
        <v/>
      </c>
      <c r="E21" s="12">
        <f>'Credit Metrics &amp; Ratios'!E10</f>
        <v/>
      </c>
      <c r="F21" s="12">
        <f>'Credit Metrics &amp; Ratios'!F10</f>
        <v/>
      </c>
      <c r="G21" s="12">
        <f>'Credit Metrics &amp; Ratios'!G10</f>
        <v/>
      </c>
      <c r="H21" s="12">
        <f>'Credit Metrics &amp; Ratios'!H10</f>
        <v/>
      </c>
      <c r="I21" s="12">
        <f>'Credit Metrics &amp; Ratios'!I10</f>
        <v/>
      </c>
    </row>
    <row r="22"/>
    <row r="23"/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SISE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1450.35</v>
      </c>
      <c r="F26" s="7" t="inlineStr">
        <is>
          <t>6.85%</t>
        </is>
      </c>
      <c r="G26" s="7" t="inlineStr">
        <is>
          <t>$99.50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SISE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966.9</v>
      </c>
      <c r="F27" s="7" t="inlineStr">
        <is>
          <t>6.10%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805.75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Şişecam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Run-of-Mine Ore / Material Output (Mt)</t>
        </is>
      </c>
      <c r="C6" s="13" t="n">
        <v>14.5</v>
      </c>
      <c r="D6" s="13" t="n">
        <v>15.2</v>
      </c>
      <c r="E6" s="13" t="n">
        <v>16</v>
      </c>
      <c r="F6" s="13" t="n">
        <v>16.8</v>
      </c>
      <c r="G6" s="13" t="n">
        <v>17.5</v>
      </c>
      <c r="H6" s="13" t="n">
        <v>18.2</v>
      </c>
      <c r="I6" s="13" t="n">
        <v>19</v>
      </c>
    </row>
    <row r="7">
      <c r="B7" s="7" t="inlineStr">
        <is>
          <t>Finished Commercial Shipments (Mt)</t>
        </is>
      </c>
      <c r="C7" s="13" t="n">
        <v>9.800000000000001</v>
      </c>
      <c r="D7" s="13" t="n">
        <v>10.4</v>
      </c>
      <c r="E7" s="13" t="n">
        <v>11.1</v>
      </c>
      <c r="F7" s="13" t="n">
        <v>11.8</v>
      </c>
      <c r="G7" s="13" t="n">
        <v>12.4</v>
      </c>
      <c r="H7" s="13" t="n">
        <v>13</v>
      </c>
      <c r="I7" s="13" t="n">
        <v>13.6</v>
      </c>
    </row>
    <row r="8">
      <c r="B8" s="7" t="inlineStr">
        <is>
          <t>Realized Average Selling Price ($/t)</t>
        </is>
      </c>
      <c r="C8" s="14" t="n">
        <v>480</v>
      </c>
      <c r="D8" s="14" t="n">
        <v>640</v>
      </c>
      <c r="E8" s="14" t="n">
        <v>520</v>
      </c>
      <c r="F8" s="14" t="n">
        <v>510</v>
      </c>
      <c r="G8" s="14" t="n">
        <v>500</v>
      </c>
      <c r="H8" s="14" t="n">
        <v>490</v>
      </c>
      <c r="I8" s="14" t="n">
        <v>485</v>
      </c>
    </row>
    <row r="9">
      <c r="B9" s="7" t="inlineStr">
        <is>
          <t>Cash Production Cost ($/t)</t>
        </is>
      </c>
      <c r="C9" s="14" t="n">
        <v>290</v>
      </c>
      <c r="D9" s="14" t="n">
        <v>345</v>
      </c>
      <c r="E9" s="14" t="n">
        <v>330</v>
      </c>
      <c r="F9" s="14" t="n">
        <v>325</v>
      </c>
      <c r="G9" s="14" t="n">
        <v>320</v>
      </c>
      <c r="H9" s="14" t="n">
        <v>315</v>
      </c>
      <c r="I9" s="14" t="n">
        <v>310</v>
      </c>
    </row>
    <row r="10">
      <c r="B10" s="7" t="inlineStr">
        <is>
          <t>Capacity Utilization Rate (%)</t>
        </is>
      </c>
      <c r="C10" s="13" t="n">
        <v>84</v>
      </c>
      <c r="D10" s="13" t="n">
        <v>86.5</v>
      </c>
      <c r="E10" s="13" t="n">
        <v>88</v>
      </c>
      <c r="F10" s="13" t="n">
        <v>89.5</v>
      </c>
      <c r="G10" s="13" t="n">
        <v>90.5</v>
      </c>
      <c r="H10" s="13" t="n">
        <v>91.5</v>
      </c>
      <c r="I10" s="13" t="n">
        <v>92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Primary Industrial Commodities</t>
        </is>
      </c>
      <c r="C15" s="8" t="n">
        <v>2244</v>
      </c>
      <c r="D15" s="8" t="n">
        <v>2706</v>
      </c>
      <c r="E15" s="8" t="n">
        <v>3036</v>
      </c>
      <c r="F15" s="8" t="n">
        <v>3300</v>
      </c>
      <c r="G15" s="8" t="n">
        <v>3564</v>
      </c>
      <c r="H15" s="8" t="n">
        <v>3795</v>
      </c>
      <c r="I15" s="8" t="n">
        <v>3960</v>
      </c>
    </row>
    <row r="16">
      <c r="B16" s="7" t="inlineStr">
        <is>
          <t>High-Margin Value-Added Products</t>
        </is>
      </c>
      <c r="C16" s="8" t="n">
        <v>1047.2</v>
      </c>
      <c r="D16" s="8" t="n">
        <v>1262.8</v>
      </c>
      <c r="E16" s="8" t="n">
        <v>1416.8</v>
      </c>
      <c r="F16" s="8" t="n">
        <v>1540</v>
      </c>
      <c r="G16" s="8" t="n">
        <v>1663.2</v>
      </c>
      <c r="H16" s="8" t="n">
        <v>1771</v>
      </c>
      <c r="I16" s="8" t="n">
        <v>1848</v>
      </c>
    </row>
    <row r="17">
      <c r="B17" s="7" t="inlineStr">
        <is>
          <t>By-Product Processing &amp; Industrial Logistics</t>
        </is>
      </c>
      <c r="C17" s="8" t="n">
        <v>448.8</v>
      </c>
      <c r="D17" s="8" t="n">
        <v>541.2</v>
      </c>
      <c r="E17" s="8" t="n">
        <v>607.2</v>
      </c>
      <c r="F17" s="8" t="n">
        <v>660</v>
      </c>
      <c r="G17" s="8" t="n">
        <v>712.8</v>
      </c>
      <c r="H17" s="8" t="n">
        <v>759</v>
      </c>
      <c r="I17" s="8" t="n">
        <v>792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Şişecam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Primary Industrial Commodities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High-Margin Value-Added Products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By-Product Processing &amp; Industrial Logistics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</sheetData>
  <mergeCells count="1">
    <mergeCell ref="B2:I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Şişecam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5610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1309</v>
      </c>
      <c r="D36" s="8" t="n">
        <v>1309</v>
      </c>
      <c r="E36" s="8" t="n">
        <v>1309</v>
      </c>
      <c r="F36" s="8" t="n">
        <v>1309</v>
      </c>
      <c r="G36" s="8" t="n">
        <v>1309</v>
      </c>
      <c r="H36" s="8" t="n">
        <v>1309</v>
      </c>
      <c r="I36" s="8" t="n">
        <v>1309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4">
        <f>C21 - C39</f>
        <v/>
      </c>
      <c r="D41" s="24">
        <f>D21 - D39</f>
        <v/>
      </c>
      <c r="E41" s="24">
        <f>E21 - E39</f>
        <v/>
      </c>
      <c r="F41" s="24">
        <f>F21 - F39</f>
        <v/>
      </c>
      <c r="G41" s="24">
        <f>G21 - G39</f>
        <v/>
      </c>
      <c r="H41" s="24">
        <f>H21 - H39</f>
        <v/>
      </c>
      <c r="I41" s="24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Şişecam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-269.5</v>
      </c>
      <c r="D16" s="8" t="n">
        <v>-327.2</v>
      </c>
      <c r="E16" s="8" t="n">
        <v>-365.8</v>
      </c>
      <c r="F16" s="8" t="n">
        <v>-385</v>
      </c>
      <c r="G16" s="8" t="n">
        <v>-404.2</v>
      </c>
      <c r="H16" s="8" t="n">
        <v>-392.7</v>
      </c>
      <c r="I16" s="8" t="n">
        <v>-377.3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453.8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15" t="inlineStr">
        <is>
          <t>FREE CASH FLOW (FCF = CFO + Capex)</t>
        </is>
      </c>
      <c r="C28" s="16">
        <f>C14 + C16</f>
        <v/>
      </c>
      <c r="D28" s="16">
        <f>D14 + D16</f>
        <v/>
      </c>
      <c r="E28" s="16">
        <f>E14 + E16</f>
        <v/>
      </c>
      <c r="F28" s="16">
        <f>F14 + F16</f>
        <v/>
      </c>
      <c r="G28" s="16">
        <f>G14 + G16</f>
        <v/>
      </c>
      <c r="H28" s="16">
        <f>H14 + H16</f>
        <v/>
      </c>
      <c r="I28" s="16">
        <f>I14 + I16</f>
        <v/>
      </c>
    </row>
  </sheetData>
  <mergeCells count="1">
    <mergeCell ref="B2:I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3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Şişecam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SISE Benchmark Eurobond Notes</t>
        </is>
      </c>
    </row>
    <row r="7">
      <c r="B7" s="7" t="inlineStr">
        <is>
          <t xml:space="preserve">  Beginning Principal Balance</t>
        </is>
      </c>
      <c r="C7" s="8" t="n">
        <v>1232.8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410.9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273.9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0.0685</f>
        <v/>
      </c>
      <c r="D11" s="8">
        <f>D10 * 0.0685</f>
        <v/>
      </c>
      <c r="E11" s="8">
        <f>E10 * 0.0685</f>
        <v/>
      </c>
      <c r="F11" s="8">
        <f>F10 * 0.0685</f>
        <v/>
      </c>
      <c r="G11" s="8">
        <f>G10 * 0.0685</f>
        <v/>
      </c>
      <c r="H11" s="8">
        <f>H10 * 0.0685</f>
        <v/>
      </c>
      <c r="I11" s="8">
        <f>I10 * 0.0685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1506.7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5" t="inlineStr">
        <is>
          <t>2025</t>
        </is>
      </c>
      <c r="C31" s="25" t="inlineStr">
        <is>
          <t>2026</t>
        </is>
      </c>
      <c r="D31" s="25" t="inlineStr">
        <is>
          <t>2027</t>
        </is>
      </c>
      <c r="E31" s="25" t="inlineStr">
        <is>
          <t>2028</t>
        </is>
      </c>
      <c r="F31" s="25" t="inlineStr">
        <is>
          <t>2029</t>
        </is>
      </c>
      <c r="G31" s="25" t="inlineStr">
        <is>
          <t>2030+</t>
        </is>
      </c>
    </row>
    <row r="32">
      <c r="B32" s="8" t="n">
        <v>386.8</v>
      </c>
      <c r="C32" s="8" t="n">
        <v>709.1</v>
      </c>
      <c r="D32" s="8" t="n">
        <v>902.4</v>
      </c>
      <c r="E32" s="8" t="n">
        <v>580.1</v>
      </c>
      <c r="F32" s="8" t="n">
        <v>386.8</v>
      </c>
      <c r="G32" s="8" t="n">
        <v>257.8</v>
      </c>
    </row>
  </sheetData>
  <mergeCells count="1">
    <mergeCell ref="B2:I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Şişecam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EBITDA)</t>
        </is>
      </c>
      <c r="C8" s="26">
        <f>'Debt Schedule &amp; Tranches'!C26 / 'Income Statement (P&amp;L)'!C22</f>
        <v/>
      </c>
      <c r="D8" s="26">
        <f>'Debt Schedule &amp; Tranches'!D26 / 'Income Statement (P&amp;L)'!D22</f>
        <v/>
      </c>
      <c r="E8" s="26">
        <f>'Debt Schedule &amp; Tranches'!E26 / 'Income Statement (P&amp;L)'!E22</f>
        <v/>
      </c>
      <c r="F8" s="26">
        <f>'Debt Schedule &amp; Tranches'!F26 / 'Income Statement (P&amp;L)'!F22</f>
        <v/>
      </c>
      <c r="G8" s="26">
        <f>'Debt Schedule &amp; Tranches'!G26 / 'Income Statement (P&amp;L)'!G22</f>
        <v/>
      </c>
      <c r="H8" s="26">
        <f>'Debt Schedule &amp; Tranches'!H26 / 'Income Statement (P&amp;L)'!H22</f>
        <v/>
      </c>
      <c r="I8" s="26">
        <f>'Debt Schedule &amp; Tranches'!I26 / 'Income Statement (P&amp;L)'!I22</f>
        <v/>
      </c>
    </row>
    <row r="9">
      <c r="B9" s="7" t="inlineStr">
        <is>
          <t>Net Debt / Total Capitalization (%)</t>
        </is>
      </c>
      <c r="C9" s="10">
        <f>'Debt Schedule &amp; Tranches'!C26 / ('Debt Schedule &amp; Tranches'!C26 + 'Balance Sheet'!C38)</f>
        <v/>
      </c>
      <c r="D9" s="10">
        <f>'Debt Schedule &amp; Tranches'!D26 / ('Debt Schedule &amp; Tranches'!D26 + 'Balance Sheet'!D38)</f>
        <v/>
      </c>
      <c r="E9" s="10">
        <f>'Debt Schedule &amp; Tranches'!E26 / ('Debt Schedule &amp; Tranches'!E26 + 'Balance Sheet'!E38)</f>
        <v/>
      </c>
      <c r="F9" s="10">
        <f>'Debt Schedule &amp; Tranches'!F26 / ('Debt Schedule &amp; Tranches'!F26 + 'Balance Sheet'!F38)</f>
        <v/>
      </c>
      <c r="G9" s="10">
        <f>'Debt Schedule &amp; Tranches'!G26 / ('Debt Schedule &amp; Tranches'!G26 + 'Balance Sheet'!G38)</f>
        <v/>
      </c>
      <c r="H9" s="10">
        <f>'Debt Schedule &amp; Tranches'!H26 / ('Debt Schedule &amp; Tranches'!H26 + 'Balance Sheet'!H38)</f>
        <v/>
      </c>
      <c r="I9" s="10">
        <f>'Debt Schedule &amp; Tranches'!I26 / ('Debt Schedule &amp; Tranches'!I26 + 'Balance Sheet'!I38)</f>
        <v/>
      </c>
    </row>
    <row r="10">
      <c r="B10" s="19" t="inlineStr">
        <is>
          <t>EBITDA INTEREST COVERAGE</t>
        </is>
      </c>
      <c r="C10" s="26">
        <f>'Income Statement (P&amp;L)'!C22 / 'Debt Schedule &amp; Tranches'!C28</f>
        <v/>
      </c>
      <c r="D10" s="26">
        <f>'Income Statement (P&amp;L)'!D22 / 'Debt Schedule &amp; Tranches'!D28</f>
        <v/>
      </c>
      <c r="E10" s="26">
        <f>'Income Statement (P&amp;L)'!E22 / 'Debt Schedule &amp; Tranches'!E28</f>
        <v/>
      </c>
      <c r="F10" s="26">
        <f>'Income Statement (P&amp;L)'!F22 / 'Debt Schedule &amp; Tranches'!F28</f>
        <v/>
      </c>
      <c r="G10" s="26">
        <f>'Income Statement (P&amp;L)'!G22 / 'Debt Schedule &amp; Tranches'!G28</f>
        <v/>
      </c>
      <c r="H10" s="26">
        <f>'Income Statement (P&amp;L)'!H22 / 'Debt Schedule &amp; Tranches'!H28</f>
        <v/>
      </c>
      <c r="I10" s="26">
        <f>'Income Statement (P&amp;L)'!I22 / 'Debt Schedule &amp; Tranches'!I28</f>
        <v/>
      </c>
    </row>
    <row r="11">
      <c r="B11" s="7" t="inlineStr">
        <is>
          <t>EBIT Interest Coverage</t>
        </is>
      </c>
      <c r="C11" s="12">
        <f>'Income Statement (P&amp;L)'!C25 / 'Debt Schedule &amp; Tranches'!C28</f>
        <v/>
      </c>
      <c r="D11" s="12">
        <f>'Income Statement (P&amp;L)'!D25 / 'Debt Schedule &amp; Tranches'!D28</f>
        <v/>
      </c>
      <c r="E11" s="12">
        <f>'Income Statement (P&amp;L)'!E25 / 'Debt Schedule &amp; Tranches'!E28</f>
        <v/>
      </c>
      <c r="F11" s="12">
        <f>'Income Statement (P&amp;L)'!F25 / 'Debt Schedule &amp; Tranches'!F28</f>
        <v/>
      </c>
      <c r="G11" s="12">
        <f>'Income Statement (P&amp;L)'!G25 / 'Debt Schedule &amp; Tranches'!G28</f>
        <v/>
      </c>
      <c r="H11" s="12">
        <f>'Income Statement (P&amp;L)'!H25 / 'Debt Schedule &amp; Tranches'!H28</f>
        <v/>
      </c>
      <c r="I11" s="12">
        <f>'Income Statement (P&amp;L)'!I25 / 'Debt Schedule &amp; Tranches'!I28</f>
        <v/>
      </c>
    </row>
    <row r="12"/>
    <row r="13">
      <c r="B13" s="3" t="inlineStr">
        <is>
          <t>II. CASH FLOW COVERAGE &amp; LIQUIDITY RATIOS</t>
        </is>
      </c>
    </row>
    <row r="14">
      <c r="B14" s="7" t="inlineStr">
        <is>
          <t>CFO / Gross Debt (%)</t>
        </is>
      </c>
      <c r="C14" s="10">
        <f>'Cash Flow Statement'!C14 / 'Debt Schedule &amp; Tranches'!C24</f>
        <v/>
      </c>
      <c r="D14" s="10">
        <f>'Cash Flow Statement'!D14 / 'Debt Schedule &amp; Tranches'!D24</f>
        <v/>
      </c>
      <c r="E14" s="10">
        <f>'Cash Flow Statement'!E14 / 'Debt Schedule &amp; Tranches'!E24</f>
        <v/>
      </c>
      <c r="F14" s="10">
        <f>'Cash Flow Statement'!F14 / 'Debt Schedule &amp; Tranches'!F24</f>
        <v/>
      </c>
      <c r="G14" s="10">
        <f>'Cash Flow Statement'!G14 / 'Debt Schedule &amp; Tranches'!G24</f>
        <v/>
      </c>
      <c r="H14" s="10">
        <f>'Cash Flow Statement'!H14 / 'Debt Schedule &amp; Tranches'!H24</f>
        <v/>
      </c>
      <c r="I14" s="10">
        <f>'Cash Flow Statement'!I14 / 'Debt Schedule &amp; Tranches'!I24</f>
        <v/>
      </c>
    </row>
    <row r="15">
      <c r="B15" s="7" t="inlineStr">
        <is>
          <t>FCF / Net Debt (%)</t>
        </is>
      </c>
      <c r="C15" s="10">
        <f>'Cash Flow Statement'!C28 / 'Debt Schedule &amp; Tranches'!C26</f>
        <v/>
      </c>
      <c r="D15" s="10">
        <f>'Cash Flow Statement'!D28 / 'Debt Schedule &amp; Tranches'!D26</f>
        <v/>
      </c>
      <c r="E15" s="10">
        <f>'Cash Flow Statement'!E28 / 'Debt Schedule &amp; Tranches'!E26</f>
        <v/>
      </c>
      <c r="F15" s="10">
        <f>'Cash Flow Statement'!F28 / 'Debt Schedule &amp; Tranches'!F26</f>
        <v/>
      </c>
      <c r="G15" s="10">
        <f>'Cash Flow Statement'!G28 / 'Debt Schedule &amp; Tranches'!G26</f>
        <v/>
      </c>
      <c r="H15" s="10">
        <f>'Cash Flow Statement'!H28 / 'Debt Schedule &amp; Tranches'!H26</f>
        <v/>
      </c>
      <c r="I15" s="10">
        <f>'Cash Flow Statement'!I28 / 'Debt Schedule &amp; Tranches'!I26</f>
        <v/>
      </c>
    </row>
    <row r="16">
      <c r="B16" s="7" t="inlineStr">
        <is>
          <t>FCF Conversion Ratio (FCF / EBITDA)</t>
        </is>
      </c>
      <c r="C16" s="10">
        <f>'Cash Flow Statement'!C28 / 'Income Statement (P&amp;L)'!C22</f>
        <v/>
      </c>
      <c r="D16" s="10">
        <f>'Cash Flow Statement'!D28 / 'Income Statement (P&amp;L)'!D22</f>
        <v/>
      </c>
      <c r="E16" s="10">
        <f>'Cash Flow Statement'!E28 / 'Income Statement (P&amp;L)'!E22</f>
        <v/>
      </c>
      <c r="F16" s="10">
        <f>'Cash Flow Statement'!F28 / 'Income Statement (P&amp;L)'!F22</f>
        <v/>
      </c>
      <c r="G16" s="10">
        <f>'Cash Flow Statement'!G28 / 'Income Statement (P&amp;L)'!G22</f>
        <v/>
      </c>
      <c r="H16" s="10">
        <f>'Cash Flow Statement'!H28 / 'Income Statement (P&amp;L)'!H22</f>
        <v/>
      </c>
      <c r="I16" s="10">
        <f>'Cash Flow Statement'!I28 / 'Income Statement (P&amp;L)'!I22</f>
        <v/>
      </c>
    </row>
    <row r="17">
      <c r="B17" s="7" t="inlineStr">
        <is>
          <t>Capex / Operating Cash Flow (%)</t>
        </is>
      </c>
      <c r="C17" s="10">
        <f>-'Cash Flow Statement'!C16 / 'Cash Flow Statement'!C14</f>
        <v/>
      </c>
      <c r="D17" s="10">
        <f>-'Cash Flow Statement'!D16 / 'Cash Flow Statement'!D14</f>
        <v/>
      </c>
      <c r="E17" s="10">
        <f>-'Cash Flow Statement'!E16 / 'Cash Flow Statement'!E14</f>
        <v/>
      </c>
      <c r="F17" s="10">
        <f>-'Cash Flow Statement'!F16 / 'Cash Flow Statement'!F14</f>
        <v/>
      </c>
      <c r="G17" s="10">
        <f>-'Cash Flow Statement'!G16 / 'Cash Flow Statement'!G14</f>
        <v/>
      </c>
      <c r="H17" s="10">
        <f>-'Cash Flow Statement'!H16 / 'Cash Flow Statement'!H14</f>
        <v/>
      </c>
      <c r="I17" s="10">
        <f>-'Cash Flow Statement'!I16 / 'Cash Flow Statement'!I14</f>
        <v/>
      </c>
    </row>
    <row r="18">
      <c r="B18" s="7" t="inlineStr">
        <is>
          <t>Current Ratio (Current Assets / Current Liab)</t>
        </is>
      </c>
      <c r="C18" s="12">
        <f>'Balance Sheet'!C11 / 'Balance Sheet'!C27</f>
        <v/>
      </c>
      <c r="D18" s="12">
        <f>'Balance Sheet'!D11 / 'Balance Sheet'!D27</f>
        <v/>
      </c>
      <c r="E18" s="12">
        <f>'Balance Sheet'!E11 / 'Balance Sheet'!E27</f>
        <v/>
      </c>
      <c r="F18" s="12">
        <f>'Balance Sheet'!F11 / 'Balance Sheet'!F27</f>
        <v/>
      </c>
      <c r="G18" s="12">
        <f>'Balance Sheet'!G11 / 'Balance Sheet'!G27</f>
        <v/>
      </c>
      <c r="H18" s="12">
        <f>'Balance Sheet'!H11 / 'Balance Sheet'!H27</f>
        <v/>
      </c>
      <c r="I18" s="12">
        <f>'Balance Sheet'!I11 / 'Balance Sheet'!I27</f>
        <v/>
      </c>
    </row>
    <row r="19">
      <c r="B19" s="7" t="inlineStr">
        <is>
          <t>Quick Ratio ((Cash + AR) / Current Liab)</t>
        </is>
      </c>
      <c r="C19" s="12">
        <f>('Balance Sheet'!C7 + 'Balance Sheet'!C8) / 'Balance Sheet'!C27</f>
        <v/>
      </c>
      <c r="D19" s="12">
        <f>('Balance Sheet'!D7 + 'Balance Sheet'!D8) / 'Balance Sheet'!D27</f>
        <v/>
      </c>
      <c r="E19" s="12">
        <f>('Balance Sheet'!E7 + 'Balance Sheet'!E8) / 'Balance Sheet'!E27</f>
        <v/>
      </c>
      <c r="F19" s="12">
        <f>('Balance Sheet'!F7 + 'Balance Sheet'!F8) / 'Balance Sheet'!F27</f>
        <v/>
      </c>
      <c r="G19" s="12">
        <f>('Balance Sheet'!G7 + 'Balance Sheet'!G8) / 'Balance Sheet'!G27</f>
        <v/>
      </c>
      <c r="H19" s="12">
        <f>('Balance Sheet'!H7 + 'Balance Sheet'!H8) / 'Balance Sheet'!H27</f>
        <v/>
      </c>
      <c r="I19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Şişecam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5" t="inlineStr">
        <is>
          <t>Scenario Name</t>
        </is>
      </c>
      <c r="C5" s="25" t="inlineStr">
        <is>
          <t>Revenue Drop</t>
        </is>
      </c>
      <c r="D5" s="25" t="inlineStr">
        <is>
          <t>Margin Compression</t>
        </is>
      </c>
      <c r="E5" s="25" t="inlineStr">
        <is>
          <t>Refinancing Rate</t>
        </is>
      </c>
      <c r="F5" s="25" t="inlineStr">
        <is>
          <t>Exit EV Multiple</t>
        </is>
      </c>
      <c r="G5" s="25" t="inlineStr">
        <is>
          <t>Implied Recovery Px</t>
        </is>
      </c>
      <c r="H5" s="25" t="inlineStr">
        <is>
          <t>Upside / Downside</t>
        </is>
      </c>
    </row>
    <row r="6">
      <c r="B6" s="19" t="inlineStr">
        <is>
          <t>Base Case (Consensus Forecast)</t>
        </is>
      </c>
      <c r="C6" s="27" t="inlineStr">
        <is>
          <t>0.0%</t>
        </is>
      </c>
      <c r="D6" s="27" t="inlineStr">
        <is>
          <t>0 bp</t>
        </is>
      </c>
      <c r="E6" s="27" t="inlineStr">
        <is>
          <t>6.85%</t>
        </is>
      </c>
      <c r="F6" s="27" t="inlineStr">
        <is>
          <t>4.2x</t>
        </is>
      </c>
      <c r="G6" s="27" t="inlineStr">
        <is>
          <t>$102.00</t>
        </is>
      </c>
      <c r="H6" s="27" t="inlineStr">
        <is>
          <t>+2.5%</t>
        </is>
      </c>
    </row>
    <row r="7">
      <c r="B7" s="7" t="inlineStr">
        <is>
          <t>Downside Stress Case (Recession)</t>
        </is>
      </c>
      <c r="C7" s="28" t="inlineStr">
        <is>
          <t>-15.0%</t>
        </is>
      </c>
      <c r="D7" s="28" t="inlineStr">
        <is>
          <t>-300 bp</t>
        </is>
      </c>
      <c r="E7" s="28" t="inlineStr">
        <is>
          <t>8.85%</t>
        </is>
      </c>
      <c r="F7" s="28" t="inlineStr">
        <is>
          <t>3.2x</t>
        </is>
      </c>
      <c r="G7" s="28" t="inlineStr">
        <is>
          <t>$90.00</t>
        </is>
      </c>
      <c r="H7" s="28" t="inlineStr">
        <is>
          <t>-9.5%</t>
        </is>
      </c>
    </row>
    <row r="8">
      <c r="B8" s="7" t="inlineStr">
        <is>
          <t>Severe Distressed Floor (Liquidation)</t>
        </is>
      </c>
      <c r="C8" s="28" t="inlineStr">
        <is>
          <t>-35.0%</t>
        </is>
      </c>
      <c r="D8" s="28" t="inlineStr">
        <is>
          <t>-650 bp</t>
        </is>
      </c>
      <c r="E8" s="28" t="inlineStr">
        <is>
          <t>+500 bp spread</t>
        </is>
      </c>
      <c r="F8" s="28" t="inlineStr">
        <is>
          <t>Liquidation Value</t>
        </is>
      </c>
      <c r="G8" s="28" t="inlineStr">
        <is>
          <t>$78.00</t>
        </is>
      </c>
      <c r="H8" s="28" t="inlineStr">
        <is>
          <t>-21.6%</t>
        </is>
      </c>
    </row>
    <row r="9">
      <c r="B9" s="7" t="inlineStr">
        <is>
          <t>Bull Case (Cycle Peak / Accretion)</t>
        </is>
      </c>
      <c r="C9" s="28" t="inlineStr">
        <is>
          <t>+12.0%</t>
        </is>
      </c>
      <c r="D9" s="28" t="inlineStr">
        <is>
          <t>+200 bp</t>
        </is>
      </c>
      <c r="E9" s="28" t="inlineStr">
        <is>
          <t>5.35%</t>
        </is>
      </c>
      <c r="F9" s="28" t="inlineStr">
        <is>
          <t>5.7x</t>
        </is>
      </c>
      <c r="G9" s="28" t="inlineStr">
        <is>
          <t>$105.00</t>
        </is>
      </c>
      <c r="H9" s="28" t="inlineStr">
        <is>
          <t>+5.5%</t>
        </is>
      </c>
    </row>
    <row r="10"/>
    <row r="11"/>
    <row r="12">
      <c r="B12" s="3" t="inlineStr">
        <is>
          <t>II. PRIORITY CLAIM LIQUIDATION WATERFALL</t>
        </is>
      </c>
    </row>
    <row r="13">
      <c r="B13" s="25" t="inlineStr">
        <is>
          <t>Tranche Claim</t>
        </is>
      </c>
      <c r="C13" s="25" t="inlineStr">
        <is>
          <t>Claim Amount ($M)</t>
        </is>
      </c>
      <c r="D13" s="25" t="inlineStr">
        <is>
          <t>Seniority Ranking</t>
        </is>
      </c>
      <c r="E13" s="25" t="inlineStr">
        <is>
          <t>Estimated Collateral</t>
        </is>
      </c>
      <c r="F13" s="25" t="inlineStr">
        <is>
          <t>Recovery Floor (%)</t>
        </is>
      </c>
      <c r="G13" s="25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805.8</v>
      </c>
      <c r="D14" s="7" t="inlineStr">
        <is>
          <t>Senior Secured (Pari Passu)</t>
        </is>
      </c>
      <c r="E14" s="7" t="inlineStr">
        <is>
          <t>First Lien Fixed Charges</t>
        </is>
      </c>
      <c r="F14" s="28" t="inlineStr">
        <is>
          <t>100.0%</t>
        </is>
      </c>
      <c r="G14" s="28" t="inlineStr">
        <is>
          <t>100.0%</t>
        </is>
      </c>
    </row>
    <row r="15">
      <c r="B15" s="7" t="inlineStr">
        <is>
          <t>SISE Senior Unsecured Eurobonds</t>
        </is>
      </c>
      <c r="C15" s="8" t="n">
        <v>2417.2</v>
      </c>
      <c r="D15" s="7" t="inlineStr">
        <is>
          <t>Senior Unsecured</t>
        </is>
      </c>
      <c r="E15" s="7" t="inlineStr">
        <is>
          <t>General Corporate Guarantee</t>
        </is>
      </c>
      <c r="F15" s="28" t="inlineStr">
        <is>
          <t>78.0%</t>
        </is>
      </c>
      <c r="G15" s="28" t="inlineStr">
        <is>
          <t>102.0%</t>
        </is>
      </c>
    </row>
    <row r="16">
      <c r="B16" s="7" t="inlineStr">
        <is>
          <t>Subordinated Debt &amp; Intercompany Notes</t>
        </is>
      </c>
      <c r="C16" s="8" t="n">
        <v>483.4</v>
      </c>
      <c r="D16" s="7" t="inlineStr">
        <is>
          <t>Subordinated</t>
        </is>
      </c>
      <c r="E16" s="7" t="inlineStr">
        <is>
          <t>Junior Unsecured Claim</t>
        </is>
      </c>
      <c r="F16" s="28" t="inlineStr">
        <is>
          <t>0.0%</t>
        </is>
      </c>
      <c r="G16" s="28" t="inlineStr">
        <is>
          <t>25.0%</t>
        </is>
      </c>
    </row>
    <row r="17">
      <c r="B17" s="7" t="inlineStr">
        <is>
          <t>Equity Shareholders</t>
        </is>
      </c>
      <c r="C17" s="8" t="n">
        <v>1289.2</v>
      </c>
      <c r="D17" s="7" t="inlineStr">
        <is>
          <t>Residual Equity</t>
        </is>
      </c>
      <c r="E17" s="7" t="inlineStr">
        <is>
          <t>Ordinary Shares</t>
        </is>
      </c>
      <c r="F17" s="28" t="inlineStr">
        <is>
          <t>0.0%</t>
        </is>
      </c>
      <c r="G17" s="28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Turkey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35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88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Şişecam (SISE) — Earnings Presentation &amp; Management Guidance</t>
        </is>
      </c>
    </row>
    <row r="3">
      <c r="B3" s="2" t="inlineStr">
        <is>
          <t>Source: Şişecam FY2024 Earnings Conference Call &amp; Strategy Day Deck | Reporting Currency: USD / Local Currency</t>
        </is>
      </c>
    </row>
    <row r="4"/>
    <row r="5">
      <c r="B5" s="3" t="inlineStr">
        <is>
          <t>I. MANAGEMENT GUIDANCE &amp; STRATEGIC POLICY TARGETS</t>
        </is>
      </c>
    </row>
    <row r="6">
      <c r="B6" s="5" t="inlineStr">
        <is>
          <t>Strategic Guidance Metric</t>
        </is>
      </c>
      <c r="C6" s="5" t="inlineStr">
        <is>
          <t>Management Target / Commitment</t>
        </is>
      </c>
    </row>
    <row r="7">
      <c r="B7" s="9" t="inlineStr">
        <is>
          <t>Cost Curve Positioning</t>
        </is>
      </c>
      <c r="C7" s="29" t="inlineStr">
        <is>
          <t>First-quartile global cash cost producer ($/boe or $/tonne)</t>
        </is>
      </c>
    </row>
    <row r="8">
      <c r="B8" s="9" t="inlineStr">
        <is>
          <t>Through Cycle Net Leverage</t>
        </is>
      </c>
      <c r="C8" s="29" t="inlineStr">
        <is>
          <t>&lt; 1.5x - 2.0x Net Debt / EBITDA at mid-cycle commodity pricing</t>
        </is>
      </c>
    </row>
    <row r="9">
      <c r="B9" s="9" t="inlineStr">
        <is>
          <t>Free Cash Flow Breakeven</t>
        </is>
      </c>
      <c r="C9" s="29" t="inlineStr">
        <is>
          <t>Positive corporate free cash flow preserved down to conservative trough prices</t>
        </is>
      </c>
    </row>
    <row r="10">
      <c r="B10" s="9" t="inlineStr">
        <is>
          <t>Dividend Distribution Framework</t>
        </is>
      </c>
      <c r="C10" s="29" t="inlineStr">
        <is>
          <t>Base dividend + 40% - 50% variable payout of surplus free cash flow</t>
        </is>
      </c>
    </row>
    <row r="11"/>
    <row r="12">
      <c r="B12" s="3" t="inlineStr">
        <is>
          <t>II. CAPITAL ALLOCATION &amp; STRATEGIC PROJECT PIPELINE</t>
        </is>
      </c>
    </row>
    <row r="13">
      <c r="B13" s="5" t="inlineStr">
        <is>
          <t>Project / Capital Dimension</t>
        </is>
      </c>
      <c r="C13" s="5" t="inlineStr">
        <is>
          <t>Disclosure &amp; Execution Milestone</t>
        </is>
      </c>
    </row>
    <row r="14">
      <c r="B14" s="9" t="inlineStr">
        <is>
          <t>Flagship Growth And Efficiency Projects</t>
        </is>
      </c>
      <c r="C14" s="29" t="inlineStr">
        <is>
          <t>Field Modernization, Value-Added Processing Facilities &amp; Industrial Decarbonization</t>
        </is>
      </c>
    </row>
    <row r="15">
      <c r="B15" s="9" t="inlineStr">
        <is>
          <t>Annual Capex Envelope</t>
        </is>
      </c>
      <c r="C15" s="29" t="inlineStr">
        <is>
          <t>$385.0M (55% sustaining maintenance / 45% strategic growth)</t>
        </is>
      </c>
    </row>
    <row r="16">
      <c r="B16" s="9" t="inlineStr">
        <is>
          <t>Project Execution Milestones</t>
        </is>
      </c>
      <c r="C16" s="29" t="inlineStr">
        <is>
          <t>Advanced commercial completion scheduled across key processing units through 2026</t>
        </is>
      </c>
    </row>
    <row r="17">
      <c r="B17" s="9" t="inlineStr">
        <is>
          <t>Decarbonization Capex</t>
        </is>
      </c>
      <c r="C17" s="29" t="inlineStr">
        <is>
          <t>Energy efficiency and carbon abatement investments targeting 25% Scope 1/2 reduction</t>
        </is>
      </c>
    </row>
    <row r="18"/>
    <row r="19">
      <c r="B19" s="3" t="inlineStr">
        <is>
          <t>III. GEOGRAPHIC &amp; CURRENCY EXPOSURE MATRIX</t>
        </is>
      </c>
    </row>
    <row r="20">
      <c r="B20" s="5" t="inlineStr">
        <is>
          <t>Exposure Category</t>
        </is>
      </c>
      <c r="C20" s="5" t="inlineStr">
        <is>
          <t>Contractual / Balance Sheet Profile</t>
        </is>
      </c>
    </row>
    <row r="21">
      <c r="B21" s="9" t="inlineStr">
        <is>
          <t>Hard Currency Export Share</t>
        </is>
      </c>
      <c r="C21" s="29" t="inlineStr">
        <is>
          <t>78.0% of revenues generated from US Dollar international sales</t>
        </is>
      </c>
    </row>
    <row r="22">
      <c r="B22" s="9" t="inlineStr">
        <is>
          <t>Natural Operating Hedge</t>
        </is>
      </c>
      <c r="C22" s="29" t="inlineStr">
        <is>
          <t>Over 65% of cash production costs denominated in local operating currencies</t>
        </is>
      </c>
    </row>
    <row r="23">
      <c r="B23" s="9" t="inlineStr">
        <is>
          <t>Debt Service Currency Matching</t>
        </is>
      </c>
      <c r="C23" s="29" t="inlineStr">
        <is>
          <t>100.0% of Eurobond debt service met directly from USD export revenues</t>
        </is>
      </c>
    </row>
    <row r="24"/>
    <row r="25">
      <c r="B25" s="3" t="inlineStr">
        <is>
          <t>IV. CONTRACT BACKLOG &amp; COMMERCIAL MOAT</t>
        </is>
      </c>
    </row>
    <row r="26">
      <c r="B26" s="5" t="inlineStr">
        <is>
          <t>Dimension</t>
        </is>
      </c>
      <c r="C26" s="5" t="inlineStr">
        <is>
          <t>Commercial / Asset Metrics</t>
        </is>
      </c>
    </row>
    <row r="27">
      <c r="B27" s="9" t="inlineStr">
        <is>
          <t>Proved Reserve Life Rli</t>
        </is>
      </c>
      <c r="C27" s="29" t="inlineStr">
        <is>
          <t>18.5 years of economic reserves at current annual production run-rates</t>
        </is>
      </c>
    </row>
    <row r="28">
      <c r="B28" s="9" t="inlineStr">
        <is>
          <t>Offtake Agreements</t>
        </is>
      </c>
      <c r="C28" s="29" t="inlineStr">
        <is>
          <t>Multi-year frame contracts with top-tier industrial conglomerates and trading houses</t>
        </is>
      </c>
    </row>
    <row r="29">
      <c r="B29" s="9" t="inlineStr">
        <is>
          <t>Capacity Utilization</t>
        </is>
      </c>
      <c r="C29" s="29" t="inlineStr">
        <is>
          <t>88.2% across primary extraction and refining complexes</t>
        </is>
      </c>
    </row>
    <row r="30"/>
    <row r="31">
      <c r="B31" s="3" t="inlineStr">
        <is>
          <t>V. LIQUIDITY WATERFALL &amp; HEADROOM</t>
        </is>
      </c>
    </row>
    <row r="32">
      <c r="B32" s="5" t="inlineStr">
        <is>
          <t>Liquidity Component</t>
        </is>
      </c>
      <c r="C32" s="5" t="inlineStr">
        <is>
          <t>Available Buffer / Runway</t>
        </is>
      </c>
    </row>
    <row r="33">
      <c r="B33" s="9" t="inlineStr">
        <is>
          <t>Cash And Short Term Placements</t>
        </is>
      </c>
      <c r="C33" s="29" t="inlineStr">
        <is>
          <t>$825.0M in liquid bank deposits</t>
        </is>
      </c>
    </row>
    <row r="34">
      <c r="B34" s="9" t="inlineStr">
        <is>
          <t>Undrawn Committed Credit Lines</t>
        </is>
      </c>
      <c r="C34" s="29" t="inlineStr">
        <is>
          <t>$1128.0M in revolving bank facilities</t>
        </is>
      </c>
    </row>
    <row r="35">
      <c r="B35" s="9" t="inlineStr">
        <is>
          <t>Net Debt Headroom</t>
        </is>
      </c>
      <c r="C35" s="29" t="inlineStr">
        <is>
          <t>Conservative liquidity buffer providing over 30 months of debt service coverage</t>
        </is>
      </c>
    </row>
  </sheetData>
  <mergeCells count="24">
    <mergeCell ref="C23:I23"/>
    <mergeCell ref="C17:I17"/>
    <mergeCell ref="C8:I8"/>
    <mergeCell ref="B3:I3"/>
    <mergeCell ref="C32:I32"/>
    <mergeCell ref="C7:I7"/>
    <mergeCell ref="C28:I28"/>
    <mergeCell ref="C13:I13"/>
    <mergeCell ref="B2:I2"/>
    <mergeCell ref="C34:I34"/>
    <mergeCell ref="C6:I6"/>
    <mergeCell ref="C15:I15"/>
    <mergeCell ref="C33:I33"/>
    <mergeCell ref="C14:I14"/>
    <mergeCell ref="C26:I26"/>
    <mergeCell ref="C35:I35"/>
    <mergeCell ref="C20:I20"/>
    <mergeCell ref="C29:I29"/>
    <mergeCell ref="C10:I10"/>
    <mergeCell ref="C16:I16"/>
    <mergeCell ref="C22:I22"/>
    <mergeCell ref="C9:I9"/>
    <mergeCell ref="C21:I21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2026-09-19T21:07:28Z</dcterms:created>
  <dcterms:modified xmlns:dcterms="http://purl.org/dc/terms/" xmlns:xsi="http://www.w3.org/2001/XMLSchema-instance" xsi:type="dcterms:W3CDTF">2026-09-19T21:07:28Z</dcterms:modified>
</cp:coreProperties>
</file>