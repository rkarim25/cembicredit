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(+$10.7M) of Calculated EBITDA with zero aggressive management add-backs.</t>
      </text>
    </comment>
    <comment ref="D36" authorId="0" shapeId="0">
      <text>
        <t>CEMBI Credit Desk EBITDA Audit (2022A):
Hyperinflation Accounting (IAS 29 / TMS 29): Reported EBITDA restated under inflation accounting with monetary gain adjustments (+$48.4M / +5.5%); Standardized Calculated EBITDA reflects nominal operating cash receipts minus direct cash expenses.</t>
      </text>
    </comment>
    <comment ref="E36" authorId="0" shapeId="0">
      <text>
        <t>CEMBI Credit Desk EBITDA Audit (2023A):
Hyperinflation Accounting (IAS 29 / TMS 29): Reported EBITDA restated under inflation accounting with monetary gain adjustments (+$54.5M / +5.5%); Standardized Calculated EBITDA reflects nominal operating cash receipts minus direct cash expenses.</t>
      </text>
    </comment>
    <comment ref="F36" authorId="0" shapeId="0">
      <text>
        <t>CEMBI Credit Desk EBITDA Audit (2024A):
Hyperinflation Accounting (IAS 29 / TMS 29): Reported EBITDA restated under inflation accounting with monetary gain adjustments (+$60.5M / +5.5%); Standardized Calculated EBITDA reflects nominal operating cash receipts minus direct cash expenses.</t>
      </text>
    </comment>
    <comment ref="G36" authorId="0" shapeId="0">
      <text>
        <t>CEMBI Credit Desk EBITDA Audit (2025E):
Fully Reconciled: Standard IFRS definition (Operating Profit + D&amp;A) aligns within 1.5% (+$18.1M)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(+$19.5M)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(+$20.5M)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(+$10.7M) of Calculated EBITDA with zero aggressive management add-backs.</t>
      </text>
    </comment>
    <comment ref="D9" authorId="0" shapeId="0">
      <text>
        <t>CEMBI Credit Desk Reported Leverage Commentary (2022A):
Hyperinflation Accounting (IAS 29 / TMS 29): Reported EBITDA restated under inflation accounting with monetary gain adjustments (+$48.4M / +5.5%); Standardized Calculated EBITDA reflects nominal operating cash receipts minus direct cash expenses.</t>
      </text>
    </comment>
    <comment ref="E9" authorId="0" shapeId="0">
      <text>
        <t>CEMBI Credit Desk Reported Leverage Commentary (2023A):
Hyperinflation Accounting (IAS 29 / TMS 29): Reported EBITDA restated under inflation accounting with monetary gain adjustments (+$54.5M / +5.5%); Standardized Calculated EBITDA reflects nominal operating cash receipts minus direct cash expenses.</t>
      </text>
    </comment>
    <comment ref="F9" authorId="0" shapeId="0">
      <text>
        <t>CEMBI Credit Desk Reported Leverage Commentary (2024A):
Hyperinflation Accounting (IAS 29 / TMS 29): Reported EBITDA restated under inflation accounting with monetary gain adjustments (+$60.5M / +5.5%); Standardized Calculated EBITDA reflects nominal operating cash receipts minus direct cash expenses.</t>
      </text>
    </comment>
    <comment ref="G9" authorId="0" shapeId="0">
      <text>
        <t>CEMBI Credit Desk Reported Leverage Commentary (2025E):
Fully Reconciled: Standard IFRS definition (Operating Profit + D&amp;A) aligns within 1.5% (+$18.1M)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(+$19.5M)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(+$20.5M)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2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(SISE) — Institutional Credit Model</t>
        </is>
      </c>
    </row>
    <row r="3">
      <c r="B3" s="2" t="inlineStr">
        <is>
          <t>Sector: Materials | Country: Turkey | Rating: BB- / B1 | Benchmark: SISETR 6.85% 2029 @ $99.50 (6.85% YTM / +245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Global glassware/soda ash titan; 65% export revenues; lowest-cost Wyoming natural trona assets.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SISE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1450.35</v>
      </c>
      <c r="F26" s="7" t="inlineStr">
        <is>
          <t>6.85%</t>
        </is>
      </c>
      <c r="G26" s="7" t="inlineStr">
        <is>
          <t>$99.50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SISE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966.9</v>
      </c>
      <c r="F27" s="7" t="inlineStr">
        <is>
          <t>6.10%</t>
        </is>
      </c>
      <c r="G27" s="7" t="inlineStr">
        <is>
          <t>$102.00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805.75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2244</v>
      </c>
      <c r="D15" s="8" t="n">
        <v>2706</v>
      </c>
      <c r="E15" s="8" t="n">
        <v>3036</v>
      </c>
      <c r="F15" s="8" t="n">
        <v>3300</v>
      </c>
      <c r="G15" s="8" t="n">
        <v>3564</v>
      </c>
      <c r="H15" s="8" t="n">
        <v>3795</v>
      </c>
      <c r="I15" s="8" t="n">
        <v>3960</v>
      </c>
    </row>
    <row r="16">
      <c r="B16" s="7" t="inlineStr">
        <is>
          <t>High-Margin Value-Added Products</t>
        </is>
      </c>
      <c r="C16" s="8" t="n">
        <v>1047.2</v>
      </c>
      <c r="D16" s="8" t="n">
        <v>1262.8</v>
      </c>
      <c r="E16" s="8" t="n">
        <v>1416.8</v>
      </c>
      <c r="F16" s="8" t="n">
        <v>1540</v>
      </c>
      <c r="G16" s="8" t="n">
        <v>1663.2</v>
      </c>
      <c r="H16" s="8" t="n">
        <v>1771</v>
      </c>
      <c r="I16" s="8" t="n">
        <v>1848</v>
      </c>
    </row>
    <row r="17">
      <c r="B17" s="7" t="inlineStr">
        <is>
          <t>By-Product Processing &amp; Industrial Logistics</t>
        </is>
      </c>
      <c r="C17" s="8" t="n">
        <v>448.8</v>
      </c>
      <c r="D17" s="8" t="n">
        <v>541.2</v>
      </c>
      <c r="E17" s="8" t="n">
        <v>607.2</v>
      </c>
      <c r="F17" s="8" t="n">
        <v>660</v>
      </c>
      <c r="G17" s="8" t="n">
        <v>712.8</v>
      </c>
      <c r="H17" s="8" t="n">
        <v>759</v>
      </c>
      <c r="I17" s="8" t="n">
        <v>792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10.7</v>
      </c>
      <c r="D35" s="24" t="n">
        <v>48.4</v>
      </c>
      <c r="E35" s="24" t="n">
        <v>54.5</v>
      </c>
      <c r="F35" s="24" t="n">
        <v>60.5</v>
      </c>
      <c r="G35" s="24" t="n">
        <v>18.1</v>
      </c>
      <c r="H35" s="24" t="n">
        <v>19.5</v>
      </c>
      <c r="I35" s="24" t="n">
        <v>20.5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Material Add-backs</t>
        </is>
      </c>
      <c r="E39" s="25" t="inlineStr">
        <is>
          <t>Material Add-backs</t>
        </is>
      </c>
      <c r="F39" s="25" t="inlineStr">
        <is>
          <t>Material Add-backs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(+$10.7M) of Calculated EBITDA with zero aggressive management add-backs.</t>
        </is>
      </c>
    </row>
    <row r="43">
      <c r="B43" s="26" t="inlineStr">
        <is>
          <t>[2022A] Hyperinflation Accounting (IAS 29 / TMS 29): Reported EBITDA restated under inflation accounting with monetary gain adjustments (+$48.4M / +5.5%); Standardized Calculated EBITDA reflects nominal operating cash receipts minus direct cash expenses.</t>
        </is>
      </c>
    </row>
    <row r="44">
      <c r="B44" s="26" t="inlineStr">
        <is>
          <t>[2023A] Hyperinflation Accounting (IAS 29 / TMS 29): Reported EBITDA restated under inflation accounting with monetary gain adjustments (+$54.5M / +5.5%); Standardized Calculated EBITDA reflects nominal operating cash receipts minus direct cash expenses.</t>
        </is>
      </c>
    </row>
    <row r="45">
      <c r="B45" s="26" t="inlineStr">
        <is>
          <t>[2024A] Hyperinflation Accounting (IAS 29 / TMS 29): Reported EBITDA restated under inflation accounting with monetary gain adjustments (+$60.5M / +5.5%); Standardized Calculated EBITDA reflects nominal operating cash receipts minus direct cash expenses.</t>
        </is>
      </c>
    </row>
    <row r="46">
      <c r="B46" s="26" t="inlineStr">
        <is>
          <t>[2025E] Fully Reconciled: Standard IFRS definition (Operating Profit + D&amp;A) aligns within 1.5% (+$18.1M)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(+$19.5M)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(+$20.5M)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5610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1309</v>
      </c>
      <c r="D36" s="8" t="n">
        <v>1309</v>
      </c>
      <c r="E36" s="8" t="n">
        <v>1309</v>
      </c>
      <c r="F36" s="8" t="n">
        <v>1309</v>
      </c>
      <c r="G36" s="8" t="n">
        <v>1309</v>
      </c>
      <c r="H36" s="8" t="n">
        <v>1309</v>
      </c>
      <c r="I36" s="8" t="n">
        <v>1309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-339.6</v>
      </c>
      <c r="D16" s="8" t="n">
        <v>-594</v>
      </c>
      <c r="E16" s="8" t="n">
        <v>-668.2</v>
      </c>
      <c r="F16" s="8" t="n">
        <v>-632.5</v>
      </c>
      <c r="G16" s="8" t="n">
        <v>-574.8</v>
      </c>
      <c r="H16" s="8" t="n">
        <v>-616.5</v>
      </c>
      <c r="I16" s="8" t="n">
        <v>-647.9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453.8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164.4</v>
      </c>
      <c r="D32" s="8" t="n">
        <v>356.7</v>
      </c>
      <c r="E32" s="8" t="n">
        <v>402</v>
      </c>
      <c r="F32" s="8" t="n">
        <v>245.1</v>
      </c>
      <c r="G32" s="8" t="n">
        <v>260.9</v>
      </c>
      <c r="H32" s="8" t="n">
        <v>274.6</v>
      </c>
      <c r="I32" s="8" t="n">
        <v>284.1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2" customWidth="1" min="5" max="5"/>
    <col width="169" customWidth="1" min="6" max="6"/>
    <col width="15" customWidth="1" min="7" max="7"/>
    <col width="21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SISE Benchmark Eurobond Notes</t>
        </is>
      </c>
    </row>
    <row r="7">
      <c r="B7" s="7" t="inlineStr">
        <is>
          <t xml:space="preserve">  Beginning Principal Balance</t>
        </is>
      </c>
      <c r="C7" s="8" t="n">
        <v>1232.8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410.9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273.9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0.0685</f>
        <v/>
      </c>
      <c r="D11" s="8">
        <f>D10 * 0.0685</f>
        <v/>
      </c>
      <c r="E11" s="8">
        <f>E10 * 0.0685</f>
        <v/>
      </c>
      <c r="F11" s="8">
        <f>F10 * 0.0685</f>
        <v/>
      </c>
      <c r="G11" s="8">
        <f>G10 * 0.0685</f>
        <v/>
      </c>
      <c r="H11" s="8">
        <f>H10 * 0.0685</f>
        <v/>
      </c>
      <c r="I11" s="8">
        <f>I10 * 0.0685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1506.7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386.8</v>
      </c>
      <c r="C32" s="8" t="n">
        <v>709.1</v>
      </c>
      <c r="D32" s="8" t="n">
        <v>902.4</v>
      </c>
      <c r="E32" s="8" t="n">
        <v>580.1</v>
      </c>
      <c r="F32" s="8" t="n">
        <v>386.8</v>
      </c>
      <c r="G32" s="8" t="n">
        <v>257.8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SISE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1450.4</v>
      </c>
      <c r="F37" s="30" t="inlineStr">
        <is>
          <t>6.850%</t>
        </is>
      </c>
      <c r="G37" s="31" t="n">
        <v>99.5</v>
      </c>
      <c r="H37" s="32" t="n">
        <v>6.85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SISE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966.9</v>
      </c>
      <c r="F38" s="30" t="inlineStr">
        <is>
          <t>6.200%</t>
        </is>
      </c>
      <c r="G38" s="31" t="n">
        <v>101.5</v>
      </c>
      <c r="H38" s="32" t="n">
        <v>6.199999999999999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483.4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322.3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SISE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902.4</v>
      </c>
    </row>
    <row r="45">
      <c r="B45" s="7" t="inlineStr">
        <is>
          <t>Drawn Amount ($M)</t>
        </is>
      </c>
      <c r="C45" s="8" t="n">
        <v>322.3</v>
      </c>
    </row>
    <row r="46">
      <c r="B46" s="19" t="inlineStr">
        <is>
          <t>AVAILABLE UNDRAWN HEADROOM ($M)</t>
        </is>
      </c>
      <c r="C46" s="20" t="n">
        <v>580.1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2.18x</t>
        </is>
      </c>
      <c r="E55" s="33" t="inlineStr">
        <is>
          <t>1.57x leverage buffer ($1727.0M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5.40x</t>
        </is>
      </c>
      <c r="E56" s="33" t="inlineStr">
        <is>
          <t>+2.90x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4.9% of Assets</t>
        </is>
      </c>
      <c r="E57" s="33" t="inlineStr">
        <is>
          <t>$1210.0M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6.85%</t>
        </is>
      </c>
      <c r="F6" s="35" t="inlineStr">
        <is>
          <t>4.2x</t>
        </is>
      </c>
      <c r="G6" s="35" t="inlineStr">
        <is>
          <t>$102.00</t>
        </is>
      </c>
      <c r="H6" s="35" t="inlineStr">
        <is>
          <t>+2.5%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8.85%</t>
        </is>
      </c>
      <c r="F7" s="30" t="inlineStr">
        <is>
          <t>3.2x</t>
        </is>
      </c>
      <c r="G7" s="30" t="inlineStr">
        <is>
          <t>$90.00</t>
        </is>
      </c>
      <c r="H7" s="30" t="inlineStr">
        <is>
          <t>-9.5%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$78.00</t>
        </is>
      </c>
      <c r="H8" s="30" t="inlineStr">
        <is>
          <t>-21.6%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5.35%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+5.5%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805.8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SISE Senior Unsecured Eurobonds</t>
        </is>
      </c>
      <c r="C15" s="8" t="n">
        <v>2417.2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78.0%</t>
        </is>
      </c>
      <c r="G15" s="30" t="inlineStr">
        <is>
          <t>102.0%</t>
        </is>
      </c>
    </row>
    <row r="16">
      <c r="B16" s="7" t="inlineStr">
        <is>
          <t>Subordinated Debt &amp; Intercompany Notes</t>
        </is>
      </c>
      <c r="C16" s="8" t="n">
        <v>483.4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1289.2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Turkey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Şişecam (SISE) — Earnings Presentation &amp; Management Guidance</t>
        </is>
      </c>
    </row>
    <row r="3">
      <c r="B3" s="2" t="inlineStr">
        <is>
          <t>Source: Şişecam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$5940.0M (+8.0% YoY growth)</t>
        </is>
      </c>
      <c r="D7" s="36" t="inlineStr">
        <is>
          <t>$5857.5M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$5940.0M (+8.0% YoY growth). With current run-rate at $5857.5M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$1210.0M (20.4% margin)</t>
        </is>
      </c>
      <c r="D8" s="36" t="inlineStr">
        <is>
          <t>$1188.0M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$1210.0M (20.4%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2.18x</t>
        </is>
      </c>
      <c r="E9" s="33" t="inlineStr">
        <is>
          <t>Ahead of Target</t>
        </is>
      </c>
      <c r="F9" s="38" t="inlineStr">
        <is>
          <t>Deleveraging on track with 1.57x buffer below covenant limit.
[QUESTION TO CFO TO VERIFY]: You previously committed to a Net Leverage ceiling of &lt; 3.25x Net Debt / EBITDA. Current actual leverage stands at 2.18x.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$404.2M (Maximum growth and sustaining envelope)</t>
        </is>
      </c>
      <c r="D10" s="36" t="inlineStr">
        <is>
          <t>$371.9M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$404.2M (Maximum growth and sustaining envelope). Current commitments stand at $371.9M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$385.0M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$825.0M in liquid bank deposits</t>
        </is>
      </c>
    </row>
    <row r="35">
      <c r="B35" s="9" t="inlineStr">
        <is>
          <t>Undrawn Committed Credit Lines</t>
        </is>
      </c>
      <c r="C35" s="38" t="inlineStr">
        <is>
          <t>$1128.0M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2026-10-30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Confirmed</t>
        </is>
      </c>
    </row>
    <row r="49">
      <c r="B49" s="9" t="inlineStr">
        <is>
          <t>Conference Call &amp; Webcast Schedule</t>
        </is>
      </c>
      <c r="C49" s="38" t="inlineStr">
        <is>
          <t>17:30 Istanbul</t>
        </is>
      </c>
    </row>
    <row r="50">
      <c r="B50" s="9" t="inlineStr">
        <is>
          <t>Official IR Portal / Webcast URL</t>
        </is>
      </c>
      <c r="C50" s="38" t="inlineStr">
        <is>
          <t>https://www.sisecam.com.tr/en/investor-relations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2026-10-23T04:16:46Z</dcterms:created>
  <dcterms:modified xmlns:dcterms="http://purl.org/dc/terms/" xmlns:xsi="http://www.w3.org/2001/XMLSchema-instance" xsi:type="dcterms:W3CDTF">2026-10-23T04:16:46Z</dcterms:modified>
</cp:coreProperties>
</file>