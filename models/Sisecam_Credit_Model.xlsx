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Şişecam</t>
        </is>
      </c>
    </row>
    <row r="3">
      <c r="B3" s="2" t="inlineStr">
        <is>
          <t>CEMBI CEEMEA Institutional Credit Assessment | Country: Turkey (CEEMEA) | Sector: Materials | Benchmark: SISETR 6.85%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SISETR 6.85% 2029</t>
        </is>
      </c>
      <c r="C6" s="5" t="inlineStr">
        <is>
          <t>6.85% (+245 bp)</t>
        </is>
      </c>
      <c r="D6" s="4" t="inlineStr">
        <is>
          <t>BB- / B1 | BB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$78.00</t>
        </is>
      </c>
      <c r="D7" s="4" t="inlineStr">
        <is>
          <t>Base Case Fair Value</t>
        </is>
      </c>
      <c r="E7" s="5" t="inlineStr">
        <is>
          <t>$102.00</t>
        </is>
      </c>
    </row>
    <row r="9">
      <c r="B9" s="6" t="inlineStr">
        <is>
          <t>INSTITUTIONAL INVESTMENT THESIS</t>
        </is>
      </c>
    </row>
    <row r="10">
      <c r="B10" s="7" t="inlineStr">
        <is>
          <t>Global glassware/soda ash titan; 65% export revenues; lowest-cost Wyoming natural trona assets.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Şişecam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3740</v>
      </c>
      <c r="D7" s="13" t="n">
        <v>4510</v>
      </c>
      <c r="E7" s="13" t="n">
        <v>5060</v>
      </c>
      <c r="F7" s="13" t="n">
        <v>5500</v>
      </c>
      <c r="G7" s="14" t="n">
        <v>5940</v>
      </c>
      <c r="H7" s="14" t="n">
        <v>6325</v>
      </c>
      <c r="I7" s="14" t="n">
        <v>6600</v>
      </c>
    </row>
    <row r="8">
      <c r="B8" s="12" t="inlineStr">
        <is>
          <t>EBITDA</t>
        </is>
      </c>
      <c r="C8" s="13" t="n">
        <v>715</v>
      </c>
      <c r="D8" s="13" t="n">
        <v>880</v>
      </c>
      <c r="E8" s="13" t="n">
        <v>990</v>
      </c>
      <c r="F8" s="13" t="n">
        <v>1100</v>
      </c>
      <c r="G8" s="14" t="n">
        <v>1210</v>
      </c>
      <c r="H8" s="14" t="n">
        <v>1298</v>
      </c>
      <c r="I8" s="14" t="n">
        <v>1364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122.2</v>
      </c>
      <c r="D10" s="17" t="n">
        <v>152.8</v>
      </c>
      <c r="E10" s="17" t="n">
        <v>183.3</v>
      </c>
      <c r="F10" s="17" t="n">
        <v>203.7</v>
      </c>
      <c r="G10" s="18" t="n">
        <v>195.6</v>
      </c>
      <c r="H10" s="18" t="n">
        <v>187.4</v>
      </c>
      <c r="I10" s="18" t="n">
        <v>179.3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579.7</v>
      </c>
      <c r="D12" s="13" t="n">
        <v>729.3</v>
      </c>
      <c r="E12" s="13" t="n">
        <v>822.8</v>
      </c>
      <c r="F12" s="13" t="n">
        <v>935</v>
      </c>
      <c r="G12" s="14" t="n">
        <v>1028.5</v>
      </c>
      <c r="H12" s="14" t="n">
        <v>1103.3</v>
      </c>
      <c r="I12" s="14" t="n">
        <v>1168.8</v>
      </c>
    </row>
    <row r="13">
      <c r="B13" s="5" t="inlineStr">
        <is>
          <t>Capital Expenditures (Capex)</t>
        </is>
      </c>
      <c r="C13" s="17" t="n">
        <v>269.5</v>
      </c>
      <c r="D13" s="17" t="n">
        <v>327.2</v>
      </c>
      <c r="E13" s="17" t="n">
        <v>365.8</v>
      </c>
      <c r="F13" s="17" t="n">
        <v>385</v>
      </c>
      <c r="G13" s="18" t="n">
        <v>404.2</v>
      </c>
      <c r="H13" s="18" t="n">
        <v>392.7</v>
      </c>
      <c r="I13" s="18" t="n">
        <v>377.3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453.8</v>
      </c>
      <c r="D16" s="13" t="n">
        <v>577.5</v>
      </c>
      <c r="E16" s="13" t="n">
        <v>701.2</v>
      </c>
      <c r="F16" s="13" t="n">
        <v>825</v>
      </c>
      <c r="G16" s="14" t="n">
        <v>973.5</v>
      </c>
      <c r="H16" s="14" t="n">
        <v>1113.8</v>
      </c>
      <c r="I16" s="14" t="n">
        <v>1237.5</v>
      </c>
    </row>
    <row r="17">
      <c r="B17" s="12" t="inlineStr">
        <is>
          <t>Gross Total Debt</t>
        </is>
      </c>
      <c r="C17" s="13" t="n">
        <v>2739.5</v>
      </c>
      <c r="D17" s="13" t="n">
        <v>2965.2</v>
      </c>
      <c r="E17" s="13" t="n">
        <v>3158.5</v>
      </c>
      <c r="F17" s="13" t="n">
        <v>3223</v>
      </c>
      <c r="G17" s="14" t="n">
        <v>3158.5</v>
      </c>
      <c r="H17" s="14" t="n">
        <v>3061.8</v>
      </c>
      <c r="I17" s="14" t="n">
        <v>2900.7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Şişecam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6.85%</t>
        </is>
      </c>
      <c r="F6" s="21" t="inlineStr">
        <is>
          <t>2028 / 2029</t>
        </is>
      </c>
      <c r="G6" s="17" t="n">
        <v>1450.4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805.8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483.4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322.3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161.2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701.2</v>
      </c>
    </row>
    <row r="15">
      <c r="B15" t="inlineStr">
        <is>
          <t>Committed Undrawn RCF Capacity</t>
        </is>
      </c>
      <c r="C15" s="22" t="n">
        <v>440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590.5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Şişecam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1100</v>
      </c>
      <c r="D6" s="17" t="n">
        <v>935</v>
      </c>
      <c r="E6" s="25" t="n">
        <v>715</v>
      </c>
    </row>
    <row r="7">
      <c r="B7" s="5" t="inlineStr">
        <is>
          <t>Free Cash Flow ($M)</t>
        </is>
      </c>
      <c r="C7" s="17" t="n">
        <v>550</v>
      </c>
      <c r="D7" s="17" t="n">
        <v>330</v>
      </c>
      <c r="E7" s="25" t="n">
        <v>82.5</v>
      </c>
    </row>
    <row r="8">
      <c r="B8" s="12" t="inlineStr">
        <is>
          <t>Net Leverage Ratio (x)</t>
        </is>
      </c>
      <c r="C8" s="26" t="n">
        <v>2.18</v>
      </c>
      <c r="D8" s="26" t="n">
        <v>2.73</v>
      </c>
      <c r="E8" s="27" t="n">
        <v>4.03</v>
      </c>
    </row>
    <row r="9">
      <c r="B9" s="5" t="inlineStr">
        <is>
          <t>Interest Coverage Ratio (x)</t>
        </is>
      </c>
      <c r="C9" s="26" t="n">
        <v>5.4</v>
      </c>
      <c r="D9" s="26" t="n">
        <v>4.21</v>
      </c>
      <c r="E9" s="27" t="n">
        <v>2.43</v>
      </c>
    </row>
    <row r="10">
      <c r="B10" s="12" t="inlineStr">
        <is>
          <t>Implied Senior Paper Trading / Recovery ($)</t>
        </is>
      </c>
      <c r="C10" s="12" t="inlineStr">
        <is>
          <t>$102.00</t>
        </is>
      </c>
      <c r="D10" s="12" t="inlineStr">
        <is>
          <t>$90.00</t>
        </is>
      </c>
      <c r="E10" s="28" t="inlineStr">
        <is>
          <t>$78.00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