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(+$2.7M)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(+$12.1M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(+$13.6M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(+$15.1M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(+$4.5M)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(+$4.9M)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(+$5.1M)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(+$2.7M)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(+$12.1M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(+$13.6M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(+$15.1M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(+$4.5M)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(+$4.9M)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(+$5.1M)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1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(LMKREN) — Institutional Credit Model</t>
        </is>
      </c>
    </row>
    <row r="3">
      <c r="B3" s="2" t="inlineStr">
        <is>
          <t>Sector: Utilities | Country: Turkey | Rating: B+ / B2 | Benchmark: LIMAK 8.75% 2028 @ $98.20 (8.75% YTM / +435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1,060 MW hydro &amp; solar portfolio; 72% EBITDA margin; YEKDEM 7.3c/kWh dollar floor guarantee.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LMKREN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587.7900000000001</v>
      </c>
      <c r="F26" s="7" t="inlineStr">
        <is>
          <t>8.75%</t>
        </is>
      </c>
      <c r="G26" s="7" t="inlineStr">
        <is>
          <t>$98.20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LMKREN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391.86</v>
      </c>
      <c r="F27" s="7" t="inlineStr">
        <is>
          <t>8.00%</t>
        </is>
      </c>
      <c r="G27" s="7" t="inlineStr">
        <is>
          <t>$100.70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326.55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175.7</v>
      </c>
      <c r="D15" s="8" t="n">
        <v>211.9</v>
      </c>
      <c r="E15" s="8" t="n">
        <v>237.7</v>
      </c>
      <c r="F15" s="8" t="n">
        <v>258.4</v>
      </c>
      <c r="G15" s="8" t="n">
        <v>279.1</v>
      </c>
      <c r="H15" s="8" t="n">
        <v>297.2</v>
      </c>
      <c r="I15" s="8" t="n">
        <v>310.1</v>
      </c>
    </row>
    <row r="16">
      <c r="B16" s="7" t="inlineStr">
        <is>
          <t>Regulated Power Distribution &amp; Grid</t>
        </is>
      </c>
      <c r="C16" s="8" t="n">
        <v>56.8</v>
      </c>
      <c r="D16" s="8" t="n">
        <v>68.59999999999999</v>
      </c>
      <c r="E16" s="8" t="n">
        <v>76.90000000000001</v>
      </c>
      <c r="F16" s="8" t="n">
        <v>83.59999999999999</v>
      </c>
      <c r="G16" s="8" t="n">
        <v>90.3</v>
      </c>
      <c r="H16" s="8" t="n">
        <v>96.09999999999999</v>
      </c>
      <c r="I16" s="8" t="n">
        <v>100.3</v>
      </c>
    </row>
    <row r="17">
      <c r="B17" s="7" t="inlineStr">
        <is>
          <t>Merchant &amp; Capacity Balancing Services</t>
        </is>
      </c>
      <c r="C17" s="8" t="n">
        <v>25.8</v>
      </c>
      <c r="D17" s="8" t="n">
        <v>31.2</v>
      </c>
      <c r="E17" s="8" t="n">
        <v>35</v>
      </c>
      <c r="F17" s="8" t="n">
        <v>38</v>
      </c>
      <c r="G17" s="8" t="n">
        <v>41</v>
      </c>
      <c r="H17" s="8" t="n">
        <v>43.7</v>
      </c>
      <c r="I17" s="8" t="n">
        <v>45.6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2.7</v>
      </c>
      <c r="D35" s="24" t="n">
        <v>12.1</v>
      </c>
      <c r="E35" s="24" t="n">
        <v>13.6</v>
      </c>
      <c r="F35" s="24" t="n">
        <v>15.1</v>
      </c>
      <c r="G35" s="24" t="n">
        <v>4.5</v>
      </c>
      <c r="H35" s="24" t="n">
        <v>4.9</v>
      </c>
      <c r="I35" s="24" t="n">
        <v>5.1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(+$2.7M)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(+$12.1M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(+$13.6M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(+$15.1M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(+$4.5M)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(+$4.9M)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(+$5.1M)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387.6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90.40000000000001</v>
      </c>
      <c r="D36" s="8" t="n">
        <v>90.40000000000001</v>
      </c>
      <c r="E36" s="8" t="n">
        <v>90.40000000000001</v>
      </c>
      <c r="F36" s="8" t="n">
        <v>90.40000000000001</v>
      </c>
      <c r="G36" s="8" t="n">
        <v>90.40000000000001</v>
      </c>
      <c r="H36" s="8" t="n">
        <v>90.40000000000001</v>
      </c>
      <c r="I36" s="8" t="n">
        <v>90.40000000000001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-144.4</v>
      </c>
      <c r="D16" s="8" t="n">
        <v>-252.5</v>
      </c>
      <c r="E16" s="8" t="n">
        <v>-284</v>
      </c>
      <c r="F16" s="8" t="n">
        <v>-268.8</v>
      </c>
      <c r="G16" s="8" t="n">
        <v>-244.3</v>
      </c>
      <c r="H16" s="8" t="n">
        <v>-262</v>
      </c>
      <c r="I16" s="8" t="n">
        <v>-275.4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113.4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9.5</v>
      </c>
      <c r="D32" s="8" t="n">
        <v>18.2</v>
      </c>
      <c r="E32" s="8" t="n">
        <v>21.1</v>
      </c>
      <c r="F32" s="8" t="n">
        <v>15.1</v>
      </c>
      <c r="G32" s="8" t="n">
        <v>14.6</v>
      </c>
      <c r="H32" s="8" t="n">
        <v>14.3</v>
      </c>
      <c r="I32" s="8" t="n">
        <v>13.7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LMKREN Benchmark Eurobond Notes</t>
        </is>
      </c>
    </row>
    <row r="7">
      <c r="B7" s="7" t="inlineStr">
        <is>
          <t xml:space="preserve">  Beginning Principal Balance</t>
        </is>
      </c>
      <c r="C7" s="8" t="n">
        <v>499.6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166.5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111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0.0875</f>
        <v/>
      </c>
      <c r="D11" s="8">
        <f>D10 * 0.0875</f>
        <v/>
      </c>
      <c r="E11" s="8">
        <f>E10 * 0.0875</f>
        <v/>
      </c>
      <c r="F11" s="8">
        <f>F10 * 0.0875</f>
        <v/>
      </c>
      <c r="G11" s="8">
        <f>G10 * 0.0875</f>
        <v/>
      </c>
      <c r="H11" s="8">
        <f>H10 * 0.0875</f>
        <v/>
      </c>
      <c r="I11" s="8">
        <f>I10 * 0.0875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610.7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156.7</v>
      </c>
      <c r="C32" s="8" t="n">
        <v>287.4</v>
      </c>
      <c r="D32" s="8" t="n">
        <v>365.7</v>
      </c>
      <c r="E32" s="8" t="n">
        <v>235.1</v>
      </c>
      <c r="F32" s="8" t="n">
        <v>156.7</v>
      </c>
      <c r="G32" s="8" t="n">
        <v>104.5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LMKREN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587.8</v>
      </c>
      <c r="F37" s="30" t="inlineStr">
        <is>
          <t>8.750%</t>
        </is>
      </c>
      <c r="G37" s="31" t="n">
        <v>98.2</v>
      </c>
      <c r="H37" s="32" t="n">
        <v>8.75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LMKREN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391.9</v>
      </c>
      <c r="F38" s="30" t="inlineStr">
        <is>
          <t>8.100%</t>
        </is>
      </c>
      <c r="G38" s="31" t="n">
        <v>100.2</v>
      </c>
      <c r="H38" s="32" t="n">
        <v>8.1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195.9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130.6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LMKREN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365.7</v>
      </c>
    </row>
    <row r="45">
      <c r="B45" s="7" t="inlineStr">
        <is>
          <t>Drawn Amount ($M)</t>
        </is>
      </c>
      <c r="C45" s="8" t="n">
        <v>130.6</v>
      </c>
    </row>
    <row r="46">
      <c r="B46" s="19" t="inlineStr">
        <is>
          <t>AVAILABLE UNDRAWN HEADROOM ($M)</t>
        </is>
      </c>
      <c r="C46" s="20" t="n">
        <v>235.1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4.00x</t>
        </is>
      </c>
      <c r="E55" s="33" t="inlineStr">
        <is>
          <t>0.50x leverage buffer ($137.5M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3.20x</t>
        </is>
      </c>
      <c r="E56" s="33" t="inlineStr">
        <is>
          <t>+0.70x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28.6% of Assets</t>
        </is>
      </c>
      <c r="E57" s="33" t="inlineStr">
        <is>
          <t>$83.6M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8.75%</t>
        </is>
      </c>
      <c r="F6" s="35" t="inlineStr">
        <is>
          <t>4.2x</t>
        </is>
      </c>
      <c r="G6" s="35" t="inlineStr">
        <is>
          <t>$100.00</t>
        </is>
      </c>
      <c r="H6" s="35" t="inlineStr">
        <is>
          <t>+1.8%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10.75%</t>
        </is>
      </c>
      <c r="F7" s="30" t="inlineStr">
        <is>
          <t>3.2x</t>
        </is>
      </c>
      <c r="G7" s="30" t="inlineStr">
        <is>
          <t>$85.00</t>
        </is>
      </c>
      <c r="H7" s="30" t="inlineStr">
        <is>
          <t>-13.4%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$70.00</t>
        </is>
      </c>
      <c r="H8" s="30" t="inlineStr">
        <is>
          <t>-28.7%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7.25%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+6.9%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326.6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LMKREN Senior Unsecured Eurobonds</t>
        </is>
      </c>
      <c r="C15" s="8" t="n">
        <v>979.7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70.0%</t>
        </is>
      </c>
      <c r="G15" s="30" t="inlineStr">
        <is>
          <t>100.0%</t>
        </is>
      </c>
    </row>
    <row r="16">
      <c r="B16" s="7" t="inlineStr">
        <is>
          <t>Subordinated Debt &amp; Intercompany Notes</t>
        </is>
      </c>
      <c r="C16" s="8" t="n">
        <v>195.9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522.5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Limak Renewable (LMKREN) — Earnings Presentation &amp; Management Guidance</t>
        </is>
      </c>
    </row>
    <row r="3">
      <c r="B3" s="2" t="inlineStr">
        <is>
          <t>Source: Limak Renewable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$410.4M (+8.0% YoY growth)</t>
        </is>
      </c>
      <c r="D7" s="36" t="inlineStr">
        <is>
          <t>$404.7M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$410.4M (+8.0% YoY growth). With current run-rate at $404.7M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$302.5M (73.7% margin)</t>
        </is>
      </c>
      <c r="D8" s="36" t="inlineStr">
        <is>
          <t>$297.0M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$302.5M (73.7%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4.00x</t>
        </is>
      </c>
      <c r="E9" s="37" t="inlineStr">
        <is>
          <t>On Track</t>
        </is>
      </c>
      <c r="F9" s="38" t="inlineStr">
        <is>
          <t>Deleveraging on track with 0.50x buffer below covenant limit.
[QUESTION TO CFO TO VERIFY]: You previously committed to a Net Leverage ceiling of &lt; 4.00x Net Debt / EBITDA. Current actual leverage stands at 4.00x.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$101.1M (Maximum growth and sustaining envelope)</t>
        </is>
      </c>
      <c r="D10" s="36" t="inlineStr">
        <is>
          <t>$93.0M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$101.1M (Maximum growth and sustaining envelope). Current commitments stand at $93.0M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$336.7M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$6840.0M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$206.2M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$522.5M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https://www.google.com/finance/quote/LMKREN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2026-10-26T05:17:48Z</dcterms:created>
  <dcterms:modified xmlns:dcterms="http://purl.org/dc/terms/" xmlns:xsi="http://www.w3.org/2001/XMLSchema-instance" xsi:type="dcterms:W3CDTF">2026-10-26T05:17:48Z</dcterms:modified>
</cp:coreProperties>
</file>