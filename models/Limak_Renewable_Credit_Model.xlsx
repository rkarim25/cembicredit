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2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Steady demand recovery; baseload power generation contracted under long-term take-or-pay PPAs.</t>
      </text>
    </comment>
    <comment ref="D10" authorId="0" shapeId="0">
      <text>
        <t>CEMBI Credit Analyst Observation (2022A):
Global energy crisis; heightened power demand met with high equivalent availability factors.</t>
      </text>
    </comment>
    <comment ref="E10" authorId="0" shapeId="0">
      <text>
        <t>CEMBI Credit Analyst Observation (2023A):
Commercial operations commencement of new generating capacity adds steady revenue streams.</t>
      </text>
    </comment>
    <comment ref="F10" authorId="0" shapeId="0">
      <text>
        <t>CEMBI Credit Analyst Observation (2024A):
High availability (&gt;93%) across generating fleet; regulated asset base (RAB) expansions drive growth.</t>
      </text>
    </comment>
    <comment ref="G10" authorId="0" shapeId="0">
      <text>
        <t>CEMBI Credit Analyst Observation (2025E):
Contracted revenue visibility exceeding 90%; long-term sovereign offtakers ensure zero counterparty default risk.</t>
      </text>
    </comment>
    <comment ref="H10" authorId="0" shapeId="0">
      <text>
        <t>CEMBI Credit Analyst Observation (2026E):
Full-year contribution from recently commissioned green energy and grid automation assets.</t>
      </text>
    </comment>
    <comment ref="I10" authorId="0" shapeId="0">
      <text>
        <t>CEMBI Credit Analyst Observation (2027E):
Fully integrated utility operations delivering defensive, non-cyclical cash flow across all economic cycles.</t>
      </text>
    </comment>
    <comment ref="C22" authorId="0" shapeId="0">
      <text>
        <t>CEMBI Credit Analyst Observation (2021A):
EBITDA margin anchored by pass-through tariff structures shielding against generation cost increases.</t>
      </text>
    </comment>
    <comment ref="D22" authorId="0" shapeId="0">
      <text>
        <t>CEMBI Credit Analyst Observation (2022A):
Operating EBITDA insulated from fuel price volatility via contractual indexation mechanisms.</t>
      </text>
    </comment>
    <comment ref="E22" authorId="0" shapeId="0">
      <text>
        <t>CEMBI Credit Analyst Observation (2023A):
Margin expansion driven by lower operating heat rates and higher generation efficiency.</t>
      </text>
    </comment>
    <comment ref="F22" authorId="0" shapeId="0">
      <text>
        <t>CEMBI Credit Analyst Observation (2024A):
Consolidated EBITDA reaches peak performance, supported by hard-currency tariff indexation.</t>
      </text>
    </comment>
    <comment ref="G22" authorId="0" shapeId="0">
      <text>
        <t>CEMBI Credit Analyst Observation (2025E):
Predictable utility cash EBITDA margins with inflation-linked escalation clauses.</t>
      </text>
    </comment>
    <comment ref="H22" authorId="0" shapeId="0">
      <text>
        <t>CEMBI Credit Analyst Observation (2026E):
EBITDA expansion supported by lower unit operating costs and digital fleet dispatching.</t>
      </text>
    </comment>
    <comment ref="I22" authorId="0" shapeId="0">
      <text>
        <t>CEMBI Credit Analyst Observation (2027E):
Sustained high EBITDA margins reflecting mature, highly efficient generation infrastructure.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Leverage Commentary (2021A):
Stable leverage profile backed by utility-grade predictability and regulatory stability.</t>
      </text>
    </comment>
    <comment ref="D8" authorId="0" shapeId="0">
      <text>
        <t>CEMBI Credit Desk Leverage Commentary (2022A):
Prudent capital management preserves compliance with all financial covenant ratios.</t>
      </text>
    </comment>
    <comment ref="E8" authorId="0" shapeId="0">
      <text>
        <t>CEMBI Credit Desk Leverage Commentary (2023A):
Net leverage steadily amortizes in line with project financing repayment profiles.</t>
      </text>
    </comment>
    <comment ref="F8" authorId="0" shapeId="0">
      <text>
        <t>CEMBI Credit Desk Leverage Commentary (2024A):
Deleveraging on track; substantial liquidity reserves maintained across top-tier banking partners.</t>
      </text>
    </comment>
    <comment ref="G8" authorId="0" shapeId="0">
      <text>
        <t>CEMBI Credit Desk Leverage Commentary (2025E):
Net leverage declines toward target management ceiling (&lt;3.5x consolidated).</t>
      </text>
    </comment>
    <comment ref="H8" authorId="0" shapeId="0">
      <text>
        <t>CEMBI Credit Desk Leverage Commentary (2026E):
Credit profile strengthens, positioning the issuer for potential credit rating upgrades.</t>
      </text>
    </comment>
    <comment ref="I8" authorId="0" shapeId="0">
      <text>
        <t>CEMBI Credit Desk Leverage Commentary (2027E):
Conservative capital structure with fortress balance sheet metrics and large covenant headroom.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1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Renewable (LMKREN) — Institutional Credit Model</t>
        </is>
      </c>
    </row>
    <row r="3">
      <c r="B3" s="2" t="inlineStr">
        <is>
          <t>Sector: Utilities | Country: Turkey | Rating: B+ / B2 | Benchmark: LIMAK 8.75% 2028 @ $98.20 (8.75% YTM / +435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1,060 MW hydro &amp; solar portfolio; 72% EBITDA margin; YEKDEM 7.3c/kWh dollar floor guarantee.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LMKREN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587.7900000000001</v>
      </c>
      <c r="F26" s="7" t="inlineStr">
        <is>
          <t>8.75%</t>
        </is>
      </c>
      <c r="G26" s="7" t="inlineStr">
        <is>
          <t>$98.20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LMKREN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391.86</v>
      </c>
      <c r="F27" s="7" t="inlineStr">
        <is>
          <t>8.00%</t>
        </is>
      </c>
      <c r="G27" s="7" t="inlineStr">
        <is>
          <t>$100.70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326.55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Renewable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175.7</v>
      </c>
      <c r="D15" s="8" t="n">
        <v>211.9</v>
      </c>
      <c r="E15" s="8" t="n">
        <v>237.7</v>
      </c>
      <c r="F15" s="8" t="n">
        <v>258.4</v>
      </c>
      <c r="G15" s="8" t="n">
        <v>279.1</v>
      </c>
      <c r="H15" s="8" t="n">
        <v>297.2</v>
      </c>
      <c r="I15" s="8" t="n">
        <v>310.1</v>
      </c>
    </row>
    <row r="16">
      <c r="B16" s="7" t="inlineStr">
        <is>
          <t>Regulated Power Distribution &amp; Grid</t>
        </is>
      </c>
      <c r="C16" s="8" t="n">
        <v>56.8</v>
      </c>
      <c r="D16" s="8" t="n">
        <v>68.59999999999999</v>
      </c>
      <c r="E16" s="8" t="n">
        <v>76.90000000000001</v>
      </c>
      <c r="F16" s="8" t="n">
        <v>83.59999999999999</v>
      </c>
      <c r="G16" s="8" t="n">
        <v>90.3</v>
      </c>
      <c r="H16" s="8" t="n">
        <v>96.09999999999999</v>
      </c>
      <c r="I16" s="8" t="n">
        <v>100.3</v>
      </c>
    </row>
    <row r="17">
      <c r="B17" s="7" t="inlineStr">
        <is>
          <t>Merchant &amp; Capacity Balancing Services</t>
        </is>
      </c>
      <c r="C17" s="8" t="n">
        <v>25.8</v>
      </c>
      <c r="D17" s="8" t="n">
        <v>31.2</v>
      </c>
      <c r="E17" s="8" t="n">
        <v>35</v>
      </c>
      <c r="F17" s="8" t="n">
        <v>38</v>
      </c>
      <c r="G17" s="8" t="n">
        <v>41</v>
      </c>
      <c r="H17" s="8" t="n">
        <v>43.7</v>
      </c>
      <c r="I17" s="8" t="n">
        <v>45.6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Renewable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Renewable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387.6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90.40000000000001</v>
      </c>
      <c r="D36" s="8" t="n">
        <v>90.40000000000001</v>
      </c>
      <c r="E36" s="8" t="n">
        <v>90.40000000000001</v>
      </c>
      <c r="F36" s="8" t="n">
        <v>90.40000000000001</v>
      </c>
      <c r="G36" s="8" t="n">
        <v>90.40000000000001</v>
      </c>
      <c r="H36" s="8" t="n">
        <v>90.40000000000001</v>
      </c>
      <c r="I36" s="8" t="n">
        <v>90.40000000000001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4">
        <f>C21 - C39</f>
        <v/>
      </c>
      <c r="D41" s="24">
        <f>D21 - D39</f>
        <v/>
      </c>
      <c r="E41" s="24">
        <f>E21 - E39</f>
        <v/>
      </c>
      <c r="F41" s="24">
        <f>F21 - F39</f>
        <v/>
      </c>
      <c r="G41" s="24">
        <f>G21 - G39</f>
        <v/>
      </c>
      <c r="H41" s="24">
        <f>H21 - H39</f>
        <v/>
      </c>
      <c r="I41" s="24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Renewable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-67.40000000000001</v>
      </c>
      <c r="D16" s="8" t="n">
        <v>-81.8</v>
      </c>
      <c r="E16" s="8" t="n">
        <v>-91.40000000000001</v>
      </c>
      <c r="F16" s="8" t="n">
        <v>-96.2</v>
      </c>
      <c r="G16" s="8" t="n">
        <v>-101.1</v>
      </c>
      <c r="H16" s="8" t="n">
        <v>-98.2</v>
      </c>
      <c r="I16" s="8" t="n">
        <v>-94.3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113.4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15" t="inlineStr">
        <is>
          <t>FREE CASH FLOW (FCF = CFO + Capex)</t>
        </is>
      </c>
      <c r="C28" s="16">
        <f>C14 + C16</f>
        <v/>
      </c>
      <c r="D28" s="16">
        <f>D14 + D16</f>
        <v/>
      </c>
      <c r="E28" s="16">
        <f>E14 + E16</f>
        <v/>
      </c>
      <c r="F28" s="16">
        <f>F14 + F16</f>
        <v/>
      </c>
      <c r="G28" s="16">
        <f>G14 + G16</f>
        <v/>
      </c>
      <c r="H28" s="16">
        <f>H14 + H16</f>
        <v/>
      </c>
      <c r="I28" s="16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Limak Renewable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LMKREN Benchmark Eurobond Notes</t>
        </is>
      </c>
    </row>
    <row r="7">
      <c r="B7" s="7" t="inlineStr">
        <is>
          <t xml:space="preserve">  Beginning Principal Balance</t>
        </is>
      </c>
      <c r="C7" s="8" t="n">
        <v>499.6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166.5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111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0.0875</f>
        <v/>
      </c>
      <c r="D11" s="8">
        <f>D10 * 0.0875</f>
        <v/>
      </c>
      <c r="E11" s="8">
        <f>E10 * 0.0875</f>
        <v/>
      </c>
      <c r="F11" s="8">
        <f>F10 * 0.0875</f>
        <v/>
      </c>
      <c r="G11" s="8">
        <f>G10 * 0.0875</f>
        <v/>
      </c>
      <c r="H11" s="8">
        <f>H10 * 0.0875</f>
        <v/>
      </c>
      <c r="I11" s="8">
        <f>I10 * 0.0875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610.7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5" t="inlineStr">
        <is>
          <t>2025</t>
        </is>
      </c>
      <c r="C31" s="25" t="inlineStr">
        <is>
          <t>2026</t>
        </is>
      </c>
      <c r="D31" s="25" t="inlineStr">
        <is>
          <t>2027</t>
        </is>
      </c>
      <c r="E31" s="25" t="inlineStr">
        <is>
          <t>2028</t>
        </is>
      </c>
      <c r="F31" s="25" t="inlineStr">
        <is>
          <t>2029</t>
        </is>
      </c>
      <c r="G31" s="25" t="inlineStr">
        <is>
          <t>2030+</t>
        </is>
      </c>
    </row>
    <row r="32">
      <c r="B32" s="8" t="n">
        <v>156.7</v>
      </c>
      <c r="C32" s="8" t="n">
        <v>287.4</v>
      </c>
      <c r="D32" s="8" t="n">
        <v>365.7</v>
      </c>
      <c r="E32" s="8" t="n">
        <v>235.1</v>
      </c>
      <c r="F32" s="8" t="n">
        <v>156.7</v>
      </c>
      <c r="G32" s="8" t="n">
        <v>104.5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LMKREN Benchmark Senior Notes</t>
        </is>
      </c>
      <c r="C37" s="7" t="inlineStr">
        <is>
          <t>Senior Unsecured RegS/144A Eurobond</t>
        </is>
      </c>
      <c r="D37" s="26" t="inlineStr">
        <is>
          <t>USD</t>
        </is>
      </c>
      <c r="E37" s="21" t="n">
        <v>587.8</v>
      </c>
      <c r="F37" s="27" t="inlineStr">
        <is>
          <t>8.750%</t>
        </is>
      </c>
      <c r="G37" s="28" t="n">
        <v>98.2</v>
      </c>
      <c r="H37" s="29" t="n">
        <v>8.75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LMKREN Secondary Eurobond / Sukuk Tranche 2</t>
        </is>
      </c>
      <c r="C38" s="7" t="inlineStr">
        <is>
          <t>Senior Unsecured Notes</t>
        </is>
      </c>
      <c r="D38" s="26" t="inlineStr">
        <is>
          <t>USD</t>
        </is>
      </c>
      <c r="E38" s="21" t="n">
        <v>391.9</v>
      </c>
      <c r="F38" s="27" t="inlineStr">
        <is>
          <t>8.100%</t>
        </is>
      </c>
      <c r="G38" s="28" t="n">
        <v>100.2</v>
      </c>
      <c r="H38" s="29" t="n">
        <v>8.1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6" t="inlineStr">
        <is>
          <t>USD / EUR</t>
        </is>
      </c>
      <c r="E39" s="21" t="n">
        <v>195.9</v>
      </c>
      <c r="F39" s="27" t="inlineStr">
        <is>
          <t>SOFR + 185 bps</t>
        </is>
      </c>
      <c r="G39" s="28" t="n">
        <v>100</v>
      </c>
      <c r="H39" s="29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6" t="inlineStr">
        <is>
          <t>USD</t>
        </is>
      </c>
      <c r="E40" s="21" t="n">
        <v>130.6</v>
      </c>
      <c r="F40" s="27" t="inlineStr">
        <is>
          <t>SOFR + 150 bps</t>
        </is>
      </c>
      <c r="G40" s="28" t="n">
        <v>100</v>
      </c>
      <c r="H40" s="29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LMKREN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365.7</v>
      </c>
    </row>
    <row r="45">
      <c r="B45" s="7" t="inlineStr">
        <is>
          <t>Drawn Amount ($M)</t>
        </is>
      </c>
      <c r="C45" s="8" t="n">
        <v>130.6</v>
      </c>
    </row>
    <row r="46">
      <c r="B46" s="19" t="inlineStr">
        <is>
          <t>AVAILABLE UNDRAWN HEADROOM ($M)</t>
        </is>
      </c>
      <c r="C46" s="20" t="n">
        <v>235.1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6" t="inlineStr">
        <is>
          <t>4.50x</t>
        </is>
      </c>
      <c r="D55" s="30" t="inlineStr">
        <is>
          <t>4.00x</t>
        </is>
      </c>
      <c r="E55" s="31" t="inlineStr">
        <is>
          <t>0.50x leverage buffer ($137.5M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6" t="inlineStr">
        <is>
          <t>2.50x</t>
        </is>
      </c>
      <c r="D56" s="30" t="inlineStr">
        <is>
          <t>3.20x</t>
        </is>
      </c>
      <c r="E56" s="31" t="inlineStr">
        <is>
          <t>+0.70x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6" t="inlineStr">
        <is>
          <t>15.0% of Consolidated Total Tangible Assets</t>
        </is>
      </c>
      <c r="D57" s="30" t="inlineStr">
        <is>
          <t>28.6% of Assets</t>
        </is>
      </c>
      <c r="E57" s="31" t="inlineStr">
        <is>
          <t>$83.6M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6" t="inlineStr">
        <is>
          <t>101.00% Redemption</t>
        </is>
      </c>
      <c r="D58" s="30" t="inlineStr">
        <is>
          <t>N/A (Inactive)</t>
        </is>
      </c>
      <c r="E58" s="31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6" t="inlineStr">
        <is>
          <t>Builder Basket</t>
        </is>
      </c>
      <c r="D59" s="30" t="inlineStr">
        <is>
          <t>Within Capacity</t>
        </is>
      </c>
      <c r="E59" s="31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6" t="inlineStr">
        <is>
          <t>$50.0M threshold triggering cross-acceleration across all senior Eurobonds and syndicated loans.</t>
        </is>
      </c>
      <c r="D60" s="30" t="inlineStr">
        <is>
          <t>Zero Defaults</t>
        </is>
      </c>
      <c r="E60" s="31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Renewable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EBITDA)</t>
        </is>
      </c>
      <c r="C8" s="32">
        <f>'Debt Schedule &amp; Tranches'!C26 / 'Income Statement (P&amp;L)'!C22</f>
        <v/>
      </c>
      <c r="D8" s="32">
        <f>'Debt Schedule &amp; Tranches'!D26 / 'Income Statement (P&amp;L)'!D22</f>
        <v/>
      </c>
      <c r="E8" s="32">
        <f>'Debt Schedule &amp; Tranches'!E26 / 'Income Statement (P&amp;L)'!E22</f>
        <v/>
      </c>
      <c r="F8" s="32">
        <f>'Debt Schedule &amp; Tranches'!F26 / 'Income Statement (P&amp;L)'!F22</f>
        <v/>
      </c>
      <c r="G8" s="32">
        <f>'Debt Schedule &amp; Tranches'!G26 / 'Income Statement (P&amp;L)'!G22</f>
        <v/>
      </c>
      <c r="H8" s="32">
        <f>'Debt Schedule &amp; Tranches'!H26 / 'Income Statement (P&amp;L)'!H22</f>
        <v/>
      </c>
      <c r="I8" s="32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9" t="inlineStr">
        <is>
          <t>EBITDA INTEREST COVERAGE</t>
        </is>
      </c>
      <c r="C10" s="32">
        <f>'Income Statement (P&amp;L)'!C22 / 'Debt Schedule &amp; Tranches'!C28</f>
        <v/>
      </c>
      <c r="D10" s="32">
        <f>'Income Statement (P&amp;L)'!D22 / 'Debt Schedule &amp; Tranches'!D28</f>
        <v/>
      </c>
      <c r="E10" s="32">
        <f>'Income Statement (P&amp;L)'!E22 / 'Debt Schedule &amp; Tranches'!E28</f>
        <v/>
      </c>
      <c r="F10" s="32">
        <f>'Income Statement (P&amp;L)'!F22 / 'Debt Schedule &amp; Tranches'!F28</f>
        <v/>
      </c>
      <c r="G10" s="32">
        <f>'Income Statement (P&amp;L)'!G22 / 'Debt Schedule &amp; Tranches'!G28</f>
        <v/>
      </c>
      <c r="H10" s="32">
        <f>'Income Statement (P&amp;L)'!H22 / 'Debt Schedule &amp; Tranches'!H28</f>
        <v/>
      </c>
      <c r="I10" s="32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Renewable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5" t="inlineStr">
        <is>
          <t>Scenario Name</t>
        </is>
      </c>
      <c r="C5" s="25" t="inlineStr">
        <is>
          <t>Revenue Drop</t>
        </is>
      </c>
      <c r="D5" s="25" t="inlineStr">
        <is>
          <t>Margin Compression</t>
        </is>
      </c>
      <c r="E5" s="25" t="inlineStr">
        <is>
          <t>Refinancing Rate</t>
        </is>
      </c>
      <c r="F5" s="25" t="inlineStr">
        <is>
          <t>Exit EV Multiple</t>
        </is>
      </c>
      <c r="G5" s="25" t="inlineStr">
        <is>
          <t>Implied Recovery Px</t>
        </is>
      </c>
      <c r="H5" s="25" t="inlineStr">
        <is>
          <t>Upside / Downside</t>
        </is>
      </c>
    </row>
    <row r="6">
      <c r="B6" s="19" t="inlineStr">
        <is>
          <t>Base Case (Consensus Forecast)</t>
        </is>
      </c>
      <c r="C6" s="33" t="inlineStr">
        <is>
          <t>0.0%</t>
        </is>
      </c>
      <c r="D6" s="33" t="inlineStr">
        <is>
          <t>0 bp</t>
        </is>
      </c>
      <c r="E6" s="33" t="inlineStr">
        <is>
          <t>8.75%</t>
        </is>
      </c>
      <c r="F6" s="33" t="inlineStr">
        <is>
          <t>4.2x</t>
        </is>
      </c>
      <c r="G6" s="33" t="inlineStr">
        <is>
          <t>$100.00</t>
        </is>
      </c>
      <c r="H6" s="33" t="inlineStr">
        <is>
          <t>+1.8%</t>
        </is>
      </c>
    </row>
    <row r="7">
      <c r="B7" s="7" t="inlineStr">
        <is>
          <t>Downside Stress Case (Recession)</t>
        </is>
      </c>
      <c r="C7" s="27" t="inlineStr">
        <is>
          <t>-15.0%</t>
        </is>
      </c>
      <c r="D7" s="27" t="inlineStr">
        <is>
          <t>-300 bp</t>
        </is>
      </c>
      <c r="E7" s="27" t="inlineStr">
        <is>
          <t>10.75%</t>
        </is>
      </c>
      <c r="F7" s="27" t="inlineStr">
        <is>
          <t>3.2x</t>
        </is>
      </c>
      <c r="G7" s="27" t="inlineStr">
        <is>
          <t>$85.00</t>
        </is>
      </c>
      <c r="H7" s="27" t="inlineStr">
        <is>
          <t>-13.4%</t>
        </is>
      </c>
    </row>
    <row r="8">
      <c r="B8" s="7" t="inlineStr">
        <is>
          <t>Severe Distressed Floor (Liquidation)</t>
        </is>
      </c>
      <c r="C8" s="27" t="inlineStr">
        <is>
          <t>-35.0%</t>
        </is>
      </c>
      <c r="D8" s="27" t="inlineStr">
        <is>
          <t>-650 bp</t>
        </is>
      </c>
      <c r="E8" s="27" t="inlineStr">
        <is>
          <t>+500 bp spread</t>
        </is>
      </c>
      <c r="F8" s="27" t="inlineStr">
        <is>
          <t>Liquidation Value</t>
        </is>
      </c>
      <c r="G8" s="27" t="inlineStr">
        <is>
          <t>$70.00</t>
        </is>
      </c>
      <c r="H8" s="27" t="inlineStr">
        <is>
          <t>-28.7%</t>
        </is>
      </c>
    </row>
    <row r="9">
      <c r="B9" s="7" t="inlineStr">
        <is>
          <t>Bull Case (Cycle Peak / Accretion)</t>
        </is>
      </c>
      <c r="C9" s="27" t="inlineStr">
        <is>
          <t>+12.0%</t>
        </is>
      </c>
      <c r="D9" s="27" t="inlineStr">
        <is>
          <t>+200 bp</t>
        </is>
      </c>
      <c r="E9" s="27" t="inlineStr">
        <is>
          <t>7.25%</t>
        </is>
      </c>
      <c r="F9" s="27" t="inlineStr">
        <is>
          <t>5.7x</t>
        </is>
      </c>
      <c r="G9" s="27" t="inlineStr">
        <is>
          <t>$105.00</t>
        </is>
      </c>
      <c r="H9" s="27" t="inlineStr">
        <is>
          <t>+6.9%</t>
        </is>
      </c>
    </row>
    <row r="10"/>
    <row r="11"/>
    <row r="12">
      <c r="B12" s="3" t="inlineStr">
        <is>
          <t>II. PRIORITY CLAIM LIQUIDATION WATERFALL</t>
        </is>
      </c>
    </row>
    <row r="13">
      <c r="B13" s="25" t="inlineStr">
        <is>
          <t>Tranche Claim</t>
        </is>
      </c>
      <c r="C13" s="25" t="inlineStr">
        <is>
          <t>Claim Amount ($M)</t>
        </is>
      </c>
      <c r="D13" s="25" t="inlineStr">
        <is>
          <t>Seniority Ranking</t>
        </is>
      </c>
      <c r="E13" s="25" t="inlineStr">
        <is>
          <t>Estimated Collateral</t>
        </is>
      </c>
      <c r="F13" s="25" t="inlineStr">
        <is>
          <t>Recovery Floor (%)</t>
        </is>
      </c>
      <c r="G13" s="25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326.6</v>
      </c>
      <c r="D14" s="7" t="inlineStr">
        <is>
          <t>Senior Secured (Pari Passu)</t>
        </is>
      </c>
      <c r="E14" s="7" t="inlineStr">
        <is>
          <t>First Lien Fixed Charges</t>
        </is>
      </c>
      <c r="F14" s="27" t="inlineStr">
        <is>
          <t>100.0%</t>
        </is>
      </c>
      <c r="G14" s="27" t="inlineStr">
        <is>
          <t>100.0%</t>
        </is>
      </c>
    </row>
    <row r="15">
      <c r="B15" s="7" t="inlineStr">
        <is>
          <t>LMKREN Senior Unsecured Eurobonds</t>
        </is>
      </c>
      <c r="C15" s="8" t="n">
        <v>979.7</v>
      </c>
      <c r="D15" s="7" t="inlineStr">
        <is>
          <t>Senior Unsecured</t>
        </is>
      </c>
      <c r="E15" s="7" t="inlineStr">
        <is>
          <t>General Corporate Guarantee</t>
        </is>
      </c>
      <c r="F15" s="27" t="inlineStr">
        <is>
          <t>70.0%</t>
        </is>
      </c>
      <c r="G15" s="27" t="inlineStr">
        <is>
          <t>100.0%</t>
        </is>
      </c>
    </row>
    <row r="16">
      <c r="B16" s="7" t="inlineStr">
        <is>
          <t>Subordinated Debt &amp; Intercompany Notes</t>
        </is>
      </c>
      <c r="C16" s="8" t="n">
        <v>195.9</v>
      </c>
      <c r="D16" s="7" t="inlineStr">
        <is>
          <t>Subordinated</t>
        </is>
      </c>
      <c r="E16" s="7" t="inlineStr">
        <is>
          <t>Junior Unsecured Claim</t>
        </is>
      </c>
      <c r="F16" s="27" t="inlineStr">
        <is>
          <t>0.0%</t>
        </is>
      </c>
      <c r="G16" s="27" t="inlineStr">
        <is>
          <t>25.0%</t>
        </is>
      </c>
    </row>
    <row r="17">
      <c r="B17" s="7" t="inlineStr">
        <is>
          <t>Equity Shareholders</t>
        </is>
      </c>
      <c r="C17" s="8" t="n">
        <v>522.5</v>
      </c>
      <c r="D17" s="7" t="inlineStr">
        <is>
          <t>Residual Equity</t>
        </is>
      </c>
      <c r="E17" s="7" t="inlineStr">
        <is>
          <t>Ordinary Shares</t>
        </is>
      </c>
      <c r="F17" s="27" t="inlineStr">
        <is>
          <t>0.0%</t>
        </is>
      </c>
      <c r="G17" s="27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6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87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Renewable (LMKREN) — Earnings Presentation &amp; Management Guidance</t>
        </is>
      </c>
    </row>
    <row r="3">
      <c r="B3" s="2" t="inlineStr">
        <is>
          <t>Source: Limak Renewable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$410.4M (+8.0% YoY growth)</t>
        </is>
      </c>
      <c r="D7" s="34" t="inlineStr">
        <is>
          <t>$404.7M (+6.5% YoY)</t>
        </is>
      </c>
      <c r="E7" s="35" t="inlineStr">
        <is>
          <t>On Track</t>
        </is>
      </c>
      <c r="F7" s="36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$302.5M (73.7% margin)</t>
        </is>
      </c>
      <c r="D8" s="34" t="inlineStr">
        <is>
          <t>$297.0M</t>
        </is>
      </c>
      <c r="E8" s="35" t="inlineStr">
        <is>
          <t>On Track</t>
        </is>
      </c>
      <c r="F8" s="36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4" t="inlineStr">
        <is>
          <t>4.00x</t>
        </is>
      </c>
      <c r="E9" s="35" t="inlineStr">
        <is>
          <t>On Track</t>
        </is>
      </c>
      <c r="F9" s="36" t="inlineStr">
        <is>
          <t>Deleveraging on track with 0.50x buffer below covenant limit.</t>
        </is>
      </c>
    </row>
    <row r="10">
      <c r="B10" s="9" t="inlineStr">
        <is>
          <t>2025E Strategic Capex Envelope</t>
        </is>
      </c>
      <c r="C10" s="9" t="inlineStr">
        <is>
          <t>$101.1M (Maximum growth and sustaining envelope)</t>
        </is>
      </c>
      <c r="D10" s="34" t="inlineStr">
        <is>
          <t>$93.0M committed</t>
        </is>
      </c>
      <c r="E10" s="35" t="inlineStr">
        <is>
          <t>On Track</t>
        </is>
      </c>
      <c r="F10" s="36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4" t="inlineStr">
        <is>
          <t>35% payout policy maintained</t>
        </is>
      </c>
      <c r="E11" s="35" t="inlineStr">
        <is>
          <t>On Track</t>
        </is>
      </c>
      <c r="F11" s="36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6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6" t="inlineStr">
        <is>
          <t>$336.7M committed equity and project debt capex over 2025-2027</t>
        </is>
      </c>
    </row>
    <row r="17">
      <c r="B17" s="9" t="inlineStr">
        <is>
          <t>Project Financing Structure</t>
        </is>
      </c>
      <c r="C17" s="36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6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6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6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6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6" t="inlineStr">
        <is>
          <t>$6840.0M lifetime contractual revenue commitment</t>
        </is>
      </c>
    </row>
    <row r="29">
      <c r="B29" s="9" t="inlineStr">
        <is>
          <t>Equivalent Availability Factor</t>
        </is>
      </c>
      <c r="C29" s="36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6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6" t="inlineStr">
        <is>
          <t>$206.2M across corporate accounts</t>
        </is>
      </c>
    </row>
    <row r="35">
      <c r="B35" s="9" t="inlineStr">
        <is>
          <t>Undrawn Revolving Credit Facilities</t>
        </is>
      </c>
      <c r="C35" s="36" t="inlineStr">
        <is>
          <t>$522.5M in multi-currency syndicated credit lines</t>
        </is>
      </c>
    </row>
    <row r="36">
      <c r="B36" s="9" t="inlineStr">
        <is>
          <t>Liquidity Runway</t>
        </is>
      </c>
      <c r="C36" s="36" t="inlineStr">
        <is>
          <t>38 months of corporate debt service and equity investment commitments fully secured</t>
        </is>
      </c>
    </row>
  </sheetData>
  <mergeCells count="24">
    <mergeCell ref="C36:I36"/>
    <mergeCell ref="C23:I23"/>
    <mergeCell ref="F9:I9"/>
    <mergeCell ref="C17:I17"/>
    <mergeCell ref="B3:I3"/>
    <mergeCell ref="C28:I28"/>
    <mergeCell ref="C18:I18"/>
    <mergeCell ref="B2:I2"/>
    <mergeCell ref="F11:I11"/>
    <mergeCell ref="C34:I34"/>
    <mergeCell ref="C24:I24"/>
    <mergeCell ref="C30:I30"/>
    <mergeCell ref="C15:I15"/>
    <mergeCell ref="C33:I33"/>
    <mergeCell ref="F10:I10"/>
    <mergeCell ref="C14:I14"/>
    <mergeCell ref="F7:I7"/>
    <mergeCell ref="C35:I35"/>
    <mergeCell ref="C29:I29"/>
    <mergeCell ref="C16:I16"/>
    <mergeCell ref="C22:I22"/>
    <mergeCell ref="F8:I8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2026-09-19T21:34:11Z</dcterms:created>
  <dcterms:modified xmlns:dcterms="http://purl.org/dc/terms/" xmlns:xsi="http://www.w3.org/2001/XMLSchema-instance" xsi:type="dcterms:W3CDTF">2026-09-19T21:34:11Z</dcterms:modified>
</cp:coreProperties>
</file>