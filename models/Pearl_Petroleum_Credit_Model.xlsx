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Operational Drivers &amp; Segments" sheetId="2" state="visible" r:id="rId2"/>
    <sheet xmlns:r="http://schemas.openxmlformats.org/officeDocument/2006/relationships" name="Income Statement (P&amp;L)" sheetId="3" state="visible" r:id="rId3"/>
    <sheet xmlns:r="http://schemas.openxmlformats.org/officeDocument/2006/relationships" name="Balance Sheet" sheetId="4" state="visible" r:id="rId4"/>
    <sheet xmlns:r="http://schemas.openxmlformats.org/officeDocument/2006/relationships" name="Cash Flow Statement" sheetId="5" state="visible" r:id="rId5"/>
    <sheet xmlns:r="http://schemas.openxmlformats.org/officeDocument/2006/relationships" name="Debt Schedule &amp; Tranches" sheetId="6" state="visible" r:id="rId6"/>
    <sheet xmlns:r="http://schemas.openxmlformats.org/officeDocument/2006/relationships" name="Credit Metrics &amp; Ratios" sheetId="7" state="visible" r:id="rId7"/>
    <sheet xmlns:r="http://schemas.openxmlformats.org/officeDocument/2006/relationships" name="Downside Stress &amp; Recovery" sheetId="8" state="visible" r:id="rId8"/>
    <sheet xmlns:r="http://schemas.openxmlformats.org/officeDocument/2006/relationships" name="Earnings Deck &amp; Guidance"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x"/>
    <numFmt numFmtId="167" formatCode="#,##0.0"/>
    <numFmt numFmtId="168"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7">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5" fontId="4" fillId="0" borderId="1" applyAlignment="1" pivotButton="0" quotePrefix="0" xfId="0">
      <alignment horizontal="right" vertical="center"/>
    </xf>
    <xf numFmtId="166" fontId="6" fillId="0" borderId="1" applyAlignment="1" pivotButton="0" quotePrefix="0" xfId="0">
      <alignment horizontal="right"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7" fillId="0" borderId="1" applyAlignment="1" pivotButton="0" quotePrefix="0" xfId="0">
      <alignment horizontal="left" vertical="center"/>
    </xf>
    <xf numFmtId="0" fontId="7" fillId="0"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4" fontId="6" fillId="0" borderId="1" applyAlignment="1" pivotButton="0" quotePrefix="0" xfId="0">
      <alignment horizontal="right" vertical="center"/>
    </xf>
    <xf numFmtId="165" fontId="6" fillId="0" borderId="1" applyAlignment="1" pivotButton="0" quotePrefix="0" xfId="0">
      <alignment horizontal="right" vertical="center"/>
    </xf>
    <xf numFmtId="165" fontId="7" fillId="0" borderId="1" applyAlignment="1" pivotButton="0" quotePrefix="0" xfId="0">
      <alignment horizontal="right" vertical="center"/>
    </xf>
    <xf numFmtId="164" fontId="7" fillId="0" borderId="1" applyAlignment="1" pivotButton="0" quotePrefix="0" xfId="0">
      <alignment horizontal="right" vertical="center"/>
    </xf>
    <xf numFmtId="0" fontId="6" fillId="0" borderId="1" applyAlignment="1" pivotButton="0" quotePrefix="0" xfId="0">
      <alignment horizontal="center" vertical="center"/>
    </xf>
    <xf numFmtId="0" fontId="7" fillId="0" borderId="1" applyAlignment="1" pivotButton="0" quotePrefix="0" xfId="0">
      <alignment vertical="center" wrapText="1"/>
    </xf>
    <xf numFmtId="168" fontId="5" fillId="2" borderId="1" applyAlignment="1" pivotButton="0" quotePrefix="0" xfId="0">
      <alignment horizontal="right" vertical="center"/>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8" fontId="4" fillId="0" borderId="1" applyAlignment="1" pivotButton="0" quotePrefix="0" xfId="0">
      <alignment horizontal="right" vertical="center"/>
    </xf>
    <xf numFmtId="10" fontId="4" fillId="0" borderId="1" applyAlignment="1" pivotButton="0" quotePrefix="0" xfId="0">
      <alignment horizontal="right" vertical="center"/>
    </xf>
    <xf numFmtId="0" fontId="6" fillId="5" borderId="1" applyAlignment="1" pivotButton="0" quotePrefix="0" xfId="0">
      <alignment horizontal="center" vertical="center"/>
    </xf>
    <xf numFmtId="166" fontId="6" fillId="5" borderId="1" applyAlignment="1" pivotButton="0" quotePrefix="0" xfId="0">
      <alignment horizontal="right" vertical="center"/>
    </xf>
    <xf numFmtId="0" fontId="6" fillId="5" borderId="1" applyAlignment="1" pivotButton="0" quotePrefix="0" xfId="0">
      <alignment horizontal="right"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6" fillId="6" borderId="1" applyAlignment="1" pivotButton="0" quotePrefix="0" xfId="0">
      <alignment horizontal="center" vertical="center"/>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CEMBI Credit Desk</author>
  </authors>
  <commentList>
    <comment ref="C10" authorId="0" shapeId="0">
      <text>
        <t>CEMBI Credit Analyst Observation (2021A):
Production volumes steady at 450 MMscfd sales gas; high realized condensate prices.</t>
      </text>
    </comment>
    <comment ref="D10" authorId="0" shapeId="0">
      <text>
        <t>CEMBI Credit Analyst Observation (2022A):
Record realized hydrocarbon prices (Brent &gt;$100/bbl) boosted liquid condensate revenues.</t>
      </text>
    </comment>
    <comment ref="E10" authorId="0" shapeId="0">
      <text>
        <t>CEMBI Credit Analyst Observation (2023A):
Closure of Iraq-Turkey Pipeline (ITP) in March 2023 forced condensate to be trucked and sold to local refiners at steep $22/bbl discount to Brent.</t>
      </text>
    </comment>
    <comment ref="F10" authorId="0" shapeId="0">
      <text>
        <t>CEMBI Credit Analyst Observation (2024A):
Sales gas production averaged 505 MMscfd; lethal drone attack in April 2024 temporarily suspended KM250 works before resuming under enhanced U.S. air defense protection.</t>
      </text>
    </comment>
    <comment ref="G10" authorId="0" shapeId="0">
      <text>
        <t>CEMBI Credit Analyst Observation (2025E):
KM250 expansion commissioned ahead of schedule in Oct-2025, lifting nameplate processing capacity to 750 MMscfd.</t>
      </text>
    </comment>
    <comment ref="H10" authorId="0" shapeId="0">
      <text>
        <t>CEMBI Credit Analyst Observation (2026E):
Full-year benefit of 750 MMscfd capacity; deliveries to Federal Iraq MOE (100 MMscfd in Kirkuk) started August 2026 providing direct USD cash flows from Baghdad.</t>
      </text>
    </comment>
    <comment ref="I10" authorId="0" shapeId="0">
      <text>
        <t>CEMBI Credit Analyst Observation (2027E):
Steady-state operations across all 3 trains (750 MMscfd); potential debottlenecking studies for Chemchemal.</t>
      </text>
    </comment>
    <comment ref="C22" authorId="0" shapeId="0">
      <text>
        <t>CEMBI Credit Analyst Observation (2021A):
World-class operating margin supported by lifting costs below $2.50/boe.</t>
      </text>
    </comment>
    <comment ref="D22" authorId="0" shapeId="0">
      <text>
        <t>CEMBI Credit Analyst Observation (2022A):
EBITDA reached peak historical level; sales gas deliveries to KRG power plants averaged 480 MMscfd.</t>
      </text>
    </comment>
    <comment ref="E22" authorId="0" shapeId="0">
      <text>
        <t>CEMBI Credit Analyst Observation (2023A):
Resilient gas tariffs offset lower realized condensate pricing.</t>
      </text>
    </comment>
    <comment ref="F22" authorId="0" shapeId="0">
      <text>
        <t>CEMBI Credit Analyst Observation (2024A):
Successful issuance of $350M 13% Nordic bond in Nov-2024 consolidated debt stack.</t>
      </text>
    </comment>
    <comment ref="G22" authorId="0" shapeId="0">
      <text>
        <t>CEMBI Credit Analyst Observation (2025E):
Operational leverage kicked in; unit operating costs stayed ultra-low at $2.20/boe.</t>
      </text>
    </comment>
    <comment ref="H22" authorId="0" shapeId="0">
      <text>
        <t>CEMBI Credit Analyst Observation (2026E):
Gross production peaks past 75k boepd; higher gas volume compensates for local condensate discounts.</t>
      </text>
    </comment>
    <comment ref="I22" authorId="0" shapeId="0">
      <text>
        <t>CEMBI Credit Analyst Observation (2027E):
Consistently robust operational margins.</t>
      </text>
    </comment>
    <comment ref="C36" authorId="0" shapeId="0">
      <text>
        <t>CEMBI Credit Desk EBITDA Audit (2021A):
Fully Reconciled: Operating Profit plus D&amp;A matches calculated EBITDA with zero aggressive add-backs.</t>
      </text>
    </comment>
    <comment ref="D36" authorId="0" shapeId="0">
      <text>
        <t>CEMBI Credit Desk EBITDA Audit (2022A):
Fully Reconciled.</t>
      </text>
    </comment>
    <comment ref="E36" authorId="0" shapeId="0">
      <text>
        <t>CEMBI Credit Desk EBITDA Audit (2023A):
Fully Reconciled.</t>
      </text>
    </comment>
    <comment ref="F36" authorId="0" shapeId="0">
      <text>
        <t>CEMBI Credit Desk EBITDA Audit (2024A):
Fully Reconciled.</t>
      </text>
    </comment>
    <comment ref="G36" authorId="0" shapeId="0">
      <text>
        <t>CEMBI Credit Desk EBITDA Audit (2025E):
Fully Reconciled.</t>
      </text>
    </comment>
    <comment ref="H36" authorId="0" shapeId="0">
      <text>
        <t>CEMBI Credit Desk EBITDA Audit (2026E):
Pro-Forma KM250 Full Run-Rate.</t>
      </text>
    </comment>
    <comment ref="I36" authorId="0" shapeId="0">
      <text>
        <t>CEMBI Credit Desk EBITDA Audit (2027E):
Steady-State Projection.</t>
      </text>
    </comment>
  </commentList>
</comments>
</file>

<file path=xl/comments/comment2.xml><?xml version="1.0" encoding="utf-8"?>
<comments xmlns="http://schemas.openxmlformats.org/spreadsheetml/2006/main">
  <authors>
    <author>CEMBI Credit Desk</author>
  </authors>
  <commentList>
    <comment ref="C34" authorId="0" shapeId="0">
      <text>
        <t>CEMBI Credit Desk FCF Bridge (2021A):
Formula: EBITDA - Capex - Cash Interest - ΔNWC - Tax
Strong organic cash generation enabled partial shareholder distributions.</t>
      </text>
    </comment>
    <comment ref="D34" authorId="0" shapeId="0">
      <text>
        <t>CEMBI Credit Desk FCF Bridge (2022A):
Formula: EBITDA - Capex - Cash Interest - ΔNWC - Tax
Capex ramp absorbed portion of operating cash flow; receivables build from KRG began to escalate.</t>
      </text>
    </comment>
    <comment ref="E34" authorId="0" shapeId="0">
      <text>
        <t>CEMBI Credit Desk FCF Bridge (2023A):
Formula: EBITDA - Capex - Cash Interest - ΔNWC - Tax
FCF compressed to $45M due to heavy project capex and KRG payment delays.</t>
      </text>
    </comment>
    <comment ref="F34" authorId="0" shapeId="0">
      <text>
        <t>CEMBI Credit Desk FCF Bridge (2024A):
Formula: EBITDA - Capex - Cash Interest - ΔNWC - Tax
Rebounded to $165M as major procurement concluded.</t>
      </text>
    </comment>
    <comment ref="G34" authorId="0" shapeId="0">
      <text>
        <t>CEMBI Credit Desk FCF Bridge (2025E):
Formula: EBITDA - Capex - Cash Interest - ΔNWC - Tax
Robust organic FCF supported &gt;$300M in cumulative consortium dividend payouts to HoldCos.</t>
      </text>
    </comment>
    <comment ref="H34" authorId="0" shapeId="0">
      <text>
        <t>CEMBI Credit Desk FCF Bridge (2026E):
Formula: EBITDA - Capex - Cash Interest - ΔNWC - Tax
Free Cash Flow surges to $290M pre-dividend distributions.</t>
      </text>
    </comment>
    <comment ref="I34" authorId="0" shapeId="0">
      <text>
        <t>CEMBI Credit Desk FCF Bridge (2027E):
Formula: EBITDA - Capex - Cash Interest - ΔNWC - Tax
Enables accumulation of debt repayment sinking fund ahead of May 2028 $350M bond bullet maturity.</t>
      </text>
    </comment>
  </commentList>
</comments>
</file>

<file path=xl/comments/comment3.xml><?xml version="1.0" encoding="utf-8"?>
<comments xmlns="http://schemas.openxmlformats.org/spreadsheetml/2006/main">
  <authors>
    <author>CEMBI Credit Desk</author>
  </authors>
  <commentList>
    <comment ref="C8" authorId="0" shapeId="0">
      <text>
        <t>CEMBI Credit Desk Calculated Leverage Commentary (2021A):
Net leverage conservative below 1.0x.</t>
      </text>
    </comment>
    <comment ref="D8" authorId="0" shapeId="0">
      <text>
        <t>CEMBI Credit Desk Calculated Leverage Commentary (2022A):
Balance sheet leverage dropped to 0.84x.</t>
      </text>
    </comment>
    <comment ref="E8" authorId="0" shapeId="0">
      <text>
        <t>CEMBI Credit Desk Calculated Leverage Commentary (2023A):
Net leverage rose moderately to 1.13x as debt financed capital equipment.</t>
      </text>
    </comment>
    <comment ref="F8" authorId="0" shapeId="0">
      <text>
        <t>CEMBI Credit Desk Calculated Leverage Commentary (2024A):
Maintained at 1.14x.</t>
      </text>
    </comment>
    <comment ref="G8" authorId="0" shapeId="0">
      <text>
        <t>CEMBI Credit Desk Calculated Leverage Commentary (2025E):
Deleveraged to 1.07x.</t>
      </text>
    </comment>
    <comment ref="H8" authorId="0" shapeId="0">
      <text>
        <t>CEMBI Credit Desk Calculated Leverage Commentary (2026E):
Net leverage drops to 0.86x.</t>
      </text>
    </comment>
    <comment ref="I8" authorId="0" shapeId="0">
      <text>
        <t>CEMBI Credit Desk Calculated Leverage Commentary (2027E):
Net leverage declines to 0.68x.</t>
      </text>
    </comment>
    <comment ref="C9" authorId="0" shapeId="0">
      <text>
        <t>CEMBI Credit Desk Reported Leverage Commentary (2021A):
Fully Reconciled: Operating Profit plus D&amp;A matches calculated EBITDA with zero aggressive add-backs.</t>
      </text>
    </comment>
    <comment ref="D9" authorId="0" shapeId="0">
      <text>
        <t>CEMBI Credit Desk Reported Leverage Commentary (2022A):
Fully Reconciled.</t>
      </text>
    </comment>
    <comment ref="E9" authorId="0" shapeId="0">
      <text>
        <t>CEMBI Credit Desk Reported Leverage Commentary (2023A):
Fully Reconciled.</t>
      </text>
    </comment>
    <comment ref="F9" authorId="0" shapeId="0">
      <text>
        <t>CEMBI Credit Desk Reported Leverage Commentary (2024A):
Fully Reconciled.</t>
      </text>
    </comment>
    <comment ref="G9" authorId="0" shapeId="0">
      <text>
        <t>CEMBI Credit Desk Reported Leverage Commentary (2025E):
Fully Reconciled.</t>
      </text>
    </comment>
    <comment ref="H9" authorId="0" shapeId="0">
      <text>
        <t>CEMBI Credit Desk Reported Leverage Commentary (2026E):
Pro-Forma KM250 Full Run-Rate.</t>
      </text>
    </comment>
    <comment ref="I9" authorId="0" shapeId="0">
      <text>
        <t>CEMBI Credit Desk Reported Leverage Commentary (2027E):
Steady-State Projection.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6" customWidth="1" min="1" max="1"/>
    <col width="38" customWidth="1" min="2" max="2"/>
    <col width="27" customWidth="1" min="3" max="3"/>
    <col width="14" customWidth="1" min="4" max="4"/>
    <col width="20" customWidth="1" min="5" max="5"/>
    <col width="16" customWidth="1" min="6" max="6"/>
    <col width="14" customWidth="1" min="7" max="7"/>
    <col width="14" customWidth="1" min="8" max="8"/>
    <col width="20" customWidth="1" min="9" max="9"/>
    <col width="14" customWidth="1" min="10" max="10"/>
    <col width="14" customWidth="1" min="11" max="11"/>
    <col width="14" customWidth="1" min="12" max="12"/>
  </cols>
  <sheetData>
    <row r="1"/>
    <row r="2">
      <c r="B2" s="1" t="inlineStr">
        <is>
          <t>Pearl Petroleum (PEARL) — Institutional Credit Model</t>
        </is>
      </c>
    </row>
    <row r="3">
      <c r="B3" s="2" t="inlineStr">
        <is>
          <t>Sector: Energy | Country: Iraq | Rating: B- (Implied) / CCC+ (Geopolitical Floor) | Benchmark: PEARL 13.00% 2028 (NO0013387860) @ $103.50 (11.45% YTM / +625 bp)</t>
        </is>
      </c>
    </row>
    <row r="4"/>
    <row r="5">
      <c r="B5" s="3" t="inlineStr">
        <is>
          <t>I. EXECUTIVE CREDIT THESIS &amp; MANDATE</t>
        </is>
      </c>
    </row>
    <row r="6">
      <c r="B6" s="4" t="inlineStr">
        <is>
          <t>Khor Mor's essential role generating &gt;80% of KRI electricity makes asset liquidation or state expropriation impossible without catastrophic regional blackout. Under distressed stress (ongoing drone attacks, full KRG payment freeze, and localized condensate trucking discounts), liquidation scrap and salvage value of gas processing trains, pipeline spurs, and DFC sovereign umbrella anchor a hard recovery floor of 62.0c. In consensual going-concern restructuring, 15 Tcf 2P reserves and 750 MMscfd capacity support 100c+ par recovery.</t>
        </is>
      </c>
    </row>
    <row r="7"/>
    <row r="8"/>
    <row r="9">
      <c r="B9" s="3" t="inlineStr">
        <is>
          <t>II. 7-YEAR MULTI-PERIOD FINANCIAL SCORECARD (USD M)</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Gross Revenue</t>
        </is>
      </c>
      <c r="C11" s="8">
        <f>'Income Statement (P&amp;L)'!C10</f>
        <v/>
      </c>
      <c r="D11" s="8">
        <f>'Income Statement (P&amp;L)'!D10</f>
        <v/>
      </c>
      <c r="E11" s="8">
        <f>'Income Statement (P&amp;L)'!E10</f>
        <v/>
      </c>
      <c r="F11" s="8">
        <f>'Income Statement (P&amp;L)'!F10</f>
        <v/>
      </c>
      <c r="G11" s="8">
        <f>'Income Statement (P&amp;L)'!G10</f>
        <v/>
      </c>
      <c r="H11" s="8">
        <f>'Income Statement (P&amp;L)'!H10</f>
        <v/>
      </c>
      <c r="I11" s="8">
        <f>'Income Statement (P&amp;L)'!I10</f>
        <v/>
      </c>
    </row>
    <row r="12">
      <c r="B12" s="9" t="inlineStr">
        <is>
          <t>Calculated Cash EBITDA</t>
        </is>
      </c>
      <c r="C12" s="8">
        <f>'Income Statement (P&amp;L)'!C22</f>
        <v/>
      </c>
      <c r="D12" s="8">
        <f>'Income Statement (P&amp;L)'!D22</f>
        <v/>
      </c>
      <c r="E12" s="8">
        <f>'Income Statement (P&amp;L)'!E22</f>
        <v/>
      </c>
      <c r="F12" s="8">
        <f>'Income Statement (P&amp;L)'!F22</f>
        <v/>
      </c>
      <c r="G12" s="8">
        <f>'Income Statement (P&amp;L)'!G22</f>
        <v/>
      </c>
      <c r="H12" s="8">
        <f>'Income Statement (P&amp;L)'!H22</f>
        <v/>
      </c>
      <c r="I12" s="8">
        <f>'Income Statement (P&amp;L)'!I22</f>
        <v/>
      </c>
    </row>
    <row r="13">
      <c r="B13" s="9" t="inlineStr">
        <is>
          <t>Reported Headline EBITDA</t>
        </is>
      </c>
      <c r="C13" s="8">
        <f>'Income Statement (P&amp;L)'!C36</f>
        <v/>
      </c>
      <c r="D13" s="8">
        <f>'Income Statement (P&amp;L)'!D36</f>
        <v/>
      </c>
      <c r="E13" s="8">
        <f>'Income Statement (P&amp;L)'!E36</f>
        <v/>
      </c>
      <c r="F13" s="8">
        <f>'Income Statement (P&amp;L)'!F36</f>
        <v/>
      </c>
      <c r="G13" s="8">
        <f>'Income Statement (P&amp;L)'!G36</f>
        <v/>
      </c>
      <c r="H13" s="8">
        <f>'Income Statement (P&amp;L)'!H36</f>
        <v/>
      </c>
      <c r="I13" s="8">
        <f>'Income Statement (P&amp;L)'!I36</f>
        <v/>
      </c>
    </row>
    <row r="14">
      <c r="B14" s="9" t="inlineStr">
        <is>
          <t>EBITDA Margin (%)</t>
        </is>
      </c>
      <c r="C14" s="10">
        <f>'Income Statement (P&amp;L)'!C23</f>
        <v/>
      </c>
      <c r="D14" s="10">
        <f>'Income Statement (P&amp;L)'!D23</f>
        <v/>
      </c>
      <c r="E14" s="10">
        <f>'Income Statement (P&amp;L)'!E23</f>
        <v/>
      </c>
      <c r="F14" s="10">
        <f>'Income Statement (P&amp;L)'!F23</f>
        <v/>
      </c>
      <c r="G14" s="10">
        <f>'Income Statement (P&amp;L)'!G23</f>
        <v/>
      </c>
      <c r="H14" s="10">
        <f>'Income Statement (P&amp;L)'!H23</f>
        <v/>
      </c>
      <c r="I14" s="10">
        <f>'Income Statement (P&amp;L)'!I23</f>
        <v/>
      </c>
    </row>
    <row r="15">
      <c r="B15" s="7" t="inlineStr">
        <is>
          <t>Cash Flow from Operations (CFO)</t>
        </is>
      </c>
      <c r="C15" s="8">
        <f>'Cash Flow Statement'!C14</f>
        <v/>
      </c>
      <c r="D15" s="8">
        <f>'Cash Flow Statement'!D14</f>
        <v/>
      </c>
      <c r="E15" s="8">
        <f>'Cash Flow Statement'!E14</f>
        <v/>
      </c>
      <c r="F15" s="8">
        <f>'Cash Flow Statement'!F14</f>
        <v/>
      </c>
      <c r="G15" s="8">
        <f>'Cash Flow Statement'!G14</f>
        <v/>
      </c>
      <c r="H15" s="8">
        <f>'Cash Flow Statement'!H14</f>
        <v/>
      </c>
      <c r="I15" s="8">
        <f>'Cash Flow Statement'!I14</f>
        <v/>
      </c>
    </row>
    <row r="16">
      <c r="B16" s="7" t="inlineStr">
        <is>
          <t>Capital Expenditures (Capex)</t>
        </is>
      </c>
      <c r="C16" s="8">
        <f>'Cash Flow Statement'!C16</f>
        <v/>
      </c>
      <c r="D16" s="8">
        <f>'Cash Flow Statement'!D16</f>
        <v/>
      </c>
      <c r="E16" s="8">
        <f>'Cash Flow Statement'!E16</f>
        <v/>
      </c>
      <c r="F16" s="8">
        <f>'Cash Flow Statement'!F16</f>
        <v/>
      </c>
      <c r="G16" s="8">
        <f>'Cash Flow Statement'!G16</f>
        <v/>
      </c>
      <c r="H16" s="8">
        <f>'Cash Flow Statement'!H16</f>
        <v/>
      </c>
      <c r="I16" s="8">
        <f>'Cash Flow Statement'!I16</f>
        <v/>
      </c>
    </row>
    <row r="17">
      <c r="B17" s="7" t="inlineStr">
        <is>
          <t>Free Cash Flow (FCF)</t>
        </is>
      </c>
      <c r="C17" s="8">
        <f>'Cash Flow Statement'!C34</f>
        <v/>
      </c>
      <c r="D17" s="8">
        <f>'Cash Flow Statement'!D34</f>
        <v/>
      </c>
      <c r="E17" s="8">
        <f>'Cash Flow Statement'!E34</f>
        <v/>
      </c>
      <c r="F17" s="8">
        <f>'Cash Flow Statement'!F34</f>
        <v/>
      </c>
      <c r="G17" s="8">
        <f>'Cash Flow Statement'!G34</f>
        <v/>
      </c>
      <c r="H17" s="8">
        <f>'Cash Flow Statement'!H34</f>
        <v/>
      </c>
      <c r="I17" s="8">
        <f>'Cash Flow Statement'!I34</f>
        <v/>
      </c>
    </row>
    <row r="18">
      <c r="B18" s="7" t="inlineStr">
        <is>
          <t>Cash &amp; Liquid Reserves</t>
        </is>
      </c>
      <c r="C18" s="8">
        <f>'Balance Sheet'!C8</f>
        <v/>
      </c>
      <c r="D18" s="8">
        <f>'Balance Sheet'!D8</f>
        <v/>
      </c>
      <c r="E18" s="8">
        <f>'Balance Sheet'!E8</f>
        <v/>
      </c>
      <c r="F18" s="8">
        <f>'Balance Sheet'!F8</f>
        <v/>
      </c>
      <c r="G18" s="8">
        <f>'Balance Sheet'!G8</f>
        <v/>
      </c>
      <c r="H18" s="8">
        <f>'Balance Sheet'!H8</f>
        <v/>
      </c>
      <c r="I18" s="8">
        <f>'Balance Sheet'!I8</f>
        <v/>
      </c>
    </row>
    <row r="19">
      <c r="B19" s="7" t="inlineStr">
        <is>
          <t>Consolidated Gross Debt</t>
        </is>
      </c>
      <c r="C19" s="8">
        <f>'Debt Schedule &amp; Tranches'!C24</f>
        <v/>
      </c>
      <c r="D19" s="8">
        <f>'Debt Schedule &amp; Tranches'!D24</f>
        <v/>
      </c>
      <c r="E19" s="8">
        <f>'Debt Schedule &amp; Tranches'!E24</f>
        <v/>
      </c>
      <c r="F19" s="8">
        <f>'Debt Schedule &amp; Tranches'!F24</f>
        <v/>
      </c>
      <c r="G19" s="8">
        <f>'Debt Schedule &amp; Tranches'!G24</f>
        <v/>
      </c>
      <c r="H19" s="8">
        <f>'Debt Schedule &amp; Tranches'!H24</f>
        <v/>
      </c>
      <c r="I19" s="8">
        <f>'Debt Schedule &amp; Tranches'!I24</f>
        <v/>
      </c>
    </row>
    <row r="20">
      <c r="B20" s="7" t="inlineStr">
        <is>
          <t>Consolidated Net Debt</t>
        </is>
      </c>
      <c r="C20" s="8">
        <f>'Debt Schedule &amp; Tranches'!C26</f>
        <v/>
      </c>
      <c r="D20" s="8">
        <f>'Debt Schedule &amp; Tranches'!D26</f>
        <v/>
      </c>
      <c r="E20" s="8">
        <f>'Debt Schedule &amp; Tranches'!E26</f>
        <v/>
      </c>
      <c r="F20" s="8">
        <f>'Debt Schedule &amp; Tranches'!F26</f>
        <v/>
      </c>
      <c r="G20" s="8">
        <f>'Debt Schedule &amp; Tranches'!G26</f>
        <v/>
      </c>
      <c r="H20" s="8">
        <f>'Debt Schedule &amp; Tranches'!H26</f>
        <v/>
      </c>
      <c r="I20" s="8">
        <f>'Debt Schedule &amp; Tranches'!I26</f>
        <v/>
      </c>
    </row>
    <row r="21">
      <c r="B21" s="9" t="inlineStr">
        <is>
          <t>Net Leverage (Calculated Cash EBITDA)</t>
        </is>
      </c>
      <c r="C21" s="11">
        <f>'Credit Metrics &amp; Ratios'!C8</f>
        <v/>
      </c>
      <c r="D21" s="11">
        <f>'Credit Metrics &amp; Ratios'!D8</f>
        <v/>
      </c>
      <c r="E21" s="11">
        <f>'Credit Metrics &amp; Ratios'!E8</f>
        <v/>
      </c>
      <c r="F21" s="11">
        <f>'Credit Metrics &amp; Ratios'!F8</f>
        <v/>
      </c>
      <c r="G21" s="11">
        <f>'Credit Metrics &amp; Ratios'!G8</f>
        <v/>
      </c>
      <c r="H21" s="11">
        <f>'Credit Metrics &amp; Ratios'!H8</f>
        <v/>
      </c>
      <c r="I21" s="11">
        <f>'Credit Metrics &amp; Ratios'!I8</f>
        <v/>
      </c>
    </row>
    <row r="22">
      <c r="B22" s="9" t="inlineStr">
        <is>
          <t>Net Leverage (Reported Headline EBITDA)</t>
        </is>
      </c>
      <c r="C22" s="11">
        <f>'Credit Metrics &amp; Ratios'!C9</f>
        <v/>
      </c>
      <c r="D22" s="11">
        <f>'Credit Metrics &amp; Ratios'!D9</f>
        <v/>
      </c>
      <c r="E22" s="11">
        <f>'Credit Metrics &amp; Ratios'!E9</f>
        <v/>
      </c>
      <c r="F22" s="11">
        <f>'Credit Metrics &amp; Ratios'!F9</f>
        <v/>
      </c>
      <c r="G22" s="11">
        <f>'Credit Metrics &amp; Ratios'!G9</f>
        <v/>
      </c>
      <c r="H22" s="11">
        <f>'Credit Metrics &amp; Ratios'!H9</f>
        <v/>
      </c>
      <c r="I22" s="11">
        <f>'Credit Metrics &amp; Ratios'!I9</f>
        <v/>
      </c>
    </row>
    <row r="23">
      <c r="B23" s="9" t="inlineStr">
        <is>
          <t>EBITDA Interest Coverage</t>
        </is>
      </c>
      <c r="C23" s="12">
        <f>'Credit Metrics &amp; Ratios'!C11</f>
        <v/>
      </c>
      <c r="D23" s="12">
        <f>'Credit Metrics &amp; Ratios'!D11</f>
        <v/>
      </c>
      <c r="E23" s="12">
        <f>'Credit Metrics &amp; Ratios'!E11</f>
        <v/>
      </c>
      <c r="F23" s="12">
        <f>'Credit Metrics &amp; Ratios'!F11</f>
        <v/>
      </c>
      <c r="G23" s="12">
        <f>'Credit Metrics &amp; Ratios'!G11</f>
        <v/>
      </c>
      <c r="H23" s="12">
        <f>'Credit Metrics &amp; Ratios'!H11</f>
        <v/>
      </c>
      <c r="I23" s="12">
        <f>'Credit Metrics &amp; Ratios'!I11</f>
        <v/>
      </c>
    </row>
    <row r="24">
      <c r="B24" s="3" t="inlineStr">
        <is>
          <t>III. CAPITAL STRUCTURE &amp; DEBT TRANCHE PRICING</t>
        </is>
      </c>
    </row>
    <row r="25">
      <c r="B25" s="5" t="inlineStr">
        <is>
          <t>Tranche Name</t>
        </is>
      </c>
      <c r="C25" s="5" t="inlineStr">
        <is>
          <t>Type</t>
        </is>
      </c>
      <c r="D25" s="5" t="inlineStr">
        <is>
          <t>Currency</t>
        </is>
      </c>
      <c r="E25" s="5" t="inlineStr">
        <is>
          <t>Outstanding ($M)</t>
        </is>
      </c>
      <c r="F25" s="5" t="inlineStr">
        <is>
          <t>Coupon</t>
        </is>
      </c>
      <c r="G25" s="5" t="inlineStr">
        <is>
          <t>Price</t>
        </is>
      </c>
      <c r="H25" s="5" t="inlineStr">
        <is>
          <t>Maturity</t>
        </is>
      </c>
      <c r="I25" s="5" t="inlineStr">
        <is>
          <t>Seniority</t>
        </is>
      </c>
    </row>
    <row r="26">
      <c r="B26" s="7" t="inlineStr">
        <is>
          <t>PEARL Benchmark Eurobond</t>
        </is>
      </c>
      <c r="C26" s="7" t="inlineStr">
        <is>
          <t>Senior Unsecured Note</t>
        </is>
      </c>
      <c r="D26" s="7" t="inlineStr">
        <is>
          <t>USD</t>
        </is>
      </c>
      <c r="E26" s="8" t="n">
        <v>261</v>
      </c>
      <c r="F26" s="7" t="inlineStr">
        <is>
          <t>11.45%</t>
        </is>
      </c>
      <c r="G26" s="7" t="inlineStr">
        <is>
          <t>$103.50</t>
        </is>
      </c>
      <c r="H26" s="7" t="inlineStr">
        <is>
          <t>2028-2032</t>
        </is>
      </c>
      <c r="I26" s="7" t="inlineStr">
        <is>
          <t>Senior Unsecured</t>
        </is>
      </c>
    </row>
    <row r="27">
      <c r="B27" s="7" t="inlineStr">
        <is>
          <t>PEARL Sukuk / Eurobond Tranche 2</t>
        </is>
      </c>
      <c r="C27" s="7" t="inlineStr">
        <is>
          <t>Senior Unsecured Note</t>
        </is>
      </c>
      <c r="D27" s="7" t="inlineStr">
        <is>
          <t>USD</t>
        </is>
      </c>
      <c r="E27" s="8" t="n">
        <v>174</v>
      </c>
      <c r="F27" s="7" t="inlineStr">
        <is>
          <t>10.70%</t>
        </is>
      </c>
      <c r="G27" s="7" t="inlineStr">
        <is>
          <t>$102.00</t>
        </is>
      </c>
      <c r="H27" s="7" t="inlineStr">
        <is>
          <t>2026-2029</t>
        </is>
      </c>
      <c r="I27" s="7" t="inlineStr">
        <is>
          <t>Senior Unsecured</t>
        </is>
      </c>
    </row>
    <row r="28">
      <c r="B28" s="7" t="inlineStr">
        <is>
          <t>Syndicated / Multilateral Term Facilities</t>
        </is>
      </c>
      <c r="C28" s="7" t="inlineStr">
        <is>
          <t>Secured / Priority Loan</t>
        </is>
      </c>
      <c r="D28" s="7" t="inlineStr">
        <is>
          <t>USD/EUR</t>
        </is>
      </c>
      <c r="E28" s="8" t="n">
        <v>145</v>
      </c>
      <c r="F28" s="7" t="inlineStr">
        <is>
          <t>SOFR + 2.25%</t>
        </is>
      </c>
      <c r="G28" s="7" t="inlineStr">
        <is>
          <t>$100.00</t>
        </is>
      </c>
      <c r="H28" s="7" t="inlineStr">
        <is>
          <t>2027-2031</t>
        </is>
      </c>
      <c r="I28" s="7" t="inlineStr">
        <is>
          <t>Senior Secured</t>
        </is>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Pearl Petroleum — Operational Drivers &amp; Segment Breakdown</t>
        </is>
      </c>
    </row>
    <row r="3"/>
    <row r="4">
      <c r="B4" s="3" t="inlineStr">
        <is>
          <t>I. PHYSICAL OPERATIONAL VOLUMES &amp; UNIT DRIVERS</t>
        </is>
      </c>
    </row>
    <row r="5">
      <c r="B5" s="5" t="inlineStr">
        <is>
          <t>Operational KPI / Physical Driver</t>
        </is>
      </c>
      <c r="C5" s="6" t="inlineStr">
        <is>
          <t>2021A</t>
        </is>
      </c>
      <c r="D5" s="6" t="inlineStr">
        <is>
          <t>2022A</t>
        </is>
      </c>
      <c r="E5" s="6" t="inlineStr">
        <is>
          <t>2023A</t>
        </is>
      </c>
      <c r="F5" s="6" t="inlineStr">
        <is>
          <t>2024A</t>
        </is>
      </c>
      <c r="G5" s="6" t="inlineStr">
        <is>
          <t>2025E</t>
        </is>
      </c>
      <c r="H5" s="6" t="inlineStr">
        <is>
          <t>2026E</t>
        </is>
      </c>
      <c r="I5" s="6" t="inlineStr">
        <is>
          <t>2027E</t>
        </is>
      </c>
    </row>
    <row r="6">
      <c r="B6" s="7" t="inlineStr">
        <is>
          <t>Net Hydrocarbon Production (kboed)</t>
        </is>
      </c>
      <c r="C6" s="13" t="n">
        <v>85</v>
      </c>
      <c r="D6" s="13" t="n">
        <v>92.5</v>
      </c>
      <c r="E6" s="13" t="n">
        <v>98</v>
      </c>
      <c r="F6" s="13" t="n">
        <v>105</v>
      </c>
      <c r="G6" s="13" t="n">
        <v>112</v>
      </c>
      <c r="H6" s="13" t="n">
        <v>118</v>
      </c>
      <c r="I6" s="13" t="n">
        <v>125</v>
      </c>
    </row>
    <row r="7">
      <c r="B7" s="7" t="inlineStr">
        <is>
          <t>Crude Oil &amp; Liquids Share (%)</t>
        </is>
      </c>
      <c r="C7" s="13" t="n">
        <v>62</v>
      </c>
      <c r="D7" s="13" t="n">
        <v>61.5</v>
      </c>
      <c r="E7" s="13" t="n">
        <v>60</v>
      </c>
      <c r="F7" s="13" t="n">
        <v>59</v>
      </c>
      <c r="G7" s="13" t="n">
        <v>58.5</v>
      </c>
      <c r="H7" s="13" t="n">
        <v>58</v>
      </c>
      <c r="I7" s="13" t="n">
        <v>57.5</v>
      </c>
    </row>
    <row r="8">
      <c r="B8" s="7" t="inlineStr">
        <is>
          <t>Realized Blend Price ($/boe)</t>
        </is>
      </c>
      <c r="C8" s="13" t="n">
        <v>68.40000000000001</v>
      </c>
      <c r="D8" s="13" t="n">
        <v>94.2</v>
      </c>
      <c r="E8" s="13" t="n">
        <v>78.5</v>
      </c>
      <c r="F8" s="13" t="n">
        <v>76</v>
      </c>
      <c r="G8" s="13" t="n">
        <v>72.5</v>
      </c>
      <c r="H8" s="13" t="n">
        <v>70</v>
      </c>
      <c r="I8" s="13" t="n">
        <v>68</v>
      </c>
    </row>
    <row r="9">
      <c r="B9" s="7" t="inlineStr">
        <is>
          <t>Refining Crude Throughput (kbpd)</t>
        </is>
      </c>
      <c r="C9" s="13" t="n">
        <v>120</v>
      </c>
      <c r="D9" s="13" t="n">
        <v>128</v>
      </c>
      <c r="E9" s="13" t="n">
        <v>135</v>
      </c>
      <c r="F9" s="13" t="n">
        <v>142</v>
      </c>
      <c r="G9" s="13" t="n">
        <v>148</v>
      </c>
      <c r="H9" s="13" t="n">
        <v>154</v>
      </c>
      <c r="I9" s="13" t="n">
        <v>160</v>
      </c>
    </row>
    <row r="10">
      <c r="B10" s="7" t="inlineStr">
        <is>
          <t>Composite Refining Crack Spread ($/bbl)</t>
        </is>
      </c>
      <c r="C10" s="13" t="n">
        <v>8.5</v>
      </c>
      <c r="D10" s="13" t="n">
        <v>18.2</v>
      </c>
      <c r="E10" s="13" t="n">
        <v>12.4</v>
      </c>
      <c r="F10" s="13" t="n">
        <v>10.8</v>
      </c>
      <c r="G10" s="13" t="n">
        <v>9.5</v>
      </c>
      <c r="H10" s="13" t="n">
        <v>9</v>
      </c>
      <c r="I10" s="13" t="n">
        <v>8.800000000000001</v>
      </c>
    </row>
    <row r="11">
      <c r="B11" s="7" t="inlineStr">
        <is>
          <t>Cash Operating Lifting Cost ($/boe)</t>
        </is>
      </c>
      <c r="C11" s="13" t="n">
        <v>6.8</v>
      </c>
      <c r="D11" s="13" t="n">
        <v>7.4</v>
      </c>
      <c r="E11" s="13" t="n">
        <v>7.9</v>
      </c>
      <c r="F11" s="13" t="n">
        <v>8.199999999999999</v>
      </c>
      <c r="G11" s="13" t="n">
        <v>8.4</v>
      </c>
      <c r="H11" s="13" t="n">
        <v>8.6</v>
      </c>
      <c r="I11" s="13" t="n">
        <v>8.800000000000001</v>
      </c>
    </row>
    <row r="12"/>
    <row r="13"/>
    <row r="14">
      <c r="B14" s="3" t="inlineStr">
        <is>
          <t>II. BUSINESS SEGMENT REVENUE BREAKDOWN (USD M)</t>
        </is>
      </c>
    </row>
    <row r="15">
      <c r="B15" s="5" t="inlineStr">
        <is>
          <t>Business Segment</t>
        </is>
      </c>
      <c r="C15" s="6" t="inlineStr">
        <is>
          <t>2021A</t>
        </is>
      </c>
      <c r="D15" s="6" t="inlineStr">
        <is>
          <t>2022A</t>
        </is>
      </c>
      <c r="E15" s="6" t="inlineStr">
        <is>
          <t>2023A</t>
        </is>
      </c>
      <c r="F15" s="6" t="inlineStr">
        <is>
          <t>2024A</t>
        </is>
      </c>
      <c r="G15" s="6" t="inlineStr">
        <is>
          <t>2025E</t>
        </is>
      </c>
      <c r="H15" s="6" t="inlineStr">
        <is>
          <t>2026E</t>
        </is>
      </c>
      <c r="I15" s="6" t="inlineStr">
        <is>
          <t>2027E</t>
        </is>
      </c>
    </row>
    <row r="16">
      <c r="B16" s="7" t="inlineStr">
        <is>
          <t>Upstream Exploration &amp; Production</t>
        </is>
      </c>
      <c r="C16" s="8" t="n">
        <v>234</v>
      </c>
      <c r="D16" s="8" t="n">
        <v>270.4</v>
      </c>
      <c r="E16" s="8" t="n">
        <v>249.6</v>
      </c>
      <c r="F16" s="8" t="n">
        <v>265.2</v>
      </c>
      <c r="G16" s="8" t="n">
        <v>520</v>
      </c>
      <c r="H16" s="8" t="n">
        <v>332.8</v>
      </c>
      <c r="I16" s="8" t="n">
        <v>345.8</v>
      </c>
    </row>
    <row r="17">
      <c r="B17" s="7" t="inlineStr">
        <is>
          <t>Downstream Refining &amp; Fuel Marketing</t>
        </is>
      </c>
      <c r="C17" s="8" t="n">
        <v>148.5</v>
      </c>
      <c r="D17" s="8" t="n">
        <v>171.6</v>
      </c>
      <c r="E17" s="8" t="n">
        <v>158.4</v>
      </c>
      <c r="F17" s="8" t="n">
        <v>168.3</v>
      </c>
      <c r="G17" s="8" t="n">
        <v>330</v>
      </c>
      <c r="H17" s="8" t="n">
        <v>211.2</v>
      </c>
      <c r="I17" s="8" t="n">
        <v>219.5</v>
      </c>
    </row>
    <row r="18">
      <c r="B18" s="7" t="inlineStr">
        <is>
          <t>Petrochemicals &amp; Gas Processing</t>
        </is>
      </c>
      <c r="C18" s="8" t="n">
        <v>67.5</v>
      </c>
      <c r="D18" s="8" t="n">
        <v>78</v>
      </c>
      <c r="E18" s="8" t="n">
        <v>72</v>
      </c>
      <c r="F18" s="8" t="n">
        <v>76.5</v>
      </c>
      <c r="G18" s="8" t="n">
        <v>150</v>
      </c>
      <c r="H18" s="8" t="n">
        <v>96</v>
      </c>
      <c r="I18" s="8" t="n">
        <v>99.8</v>
      </c>
    </row>
    <row r="19">
      <c r="B19" s="14" t="inlineStr">
        <is>
          <t>Total Consolidated Revenue (Feeds P&amp;L)</t>
        </is>
      </c>
      <c r="C19" s="15">
        <f>SUM(C16:C18)</f>
        <v/>
      </c>
      <c r="D19" s="15">
        <f>SUM(D16:D18)</f>
        <v/>
      </c>
      <c r="E19" s="15">
        <f>SUM(E16:E18)</f>
        <v/>
      </c>
      <c r="F19" s="15">
        <f>SUM(F16:F18)</f>
        <v/>
      </c>
      <c r="G19" s="15">
        <f>SUM(G16:G18)</f>
        <v/>
      </c>
      <c r="H19" s="15">
        <f>SUM(H16:H18)</f>
        <v/>
      </c>
      <c r="I19" s="15">
        <f>SUM(I16:I18)</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cols>
    <col width="6" customWidth="1" min="1" max="1"/>
    <col width="38" customWidth="1" min="2" max="2"/>
    <col width="16" customWidth="1" min="3" max="3"/>
    <col width="16" customWidth="1" min="4" max="4"/>
    <col width="16" customWidth="1" min="5" max="5"/>
    <col width="16"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Pearl Petroleum — Audited &amp; Projected Income Statement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c r="B5" s="16" t="inlineStr">
        <is>
          <t>Reporting Status</t>
        </is>
      </c>
      <c r="C5" s="17" t="inlineStr">
        <is>
          <t>Audited IFRS</t>
        </is>
      </c>
      <c r="D5" s="17" t="inlineStr">
        <is>
          <t>Audited IFRS</t>
        </is>
      </c>
      <c r="E5" s="17" t="inlineStr">
        <is>
          <t>Audited IFRS</t>
        </is>
      </c>
      <c r="F5" s="17" t="inlineStr">
        <is>
          <t>Audited IFRS</t>
        </is>
      </c>
      <c r="G5" s="17" t="inlineStr">
        <is>
          <t>Forecast</t>
        </is>
      </c>
      <c r="H5" s="17" t="inlineStr">
        <is>
          <t>Forecast</t>
        </is>
      </c>
      <c r="I5" s="17" t="inlineStr">
        <is>
          <t>Forecast</t>
        </is>
      </c>
    </row>
    <row r="6">
      <c r="B6" s="3" t="inlineStr">
        <is>
          <t>I. REVENUE</t>
        </is>
      </c>
    </row>
    <row r="7">
      <c r="B7" s="7" t="inlineStr">
        <is>
          <t xml:space="preserve">  Upstream Exploration &amp; Production</t>
        </is>
      </c>
      <c r="C7" s="8">
        <f>'Operational Drivers &amp; Segments'!C16</f>
        <v/>
      </c>
      <c r="D7" s="8">
        <f>'Operational Drivers &amp; Segments'!D16</f>
        <v/>
      </c>
      <c r="E7" s="8">
        <f>'Operational Drivers &amp; Segments'!E16</f>
        <v/>
      </c>
      <c r="F7" s="8">
        <f>'Operational Drivers &amp; Segments'!F16</f>
        <v/>
      </c>
      <c r="G7" s="8">
        <f>'Operational Drivers &amp; Segments'!G16</f>
        <v/>
      </c>
      <c r="H7" s="8">
        <f>'Operational Drivers &amp; Segments'!H16</f>
        <v/>
      </c>
      <c r="I7" s="8">
        <f>'Operational Drivers &amp; Segments'!I16</f>
        <v/>
      </c>
    </row>
    <row r="8">
      <c r="B8" s="7" t="inlineStr">
        <is>
          <t xml:space="preserve">  Downstream Refining &amp; Fuel Marketing</t>
        </is>
      </c>
      <c r="C8" s="8">
        <f>'Operational Drivers &amp; Segments'!C17</f>
        <v/>
      </c>
      <c r="D8" s="8">
        <f>'Operational Drivers &amp; Segments'!D17</f>
        <v/>
      </c>
      <c r="E8" s="8">
        <f>'Operational Drivers &amp; Segments'!E17</f>
        <v/>
      </c>
      <c r="F8" s="8">
        <f>'Operational Drivers &amp; Segments'!F17</f>
        <v/>
      </c>
      <c r="G8" s="8">
        <f>'Operational Drivers &amp; Segments'!G17</f>
        <v/>
      </c>
      <c r="H8" s="8">
        <f>'Operational Drivers &amp; Segments'!H17</f>
        <v/>
      </c>
      <c r="I8" s="8">
        <f>'Operational Drivers &amp; Segments'!I17</f>
        <v/>
      </c>
    </row>
    <row r="9">
      <c r="B9" s="7" t="inlineStr">
        <is>
          <t xml:space="preserve">  Petrochemicals &amp; Gas Processing</t>
        </is>
      </c>
      <c r="C9" s="8">
        <f>'Operational Drivers &amp; Segments'!C18</f>
        <v/>
      </c>
      <c r="D9" s="8">
        <f>'Operational Drivers &amp; Segments'!D18</f>
        <v/>
      </c>
      <c r="E9" s="8">
        <f>'Operational Drivers &amp; Segments'!E18</f>
        <v/>
      </c>
      <c r="F9" s="8">
        <f>'Operational Drivers &amp; Segments'!F18</f>
        <v/>
      </c>
      <c r="G9" s="8">
        <f>'Operational Drivers &amp; Segments'!G18</f>
        <v/>
      </c>
      <c r="H9" s="8">
        <f>'Operational Drivers &amp; Segments'!H18</f>
        <v/>
      </c>
      <c r="I9" s="8">
        <f>'Operational Drivers &amp; Segments'!I18</f>
        <v/>
      </c>
    </row>
    <row r="10">
      <c r="B10" s="14" t="inlineStr">
        <is>
          <t>Total Gross Revenue</t>
        </is>
      </c>
      <c r="C10" s="15">
        <f>SUM(C7:C9)</f>
        <v/>
      </c>
      <c r="D10" s="15">
        <f>SUM(D7:D9)</f>
        <v/>
      </c>
      <c r="E10" s="15">
        <f>SUM(E7:E9)</f>
        <v/>
      </c>
      <c r="F10" s="15">
        <f>SUM(F7:F9)</f>
        <v/>
      </c>
      <c r="G10" s="15">
        <f>SUM(G7:G9)</f>
        <v/>
      </c>
      <c r="H10" s="15">
        <f>SUM(H7:H9)</f>
        <v/>
      </c>
      <c r="I10" s="15">
        <f>SUM(I7:I9)</f>
        <v/>
      </c>
    </row>
    <row r="11">
      <c r="B11" s="3" t="inlineStr">
        <is>
          <t>II. COST OF GOODS SOLD (COGS) &amp; DIRECT OPERATING EXPENSES</t>
        </is>
      </c>
    </row>
    <row r="12">
      <c r="B12" s="7" t="inlineStr">
        <is>
          <t xml:space="preserve">  Raw Materials, Consumables &amp; Freight</t>
        </is>
      </c>
      <c r="C12" s="8">
        <f>C10 * 0.40</f>
        <v/>
      </c>
      <c r="D12" s="8">
        <f>D10 * 0.40</f>
        <v/>
      </c>
      <c r="E12" s="8">
        <f>E10 * 0.40</f>
        <v/>
      </c>
      <c r="F12" s="8">
        <f>F10 * 0.40</f>
        <v/>
      </c>
      <c r="G12" s="8">
        <f>G10 * 0.40</f>
        <v/>
      </c>
      <c r="H12" s="8">
        <f>H10 * 0.40</f>
        <v/>
      </c>
      <c r="I12" s="8">
        <f>I10 * 0.40</f>
        <v/>
      </c>
    </row>
    <row r="13">
      <c r="B13" s="7" t="inlineStr">
        <is>
          <t xml:space="preserve">  Personnel, Labor &amp; Payroll</t>
        </is>
      </c>
      <c r="C13" s="8">
        <f>C10 * 0.18</f>
        <v/>
      </c>
      <c r="D13" s="8">
        <f>D10 * 0.18</f>
        <v/>
      </c>
      <c r="E13" s="8">
        <f>E10 * 0.18</f>
        <v/>
      </c>
      <c r="F13" s="8">
        <f>F10 * 0.18</f>
        <v/>
      </c>
      <c r="G13" s="8">
        <f>G10 * 0.18</f>
        <v/>
      </c>
      <c r="H13" s="8">
        <f>H10 * 0.18</f>
        <v/>
      </c>
      <c r="I13" s="8">
        <f>I10 * 0.18</f>
        <v/>
      </c>
    </row>
    <row r="14">
      <c r="B14" s="7" t="inlineStr">
        <is>
          <t xml:space="preserve">  Energy, Fuel &amp; Utility Costs</t>
        </is>
      </c>
      <c r="C14" s="8">
        <f>C10 * 0.10</f>
        <v/>
      </c>
      <c r="D14" s="8">
        <f>D10 * 0.10</f>
        <v/>
      </c>
      <c r="E14" s="8">
        <f>E10 * 0.10</f>
        <v/>
      </c>
      <c r="F14" s="8">
        <f>F10 * 0.10</f>
        <v/>
      </c>
      <c r="G14" s="8">
        <f>G10 * 0.10</f>
        <v/>
      </c>
      <c r="H14" s="8">
        <f>H10 * 0.10</f>
        <v/>
      </c>
      <c r="I14" s="8">
        <f>I10 * 0.10</f>
        <v/>
      </c>
    </row>
    <row r="15">
      <c r="B15" s="7" t="inlineStr">
        <is>
          <t xml:space="preserve">  Direct Production Maintenance &amp; Repairs</t>
        </is>
      </c>
      <c r="C15" s="8">
        <f>C10 * 0.08</f>
        <v/>
      </c>
      <c r="D15" s="8">
        <f>D10 * 0.08</f>
        <v/>
      </c>
      <c r="E15" s="8">
        <f>E10 * 0.08</f>
        <v/>
      </c>
      <c r="F15" s="8">
        <f>F10 * 0.08</f>
        <v/>
      </c>
      <c r="G15" s="8">
        <f>G10 * 0.08</f>
        <v/>
      </c>
      <c r="H15" s="8">
        <f>H10 * 0.08</f>
        <v/>
      </c>
      <c r="I15" s="8">
        <f>I10 * 0.08</f>
        <v/>
      </c>
    </row>
    <row r="16">
      <c r="B16" s="14" t="inlineStr">
        <is>
          <t>Total Cost of Sales</t>
        </is>
      </c>
      <c r="C16" s="15">
        <f>SUM(C12:C15)</f>
        <v/>
      </c>
      <c r="D16" s="15">
        <f>SUM(D12:D15)</f>
        <v/>
      </c>
      <c r="E16" s="15">
        <f>SUM(E12:E15)</f>
        <v/>
      </c>
      <c r="F16" s="15">
        <f>SUM(F12:F15)</f>
        <v/>
      </c>
      <c r="G16" s="15">
        <f>SUM(G12:G15)</f>
        <v/>
      </c>
      <c r="H16" s="15">
        <f>SUM(H12:H15)</f>
        <v/>
      </c>
      <c r="I16" s="15">
        <f>SUM(I12:I15)</f>
        <v/>
      </c>
    </row>
    <row r="17">
      <c r="B17" s="18" t="inlineStr">
        <is>
          <t>Gross Profit</t>
        </is>
      </c>
      <c r="C17" s="19">
        <f>C10 - C16</f>
        <v/>
      </c>
      <c r="D17" s="19">
        <f>D10 - D16</f>
        <v/>
      </c>
      <c r="E17" s="19">
        <f>E10 - E16</f>
        <v/>
      </c>
      <c r="F17" s="19">
        <f>F10 - F16</f>
        <v/>
      </c>
      <c r="G17" s="19">
        <f>G10 - G16</f>
        <v/>
      </c>
      <c r="H17" s="19">
        <f>H10 - H16</f>
        <v/>
      </c>
      <c r="I17" s="19">
        <f>I10 - I16</f>
        <v/>
      </c>
    </row>
    <row r="18">
      <c r="B18" s="3" t="inlineStr">
        <is>
          <t>III. OPERATING OVERHEAD (SG&amp;A)</t>
        </is>
      </c>
    </row>
    <row r="19">
      <c r="B19" s="7" t="inlineStr">
        <is>
          <t xml:space="preserve">  Selling &amp; Marketing Expenses</t>
        </is>
      </c>
      <c r="C19" s="8">
        <f>C10 * 0.04</f>
        <v/>
      </c>
      <c r="D19" s="8">
        <f>D10 * 0.04</f>
        <v/>
      </c>
      <c r="E19" s="8">
        <f>E10 * 0.04</f>
        <v/>
      </c>
      <c r="F19" s="8">
        <f>F10 * 0.04</f>
        <v/>
      </c>
      <c r="G19" s="8">
        <f>G10 * 0.04</f>
        <v/>
      </c>
      <c r="H19" s="8">
        <f>H10 * 0.04</f>
        <v/>
      </c>
      <c r="I19" s="8">
        <f>I10 * 0.04</f>
        <v/>
      </c>
    </row>
    <row r="20">
      <c r="B20" s="7" t="inlineStr">
        <is>
          <t xml:space="preserve">  General &amp; Administrative Overhead</t>
        </is>
      </c>
      <c r="C20" s="8">
        <f>C10 * 0.05</f>
        <v/>
      </c>
      <c r="D20" s="8">
        <f>D10 * 0.05</f>
        <v/>
      </c>
      <c r="E20" s="8">
        <f>E10 * 0.05</f>
        <v/>
      </c>
      <c r="F20" s="8">
        <f>F10 * 0.05</f>
        <v/>
      </c>
      <c r="G20" s="8">
        <f>G10 * 0.05</f>
        <v/>
      </c>
      <c r="H20" s="8">
        <f>H10 * 0.05</f>
        <v/>
      </c>
      <c r="I20" s="8">
        <f>I10 * 0.05</f>
        <v/>
      </c>
    </row>
    <row r="21">
      <c r="B21" s="9" t="inlineStr">
        <is>
          <t>Total SG&amp;A Expenses</t>
        </is>
      </c>
      <c r="C21" s="20">
        <f>SUM(C19:C20)</f>
        <v/>
      </c>
      <c r="D21" s="20">
        <f>SUM(D19:D20)</f>
        <v/>
      </c>
      <c r="E21" s="20">
        <f>SUM(E19:E20)</f>
        <v/>
      </c>
      <c r="F21" s="20">
        <f>SUM(F19:F20)</f>
        <v/>
      </c>
      <c r="G21" s="20">
        <f>SUM(G19:G20)</f>
        <v/>
      </c>
      <c r="H21" s="20">
        <f>SUM(H19:H20)</f>
        <v/>
      </c>
      <c r="I21" s="20">
        <f>SUM(I19:I20)</f>
        <v/>
      </c>
    </row>
    <row r="22">
      <c r="B22" s="18" t="inlineStr">
        <is>
          <t>EBITDA (Operating Cash Profit)</t>
        </is>
      </c>
      <c r="C22" s="19">
        <f>C17 - C21</f>
        <v/>
      </c>
      <c r="D22" s="19">
        <f>D17 - D21</f>
        <v/>
      </c>
      <c r="E22" s="19">
        <f>E17 - E21</f>
        <v/>
      </c>
      <c r="F22" s="19">
        <f>F17 - F21</f>
        <v/>
      </c>
      <c r="G22" s="19">
        <f>G17 - G21</f>
        <v/>
      </c>
      <c r="H22" s="19">
        <f>H17 - H21</f>
        <v/>
      </c>
      <c r="I22" s="19">
        <f>I17 - I21</f>
        <v/>
      </c>
    </row>
    <row r="23">
      <c r="B23" s="9" t="inlineStr">
        <is>
          <t>EBITDA Margin (%)</t>
        </is>
      </c>
      <c r="C23" s="21">
        <f>C22 / C10</f>
        <v/>
      </c>
      <c r="D23" s="21">
        <f>D22 / D10</f>
        <v/>
      </c>
      <c r="E23" s="21">
        <f>E22 / E10</f>
        <v/>
      </c>
      <c r="F23" s="21">
        <f>F22 / F10</f>
        <v/>
      </c>
      <c r="G23" s="21">
        <f>G22 / G10</f>
        <v/>
      </c>
      <c r="H23" s="21">
        <f>H22 / H10</f>
        <v/>
      </c>
      <c r="I23" s="21">
        <f>I22 / I10</f>
        <v/>
      </c>
    </row>
    <row r="24">
      <c r="B24" s="7" t="inlineStr">
        <is>
          <t>Depreciation &amp; Amortization (D&amp;A)</t>
        </is>
      </c>
      <c r="C24" s="8">
        <f>'Balance Sheet'!C18</f>
        <v/>
      </c>
      <c r="D24" s="8">
        <f>'Balance Sheet'!D18</f>
        <v/>
      </c>
      <c r="E24" s="8">
        <f>'Balance Sheet'!E18</f>
        <v/>
      </c>
      <c r="F24" s="8">
        <f>'Balance Sheet'!F18</f>
        <v/>
      </c>
      <c r="G24" s="8">
        <f>'Balance Sheet'!G18</f>
        <v/>
      </c>
      <c r="H24" s="8">
        <f>'Balance Sheet'!H18</f>
        <v/>
      </c>
      <c r="I24" s="8">
        <f>'Balance Sheet'!I18</f>
        <v/>
      </c>
    </row>
    <row r="25">
      <c r="B25" s="9" t="inlineStr">
        <is>
          <t>Operating Profit (EBIT)</t>
        </is>
      </c>
      <c r="C25" s="20">
        <f>C22 - C24</f>
        <v/>
      </c>
      <c r="D25" s="20">
        <f>D22 - D24</f>
        <v/>
      </c>
      <c r="E25" s="20">
        <f>E22 - E24</f>
        <v/>
      </c>
      <c r="F25" s="20">
        <f>F22 - F24</f>
        <v/>
      </c>
      <c r="G25" s="20">
        <f>G22 - G24</f>
        <v/>
      </c>
      <c r="H25" s="20">
        <f>H22 - H24</f>
        <v/>
      </c>
      <c r="I25" s="20">
        <f>I22 - I24</f>
        <v/>
      </c>
    </row>
    <row r="26">
      <c r="B26" s="16" t="inlineStr">
        <is>
          <t>EBIT Margin (%)</t>
        </is>
      </c>
      <c r="C26" s="22">
        <f>C25 / C10</f>
        <v/>
      </c>
      <c r="D26" s="22">
        <f>D25 / D10</f>
        <v/>
      </c>
      <c r="E26" s="22">
        <f>E25 / E10</f>
        <v/>
      </c>
      <c r="F26" s="22">
        <f>F25 / F10</f>
        <v/>
      </c>
      <c r="G26" s="22">
        <f>G25 / G10</f>
        <v/>
      </c>
      <c r="H26" s="22">
        <f>H25 / H10</f>
        <v/>
      </c>
      <c r="I26" s="22">
        <f>I25 / I10</f>
        <v/>
      </c>
    </row>
    <row r="27">
      <c r="B27" s="7" t="inlineStr">
        <is>
          <t>Net Finance Costs / Interest Expense</t>
        </is>
      </c>
      <c r="C27" s="8">
        <f>'Debt Schedule &amp; Tranches'!C28</f>
        <v/>
      </c>
      <c r="D27" s="8">
        <f>'Debt Schedule &amp; Tranches'!D28</f>
        <v/>
      </c>
      <c r="E27" s="8">
        <f>'Debt Schedule &amp; Tranches'!E28</f>
        <v/>
      </c>
      <c r="F27" s="8">
        <f>'Debt Schedule &amp; Tranches'!F28</f>
        <v/>
      </c>
      <c r="G27" s="8">
        <f>'Debt Schedule &amp; Tranches'!G28</f>
        <v/>
      </c>
      <c r="H27" s="8">
        <f>'Debt Schedule &amp; Tranches'!H28</f>
        <v/>
      </c>
      <c r="I27" s="8">
        <f>'Debt Schedule &amp; Tranches'!I28</f>
        <v/>
      </c>
    </row>
    <row r="28">
      <c r="B28" s="7" t="inlineStr">
        <is>
          <t>Foreign Exchange &amp; Non-Operating Items</t>
        </is>
      </c>
      <c r="C28" s="8" t="n">
        <v>5</v>
      </c>
      <c r="D28" s="8" t="n">
        <v>-3</v>
      </c>
      <c r="E28" s="8" t="n">
        <v>5</v>
      </c>
      <c r="F28" s="8" t="n">
        <v>-3</v>
      </c>
      <c r="G28" s="8" t="n">
        <v>5</v>
      </c>
      <c r="H28" s="8" t="n">
        <v>-3</v>
      </c>
      <c r="I28" s="8" t="n">
        <v>5</v>
      </c>
    </row>
    <row r="29">
      <c r="B29" s="9" t="inlineStr">
        <is>
          <t>Profit Before Tax (PBT)</t>
        </is>
      </c>
      <c r="C29" s="20">
        <f>C25 - C27 + C28</f>
        <v/>
      </c>
      <c r="D29" s="20">
        <f>D25 - D27 + D28</f>
        <v/>
      </c>
      <c r="E29" s="20">
        <f>E25 - E27 + E28</f>
        <v/>
      </c>
      <c r="F29" s="20">
        <f>F25 - F27 + F28</f>
        <v/>
      </c>
      <c r="G29" s="20">
        <f>G25 - G27 + G28</f>
        <v/>
      </c>
      <c r="H29" s="20">
        <f>H25 - H27 + H28</f>
        <v/>
      </c>
      <c r="I29" s="20">
        <f>I25 - I27 + I28</f>
        <v/>
      </c>
    </row>
    <row r="30">
      <c r="B30" s="7" t="inlineStr">
        <is>
          <t>Income Tax Expense</t>
        </is>
      </c>
      <c r="C30" s="8">
        <f>IF(C29 &gt; 0, C29 * 0.15, 0)</f>
        <v/>
      </c>
      <c r="D30" s="8">
        <f>IF(D29 &gt; 0, D29 * 0.15, 0)</f>
        <v/>
      </c>
      <c r="E30" s="8">
        <f>IF(E29 &gt; 0, E29 * 0.15, 0)</f>
        <v/>
      </c>
      <c r="F30" s="8">
        <f>IF(F29 &gt; 0, F29 * 0.15, 0)</f>
        <v/>
      </c>
      <c r="G30" s="8">
        <f>IF(G29 &gt; 0, G29 * 0.15, 0)</f>
        <v/>
      </c>
      <c r="H30" s="8">
        <f>IF(H29 &gt; 0, H29 * 0.15, 0)</f>
        <v/>
      </c>
      <c r="I30" s="8">
        <f>IF(I29 &gt; 0, I29 * 0.15, 0)</f>
        <v/>
      </c>
    </row>
    <row r="31">
      <c r="B31" s="18" t="inlineStr">
        <is>
          <t>Net Income (Profit After Tax)</t>
        </is>
      </c>
      <c r="C31" s="19">
        <f>C29 - C30</f>
        <v/>
      </c>
      <c r="D31" s="19">
        <f>D29 - D30</f>
        <v/>
      </c>
      <c r="E31" s="19">
        <f>E29 - E30</f>
        <v/>
      </c>
      <c r="F31" s="19">
        <f>F29 - F30</f>
        <v/>
      </c>
      <c r="G31" s="19">
        <f>G29 - G30</f>
        <v/>
      </c>
      <c r="H31" s="19">
        <f>H29 - H30</f>
        <v/>
      </c>
      <c r="I31" s="19">
        <f>I29 - I30</f>
        <v/>
      </c>
    </row>
    <row r="32"/>
    <row r="33">
      <c r="B33" s="3" t="inlineStr">
        <is>
          <t>VI. EBITDA RECONCILIATION &amp; AUDIT BRIDGE (REPORTED VS. CALCULATED)</t>
        </is>
      </c>
    </row>
    <row r="34">
      <c r="B34" s="7" t="inlineStr">
        <is>
          <t>Standardized Calculated Cash EBITDA</t>
        </is>
      </c>
      <c r="C34" s="8">
        <f>C22</f>
        <v/>
      </c>
      <c r="D34" s="8">
        <f>D22</f>
        <v/>
      </c>
      <c r="E34" s="8">
        <f>E22</f>
        <v/>
      </c>
      <c r="F34" s="8">
        <f>F22</f>
        <v/>
      </c>
      <c r="G34" s="8">
        <f>G22</f>
        <v/>
      </c>
      <c r="H34" s="8">
        <f>H22</f>
        <v/>
      </c>
      <c r="I34" s="8">
        <f>I22</f>
        <v/>
      </c>
    </row>
    <row r="35">
      <c r="B35" s="16" t="inlineStr">
        <is>
          <t>Management One-Off Adjustments &amp; Add-backs</t>
        </is>
      </c>
      <c r="C35" s="23" t="n">
        <v>0</v>
      </c>
      <c r="D35" s="23" t="n">
        <v>0</v>
      </c>
      <c r="E35" s="23" t="n">
        <v>0</v>
      </c>
      <c r="F35" s="23" t="n">
        <v>0</v>
      </c>
      <c r="G35" s="23" t="n">
        <v>0</v>
      </c>
      <c r="H35" s="23" t="n">
        <v>0</v>
      </c>
      <c r="I35" s="23" t="n">
        <v>0</v>
      </c>
    </row>
    <row r="36">
      <c r="B36" s="18" t="inlineStr">
        <is>
          <t>COMPANY REPORTED HEADLINE EBITDA</t>
        </is>
      </c>
      <c r="C36" s="19">
        <f>C34 + C35</f>
        <v/>
      </c>
      <c r="D36" s="19">
        <f>D34 + D35</f>
        <v/>
      </c>
      <c r="E36" s="19">
        <f>E34 + E35</f>
        <v/>
      </c>
      <c r="F36" s="19">
        <f>F34 + F35</f>
        <v/>
      </c>
      <c r="G36" s="19">
        <f>G34 + G35</f>
        <v/>
      </c>
      <c r="H36" s="19">
        <f>H34 + H35</f>
        <v/>
      </c>
      <c r="I36" s="19">
        <f>I34 + I35</f>
        <v/>
      </c>
    </row>
    <row r="37">
      <c r="B37" s="9" t="inlineStr">
        <is>
          <t>Reconciliation Variance ($M)</t>
        </is>
      </c>
      <c r="C37" s="20">
        <f>C36 - C34</f>
        <v/>
      </c>
      <c r="D37" s="20">
        <f>D36 - D34</f>
        <v/>
      </c>
      <c r="E37" s="20">
        <f>E36 - E34</f>
        <v/>
      </c>
      <c r="F37" s="20">
        <f>F36 - F34</f>
        <v/>
      </c>
      <c r="G37" s="20">
        <f>G36 - G34</f>
        <v/>
      </c>
      <c r="H37" s="20">
        <f>H36 - H34</f>
        <v/>
      </c>
      <c r="I37" s="20">
        <f>I36 - I34</f>
        <v/>
      </c>
    </row>
    <row r="38">
      <c r="B38" s="9" t="inlineStr">
        <is>
          <t>Reconciliation Variance (%)</t>
        </is>
      </c>
      <c r="C38" s="21">
        <f>C37 / C34</f>
        <v/>
      </c>
      <c r="D38" s="21">
        <f>D37 / D34</f>
        <v/>
      </c>
      <c r="E38" s="21">
        <f>E37 / E34</f>
        <v/>
      </c>
      <c r="F38" s="21">
        <f>F37 / F34</f>
        <v/>
      </c>
      <c r="G38" s="21">
        <f>G37 / G34</f>
        <v/>
      </c>
      <c r="H38" s="21">
        <f>H37 / H34</f>
        <v/>
      </c>
      <c r="I38" s="21">
        <f>I37 / I34</f>
        <v/>
      </c>
    </row>
    <row r="39">
      <c r="B39" s="3" t="inlineStr">
        <is>
          <t>Reconciliation Status &amp; Audit Footnote</t>
        </is>
      </c>
      <c r="C39" s="24" t="inlineStr">
        <is>
          <t>Reconciled</t>
        </is>
      </c>
      <c r="D39" s="24" t="inlineStr">
        <is>
          <t>Reconciled</t>
        </is>
      </c>
      <c r="E39" s="24" t="inlineStr">
        <is>
          <t>Reconciled</t>
        </is>
      </c>
      <c r="F39" s="24" t="inlineStr">
        <is>
          <t>Reconciled</t>
        </is>
      </c>
      <c r="G39" s="24" t="inlineStr">
        <is>
          <t>Reconciled</t>
        </is>
      </c>
      <c r="H39" s="24" t="inlineStr">
        <is>
          <t>Reconciled</t>
        </is>
      </c>
      <c r="I39" s="24" t="inlineStr">
        <is>
          <t>Reconciled</t>
        </is>
      </c>
    </row>
    <row r="40"/>
    <row r="41">
      <c r="B41" s="3" t="inlineStr">
        <is>
          <t>VII. DETAILED EBITDA RECONCILIATION FOOTNOTES</t>
        </is>
      </c>
    </row>
    <row r="42">
      <c r="B42" s="25" t="inlineStr">
        <is>
          <t>[2021A] Fully Reconciled: Operating Profit plus D&amp;A matches calculated EBITDA with zero aggressive add-backs.</t>
        </is>
      </c>
    </row>
    <row r="43">
      <c r="B43" s="25" t="inlineStr">
        <is>
          <t>[2022A] Fully Reconciled.</t>
        </is>
      </c>
    </row>
    <row r="44">
      <c r="B44" s="25" t="inlineStr">
        <is>
          <t>[2023A] Fully Reconciled.</t>
        </is>
      </c>
    </row>
    <row r="45">
      <c r="B45" s="25" t="inlineStr">
        <is>
          <t>[2024A] Fully Reconciled.</t>
        </is>
      </c>
    </row>
    <row r="46">
      <c r="B46" s="25" t="inlineStr">
        <is>
          <t>[2025E] Fully Reconciled.</t>
        </is>
      </c>
    </row>
    <row r="47">
      <c r="B47" s="25" t="inlineStr">
        <is>
          <t>[2026E] Pro-Forma KM250 Full Run-Rate.</t>
        </is>
      </c>
    </row>
    <row r="48">
      <c r="B48" s="25" t="inlineStr">
        <is>
          <t>[2027E] Steady-State Projection.</t>
        </is>
      </c>
    </row>
  </sheetData>
  <mergeCells count="8">
    <mergeCell ref="B44:I44"/>
    <mergeCell ref="B48:I48"/>
    <mergeCell ref="B47:I47"/>
    <mergeCell ref="B2:I2"/>
    <mergeCell ref="B42:I42"/>
    <mergeCell ref="B45:I45"/>
    <mergeCell ref="B46:I46"/>
    <mergeCell ref="B43:I43"/>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41"/>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Pearl Petroleum — Consolidated Balance Sheet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CURRENT ASSETS</t>
        </is>
      </c>
    </row>
    <row r="7">
      <c r="B7" s="9" t="inlineStr">
        <is>
          <t xml:space="preserve">  Cash &amp; Cash Equivalents</t>
        </is>
      </c>
      <c r="C7" s="20">
        <f>'Cash Flow Statement'!C26</f>
        <v/>
      </c>
      <c r="D7" s="20">
        <f>'Cash Flow Statement'!D26</f>
        <v/>
      </c>
      <c r="E7" s="20">
        <f>'Cash Flow Statement'!E26</f>
        <v/>
      </c>
      <c r="F7" s="20">
        <f>'Cash Flow Statement'!F26</f>
        <v/>
      </c>
      <c r="G7" s="20">
        <f>'Cash Flow Statement'!G26</f>
        <v/>
      </c>
      <c r="H7" s="20">
        <f>'Cash Flow Statement'!H26</f>
        <v/>
      </c>
      <c r="I7" s="20">
        <f>'Cash Flow Statement'!I26</f>
        <v/>
      </c>
    </row>
    <row r="8">
      <c r="B8" s="7" t="inlineStr">
        <is>
          <t xml:space="preserve">  Accounts Receivable (Trade Debtors)</t>
        </is>
      </c>
      <c r="C8" s="8">
        <f>'Income Statement (P&amp;L)'!C10 / 365 * 45</f>
        <v/>
      </c>
      <c r="D8" s="8">
        <f>'Income Statement (P&amp;L)'!D10 / 365 * 45</f>
        <v/>
      </c>
      <c r="E8" s="8">
        <f>'Income Statement (P&amp;L)'!E10 / 365 * 45</f>
        <v/>
      </c>
      <c r="F8" s="8">
        <f>'Income Statement (P&amp;L)'!F10 / 365 * 45</f>
        <v/>
      </c>
      <c r="G8" s="8">
        <f>'Income Statement (P&amp;L)'!G10 / 365 * 45</f>
        <v/>
      </c>
      <c r="H8" s="8">
        <f>'Income Statement (P&amp;L)'!H10 / 365 * 45</f>
        <v/>
      </c>
      <c r="I8" s="8">
        <f>'Income Statement (P&amp;L)'!I10 / 365 * 45</f>
        <v/>
      </c>
    </row>
    <row r="9">
      <c r="B9" s="7" t="inlineStr">
        <is>
          <t xml:space="preserve">  Inventories &amp; Spare Parts</t>
        </is>
      </c>
      <c r="C9" s="8">
        <f>'Income Statement (P&amp;L)'!C16 / 365 * 35</f>
        <v/>
      </c>
      <c r="D9" s="8">
        <f>'Income Statement (P&amp;L)'!D16 / 365 * 35</f>
        <v/>
      </c>
      <c r="E9" s="8">
        <f>'Income Statement (P&amp;L)'!E16 / 365 * 35</f>
        <v/>
      </c>
      <c r="F9" s="8">
        <f>'Income Statement (P&amp;L)'!F16 / 365 * 35</f>
        <v/>
      </c>
      <c r="G9" s="8">
        <f>'Income Statement (P&amp;L)'!G16 / 365 * 35</f>
        <v/>
      </c>
      <c r="H9" s="8">
        <f>'Income Statement (P&amp;L)'!H16 / 365 * 35</f>
        <v/>
      </c>
      <c r="I9" s="8">
        <f>'Income Statement (P&amp;L)'!I16 / 365 * 35</f>
        <v/>
      </c>
    </row>
    <row r="10">
      <c r="B10" s="7" t="inlineStr">
        <is>
          <t xml:space="preserve">  Prepayments &amp; Other Current Assets</t>
        </is>
      </c>
      <c r="C10" s="8">
        <f>'Income Statement (P&amp;L)'!C10 * 0.03</f>
        <v/>
      </c>
      <c r="D10" s="8">
        <f>'Income Statement (P&amp;L)'!D10 * 0.03</f>
        <v/>
      </c>
      <c r="E10" s="8">
        <f>'Income Statement (P&amp;L)'!E10 * 0.03</f>
        <v/>
      </c>
      <c r="F10" s="8">
        <f>'Income Statement (P&amp;L)'!F10 * 0.03</f>
        <v/>
      </c>
      <c r="G10" s="8">
        <f>'Income Statement (P&amp;L)'!G10 * 0.03</f>
        <v/>
      </c>
      <c r="H10" s="8">
        <f>'Income Statement (P&amp;L)'!H10 * 0.03</f>
        <v/>
      </c>
      <c r="I10" s="8">
        <f>'Income Statement (P&amp;L)'!I10 * 0.03</f>
        <v/>
      </c>
    </row>
    <row r="11">
      <c r="B11" s="14" t="inlineStr">
        <is>
          <t>Total Current Assets</t>
        </is>
      </c>
      <c r="C11" s="15">
        <f>SUM(C7:C10)</f>
        <v/>
      </c>
      <c r="D11" s="15">
        <f>SUM(D7:D10)</f>
        <v/>
      </c>
      <c r="E11" s="15">
        <f>SUM(E7:E10)</f>
        <v/>
      </c>
      <c r="F11" s="15">
        <f>SUM(F7:F10)</f>
        <v/>
      </c>
      <c r="G11" s="15">
        <f>SUM(G7:G10)</f>
        <v/>
      </c>
      <c r="H11" s="15">
        <f>SUM(H7:H10)</f>
        <v/>
      </c>
      <c r="I11" s="15">
        <f>SUM(I7:I10)</f>
        <v/>
      </c>
    </row>
    <row r="12"/>
    <row r="13">
      <c r="B13" s="3" t="inlineStr">
        <is>
          <t>II. NON-CURRENT ASSETS (PP&amp;E &amp; INTANGIBLES)</t>
        </is>
      </c>
    </row>
    <row r="14">
      <c r="B14" s="7" t="inlineStr">
        <is>
          <t xml:space="preserve">  Beginning Net PP&amp;E</t>
        </is>
      </c>
      <c r="C14" s="8" t="n">
        <v>675</v>
      </c>
      <c r="D14" s="8">
        <f>C17</f>
        <v/>
      </c>
      <c r="E14" s="8">
        <f>D17</f>
        <v/>
      </c>
      <c r="F14" s="8">
        <f>E17</f>
        <v/>
      </c>
      <c r="G14" s="8">
        <f>F17</f>
        <v/>
      </c>
      <c r="H14" s="8">
        <f>G17</f>
        <v/>
      </c>
      <c r="I14" s="8">
        <f>H17</f>
        <v/>
      </c>
    </row>
    <row r="15">
      <c r="B15" s="7" t="inlineStr">
        <is>
          <t xml:space="preserve">  Add: Capital Expenditures (Capex)</t>
        </is>
      </c>
      <c r="C15" s="8">
        <f>-'Cash Flow Statement'!C16</f>
        <v/>
      </c>
      <c r="D15" s="8">
        <f>-'Cash Flow Statement'!D16</f>
        <v/>
      </c>
      <c r="E15" s="8">
        <f>-'Cash Flow Statement'!E16</f>
        <v/>
      </c>
      <c r="F15" s="8">
        <f>-'Cash Flow Statement'!F16</f>
        <v/>
      </c>
      <c r="G15" s="8">
        <f>-'Cash Flow Statement'!G16</f>
        <v/>
      </c>
      <c r="H15" s="8">
        <f>-'Cash Flow Statement'!H16</f>
        <v/>
      </c>
      <c r="I15" s="8">
        <f>-'Cash Flow Statement'!I16</f>
        <v/>
      </c>
    </row>
    <row r="16">
      <c r="B16" s="7" t="inlineStr">
        <is>
          <t xml:space="preserve">  Less: Depreciation &amp; Amortization (D&amp;A)</t>
        </is>
      </c>
      <c r="C16" s="8">
        <f>C14 * 0.08</f>
        <v/>
      </c>
      <c r="D16" s="8">
        <f>D14 * 0.08</f>
        <v/>
      </c>
      <c r="E16" s="8">
        <f>E14 * 0.08</f>
        <v/>
      </c>
      <c r="F16" s="8">
        <f>F14 * 0.08</f>
        <v/>
      </c>
      <c r="G16" s="8">
        <f>G14 * 0.08</f>
        <v/>
      </c>
      <c r="H16" s="8">
        <f>H14 * 0.08</f>
        <v/>
      </c>
      <c r="I16" s="8">
        <f>I14 * 0.08</f>
        <v/>
      </c>
    </row>
    <row r="17">
      <c r="B17" s="9" t="inlineStr">
        <is>
          <t xml:space="preserve">  Ending Net PP&amp;E</t>
        </is>
      </c>
      <c r="C17" s="20">
        <f>C14 + C15 - C16</f>
        <v/>
      </c>
      <c r="D17" s="20">
        <f>D14 + D15 - D16</f>
        <v/>
      </c>
      <c r="E17" s="20">
        <f>E14 + E15 - E16</f>
        <v/>
      </c>
      <c r="F17" s="20">
        <f>F14 + F15 - F16</f>
        <v/>
      </c>
      <c r="G17" s="20">
        <f>G14 + G15 - G16</f>
        <v/>
      </c>
      <c r="H17" s="20">
        <f>H14 + H15 - H16</f>
        <v/>
      </c>
      <c r="I17" s="20">
        <f>I14 + I15 - I16</f>
        <v/>
      </c>
    </row>
    <row r="18">
      <c r="B18" s="7" t="inlineStr">
        <is>
          <t xml:space="preserve">  Right-of-Use Leased Assets</t>
        </is>
      </c>
      <c r="C18" s="8">
        <f>'Income Statement (P&amp;L)'!C10 * 0.08</f>
        <v/>
      </c>
      <c r="D18" s="8">
        <f>'Income Statement (P&amp;L)'!D10 * 0.08</f>
        <v/>
      </c>
      <c r="E18" s="8">
        <f>'Income Statement (P&amp;L)'!E10 * 0.08</f>
        <v/>
      </c>
      <c r="F18" s="8">
        <f>'Income Statement (P&amp;L)'!F10 * 0.08</f>
        <v/>
      </c>
      <c r="G18" s="8">
        <f>'Income Statement (P&amp;L)'!G10 * 0.08</f>
        <v/>
      </c>
      <c r="H18" s="8">
        <f>'Income Statement (P&amp;L)'!H10 * 0.08</f>
        <v/>
      </c>
      <c r="I18" s="8">
        <f>'Income Statement (P&amp;L)'!I10 * 0.08</f>
        <v/>
      </c>
    </row>
    <row r="19">
      <c r="B19" s="7" t="inlineStr">
        <is>
          <t xml:space="preserve">  Intangible Assets, Goodwill &amp; Licenses</t>
        </is>
      </c>
      <c r="C19" s="8">
        <f>'Income Statement (P&amp;L)'!C10 * 0.12</f>
        <v/>
      </c>
      <c r="D19" s="8">
        <f>'Income Statement (P&amp;L)'!D10 * 0.12</f>
        <v/>
      </c>
      <c r="E19" s="8">
        <f>'Income Statement (P&amp;L)'!E10 * 0.12</f>
        <v/>
      </c>
      <c r="F19" s="8">
        <f>'Income Statement (P&amp;L)'!F10 * 0.12</f>
        <v/>
      </c>
      <c r="G19" s="8">
        <f>'Income Statement (P&amp;L)'!G10 * 0.12</f>
        <v/>
      </c>
      <c r="H19" s="8">
        <f>'Income Statement (P&amp;L)'!H10 * 0.12</f>
        <v/>
      </c>
      <c r="I19" s="8">
        <f>'Income Statement (P&amp;L)'!I10 * 0.12</f>
        <v/>
      </c>
    </row>
    <row r="20">
      <c r="B20" s="14" t="inlineStr">
        <is>
          <t>Total Non-Current Assets</t>
        </is>
      </c>
      <c r="C20" s="15">
        <f>SUM(C17:C19)</f>
        <v/>
      </c>
      <c r="D20" s="15">
        <f>SUM(D17:D19)</f>
        <v/>
      </c>
      <c r="E20" s="15">
        <f>SUM(E17:E19)</f>
        <v/>
      </c>
      <c r="F20" s="15">
        <f>SUM(F17:F19)</f>
        <v/>
      </c>
      <c r="G20" s="15">
        <f>SUM(G17:G19)</f>
        <v/>
      </c>
      <c r="H20" s="15">
        <f>SUM(H17:H19)</f>
        <v/>
      </c>
      <c r="I20" s="15">
        <f>SUM(I17:I19)</f>
        <v/>
      </c>
    </row>
    <row r="21">
      <c r="B21" s="18" t="inlineStr">
        <is>
          <t>TOTAL CONSOLIDATED ASSETS</t>
        </is>
      </c>
      <c r="C21" s="19">
        <f>C11 + C20</f>
        <v/>
      </c>
      <c r="D21" s="19">
        <f>D11 + D20</f>
        <v/>
      </c>
      <c r="E21" s="19">
        <f>E11 + E20</f>
        <v/>
      </c>
      <c r="F21" s="19">
        <f>F11 + F20</f>
        <v/>
      </c>
      <c r="G21" s="19">
        <f>G11 + G20</f>
        <v/>
      </c>
      <c r="H21" s="19">
        <f>H11 + H20</f>
        <v/>
      </c>
      <c r="I21" s="19">
        <f>I11 + I20</f>
        <v/>
      </c>
    </row>
    <row r="22"/>
    <row r="23">
      <c r="B23" s="3" t="inlineStr">
        <is>
          <t>III. CURRENT LIABILITIES</t>
        </is>
      </c>
    </row>
    <row r="24">
      <c r="B24" s="7" t="inlineStr">
        <is>
          <t xml:space="preserve">  Accounts Payable (Trade Creditors)</t>
        </is>
      </c>
      <c r="C24" s="8">
        <f>'Income Statement (P&amp;L)'!C16 / 365 * 40</f>
        <v/>
      </c>
      <c r="D24" s="8">
        <f>'Income Statement (P&amp;L)'!D16 / 365 * 40</f>
        <v/>
      </c>
      <c r="E24" s="8">
        <f>'Income Statement (P&amp;L)'!E16 / 365 * 40</f>
        <v/>
      </c>
      <c r="F24" s="8">
        <f>'Income Statement (P&amp;L)'!F16 / 365 * 40</f>
        <v/>
      </c>
      <c r="G24" s="8">
        <f>'Income Statement (P&amp;L)'!G16 / 365 * 40</f>
        <v/>
      </c>
      <c r="H24" s="8">
        <f>'Income Statement (P&amp;L)'!H16 / 365 * 40</f>
        <v/>
      </c>
      <c r="I24" s="8">
        <f>'Income Statement (P&amp;L)'!I16 / 365 * 40</f>
        <v/>
      </c>
    </row>
    <row r="25">
      <c r="B25" s="7" t="inlineStr">
        <is>
          <t xml:space="preserve">  Short-Term Debt &amp; Current Portion of LT Debt</t>
        </is>
      </c>
      <c r="C25" s="8">
        <f>'Debt Schedule &amp; Tranches'!C22</f>
        <v/>
      </c>
      <c r="D25" s="8">
        <f>'Debt Schedule &amp; Tranches'!D22</f>
        <v/>
      </c>
      <c r="E25" s="8">
        <f>'Debt Schedule &amp; Tranches'!E22</f>
        <v/>
      </c>
      <c r="F25" s="8">
        <f>'Debt Schedule &amp; Tranches'!F22</f>
        <v/>
      </c>
      <c r="G25" s="8">
        <f>'Debt Schedule &amp; Tranches'!G22</f>
        <v/>
      </c>
      <c r="H25" s="8">
        <f>'Debt Schedule &amp; Tranches'!H22</f>
        <v/>
      </c>
      <c r="I25" s="8">
        <f>'Debt Schedule &amp; Tranches'!I22</f>
        <v/>
      </c>
    </row>
    <row r="26">
      <c r="B26" s="7" t="inlineStr">
        <is>
          <t xml:space="preserve">  Accrued Expenses &amp; Other Current Liabilities</t>
        </is>
      </c>
      <c r="C26" s="8">
        <f>'Income Statement (P&amp;L)'!C10 * 0.04</f>
        <v/>
      </c>
      <c r="D26" s="8">
        <f>'Income Statement (P&amp;L)'!D10 * 0.04</f>
        <v/>
      </c>
      <c r="E26" s="8">
        <f>'Income Statement (P&amp;L)'!E10 * 0.04</f>
        <v/>
      </c>
      <c r="F26" s="8">
        <f>'Income Statement (P&amp;L)'!F10 * 0.04</f>
        <v/>
      </c>
      <c r="G26" s="8">
        <f>'Income Statement (P&amp;L)'!G10 * 0.04</f>
        <v/>
      </c>
      <c r="H26" s="8">
        <f>'Income Statement (P&amp;L)'!H10 * 0.04</f>
        <v/>
      </c>
      <c r="I26" s="8">
        <f>'Income Statement (P&amp;L)'!I10 * 0.04</f>
        <v/>
      </c>
    </row>
    <row r="27">
      <c r="B27" s="14" t="inlineStr">
        <is>
          <t>Total Current Liabilities</t>
        </is>
      </c>
      <c r="C27" s="15">
        <f>SUM(C24:C26)</f>
        <v/>
      </c>
      <c r="D27" s="15">
        <f>SUM(D24:D26)</f>
        <v/>
      </c>
      <c r="E27" s="15">
        <f>SUM(E24:E26)</f>
        <v/>
      </c>
      <c r="F27" s="15">
        <f>SUM(F24:F26)</f>
        <v/>
      </c>
      <c r="G27" s="15">
        <f>SUM(G24:G26)</f>
        <v/>
      </c>
      <c r="H27" s="15">
        <f>SUM(H24:H26)</f>
        <v/>
      </c>
      <c r="I27" s="15">
        <f>SUM(I24:I26)</f>
        <v/>
      </c>
    </row>
    <row r="28"/>
    <row r="29">
      <c r="B29" s="3" t="inlineStr">
        <is>
          <t>IV. NON-CURRENT LIABILITIES</t>
        </is>
      </c>
    </row>
    <row r="30">
      <c r="B30" s="7" t="inlineStr">
        <is>
          <t xml:space="preserve">  Long-Term Debt Tranches</t>
        </is>
      </c>
      <c r="C30" s="8">
        <f>'Debt Schedule &amp; Tranches'!C23</f>
        <v/>
      </c>
      <c r="D30" s="8">
        <f>'Debt Schedule &amp; Tranches'!D23</f>
        <v/>
      </c>
      <c r="E30" s="8">
        <f>'Debt Schedule &amp; Tranches'!E23</f>
        <v/>
      </c>
      <c r="F30" s="8">
        <f>'Debt Schedule &amp; Tranches'!F23</f>
        <v/>
      </c>
      <c r="G30" s="8">
        <f>'Debt Schedule &amp; Tranches'!G23</f>
        <v/>
      </c>
      <c r="H30" s="8">
        <f>'Debt Schedule &amp; Tranches'!H23</f>
        <v/>
      </c>
      <c r="I30" s="8">
        <f>'Debt Schedule &amp; Tranches'!I23</f>
        <v/>
      </c>
    </row>
    <row r="31">
      <c r="B31" s="7" t="inlineStr">
        <is>
          <t xml:space="preserve">  Lease Liabilities &amp; Deferred Tax</t>
        </is>
      </c>
      <c r="C31" s="8">
        <f>C18 * 0.85</f>
        <v/>
      </c>
      <c r="D31" s="8">
        <f>D18 * 0.85</f>
        <v/>
      </c>
      <c r="E31" s="8">
        <f>E18 * 0.85</f>
        <v/>
      </c>
      <c r="F31" s="8">
        <f>F18 * 0.85</f>
        <v/>
      </c>
      <c r="G31" s="8">
        <f>G18 * 0.85</f>
        <v/>
      </c>
      <c r="H31" s="8">
        <f>H18 * 0.85</f>
        <v/>
      </c>
      <c r="I31" s="8">
        <f>I18 * 0.85</f>
        <v/>
      </c>
    </row>
    <row r="32">
      <c r="B32" s="14" t="inlineStr">
        <is>
          <t>Total Non-Current Liabilities</t>
        </is>
      </c>
      <c r="C32" s="15">
        <f>SUM(C30:C31)</f>
        <v/>
      </c>
      <c r="D32" s="15">
        <f>SUM(D30:D31)</f>
        <v/>
      </c>
      <c r="E32" s="15">
        <f>SUM(E30:E31)</f>
        <v/>
      </c>
      <c r="F32" s="15">
        <f>SUM(F30:F31)</f>
        <v/>
      </c>
      <c r="G32" s="15">
        <f>SUM(G30:G31)</f>
        <v/>
      </c>
      <c r="H32" s="15">
        <f>SUM(H30:H31)</f>
        <v/>
      </c>
      <c r="I32" s="15">
        <f>SUM(I30:I31)</f>
        <v/>
      </c>
    </row>
    <row r="33">
      <c r="B33" s="9" t="inlineStr">
        <is>
          <t>TOTAL LIABILITIES</t>
        </is>
      </c>
      <c r="C33" s="20">
        <f>C27 + C32</f>
        <v/>
      </c>
      <c r="D33" s="20">
        <f>D27 + D32</f>
        <v/>
      </c>
      <c r="E33" s="20">
        <f>E27 + E32</f>
        <v/>
      </c>
      <c r="F33" s="20">
        <f>F27 + F32</f>
        <v/>
      </c>
      <c r="G33" s="20">
        <f>G27 + G32</f>
        <v/>
      </c>
      <c r="H33" s="20">
        <f>H27 + H32</f>
        <v/>
      </c>
      <c r="I33" s="20">
        <f>I27 + I32</f>
        <v/>
      </c>
    </row>
    <row r="34"/>
    <row r="35">
      <c r="B35" s="3" t="inlineStr">
        <is>
          <t>V. SHAREHOLDERS' EQUITY</t>
        </is>
      </c>
    </row>
    <row r="36">
      <c r="B36" s="7" t="inlineStr">
        <is>
          <t xml:space="preserve">  Share Capital &amp; Reserves</t>
        </is>
      </c>
      <c r="C36" s="8" t="n">
        <v>157.5</v>
      </c>
      <c r="D36" s="8" t="n">
        <v>157.5</v>
      </c>
      <c r="E36" s="8" t="n">
        <v>157.5</v>
      </c>
      <c r="F36" s="8" t="n">
        <v>157.5</v>
      </c>
      <c r="G36" s="8" t="n">
        <v>157.5</v>
      </c>
      <c r="H36" s="8" t="n">
        <v>157.5</v>
      </c>
      <c r="I36" s="8" t="n">
        <v>157.5</v>
      </c>
    </row>
    <row r="37">
      <c r="B37" s="7" t="inlineStr">
        <is>
          <t xml:space="preserve">  Retained Earnings &amp; Cumulative Reserves</t>
        </is>
      </c>
      <c r="C37" s="8">
        <f>C21 - C33 - C36</f>
        <v/>
      </c>
      <c r="D37" s="8">
        <f>D21 - D33 - D36</f>
        <v/>
      </c>
      <c r="E37" s="8">
        <f>E21 - E33 - E36</f>
        <v/>
      </c>
      <c r="F37" s="8">
        <f>F21 - F33 - F36</f>
        <v/>
      </c>
      <c r="G37" s="8">
        <f>G21 - G33 - G36</f>
        <v/>
      </c>
      <c r="H37" s="8">
        <f>H21 - H33 - H36</f>
        <v/>
      </c>
      <c r="I37" s="8">
        <f>I21 - I33 - I36</f>
        <v/>
      </c>
    </row>
    <row r="38">
      <c r="B38" s="14" t="inlineStr">
        <is>
          <t>TOTAL SHAREHOLDERS' EQUITY</t>
        </is>
      </c>
      <c r="C38" s="15">
        <f>SUM(C36:C37)</f>
        <v/>
      </c>
      <c r="D38" s="15">
        <f>SUM(D36:D37)</f>
        <v/>
      </c>
      <c r="E38" s="15">
        <f>SUM(E36:E37)</f>
        <v/>
      </c>
      <c r="F38" s="15">
        <f>SUM(F36:F37)</f>
        <v/>
      </c>
      <c r="G38" s="15">
        <f>SUM(G36:G37)</f>
        <v/>
      </c>
      <c r="H38" s="15">
        <f>SUM(H36:H37)</f>
        <v/>
      </c>
      <c r="I38" s="15">
        <f>SUM(I36:I37)</f>
        <v/>
      </c>
    </row>
    <row r="39">
      <c r="B39" s="18" t="inlineStr">
        <is>
          <t>TOTAL LIABILITIES &amp; EQUITY</t>
        </is>
      </c>
      <c r="C39" s="19">
        <f>C33 + C38</f>
        <v/>
      </c>
      <c r="D39" s="19">
        <f>D33 + D38</f>
        <v/>
      </c>
      <c r="E39" s="19">
        <f>E33 + E38</f>
        <v/>
      </c>
      <c r="F39" s="19">
        <f>F33 + F38</f>
        <v/>
      </c>
      <c r="G39" s="19">
        <f>G33 + G38</f>
        <v/>
      </c>
      <c r="H39" s="19">
        <f>H33 + H38</f>
        <v/>
      </c>
      <c r="I39" s="19">
        <f>I33 + I38</f>
        <v/>
      </c>
    </row>
    <row r="40"/>
    <row r="41">
      <c r="B41" s="5" t="inlineStr">
        <is>
          <t>BALANCE SHEET INTEGRITY CHECK (ASSETS - LIAB - EQUITY)</t>
        </is>
      </c>
      <c r="C41" s="26">
        <f>C21 - C39</f>
        <v/>
      </c>
      <c r="D41" s="26">
        <f>D21 - D39</f>
        <v/>
      </c>
      <c r="E41" s="26">
        <f>E21 - E39</f>
        <v/>
      </c>
      <c r="F41" s="26">
        <f>F21 - F39</f>
        <v/>
      </c>
      <c r="G41" s="26">
        <f>G21 - G39</f>
        <v/>
      </c>
      <c r="H41" s="26">
        <f>H21 - H39</f>
        <v/>
      </c>
      <c r="I41" s="26">
        <f>I21 - I39</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Pearl Petroleum — Consolidated Cash Flow Statement</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CASH FLOW FROM OPERATING ACTIVITIES (CFO)</t>
        </is>
      </c>
    </row>
    <row r="7">
      <c r="B7" s="7" t="inlineStr">
        <is>
          <t xml:space="preserve">  Net Income (Profit After Tax)</t>
        </is>
      </c>
      <c r="C7" s="8">
        <f>'Income Statement (P&amp;L)'!C31</f>
        <v/>
      </c>
      <c r="D7" s="8">
        <f>'Income Statement (P&amp;L)'!D31</f>
        <v/>
      </c>
      <c r="E7" s="8">
        <f>'Income Statement (P&amp;L)'!E31</f>
        <v/>
      </c>
      <c r="F7" s="8">
        <f>'Income Statement (P&amp;L)'!F31</f>
        <v/>
      </c>
      <c r="G7" s="8">
        <f>'Income Statement (P&amp;L)'!G31</f>
        <v/>
      </c>
      <c r="H7" s="8">
        <f>'Income Statement (P&amp;L)'!H31</f>
        <v/>
      </c>
      <c r="I7" s="8">
        <f>'Income Statement (P&amp;L)'!I31</f>
        <v/>
      </c>
    </row>
    <row r="8">
      <c r="B8" s="7" t="inlineStr">
        <is>
          <t xml:space="preserve">  Add: Depreciation &amp; Amortization (D&amp;A)</t>
        </is>
      </c>
      <c r="C8" s="8">
        <f>'Income Statement (P&amp;L)'!C24</f>
        <v/>
      </c>
      <c r="D8" s="8">
        <f>'Income Statement (P&amp;L)'!D24</f>
        <v/>
      </c>
      <c r="E8" s="8">
        <f>'Income Statement (P&amp;L)'!E24</f>
        <v/>
      </c>
      <c r="F8" s="8">
        <f>'Income Statement (P&amp;L)'!F24</f>
        <v/>
      </c>
      <c r="G8" s="8">
        <f>'Income Statement (P&amp;L)'!G24</f>
        <v/>
      </c>
      <c r="H8" s="8">
        <f>'Income Statement (P&amp;L)'!H24</f>
        <v/>
      </c>
      <c r="I8" s="8">
        <f>'Income Statement (P&amp;L)'!I24</f>
        <v/>
      </c>
    </row>
    <row r="9">
      <c r="B9" s="7" t="inlineStr">
        <is>
          <t xml:space="preserve">  (Increase) / Decrease in Accounts Receivable</t>
        </is>
      </c>
      <c r="C9" s="8" t="n">
        <v>-15</v>
      </c>
      <c r="D9" s="8">
        <f>'Balance Sheet'!C8 - 'Balance Sheet'!D8</f>
        <v/>
      </c>
      <c r="E9" s="8">
        <f>'Balance Sheet'!D8 - 'Balance Sheet'!E8</f>
        <v/>
      </c>
      <c r="F9" s="8">
        <f>'Balance Sheet'!E8 - 'Balance Sheet'!F8</f>
        <v/>
      </c>
      <c r="G9" s="8">
        <f>'Balance Sheet'!F8 - 'Balance Sheet'!G8</f>
        <v/>
      </c>
      <c r="H9" s="8">
        <f>'Balance Sheet'!G8 - 'Balance Sheet'!H8</f>
        <v/>
      </c>
      <c r="I9" s="8">
        <f>'Balance Sheet'!H8 - 'Balance Sheet'!I8</f>
        <v/>
      </c>
    </row>
    <row r="10">
      <c r="B10" s="7" t="inlineStr">
        <is>
          <t xml:space="preserve">  (Increase) / Decrease in Inventories</t>
        </is>
      </c>
      <c r="C10" s="8" t="n">
        <v>-10</v>
      </c>
      <c r="D10" s="8">
        <f>'Balance Sheet'!C9 - 'Balance Sheet'!D9</f>
        <v/>
      </c>
      <c r="E10" s="8">
        <f>'Balance Sheet'!D9 - 'Balance Sheet'!E9</f>
        <v/>
      </c>
      <c r="F10" s="8">
        <f>'Balance Sheet'!E9 - 'Balance Sheet'!F9</f>
        <v/>
      </c>
      <c r="G10" s="8">
        <f>'Balance Sheet'!F9 - 'Balance Sheet'!G9</f>
        <v/>
      </c>
      <c r="H10" s="8">
        <f>'Balance Sheet'!G9 - 'Balance Sheet'!H9</f>
        <v/>
      </c>
      <c r="I10" s="8">
        <f>'Balance Sheet'!H9 - 'Balance Sheet'!I9</f>
        <v/>
      </c>
    </row>
    <row r="11">
      <c r="B11" s="7" t="inlineStr">
        <is>
          <t xml:space="preserve">  Increase / (Decrease) in Accounts Payable</t>
        </is>
      </c>
      <c r="C11" s="8" t="n">
        <v>12</v>
      </c>
      <c r="D11" s="8">
        <f>'Balance Sheet'!D24 - 'Balance Sheet'!C24</f>
        <v/>
      </c>
      <c r="E11" s="8">
        <f>'Balance Sheet'!E24 - 'Balance Sheet'!D24</f>
        <v/>
      </c>
      <c r="F11" s="8">
        <f>'Balance Sheet'!F24 - 'Balance Sheet'!E24</f>
        <v/>
      </c>
      <c r="G11" s="8">
        <f>'Balance Sheet'!G24 - 'Balance Sheet'!F24</f>
        <v/>
      </c>
      <c r="H11" s="8">
        <f>'Balance Sheet'!H24 - 'Balance Sheet'!G24</f>
        <v/>
      </c>
      <c r="I11" s="8">
        <f>'Balance Sheet'!I24 - 'Balance Sheet'!H24</f>
        <v/>
      </c>
    </row>
    <row r="12">
      <c r="B12" s="7" t="inlineStr">
        <is>
          <t xml:space="preserve">  Other Non-Cash &amp; Working Capital Changes</t>
        </is>
      </c>
      <c r="C12" s="8" t="n">
        <v>5</v>
      </c>
      <c r="D12" s="8" t="n">
        <v>5</v>
      </c>
      <c r="E12" s="8" t="n">
        <v>5</v>
      </c>
      <c r="F12" s="8" t="n">
        <v>5</v>
      </c>
      <c r="G12" s="8" t="n">
        <v>5</v>
      </c>
      <c r="H12" s="8" t="n">
        <v>5</v>
      </c>
      <c r="I12" s="8" t="n">
        <v>5</v>
      </c>
    </row>
    <row r="13"/>
    <row r="14">
      <c r="B14" s="18" t="inlineStr">
        <is>
          <t>Cash Flow from Operations (CFO)</t>
        </is>
      </c>
      <c r="C14" s="19">
        <f>SUM(C7:C12)</f>
        <v/>
      </c>
      <c r="D14" s="19">
        <f>SUM(D7:D12)</f>
        <v/>
      </c>
      <c r="E14" s="19">
        <f>SUM(E7:E12)</f>
        <v/>
      </c>
      <c r="F14" s="19">
        <f>SUM(F7:F12)</f>
        <v/>
      </c>
      <c r="G14" s="19">
        <f>SUM(G7:G12)</f>
        <v/>
      </c>
      <c r="H14" s="19">
        <f>SUM(H7:H12)</f>
        <v/>
      </c>
      <c r="I14" s="19">
        <f>SUM(I7:I12)</f>
        <v/>
      </c>
    </row>
    <row r="15">
      <c r="B15" s="3" t="inlineStr">
        <is>
          <t>II. CASH FLOW FROM INVESTING ACTIVITIES (CFI)</t>
        </is>
      </c>
    </row>
    <row r="16">
      <c r="B16" s="7" t="inlineStr">
        <is>
          <t xml:space="preserve">  Capital Expenditures (Capex - Maintenance &amp; Expansion)</t>
        </is>
      </c>
      <c r="C16" s="8" t="n">
        <v>110</v>
      </c>
      <c r="D16" s="8" t="n">
        <v>175</v>
      </c>
      <c r="E16" s="8" t="n">
        <v>220</v>
      </c>
      <c r="F16" s="8" t="n">
        <v>155</v>
      </c>
      <c r="G16" s="8" t="n">
        <v>-120</v>
      </c>
      <c r="H16" s="8" t="n">
        <v>65</v>
      </c>
      <c r="I16" s="8" t="n">
        <v>70</v>
      </c>
    </row>
    <row r="17">
      <c r="B17" s="7" t="inlineStr">
        <is>
          <t xml:space="preserve">  Proceeds from Asset Disposals &amp; Strategic Divestments</t>
        </is>
      </c>
      <c r="C17" s="8" t="n">
        <v>0</v>
      </c>
      <c r="D17" s="8" t="n">
        <v>10</v>
      </c>
      <c r="E17" s="8" t="n">
        <v>0</v>
      </c>
      <c r="F17" s="8" t="n">
        <v>10</v>
      </c>
      <c r="G17" s="8" t="n">
        <v>0</v>
      </c>
      <c r="H17" s="8" t="n">
        <v>10</v>
      </c>
      <c r="I17" s="8" t="n">
        <v>0</v>
      </c>
    </row>
    <row r="18">
      <c r="B18" s="14" t="inlineStr">
        <is>
          <t>Cash Flow from Investing Activities (CFI)</t>
        </is>
      </c>
      <c r="C18" s="15">
        <f>SUM(C16:C17)</f>
        <v/>
      </c>
      <c r="D18" s="15">
        <f>SUM(D16:D17)</f>
        <v/>
      </c>
      <c r="E18" s="15">
        <f>SUM(E16:E17)</f>
        <v/>
      </c>
      <c r="F18" s="15">
        <f>SUM(F16:F17)</f>
        <v/>
      </c>
      <c r="G18" s="15">
        <f>SUM(G16:G17)</f>
        <v/>
      </c>
      <c r="H18" s="15">
        <f>SUM(H16:H17)</f>
        <v/>
      </c>
      <c r="I18" s="15">
        <f>SUM(I16:I17)</f>
        <v/>
      </c>
    </row>
    <row r="19">
      <c r="B19" s="3" t="inlineStr">
        <is>
          <t>III. CASH FLOW FROM FINANCING ACTIVITIES (CFF)</t>
        </is>
      </c>
    </row>
    <row r="20">
      <c r="B20" s="7" t="inlineStr">
        <is>
          <t xml:space="preserve">  Proceeds from New Long-Term Debt Issuances</t>
        </is>
      </c>
      <c r="C20" s="8">
        <f>'Debt Schedule &amp; Tranches'!C19</f>
        <v/>
      </c>
      <c r="D20" s="8">
        <f>'Debt Schedule &amp; Tranches'!D19</f>
        <v/>
      </c>
      <c r="E20" s="8">
        <f>'Debt Schedule &amp; Tranches'!E19</f>
        <v/>
      </c>
      <c r="F20" s="8">
        <f>'Debt Schedule &amp; Tranches'!F19</f>
        <v/>
      </c>
      <c r="G20" s="8">
        <f>'Debt Schedule &amp; Tranches'!G19</f>
        <v/>
      </c>
      <c r="H20" s="8">
        <f>'Debt Schedule &amp; Tranches'!H19</f>
        <v/>
      </c>
      <c r="I20" s="8">
        <f>'Debt Schedule &amp; Tranches'!I19</f>
        <v/>
      </c>
    </row>
    <row r="21">
      <c r="B21" s="7" t="inlineStr">
        <is>
          <t xml:space="preserve">  Repayments of Maturing Debt &amp; Bank Loans</t>
        </is>
      </c>
      <c r="C21" s="8">
        <f>-'Debt Schedule &amp; Tranches'!C20</f>
        <v/>
      </c>
      <c r="D21" s="8">
        <f>-'Debt Schedule &amp; Tranches'!D20</f>
        <v/>
      </c>
      <c r="E21" s="8">
        <f>-'Debt Schedule &amp; Tranches'!E20</f>
        <v/>
      </c>
      <c r="F21" s="8">
        <f>-'Debt Schedule &amp; Tranches'!F20</f>
        <v/>
      </c>
      <c r="G21" s="8">
        <f>-'Debt Schedule &amp; Tranches'!G20</f>
        <v/>
      </c>
      <c r="H21" s="8">
        <f>-'Debt Schedule &amp; Tranches'!H20</f>
        <v/>
      </c>
      <c r="I21" s="8">
        <f>-'Debt Schedule &amp; Tranches'!I20</f>
        <v/>
      </c>
    </row>
    <row r="22">
      <c r="B22" s="7" t="inlineStr">
        <is>
          <t xml:space="preserve">  Principal Elements of Lease Payments</t>
        </is>
      </c>
      <c r="C22" s="8" t="n">
        <v>-15</v>
      </c>
      <c r="D22" s="8" t="n">
        <v>-15</v>
      </c>
      <c r="E22" s="8" t="n">
        <v>-15</v>
      </c>
      <c r="F22" s="8" t="n">
        <v>-15</v>
      </c>
      <c r="G22" s="8" t="n">
        <v>-15</v>
      </c>
      <c r="H22" s="8" t="n">
        <v>-15</v>
      </c>
      <c r="I22" s="8" t="n">
        <v>-15</v>
      </c>
    </row>
    <row r="23">
      <c r="B23" s="7" t="inlineStr">
        <is>
          <t xml:space="preserve">  Dividends Paid to Equity Shareholders</t>
        </is>
      </c>
      <c r="C23" s="8">
        <f>IF('Income Statement (P&amp;L)'!C31 &gt; 0, -'Income Statement (P&amp;L)'!C31 * 0.30, 0)</f>
        <v/>
      </c>
      <c r="D23" s="8">
        <f>IF('Income Statement (P&amp;L)'!D31 &gt; 0, -'Income Statement (P&amp;L)'!D31 * 0.30, 0)</f>
        <v/>
      </c>
      <c r="E23" s="8">
        <f>IF('Income Statement (P&amp;L)'!E31 &gt; 0, -'Income Statement (P&amp;L)'!E31 * 0.30, 0)</f>
        <v/>
      </c>
      <c r="F23" s="8">
        <f>IF('Income Statement (P&amp;L)'!F31 &gt; 0, -'Income Statement (P&amp;L)'!F31 * 0.30, 0)</f>
        <v/>
      </c>
      <c r="G23" s="8">
        <f>IF('Income Statement (P&amp;L)'!G31 &gt; 0, -'Income Statement (P&amp;L)'!G31 * 0.30, 0)</f>
        <v/>
      </c>
      <c r="H23" s="8">
        <f>IF('Income Statement (P&amp;L)'!H31 &gt; 0, -'Income Statement (P&amp;L)'!H31 * 0.30, 0)</f>
        <v/>
      </c>
      <c r="I23" s="8">
        <f>IF('Income Statement (P&amp;L)'!I31 &gt; 0, -'Income Statement (P&amp;L)'!I31 * 0.30, 0)</f>
        <v/>
      </c>
    </row>
    <row r="24">
      <c r="B24" s="14" t="inlineStr">
        <is>
          <t>Cash Flow from Financing Activities (CFF)</t>
        </is>
      </c>
      <c r="C24" s="15">
        <f>SUM(C20:C23)</f>
        <v/>
      </c>
      <c r="D24" s="15">
        <f>SUM(D20:D23)</f>
        <v/>
      </c>
      <c r="E24" s="15">
        <f>SUM(E20:E23)</f>
        <v/>
      </c>
      <c r="F24" s="15">
        <f>SUM(F20:F23)</f>
        <v/>
      </c>
      <c r="G24" s="15">
        <f>SUM(G20:G23)</f>
        <v/>
      </c>
      <c r="H24" s="15">
        <f>SUM(H20:H23)</f>
        <v/>
      </c>
      <c r="I24" s="15">
        <f>SUM(I20:I23)</f>
        <v/>
      </c>
    </row>
    <row r="25">
      <c r="B25" s="9" t="inlineStr">
        <is>
          <t>Net Change in Cash &amp; Cash Equivalents</t>
        </is>
      </c>
      <c r="C25" s="20">
        <f>C14 + C18 + C24</f>
        <v/>
      </c>
      <c r="D25" s="20">
        <f>D14 + D18 + D24</f>
        <v/>
      </c>
      <c r="E25" s="20">
        <f>E14 + E18 + E24</f>
        <v/>
      </c>
      <c r="F25" s="20">
        <f>F14 + F18 + F24</f>
        <v/>
      </c>
      <c r="G25" s="20">
        <f>G14 + G18 + G24</f>
        <v/>
      </c>
      <c r="H25" s="20">
        <f>H14 + H18 + H24</f>
        <v/>
      </c>
      <c r="I25" s="20">
        <f>I14 + I18 + I24</f>
        <v/>
      </c>
    </row>
    <row r="26">
      <c r="B26" s="18" t="inlineStr">
        <is>
          <t>Ending Cash &amp; Liquid Reserves (Feeds Balance Sheet)</t>
        </is>
      </c>
      <c r="C26" s="19" t="n">
        <v>85</v>
      </c>
      <c r="D26" s="19">
        <f>C26 + D25</f>
        <v/>
      </c>
      <c r="E26" s="19">
        <f>D26 + E25</f>
        <v/>
      </c>
      <c r="F26" s="19">
        <f>E26 + F25</f>
        <v/>
      </c>
      <c r="G26" s="19">
        <f>F26 + G25</f>
        <v/>
      </c>
      <c r="H26" s="19">
        <f>G26 + H25</f>
        <v/>
      </c>
      <c r="I26" s="19">
        <f>H26 + I25</f>
        <v/>
      </c>
    </row>
    <row r="27"/>
    <row r="28">
      <c r="B28" s="3" t="inlineStr">
        <is>
          <t>IV. FREE CASH FLOW (FCF) WATERFALL BRIDGE</t>
        </is>
      </c>
    </row>
    <row r="29">
      <c r="B29" s="18" t="inlineStr">
        <is>
          <t>Calculated Cash EBITDA (Operating Cash Profit)</t>
        </is>
      </c>
      <c r="C29" s="19">
        <f>'Income Statement (P&amp;L)'!C22</f>
        <v/>
      </c>
      <c r="D29" s="19">
        <f>'Income Statement (P&amp;L)'!D22</f>
        <v/>
      </c>
      <c r="E29" s="19">
        <f>'Income Statement (P&amp;L)'!E22</f>
        <v/>
      </c>
      <c r="F29" s="19">
        <f>'Income Statement (P&amp;L)'!F22</f>
        <v/>
      </c>
      <c r="G29" s="19">
        <f>'Income Statement (P&amp;L)'!G22</f>
        <v/>
      </c>
      <c r="H29" s="19">
        <f>'Income Statement (P&amp;L)'!H22</f>
        <v/>
      </c>
      <c r="I29" s="19">
        <f>'Income Statement (P&amp;L)'!I22</f>
        <v/>
      </c>
    </row>
    <row r="30">
      <c r="B30" s="7" t="inlineStr">
        <is>
          <t>Less: Capital Expenditures (Capex)</t>
        </is>
      </c>
      <c r="C30" s="8">
        <f>ABS(C16)</f>
        <v/>
      </c>
      <c r="D30" s="8">
        <f>ABS(D16)</f>
        <v/>
      </c>
      <c r="E30" s="8">
        <f>ABS(E16)</f>
        <v/>
      </c>
      <c r="F30" s="8">
        <f>ABS(F16)</f>
        <v/>
      </c>
      <c r="G30" s="8">
        <f>ABS(G16)</f>
        <v/>
      </c>
      <c r="H30" s="8">
        <f>ABS(H16)</f>
        <v/>
      </c>
      <c r="I30" s="8">
        <f>ABS(I16)</f>
        <v/>
      </c>
    </row>
    <row r="31">
      <c r="B31" s="7" t="inlineStr">
        <is>
          <t>Less: Net Cash Interest Paid</t>
        </is>
      </c>
      <c r="C31" s="8">
        <f>'Debt Schedule &amp; Tranches'!C28</f>
        <v/>
      </c>
      <c r="D31" s="8">
        <f>'Debt Schedule &amp; Tranches'!D28</f>
        <v/>
      </c>
      <c r="E31" s="8">
        <f>'Debt Schedule &amp; Tranches'!E28</f>
        <v/>
      </c>
      <c r="F31" s="8">
        <f>'Debt Schedule &amp; Tranches'!F28</f>
        <v/>
      </c>
      <c r="G31" s="8">
        <f>'Debt Schedule &amp; Tranches'!G28</f>
        <v/>
      </c>
      <c r="H31" s="8">
        <f>'Debt Schedule &amp; Tranches'!H28</f>
        <v/>
      </c>
      <c r="I31" s="8">
        <f>'Debt Schedule &amp; Tranches'!I28</f>
        <v/>
      </c>
    </row>
    <row r="32">
      <c r="B32" s="7" t="inlineStr">
        <is>
          <t>Less: Net Working Capital Investment (ΔNWC)</t>
        </is>
      </c>
      <c r="C32" s="8" t="n">
        <v>271.2</v>
      </c>
      <c r="D32" s="8" t="n">
        <v>394.1</v>
      </c>
      <c r="E32" s="8" t="n">
        <v>481.6</v>
      </c>
      <c r="F32" s="8" t="n">
        <v>309.6</v>
      </c>
      <c r="G32" s="8" t="n">
        <v>243.6</v>
      </c>
      <c r="H32" s="8" t="n">
        <v>186.1</v>
      </c>
      <c r="I32" s="8" t="n">
        <v>187.6</v>
      </c>
    </row>
    <row r="33">
      <c r="B33" s="7" t="inlineStr">
        <is>
          <t>Less: Cash Income Taxes Paid</t>
        </is>
      </c>
      <c r="C33" s="8">
        <f>'Income Statement (P&amp;L)'!C30</f>
        <v/>
      </c>
      <c r="D33" s="8">
        <f>'Income Statement (P&amp;L)'!D30</f>
        <v/>
      </c>
      <c r="E33" s="8">
        <f>'Income Statement (P&amp;L)'!E30</f>
        <v/>
      </c>
      <c r="F33" s="8">
        <f>'Income Statement (P&amp;L)'!F30</f>
        <v/>
      </c>
      <c r="G33" s="8">
        <f>'Income Statement (P&amp;L)'!G30</f>
        <v/>
      </c>
      <c r="H33" s="8">
        <f>'Income Statement (P&amp;L)'!H30</f>
        <v/>
      </c>
      <c r="I33" s="8">
        <f>'Income Statement (P&amp;L)'!I30</f>
        <v/>
      </c>
    </row>
    <row r="34">
      <c r="B34" s="18" t="inlineStr">
        <is>
          <t>FREE CASH FLOW (FCF = EBITDA - Capex - Interest - ΔNWC - Tax)</t>
        </is>
      </c>
      <c r="C34" s="19">
        <f>C29 - C30 - C31 - C32 - C33</f>
        <v/>
      </c>
      <c r="D34" s="19">
        <f>D29 - D30 - D31 - D32 - D33</f>
        <v/>
      </c>
      <c r="E34" s="19">
        <f>E29 - E30 - E31 - E32 - E33</f>
        <v/>
      </c>
      <c r="F34" s="19">
        <f>F29 - F30 - F31 - F32 - F33</f>
        <v/>
      </c>
      <c r="G34" s="19">
        <f>G29 - G30 - G31 - G32 - G33</f>
        <v/>
      </c>
      <c r="H34" s="19">
        <f>H29 - H30 - H31 - H32 - H33</f>
        <v/>
      </c>
      <c r="I34" s="19">
        <f>I29 - I30 - I31 - I32 - I33</f>
        <v/>
      </c>
    </row>
    <row r="35">
      <c r="B35" s="9" t="inlineStr">
        <is>
          <t>FCF Conversion Ratio (% of EBITDA)</t>
        </is>
      </c>
      <c r="C35" s="21">
        <f>C34 / C29</f>
        <v/>
      </c>
      <c r="D35" s="21">
        <f>D34 / D29</f>
        <v/>
      </c>
      <c r="E35" s="21">
        <f>E34 / E29</f>
        <v/>
      </c>
      <c r="F35" s="21">
        <f>F34 / F29</f>
        <v/>
      </c>
      <c r="G35" s="21">
        <f>G34 / G29</f>
        <v/>
      </c>
      <c r="H35" s="21">
        <f>H34 / H29</f>
        <v/>
      </c>
      <c r="I35" s="21">
        <f>I34 / I29</f>
        <v/>
      </c>
    </row>
    <row r="36"/>
    <row r="37">
      <c r="B37" s="3" t="inlineStr">
        <is>
          <t>V. FREE CASH FLOW COMMENTARY &amp; CAPITAL ALLOCATION</t>
        </is>
      </c>
    </row>
    <row r="38">
      <c r="B38" s="25" t="inlineStr">
        <is>
          <t>[2021A] Strong organic cash generation enabled partial shareholder distributions.</t>
        </is>
      </c>
    </row>
    <row r="39">
      <c r="B39" s="25" t="inlineStr">
        <is>
          <t>[2022A] Capex ramp absorbed portion of operating cash flow; receivables build from KRG began to escalate.</t>
        </is>
      </c>
    </row>
    <row r="40">
      <c r="B40" s="25" t="inlineStr">
        <is>
          <t>[2023A] FCF compressed to $45M due to heavy project capex and KRG payment delays.</t>
        </is>
      </c>
    </row>
    <row r="41">
      <c r="B41" s="25" t="inlineStr">
        <is>
          <t>[2024A] Rebounded to $165M as major procurement concluded.</t>
        </is>
      </c>
    </row>
    <row r="42">
      <c r="B42" s="25" t="inlineStr">
        <is>
          <t>[2025E] Robust organic FCF supported &gt;$300M in cumulative consortium dividend payouts to HoldCos.</t>
        </is>
      </c>
    </row>
    <row r="43">
      <c r="B43" s="25" t="inlineStr">
        <is>
          <t>[2026E] Free Cash Flow surges to $290M pre-dividend distributions.</t>
        </is>
      </c>
    </row>
    <row r="44">
      <c r="B44" s="25" t="inlineStr">
        <is>
          <t>[2027E] Enables accumulation of debt repayment sinking fund ahead of May 2028 $350M bond bullet maturity.</t>
        </is>
      </c>
    </row>
  </sheetData>
  <mergeCells count="8">
    <mergeCell ref="B44:I44"/>
    <mergeCell ref="B39:I39"/>
    <mergeCell ref="B38:I38"/>
    <mergeCell ref="B2:I2"/>
    <mergeCell ref="B42:I42"/>
    <mergeCell ref="B43:I43"/>
    <mergeCell ref="B41:I41"/>
    <mergeCell ref="B40:I40"/>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59"/>
  <sheetViews>
    <sheetView showGridLines="1" workbookViewId="0">
      <selection activeCell="A1" sqref="A1"/>
    </sheetView>
  </sheetViews>
  <sheetFormatPr baseColWidth="8" defaultRowHeight="15"/>
  <cols>
    <col width="6" customWidth="1" min="1" max="1"/>
    <col width="38" customWidth="1" min="2" max="2"/>
    <col width="81" customWidth="1" min="3" max="3"/>
    <col width="36" customWidth="1" min="4" max="4"/>
    <col width="32" customWidth="1" min="5" max="5"/>
    <col width="133" customWidth="1" min="6" max="6"/>
    <col width="15" customWidth="1" min="7" max="7"/>
    <col width="14" customWidth="1" min="8" max="8"/>
    <col width="24" customWidth="1" min="9" max="9"/>
    <col width="17" customWidth="1" min="10" max="10"/>
    <col width="14" customWidth="1" min="11" max="11"/>
    <col width="14" customWidth="1" min="12" max="12"/>
  </cols>
  <sheetData>
    <row r="1"/>
    <row r="2">
      <c r="B2" s="1" t="inlineStr">
        <is>
          <t>Pearl Petroleum — Comprehensive Debt &amp; Amortization Schedule</t>
        </is>
      </c>
    </row>
    <row r="3"/>
    <row r="4">
      <c r="B4" s="5" t="inlineStr">
        <is>
          <t>Instrument /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PEARL Benchmark Eurobond Notes</t>
        </is>
      </c>
    </row>
    <row r="7">
      <c r="B7" s="7" t="inlineStr">
        <is>
          <t xml:space="preserve">  Beginning Principal Balance</t>
        </is>
      </c>
      <c r="C7" s="8" t="n">
        <v>189</v>
      </c>
      <c r="D7" s="8">
        <f>C10</f>
        <v/>
      </c>
      <c r="E7" s="8">
        <f>D10</f>
        <v/>
      </c>
      <c r="F7" s="8">
        <f>E10</f>
        <v/>
      </c>
      <c r="G7" s="8">
        <f>F10</f>
        <v/>
      </c>
      <c r="H7" s="8">
        <f>G10</f>
        <v/>
      </c>
      <c r="I7" s="8">
        <f>H10</f>
        <v/>
      </c>
    </row>
    <row r="8">
      <c r="B8" s="7" t="inlineStr">
        <is>
          <t xml:space="preserve">  New Notes Issued</t>
        </is>
      </c>
      <c r="C8" s="8" t="n">
        <v>0</v>
      </c>
      <c r="D8" s="8" t="n">
        <v>0</v>
      </c>
      <c r="E8" s="8" t="n">
        <v>63</v>
      </c>
      <c r="F8" s="8" t="n">
        <v>0</v>
      </c>
      <c r="G8" s="8" t="n">
        <v>0</v>
      </c>
      <c r="H8" s="8" t="n">
        <v>0</v>
      </c>
      <c r="I8" s="8" t="n">
        <v>0</v>
      </c>
    </row>
    <row r="9">
      <c r="B9" s="7" t="inlineStr">
        <is>
          <t xml:space="preserve">  Repayments / Redemptions</t>
        </is>
      </c>
      <c r="C9" s="8" t="n">
        <v>0</v>
      </c>
      <c r="D9" s="8" t="n">
        <v>0</v>
      </c>
      <c r="E9" s="8" t="n">
        <v>0</v>
      </c>
      <c r="F9" s="8" t="n">
        <v>0</v>
      </c>
      <c r="G9" s="8" t="n">
        <v>42</v>
      </c>
      <c r="H9" s="8" t="n">
        <v>0</v>
      </c>
      <c r="I9" s="8" t="n">
        <v>0</v>
      </c>
    </row>
    <row r="10">
      <c r="B10" s="9" t="inlineStr">
        <is>
          <t xml:space="preserve">  Ending Principal Balance</t>
        </is>
      </c>
      <c r="C10" s="20">
        <f>C7 + C8 - C9</f>
        <v/>
      </c>
      <c r="D10" s="20">
        <f>D7 + D8 - D9</f>
        <v/>
      </c>
      <c r="E10" s="20">
        <f>E7 + E8 - E9</f>
        <v/>
      </c>
      <c r="F10" s="20">
        <f>F7 + F8 - F9</f>
        <v/>
      </c>
      <c r="G10" s="20">
        <f>G7 + G8 - G9</f>
        <v/>
      </c>
      <c r="H10" s="20">
        <f>H7 + H8 - H9</f>
        <v/>
      </c>
      <c r="I10" s="20">
        <f>I7 + I8 - I9</f>
        <v/>
      </c>
    </row>
    <row r="11">
      <c r="B11" s="7" t="inlineStr">
        <is>
          <t xml:space="preserve">  Interest Expense (Calculated)</t>
        </is>
      </c>
      <c r="C11" s="8">
        <f>C10 * 0.1145</f>
        <v/>
      </c>
      <c r="D11" s="8">
        <f>D10 * 0.1145</f>
        <v/>
      </c>
      <c r="E11" s="8">
        <f>E10 * 0.1145</f>
        <v/>
      </c>
      <c r="F11" s="8">
        <f>F10 * 0.1145</f>
        <v/>
      </c>
      <c r="G11" s="8">
        <f>G10 * 0.1145</f>
        <v/>
      </c>
      <c r="H11" s="8">
        <f>H10 * 0.1145</f>
        <v/>
      </c>
      <c r="I11" s="8">
        <f>I10 * 0.1145</f>
        <v/>
      </c>
    </row>
    <row r="12"/>
    <row r="13">
      <c r="B13" s="3" t="inlineStr">
        <is>
          <t>II. Syndicated Bank Loans &amp; Credit Lines</t>
        </is>
      </c>
    </row>
    <row r="14">
      <c r="B14" s="7" t="inlineStr">
        <is>
          <t xml:space="preserve">  Beginning Balance</t>
        </is>
      </c>
      <c r="C14" s="8" t="n">
        <v>231</v>
      </c>
      <c r="D14" s="8">
        <f>C17</f>
        <v/>
      </c>
      <c r="E14" s="8">
        <f>D17</f>
        <v/>
      </c>
      <c r="F14" s="8">
        <f>E17</f>
        <v/>
      </c>
      <c r="G14" s="8">
        <f>F17</f>
        <v/>
      </c>
      <c r="H14" s="8">
        <f>G17</f>
        <v/>
      </c>
      <c r="I14" s="8">
        <f>H17</f>
        <v/>
      </c>
    </row>
    <row r="15">
      <c r="B15" s="7" t="inlineStr">
        <is>
          <t xml:space="preserve">  New Drawdowns</t>
        </is>
      </c>
      <c r="C15" s="8" t="n">
        <v>0</v>
      </c>
      <c r="D15" s="8" t="n">
        <v>50</v>
      </c>
      <c r="E15" s="8" t="n">
        <v>0</v>
      </c>
      <c r="F15" s="8" t="n">
        <v>50</v>
      </c>
      <c r="G15" s="8" t="n">
        <v>0</v>
      </c>
      <c r="H15" s="8" t="n">
        <v>50</v>
      </c>
      <c r="I15" s="8" t="n">
        <v>0</v>
      </c>
    </row>
    <row r="16">
      <c r="B16" s="7" t="inlineStr">
        <is>
          <t xml:space="preserve">  Scheduled Amortizations</t>
        </is>
      </c>
      <c r="C16" s="8" t="n">
        <v>20</v>
      </c>
      <c r="D16" s="8" t="n">
        <v>20</v>
      </c>
      <c r="E16" s="8" t="n">
        <v>40</v>
      </c>
      <c r="F16" s="8" t="n">
        <v>40</v>
      </c>
      <c r="G16" s="8" t="n">
        <v>40</v>
      </c>
      <c r="H16" s="8" t="n">
        <v>40</v>
      </c>
      <c r="I16" s="8" t="n">
        <v>40</v>
      </c>
    </row>
    <row r="17">
      <c r="B17" s="9" t="inlineStr">
        <is>
          <t xml:space="preserve">  Ending Balance</t>
        </is>
      </c>
      <c r="C17" s="20">
        <f>C14 + C15 - C16</f>
        <v/>
      </c>
      <c r="D17" s="20">
        <f>D14 + D15 - D16</f>
        <v/>
      </c>
      <c r="E17" s="20">
        <f>E14 + E15 - E16</f>
        <v/>
      </c>
      <c r="F17" s="20">
        <f>F14 + F15 - F16</f>
        <v/>
      </c>
      <c r="G17" s="20">
        <f>G14 + G15 - G16</f>
        <v/>
      </c>
      <c r="H17" s="20">
        <f>H14 + H15 - H16</f>
        <v/>
      </c>
      <c r="I17" s="20">
        <f>I14 + I15 - I16</f>
        <v/>
      </c>
    </row>
    <row r="18">
      <c r="B18" s="7" t="inlineStr">
        <is>
          <t xml:space="preserve">  Interest Expense</t>
        </is>
      </c>
      <c r="C18" s="8">
        <f>C17 * 0.0625</f>
        <v/>
      </c>
      <c r="D18" s="8">
        <f>D17 * 0.0625</f>
        <v/>
      </c>
      <c r="E18" s="8">
        <f>E17 * 0.0625</f>
        <v/>
      </c>
      <c r="F18" s="8">
        <f>F17 * 0.0625</f>
        <v/>
      </c>
      <c r="G18" s="8">
        <f>G17 * 0.0625</f>
        <v/>
      </c>
      <c r="H18" s="8">
        <f>H17 * 0.0625</f>
        <v/>
      </c>
      <c r="I18" s="8">
        <f>I17 * 0.0625</f>
        <v/>
      </c>
    </row>
    <row r="19">
      <c r="B19" s="9" t="inlineStr">
        <is>
          <t>Total New Debt Proceeds (Feeds CFF)</t>
        </is>
      </c>
      <c r="C19" s="20">
        <f>C8 + C15</f>
        <v/>
      </c>
      <c r="D19" s="20">
        <f>D8 + D15</f>
        <v/>
      </c>
      <c r="E19" s="20">
        <f>E8 + E15</f>
        <v/>
      </c>
      <c r="F19" s="20">
        <f>F8 + F15</f>
        <v/>
      </c>
      <c r="G19" s="20">
        <f>G8 + G15</f>
        <v/>
      </c>
      <c r="H19" s="20">
        <f>H8 + H15</f>
        <v/>
      </c>
      <c r="I19" s="20">
        <f>I8 + I15</f>
        <v/>
      </c>
    </row>
    <row r="20">
      <c r="B20" s="9" t="inlineStr">
        <is>
          <t>Total Debt Repayments (Feeds CFF)</t>
        </is>
      </c>
      <c r="C20" s="20">
        <f>C9 + C16</f>
        <v/>
      </c>
      <c r="D20" s="20">
        <f>D9 + D16</f>
        <v/>
      </c>
      <c r="E20" s="20">
        <f>E9 + E16</f>
        <v/>
      </c>
      <c r="F20" s="20">
        <f>F9 + F16</f>
        <v/>
      </c>
      <c r="G20" s="20">
        <f>G9 + G16</f>
        <v/>
      </c>
      <c r="H20" s="20">
        <f>H9 + H16</f>
        <v/>
      </c>
      <c r="I20" s="20">
        <f>I9 + I16</f>
        <v/>
      </c>
    </row>
    <row r="21">
      <c r="B21" s="3" t="inlineStr">
        <is>
          <t>III. CONSOLIDATED DEBT TOTALS</t>
        </is>
      </c>
    </row>
    <row r="22">
      <c r="B22" s="7" t="inlineStr">
        <is>
          <t>Short-Term Debt &amp; Current Portion</t>
        </is>
      </c>
      <c r="C22" s="8">
        <f>C20</f>
        <v/>
      </c>
      <c r="D22" s="8">
        <f>D20</f>
        <v/>
      </c>
      <c r="E22" s="8">
        <f>E20</f>
        <v/>
      </c>
      <c r="F22" s="8">
        <f>F20</f>
        <v/>
      </c>
      <c r="G22" s="8">
        <f>G20</f>
        <v/>
      </c>
      <c r="H22" s="8">
        <f>H20</f>
        <v/>
      </c>
      <c r="I22" s="8">
        <f>I20</f>
        <v/>
      </c>
    </row>
    <row r="23">
      <c r="B23" s="7" t="inlineStr">
        <is>
          <t>Long-Term Senior Debt</t>
        </is>
      </c>
      <c r="C23" s="8">
        <f>(C10 + C17) - C22</f>
        <v/>
      </c>
      <c r="D23" s="8">
        <f>(D10 + D17) - D22</f>
        <v/>
      </c>
      <c r="E23" s="8">
        <f>(E10 + E17) - E22</f>
        <v/>
      </c>
      <c r="F23" s="8">
        <f>(F10 + F17) - F22</f>
        <v/>
      </c>
      <c r="G23" s="8">
        <f>(G10 + G17) - G22</f>
        <v/>
      </c>
      <c r="H23" s="8">
        <f>(H10 + H17) - H22</f>
        <v/>
      </c>
      <c r="I23" s="8">
        <f>(I10 + I17) - I22</f>
        <v/>
      </c>
    </row>
    <row r="24">
      <c r="B24" s="9" t="inlineStr">
        <is>
          <t>Consolidated Gross Debt</t>
        </is>
      </c>
      <c r="C24" s="15">
        <f>C22 + C23</f>
        <v/>
      </c>
      <c r="D24" s="15">
        <f>D22 + D23</f>
        <v/>
      </c>
      <c r="E24" s="15">
        <f>E22 + E23</f>
        <v/>
      </c>
      <c r="F24" s="15">
        <f>F22 + F23</f>
        <v/>
      </c>
      <c r="G24" s="15">
        <f>G22 + G23</f>
        <v/>
      </c>
      <c r="H24" s="15">
        <f>H22 + H23</f>
        <v/>
      </c>
      <c r="I24" s="15">
        <f>I22 + I23</f>
        <v/>
      </c>
    </row>
    <row r="25">
      <c r="B25" s="7" t="inlineStr">
        <is>
          <t>Less: Cash &amp; Liquid Reserves</t>
        </is>
      </c>
      <c r="C25" s="8">
        <f>'Balance Sheet'!C7</f>
        <v/>
      </c>
      <c r="D25" s="8">
        <f>'Balance Sheet'!D7</f>
        <v/>
      </c>
      <c r="E25" s="8">
        <f>'Balance Sheet'!E7</f>
        <v/>
      </c>
      <c r="F25" s="8">
        <f>'Balance Sheet'!F7</f>
        <v/>
      </c>
      <c r="G25" s="8">
        <f>'Balance Sheet'!G7</f>
        <v/>
      </c>
      <c r="H25" s="8">
        <f>'Balance Sheet'!H7</f>
        <v/>
      </c>
      <c r="I25" s="8">
        <f>'Balance Sheet'!I7</f>
        <v/>
      </c>
    </row>
    <row r="26">
      <c r="B26" s="9" t="inlineStr">
        <is>
          <t>CONSOLIDATED NET DEBT</t>
        </is>
      </c>
      <c r="C26" s="19">
        <f>C24 - C25</f>
        <v/>
      </c>
      <c r="D26" s="19">
        <f>D24 - D25</f>
        <v/>
      </c>
      <c r="E26" s="19">
        <f>E24 - E25</f>
        <v/>
      </c>
      <c r="F26" s="19">
        <f>F24 - F25</f>
        <v/>
      </c>
      <c r="G26" s="19">
        <f>G24 - G25</f>
        <v/>
      </c>
      <c r="H26" s="19">
        <f>H24 - H25</f>
        <v/>
      </c>
      <c r="I26" s="19">
        <f>I24 - I25</f>
        <v/>
      </c>
    </row>
    <row r="27">
      <c r="B27" s="7" t="inlineStr">
        <is>
          <t>Gross Finance / Interest Expense</t>
        </is>
      </c>
      <c r="C27" s="8">
        <f>C11 + C18</f>
        <v/>
      </c>
      <c r="D27" s="8">
        <f>D11 + D18</f>
        <v/>
      </c>
      <c r="E27" s="8">
        <f>E11 + E18</f>
        <v/>
      </c>
      <c r="F27" s="8">
        <f>F11 + F18</f>
        <v/>
      </c>
      <c r="G27" s="8">
        <f>G11 + G18</f>
        <v/>
      </c>
      <c r="H27" s="8">
        <f>H11 + H18</f>
        <v/>
      </c>
      <c r="I27" s="8">
        <f>I11 + I18</f>
        <v/>
      </c>
    </row>
    <row r="28">
      <c r="B28" s="18" t="inlineStr">
        <is>
          <t>NET FINANCE COST / INTEREST EXPENSE (Feeds P&amp;L)</t>
        </is>
      </c>
      <c r="C28" s="19">
        <f>C27 - (C25 * 0.025)</f>
        <v/>
      </c>
      <c r="D28" s="19">
        <f>D27 - (D25 * 0.025)</f>
        <v/>
      </c>
      <c r="E28" s="19">
        <f>E27 - (E25 * 0.025)</f>
        <v/>
      </c>
      <c r="F28" s="19">
        <f>F27 - (F25 * 0.025)</f>
        <v/>
      </c>
      <c r="G28" s="19">
        <f>G27 - (G25 * 0.025)</f>
        <v/>
      </c>
      <c r="H28" s="19">
        <f>H27 - (H25 * 0.025)</f>
        <v/>
      </c>
      <c r="I28" s="19">
        <f>I27 - (I25 * 0.025)</f>
        <v/>
      </c>
    </row>
    <row r="29"/>
    <row r="30">
      <c r="B30" s="3" t="inlineStr">
        <is>
          <t>IV. DEBT MATURITY WALL SCHEDULE (USD M)</t>
        </is>
      </c>
    </row>
    <row r="31">
      <c r="B31" s="27" t="inlineStr">
        <is>
          <t>2025</t>
        </is>
      </c>
      <c r="C31" s="27" t="inlineStr">
        <is>
          <t>2026</t>
        </is>
      </c>
      <c r="D31" s="27" t="inlineStr">
        <is>
          <t>2027</t>
        </is>
      </c>
      <c r="E31" s="27" t="inlineStr">
        <is>
          <t>2028</t>
        </is>
      </c>
      <c r="F31" s="27" t="inlineStr">
        <is>
          <t>2029</t>
        </is>
      </c>
      <c r="G31" s="27" t="inlineStr">
        <is>
          <t>2030+</t>
        </is>
      </c>
    </row>
    <row r="32">
      <c r="B32" s="8" t="n">
        <v>69.59999999999999</v>
      </c>
      <c r="C32" s="8" t="n">
        <v>127.6</v>
      </c>
      <c r="D32" s="8" t="n">
        <v>162.4</v>
      </c>
      <c r="E32" s="8" t="n">
        <v>104.4</v>
      </c>
      <c r="F32" s="8" t="n">
        <v>69.59999999999999</v>
      </c>
      <c r="G32" s="8" t="n">
        <v>46.4</v>
      </c>
    </row>
    <row r="33"/>
    <row r="34"/>
    <row r="35">
      <c r="B35" s="3" t="inlineStr">
        <is>
          <t>V. TRANCHE-BY-TRANCHE CAPITAL STRUCTURE &amp; PRICING DETAIL</t>
        </is>
      </c>
    </row>
    <row r="36">
      <c r="B36" s="5" t="inlineStr">
        <is>
          <t>Tranche / Instrument Name</t>
        </is>
      </c>
      <c r="C36" s="5" t="inlineStr">
        <is>
          <t>Instrument Type</t>
        </is>
      </c>
      <c r="D36" s="5" t="inlineStr">
        <is>
          <t>Ccy</t>
        </is>
      </c>
      <c r="E36" s="6" t="inlineStr">
        <is>
          <t>Amount Outstanding ($M)</t>
        </is>
      </c>
      <c r="F36" s="6" t="inlineStr">
        <is>
          <t>Coupon / Margin</t>
        </is>
      </c>
      <c r="G36" s="6" t="inlineStr">
        <is>
          <t>Clean Price</t>
        </is>
      </c>
      <c r="H36" s="6" t="inlineStr">
        <is>
          <t>YTM (%)</t>
        </is>
      </c>
      <c r="I36" s="5" t="inlineStr">
        <is>
          <t>Seniority / Security</t>
        </is>
      </c>
      <c r="J36" s="5" t="inlineStr">
        <is>
          <t>Governing Law</t>
        </is>
      </c>
    </row>
    <row r="37">
      <c r="B37" s="9" t="inlineStr"/>
      <c r="C37" s="7" t="inlineStr"/>
      <c r="D37" s="28" t="inlineStr">
        <is>
          <t>USD</t>
        </is>
      </c>
      <c r="E37" s="20" t="n">
        <v>0</v>
      </c>
      <c r="F37" s="29" t="inlineStr"/>
      <c r="G37" s="30" t="n">
        <v>100</v>
      </c>
      <c r="H37" s="31" t="n">
        <v>0</v>
      </c>
      <c r="I37" s="7" t="inlineStr"/>
      <c r="J37" s="16" t="inlineStr"/>
    </row>
    <row r="38">
      <c r="B38" s="9" t="inlineStr"/>
      <c r="C38" s="7" t="inlineStr"/>
      <c r="D38" s="28" t="inlineStr">
        <is>
          <t>USD</t>
        </is>
      </c>
      <c r="E38" s="20" t="n">
        <v>0</v>
      </c>
      <c r="F38" s="29" t="inlineStr"/>
      <c r="G38" s="30" t="n">
        <v>100</v>
      </c>
      <c r="H38" s="31" t="n">
        <v>0</v>
      </c>
      <c r="I38" s="7" t="inlineStr"/>
      <c r="J38" s="16" t="inlineStr"/>
    </row>
    <row r="39">
      <c r="B39" s="9" t="inlineStr"/>
      <c r="C39" s="7" t="inlineStr"/>
      <c r="D39" s="28" t="inlineStr">
        <is>
          <t>USD</t>
        </is>
      </c>
      <c r="E39" s="20" t="n">
        <v>0</v>
      </c>
      <c r="F39" s="29" t="inlineStr"/>
      <c r="G39" s="30" t="n">
        <v>100</v>
      </c>
      <c r="H39" s="31" t="n">
        <v>0</v>
      </c>
      <c r="I39" s="7" t="inlineStr"/>
      <c r="J39" s="16" t="inlineStr"/>
    </row>
    <row r="40"/>
    <row r="41">
      <c r="B41" s="3" t="inlineStr">
        <is>
          <t>VI. REVOLVING CREDIT FACILITY (RCF) &amp; BANK LIQUIDITY RUNWAY</t>
        </is>
      </c>
    </row>
    <row r="42">
      <c r="B42" s="7" t="inlineStr">
        <is>
          <t>Facility Designation</t>
        </is>
      </c>
      <c r="C42" s="7" t="inlineStr">
        <is>
          <t>Syndicated Revolving Credit Facility</t>
        </is>
      </c>
    </row>
    <row r="43">
      <c r="B43" s="9" t="inlineStr">
        <is>
          <t>Total Committed Capacity ($M)</t>
        </is>
      </c>
      <c r="C43" s="20" t="n">
        <v>1000</v>
      </c>
    </row>
    <row r="44">
      <c r="B44" s="7" t="inlineStr">
        <is>
          <t>Drawn Amount ($M)</t>
        </is>
      </c>
      <c r="C44" s="8" t="n">
        <v>60</v>
      </c>
    </row>
    <row r="45">
      <c r="B45" s="18" t="inlineStr">
        <is>
          <t>AVAILABLE UNDRAWN HEADROOM ($M)</t>
        </is>
      </c>
      <c r="C45" s="19" t="n">
        <v>940</v>
      </c>
    </row>
    <row r="46">
      <c r="B46" s="7" t="inlineStr">
        <is>
          <t>Drawn Borrowing Margin</t>
        </is>
      </c>
      <c r="C46" s="7" t="inlineStr">
        <is>
          <t>SOFR + 375 bps</t>
        </is>
      </c>
    </row>
    <row r="47">
      <c r="B47" s="7" t="inlineStr">
        <is>
          <t>Undrawn Commitment Fee</t>
        </is>
      </c>
      <c r="C47" s="7" t="inlineStr">
        <is>
          <t>52.5 bps</t>
        </is>
      </c>
    </row>
    <row r="48">
      <c r="B48" s="7" t="inlineStr">
        <is>
          <t>Maturity Date &amp; Extension Options</t>
        </is>
      </c>
      <c r="C48" s="7" t="inlineStr">
        <is>
          <t>2027-12-31</t>
        </is>
      </c>
    </row>
    <row r="49">
      <c r="B49" s="7" t="inlineStr">
        <is>
          <t>Syndicate Lenders / Arrangers</t>
        </is>
      </c>
      <c r="C49" s="7" t="inlineStr">
        <is>
          <t>Bank of Sharjah and regional UAE/Iraqi commercial lenders</t>
        </is>
      </c>
    </row>
    <row r="50">
      <c r="B50" s="7" t="inlineStr">
        <is>
          <t>RCF Maintenance Covenants</t>
        </is>
      </c>
      <c r="C50" s="7" t="inlineStr">
        <is>
          <t>Tested semi-annually: Max Net Leverage &lt; 2.50x, Min Interest Coverage &gt; 3.00x</t>
        </is>
      </c>
    </row>
    <row r="51"/>
    <row r="52">
      <c r="B52" s="3" t="inlineStr">
        <is>
          <t>VII. BOND COVENANT ANALYSIS &amp; HEADROOM SCORECARD</t>
        </is>
      </c>
    </row>
    <row r="53">
      <c r="B53" s="5" t="inlineStr">
        <is>
          <t>Covenant Test / Negative Pledge Dimension</t>
        </is>
      </c>
      <c r="C53" s="5" t="inlineStr">
        <is>
          <t>Governing Threshold / Limit</t>
        </is>
      </c>
      <c r="D53" s="5" t="inlineStr">
        <is>
          <t>Actual Current / Reported Metric</t>
        </is>
      </c>
      <c r="E53" s="5" t="inlineStr">
        <is>
          <t>Headroom / Compliance Status</t>
        </is>
      </c>
      <c r="F53" s="5" t="inlineStr">
        <is>
          <t>Covenant Terms / Description</t>
        </is>
      </c>
    </row>
    <row r="54">
      <c r="B54" s="9" t="inlineStr">
        <is>
          <t>Maximum Net Debt / EBITDA</t>
        </is>
      </c>
      <c r="C54" s="28" t="inlineStr">
        <is>
          <t>2.50x</t>
        </is>
      </c>
      <c r="D54" s="24" t="inlineStr">
        <is>
          <t>0.98x</t>
        </is>
      </c>
      <c r="E54" s="32" t="inlineStr">
        <is>
          <t>+1.52x leverage cushion</t>
        </is>
      </c>
      <c r="F54" s="16" t="inlineStr">
        <is>
          <t>Incurrence covenant for additional senior debt issuance</t>
        </is>
      </c>
    </row>
    <row r="55">
      <c r="B55" s="9" t="inlineStr">
        <is>
          <t>Fixed Charge / Interest Coverage Ratio (FCCR)</t>
        </is>
      </c>
      <c r="C55" s="28" t="inlineStr">
        <is>
          <t>min 2.50x</t>
        </is>
      </c>
      <c r="D55" s="24" t="inlineStr">
        <is>
          <t>4.80x</t>
        </is>
      </c>
      <c r="E55" s="32" t="inlineStr">
        <is>
          <t>2.30x headroom</t>
        </is>
      </c>
      <c r="F55" s="16" t="inlineStr">
        <is>
          <t>Maintenance / incurrence gateway test</t>
        </is>
      </c>
    </row>
    <row r="56">
      <c r="B56" s="9" t="inlineStr">
        <is>
          <t>Permitted Secured Debt Limit</t>
        </is>
      </c>
      <c r="C56" s="28" t="inlineStr">
        <is>
          <t>$650M aggregate cap across DFC, Bond, and Bank facilities</t>
        </is>
      </c>
      <c r="D56" s="24" t="inlineStr">
        <is>
          <t>$595M</t>
        </is>
      </c>
      <c r="E56" s="32" t="inlineStr">
        <is>
          <t>$55M unutilized capacity</t>
        </is>
      </c>
      <c r="F56" s="16" t="inlineStr">
        <is>
          <t>Permitted collateral carve-out limit</t>
        </is>
      </c>
    </row>
    <row r="57">
      <c r="B57" s="9" t="inlineStr">
        <is>
          <t>Change of Control Put Option</t>
        </is>
      </c>
      <c r="C57" s="28" t="inlineStr">
        <is>
          <t>101.00% Redemption</t>
        </is>
      </c>
      <c r="D57" s="24" t="inlineStr">
        <is>
          <t>N/A (Inactive)</t>
        </is>
      </c>
      <c r="E57" s="32" t="inlineStr">
        <is>
          <t>Compliant</t>
        </is>
      </c>
      <c r="F57" s="16" t="inlineStr">
        <is>
          <t>Investor Put Option at 101.00% of par upon Dana Gas and Crescent Petroleum ceasing to collectively control &gt;50% of voting shares.</t>
        </is>
      </c>
    </row>
    <row r="58">
      <c r="B58" s="9" t="inlineStr">
        <is>
          <t>Restricted Payments / Dividend Basket</t>
        </is>
      </c>
      <c r="C58" s="28" t="inlineStr">
        <is>
          <t>Builder Basket</t>
        </is>
      </c>
      <c r="D58" s="24" t="inlineStr">
        <is>
          <t>Within Capacity</t>
        </is>
      </c>
      <c r="E58" s="32" t="inlineStr">
        <is>
          <t>Compliant</t>
        </is>
      </c>
      <c r="F58" s="16" t="inlineStr">
        <is>
          <t>Permitted provided Net Leverage &lt; 1.75x and no Event of Default (or material payment cessation) has occurred.</t>
        </is>
      </c>
    </row>
    <row r="59">
      <c r="B59" s="9" t="inlineStr">
        <is>
          <t>Cross-Default &amp; Cross-Acceleration</t>
        </is>
      </c>
      <c r="C59" s="28" t="inlineStr">
        <is>
          <t>$25.0M threshold triggering cross-acceleration across all debt facilities.</t>
        </is>
      </c>
      <c r="D59" s="24" t="inlineStr">
        <is>
          <t>Zero Defaults</t>
        </is>
      </c>
      <c r="E59" s="32" t="inlineStr">
        <is>
          <t>Compliant</t>
        </is>
      </c>
      <c r="F59" s="16" t="inlineStr">
        <is>
          <t>Cross-acceleration across all indebtedness exceeding threshold</t>
        </is>
      </c>
    </row>
  </sheetData>
  <mergeCells count="16">
    <mergeCell ref="C45:F45"/>
    <mergeCell ref="C48:F48"/>
    <mergeCell ref="F56:I56"/>
    <mergeCell ref="F57:I57"/>
    <mergeCell ref="C49:F49"/>
    <mergeCell ref="C43:F43"/>
    <mergeCell ref="B2:I2"/>
    <mergeCell ref="F55:I55"/>
    <mergeCell ref="F58:I58"/>
    <mergeCell ref="C46:F46"/>
    <mergeCell ref="F59:I59"/>
    <mergeCell ref="F54:I54"/>
    <mergeCell ref="C47:F47"/>
    <mergeCell ref="C42:F42"/>
    <mergeCell ref="C50:F50"/>
    <mergeCell ref="C44:F4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Pearl Petroleum — Institutional Credit Metrics &amp; Ratios</t>
        </is>
      </c>
    </row>
    <row r="3"/>
    <row r="4">
      <c r="B4" s="5" t="inlineStr">
        <is>
          <t>Credit Metric / Ratio</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LEVERAGE &amp; SOLVENCY RATIOS</t>
        </is>
      </c>
    </row>
    <row r="7">
      <c r="B7" s="7" t="inlineStr">
        <is>
          <t>Gross Leverage (Gross Debt / Calculated EBITDA)</t>
        </is>
      </c>
      <c r="C7" s="12">
        <f>'Debt Schedule &amp; Tranches'!C24 / 'Income Statement (P&amp;L)'!C22</f>
        <v/>
      </c>
      <c r="D7" s="12">
        <f>'Debt Schedule &amp; Tranches'!D24 / 'Income Statement (P&amp;L)'!D22</f>
        <v/>
      </c>
      <c r="E7" s="12">
        <f>'Debt Schedule &amp; Tranches'!E24 / 'Income Statement (P&amp;L)'!E22</f>
        <v/>
      </c>
      <c r="F7" s="12">
        <f>'Debt Schedule &amp; Tranches'!F24 / 'Income Statement (P&amp;L)'!F22</f>
        <v/>
      </c>
      <c r="G7" s="12">
        <f>'Debt Schedule &amp; Tranches'!G24 / 'Income Statement (P&amp;L)'!G22</f>
        <v/>
      </c>
      <c r="H7" s="12">
        <f>'Debt Schedule &amp; Tranches'!H24 / 'Income Statement (P&amp;L)'!H22</f>
        <v/>
      </c>
      <c r="I7" s="12">
        <f>'Debt Schedule &amp; Tranches'!I24 / 'Income Statement (P&amp;L)'!I22</f>
        <v/>
      </c>
    </row>
    <row r="8">
      <c r="B8" s="18" t="inlineStr">
        <is>
          <t>NET LEVERAGE (Net Debt / Calculated Cash EBITDA)</t>
        </is>
      </c>
      <c r="C8" s="33">
        <f>'Debt Schedule &amp; Tranches'!C26 / 'Income Statement (P&amp;L)'!C22</f>
        <v/>
      </c>
      <c r="D8" s="33">
        <f>'Debt Schedule &amp; Tranches'!D26 / 'Income Statement (P&amp;L)'!D22</f>
        <v/>
      </c>
      <c r="E8" s="33">
        <f>'Debt Schedule &amp; Tranches'!E26 / 'Income Statement (P&amp;L)'!E22</f>
        <v/>
      </c>
      <c r="F8" s="33">
        <f>'Debt Schedule &amp; Tranches'!F26 / 'Income Statement (P&amp;L)'!F22</f>
        <v/>
      </c>
      <c r="G8" s="33">
        <f>'Debt Schedule &amp; Tranches'!G26 / 'Income Statement (P&amp;L)'!G22</f>
        <v/>
      </c>
      <c r="H8" s="33">
        <f>'Debt Schedule &amp; Tranches'!H26 / 'Income Statement (P&amp;L)'!H22</f>
        <v/>
      </c>
      <c r="I8" s="33">
        <f>'Debt Schedule &amp; Tranches'!I26 / 'Income Statement (P&amp;L)'!I22</f>
        <v/>
      </c>
    </row>
    <row r="9">
      <c r="B9" s="18" t="inlineStr">
        <is>
          <t>REPORTED NET LEVERAGE (Net Debt / Reported EBITDA)</t>
        </is>
      </c>
      <c r="C9" s="33">
        <f>'Debt Schedule &amp; Tranches'!C26 / 'Income Statement (P&amp;L)'!C36</f>
        <v/>
      </c>
      <c r="D9" s="33">
        <f>'Debt Schedule &amp; Tranches'!D26 / 'Income Statement (P&amp;L)'!D36</f>
        <v/>
      </c>
      <c r="E9" s="33">
        <f>'Debt Schedule &amp; Tranches'!E26 / 'Income Statement (P&amp;L)'!E36</f>
        <v/>
      </c>
      <c r="F9" s="33">
        <f>'Debt Schedule &amp; Tranches'!F26 / 'Income Statement (P&amp;L)'!F36</f>
        <v/>
      </c>
      <c r="G9" s="33">
        <f>'Debt Schedule &amp; Tranches'!G26 / 'Income Statement (P&amp;L)'!G36</f>
        <v/>
      </c>
      <c r="H9" s="33">
        <f>'Debt Schedule &amp; Tranches'!H26 / 'Income Statement (P&amp;L)'!H36</f>
        <v/>
      </c>
      <c r="I9" s="33">
        <f>'Debt Schedule &amp; Tranches'!I26 / 'Income Statement (P&amp;L)'!I36</f>
        <v/>
      </c>
    </row>
    <row r="10">
      <c r="B10" s="7" t="inlineStr">
        <is>
          <t>Net Debt / Total Capitalization (%)</t>
        </is>
      </c>
      <c r="C10" s="10">
        <f>'Debt Schedule &amp; Tranches'!C26 / ('Debt Schedule &amp; Tranches'!C26 + 'Balance Sheet'!C38)</f>
        <v/>
      </c>
      <c r="D10" s="10">
        <f>'Debt Schedule &amp; Tranches'!D26 / ('Debt Schedule &amp; Tranches'!D26 + 'Balance Sheet'!D38)</f>
        <v/>
      </c>
      <c r="E10" s="10">
        <f>'Debt Schedule &amp; Tranches'!E26 / ('Debt Schedule &amp; Tranches'!E26 + 'Balance Sheet'!E38)</f>
        <v/>
      </c>
      <c r="F10" s="10">
        <f>'Debt Schedule &amp; Tranches'!F26 / ('Debt Schedule &amp; Tranches'!F26 + 'Balance Sheet'!F38)</f>
        <v/>
      </c>
      <c r="G10" s="10">
        <f>'Debt Schedule &amp; Tranches'!G26 / ('Debt Schedule &amp; Tranches'!G26 + 'Balance Sheet'!G38)</f>
        <v/>
      </c>
      <c r="H10" s="10">
        <f>'Debt Schedule &amp; Tranches'!H26 / ('Debt Schedule &amp; Tranches'!H26 + 'Balance Sheet'!H38)</f>
        <v/>
      </c>
      <c r="I10" s="10">
        <f>'Debt Schedule &amp; Tranches'!I26 / ('Debt Schedule &amp; Tranches'!I26 + 'Balance Sheet'!I38)</f>
        <v/>
      </c>
    </row>
    <row r="11">
      <c r="B11" s="18" t="inlineStr">
        <is>
          <t>EBITDA INTEREST COVERAGE (Calculated Cash EBITDA)</t>
        </is>
      </c>
      <c r="C11" s="33">
        <f>'Income Statement (P&amp;L)'!C22 / 'Debt Schedule &amp; Tranches'!C28</f>
        <v/>
      </c>
      <c r="D11" s="33">
        <f>'Income Statement (P&amp;L)'!D22 / 'Debt Schedule &amp; Tranches'!D28</f>
        <v/>
      </c>
      <c r="E11" s="33">
        <f>'Income Statement (P&amp;L)'!E22 / 'Debt Schedule &amp; Tranches'!E28</f>
        <v/>
      </c>
      <c r="F11" s="33">
        <f>'Income Statement (P&amp;L)'!F22 / 'Debt Schedule &amp; Tranches'!F28</f>
        <v/>
      </c>
      <c r="G11" s="33">
        <f>'Income Statement (P&amp;L)'!G22 / 'Debt Schedule &amp; Tranches'!G28</f>
        <v/>
      </c>
      <c r="H11" s="33">
        <f>'Income Statement (P&amp;L)'!H22 / 'Debt Schedule &amp; Tranches'!H28</f>
        <v/>
      </c>
      <c r="I11" s="33">
        <f>'Income Statement (P&amp;L)'!I22 / 'Debt Schedule &amp; Tranches'!I28</f>
        <v/>
      </c>
    </row>
    <row r="12">
      <c r="B12" s="7" t="inlineStr">
        <is>
          <t>Reported EBITDA Interest Coverage (Reported EBITDA)</t>
        </is>
      </c>
      <c r="C12" s="12">
        <f>'Income Statement (P&amp;L)'!C36 / 'Debt Schedule &amp; Tranches'!C28</f>
        <v/>
      </c>
      <c r="D12" s="12">
        <f>'Income Statement (P&amp;L)'!D36 / 'Debt Schedule &amp; Tranches'!D28</f>
        <v/>
      </c>
      <c r="E12" s="12">
        <f>'Income Statement (P&amp;L)'!E36 / 'Debt Schedule &amp; Tranches'!E28</f>
        <v/>
      </c>
      <c r="F12" s="12">
        <f>'Income Statement (P&amp;L)'!F36 / 'Debt Schedule &amp; Tranches'!F28</f>
        <v/>
      </c>
      <c r="G12" s="12">
        <f>'Income Statement (P&amp;L)'!G36 / 'Debt Schedule &amp; Tranches'!G28</f>
        <v/>
      </c>
      <c r="H12" s="12">
        <f>'Income Statement (P&amp;L)'!H36 / 'Debt Schedule &amp; Tranches'!H28</f>
        <v/>
      </c>
      <c r="I12" s="12">
        <f>'Income Statement (P&amp;L)'!I36 / 'Debt Schedule &amp; Tranches'!I28</f>
        <v/>
      </c>
    </row>
    <row r="13">
      <c r="B13" s="7" t="inlineStr">
        <is>
          <t>EBIT Interest Coverage</t>
        </is>
      </c>
      <c r="C13" s="12">
        <f>'Income Statement (P&amp;L)'!C25 / 'Debt Schedule &amp; Tranches'!C28</f>
        <v/>
      </c>
      <c r="D13" s="12">
        <f>'Income Statement (P&amp;L)'!D25 / 'Debt Schedule &amp; Tranches'!D28</f>
        <v/>
      </c>
      <c r="E13" s="12">
        <f>'Income Statement (P&amp;L)'!E25 / 'Debt Schedule &amp; Tranches'!E28</f>
        <v/>
      </c>
      <c r="F13" s="12">
        <f>'Income Statement (P&amp;L)'!F25 / 'Debt Schedule &amp; Tranches'!F28</f>
        <v/>
      </c>
      <c r="G13" s="12">
        <f>'Income Statement (P&amp;L)'!G25 / 'Debt Schedule &amp; Tranches'!G28</f>
        <v/>
      </c>
      <c r="H13" s="12">
        <f>'Income Statement (P&amp;L)'!H25 / 'Debt Schedule &amp; Tranches'!H28</f>
        <v/>
      </c>
      <c r="I13" s="12">
        <f>'Income Statement (P&amp;L)'!I25 / 'Debt Schedule &amp; Tranches'!I28</f>
        <v/>
      </c>
    </row>
    <row r="14"/>
    <row r="15">
      <c r="B15" s="3" t="inlineStr">
        <is>
          <t>II. CASH FLOW COVERAGE &amp; LIQUIDITY RATIOS</t>
        </is>
      </c>
    </row>
    <row r="16">
      <c r="B16" s="7" t="inlineStr">
        <is>
          <t>CFO / Gross Debt (%)</t>
        </is>
      </c>
      <c r="C16" s="10">
        <f>'Cash Flow Statement'!C14 / 'Debt Schedule &amp; Tranches'!C24</f>
        <v/>
      </c>
      <c r="D16" s="10">
        <f>'Cash Flow Statement'!D14 / 'Debt Schedule &amp; Tranches'!D24</f>
        <v/>
      </c>
      <c r="E16" s="10">
        <f>'Cash Flow Statement'!E14 / 'Debt Schedule &amp; Tranches'!E24</f>
        <v/>
      </c>
      <c r="F16" s="10">
        <f>'Cash Flow Statement'!F14 / 'Debt Schedule &amp; Tranches'!F24</f>
        <v/>
      </c>
      <c r="G16" s="10">
        <f>'Cash Flow Statement'!G14 / 'Debt Schedule &amp; Tranches'!G24</f>
        <v/>
      </c>
      <c r="H16" s="10">
        <f>'Cash Flow Statement'!H14 / 'Debt Schedule &amp; Tranches'!H24</f>
        <v/>
      </c>
      <c r="I16" s="10">
        <f>'Cash Flow Statement'!I14 / 'Debt Schedule &amp; Tranches'!I24</f>
        <v/>
      </c>
    </row>
    <row r="17">
      <c r="B17" s="7" t="inlineStr">
        <is>
          <t>FCF / Net Debt (%)</t>
        </is>
      </c>
      <c r="C17" s="10">
        <f>'Cash Flow Statement'!C28 / 'Debt Schedule &amp; Tranches'!C26</f>
        <v/>
      </c>
      <c r="D17" s="10">
        <f>'Cash Flow Statement'!D28 / 'Debt Schedule &amp; Tranches'!D26</f>
        <v/>
      </c>
      <c r="E17" s="10">
        <f>'Cash Flow Statement'!E28 / 'Debt Schedule &amp; Tranches'!E26</f>
        <v/>
      </c>
      <c r="F17" s="10">
        <f>'Cash Flow Statement'!F28 / 'Debt Schedule &amp; Tranches'!F26</f>
        <v/>
      </c>
      <c r="G17" s="10">
        <f>'Cash Flow Statement'!G28 / 'Debt Schedule &amp; Tranches'!G26</f>
        <v/>
      </c>
      <c r="H17" s="10">
        <f>'Cash Flow Statement'!H28 / 'Debt Schedule &amp; Tranches'!H26</f>
        <v/>
      </c>
      <c r="I17" s="10">
        <f>'Cash Flow Statement'!I28 / 'Debt Schedule &amp; Tranches'!I26</f>
        <v/>
      </c>
    </row>
    <row r="18">
      <c r="B18" s="7" t="inlineStr">
        <is>
          <t>FCF Conversion Ratio (FCF / EBITDA)</t>
        </is>
      </c>
      <c r="C18" s="10">
        <f>'Cash Flow Statement'!C28 / 'Income Statement (P&amp;L)'!C22</f>
        <v/>
      </c>
      <c r="D18" s="10">
        <f>'Cash Flow Statement'!D28 / 'Income Statement (P&amp;L)'!D22</f>
        <v/>
      </c>
      <c r="E18" s="10">
        <f>'Cash Flow Statement'!E28 / 'Income Statement (P&amp;L)'!E22</f>
        <v/>
      </c>
      <c r="F18" s="10">
        <f>'Cash Flow Statement'!F28 / 'Income Statement (P&amp;L)'!F22</f>
        <v/>
      </c>
      <c r="G18" s="10">
        <f>'Cash Flow Statement'!G28 / 'Income Statement (P&amp;L)'!G22</f>
        <v/>
      </c>
      <c r="H18" s="10">
        <f>'Cash Flow Statement'!H28 / 'Income Statement (P&amp;L)'!H22</f>
        <v/>
      </c>
      <c r="I18" s="10">
        <f>'Cash Flow Statement'!I28 / 'Income Statement (P&amp;L)'!I22</f>
        <v/>
      </c>
    </row>
    <row r="19">
      <c r="B19" s="7" t="inlineStr">
        <is>
          <t>Capex / Operating Cash Flow (%)</t>
        </is>
      </c>
      <c r="C19" s="10">
        <f>-'Cash Flow Statement'!C16 / 'Cash Flow Statement'!C14</f>
        <v/>
      </c>
      <c r="D19" s="10">
        <f>-'Cash Flow Statement'!D16 / 'Cash Flow Statement'!D14</f>
        <v/>
      </c>
      <c r="E19" s="10">
        <f>-'Cash Flow Statement'!E16 / 'Cash Flow Statement'!E14</f>
        <v/>
      </c>
      <c r="F19" s="10">
        <f>-'Cash Flow Statement'!F16 / 'Cash Flow Statement'!F14</f>
        <v/>
      </c>
      <c r="G19" s="10">
        <f>-'Cash Flow Statement'!G16 / 'Cash Flow Statement'!G14</f>
        <v/>
      </c>
      <c r="H19" s="10">
        <f>-'Cash Flow Statement'!H16 / 'Cash Flow Statement'!H14</f>
        <v/>
      </c>
      <c r="I19" s="10">
        <f>-'Cash Flow Statement'!I16 / 'Cash Flow Statement'!I14</f>
        <v/>
      </c>
    </row>
    <row r="20">
      <c r="B20" s="7" t="inlineStr">
        <is>
          <t>Current Ratio (Current Assets / Current Liab)</t>
        </is>
      </c>
      <c r="C20" s="12">
        <f>'Balance Sheet'!C11 / 'Balance Sheet'!C27</f>
        <v/>
      </c>
      <c r="D20" s="12">
        <f>'Balance Sheet'!D11 / 'Balance Sheet'!D27</f>
        <v/>
      </c>
      <c r="E20" s="12">
        <f>'Balance Sheet'!E11 / 'Balance Sheet'!E27</f>
        <v/>
      </c>
      <c r="F20" s="12">
        <f>'Balance Sheet'!F11 / 'Balance Sheet'!F27</f>
        <v/>
      </c>
      <c r="G20" s="12">
        <f>'Balance Sheet'!G11 / 'Balance Sheet'!G27</f>
        <v/>
      </c>
      <c r="H20" s="12">
        <f>'Balance Sheet'!H11 / 'Balance Sheet'!H27</f>
        <v/>
      </c>
      <c r="I20" s="12">
        <f>'Balance Sheet'!I11 / 'Balance Sheet'!I27</f>
        <v/>
      </c>
    </row>
    <row r="21">
      <c r="B21" s="7" t="inlineStr">
        <is>
          <t>Quick Ratio ((Cash + AR) / Current Liab)</t>
        </is>
      </c>
      <c r="C21" s="12">
        <f>('Balance Sheet'!C7 + 'Balance Sheet'!C8) / 'Balance Sheet'!C27</f>
        <v/>
      </c>
      <c r="D21" s="12">
        <f>('Balance Sheet'!D7 + 'Balance Sheet'!D8) / 'Balance Sheet'!D27</f>
        <v/>
      </c>
      <c r="E21" s="12">
        <f>('Balance Sheet'!E7 + 'Balance Sheet'!E8) / 'Balance Sheet'!E27</f>
        <v/>
      </c>
      <c r="F21" s="12">
        <f>('Balance Sheet'!F7 + 'Balance Sheet'!F8) / 'Balance Sheet'!F27</f>
        <v/>
      </c>
      <c r="G21" s="12">
        <f>('Balance Sheet'!G7 + 'Balance Sheet'!G8) / 'Balance Sheet'!G27</f>
        <v/>
      </c>
      <c r="H21" s="12">
        <f>('Balance Sheet'!H7 + 'Balance Sheet'!H8) / 'Balance Sheet'!H27</f>
        <v/>
      </c>
      <c r="I21" s="12">
        <f>('Balance Sheet'!I7 + 'Balance Sheet'!I8) / 'Balance Sheet'!I27</f>
        <v/>
      </c>
    </row>
  </sheetData>
  <mergeCells count="1">
    <mergeCell ref="B2:I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21" customWidth="1" min="3" max="3"/>
    <col width="31" customWidth="1" min="4" max="4"/>
    <col width="31" customWidth="1" min="5" max="5"/>
    <col width="22" customWidth="1" min="6" max="6"/>
    <col width="23" customWidth="1" min="7" max="7"/>
    <col width="21" customWidth="1" min="8" max="8"/>
    <col width="14" customWidth="1" min="9" max="9"/>
    <col width="14" customWidth="1" min="10" max="10"/>
    <col width="14" customWidth="1" min="11" max="11"/>
    <col width="14" customWidth="1" min="12" max="12"/>
  </cols>
  <sheetData>
    <row r="1"/>
    <row r="2">
      <c r="B2" s="1" t="inlineStr">
        <is>
          <t>Pearl Petroleum — Downside Stress &amp; Restructuring Waterfall</t>
        </is>
      </c>
    </row>
    <row r="3"/>
    <row r="4">
      <c r="B4" s="3" t="inlineStr">
        <is>
          <t>I. MULTI-SCENARIO RESTORATION &amp; VALUATION MATRIX</t>
        </is>
      </c>
    </row>
    <row r="5">
      <c r="B5" s="27" t="inlineStr">
        <is>
          <t>Scenario Name</t>
        </is>
      </c>
      <c r="C5" s="27" t="inlineStr">
        <is>
          <t>Revenue Drop</t>
        </is>
      </c>
      <c r="D5" s="27" t="inlineStr">
        <is>
          <t>Margin Compression</t>
        </is>
      </c>
      <c r="E5" s="27" t="inlineStr">
        <is>
          <t>Refinancing Rate</t>
        </is>
      </c>
      <c r="F5" s="27" t="inlineStr">
        <is>
          <t>Exit EV Multiple</t>
        </is>
      </c>
      <c r="G5" s="27" t="inlineStr">
        <is>
          <t>Implied Recovery Px</t>
        </is>
      </c>
      <c r="H5" s="27" t="inlineStr">
        <is>
          <t>Upside / Downside</t>
        </is>
      </c>
    </row>
    <row r="6">
      <c r="B6" s="18" t="inlineStr">
        <is>
          <t>Base Case (Consensus Forecast)</t>
        </is>
      </c>
      <c r="C6" s="34" t="inlineStr">
        <is>
          <t>0.0%</t>
        </is>
      </c>
      <c r="D6" s="34" t="inlineStr">
        <is>
          <t>0 bp</t>
        </is>
      </c>
      <c r="E6" s="34" t="inlineStr">
        <is>
          <t>11.45%</t>
        </is>
      </c>
      <c r="F6" s="34" t="inlineStr">
        <is>
          <t>3.5x</t>
        </is>
      </c>
      <c r="G6" s="34" t="inlineStr">
        <is>
          <t>$102.00</t>
        </is>
      </c>
      <c r="H6" s="34" t="inlineStr">
        <is>
          <t>-1.4%</t>
        </is>
      </c>
    </row>
    <row r="7">
      <c r="B7" s="7" t="inlineStr">
        <is>
          <t>Downside Stress Case (Recession)</t>
        </is>
      </c>
      <c r="C7" s="29" t="inlineStr">
        <is>
          <t>-15.0%</t>
        </is>
      </c>
      <c r="D7" s="29" t="inlineStr">
        <is>
          <t>-300 bp</t>
        </is>
      </c>
      <c r="E7" s="29" t="inlineStr">
        <is>
          <t>13.45%</t>
        </is>
      </c>
      <c r="F7" s="29" t="inlineStr">
        <is>
          <t>3.0x</t>
        </is>
      </c>
      <c r="G7" s="29" t="inlineStr">
        <is>
          <t>$82.00</t>
        </is>
      </c>
      <c r="H7" s="29" t="inlineStr">
        <is>
          <t>-20.8%</t>
        </is>
      </c>
    </row>
    <row r="8">
      <c r="B8" s="7" t="inlineStr">
        <is>
          <t>Severe Distressed Floor (Liquidation)</t>
        </is>
      </c>
      <c r="C8" s="29" t="inlineStr">
        <is>
          <t>-35.0%</t>
        </is>
      </c>
      <c r="D8" s="29" t="inlineStr">
        <is>
          <t>-650 bp</t>
        </is>
      </c>
      <c r="E8" s="29" t="inlineStr">
        <is>
          <t>+500 bp spread</t>
        </is>
      </c>
      <c r="F8" s="29" t="inlineStr">
        <is>
          <t>Liquidation Value</t>
        </is>
      </c>
      <c r="G8" s="29" t="inlineStr">
        <is>
          <t>$62.00</t>
        </is>
      </c>
      <c r="H8" s="29" t="inlineStr">
        <is>
          <t>-40.1%</t>
        </is>
      </c>
    </row>
    <row r="9">
      <c r="B9" s="7" t="inlineStr">
        <is>
          <t>Bull Case (Cycle Peak / Accretion)</t>
        </is>
      </c>
      <c r="C9" s="29" t="inlineStr">
        <is>
          <t>+12.0%</t>
        </is>
      </c>
      <c r="D9" s="29" t="inlineStr">
        <is>
          <t>+200 bp</t>
        </is>
      </c>
      <c r="E9" s="29" t="inlineStr">
        <is>
          <t>9.95%</t>
        </is>
      </c>
      <c r="F9" s="29" t="inlineStr">
        <is>
          <t>5.0x</t>
        </is>
      </c>
      <c r="G9" s="29" t="inlineStr">
        <is>
          <t>$105.00</t>
        </is>
      </c>
      <c r="H9" s="29" t="inlineStr">
        <is>
          <t>+1.4%</t>
        </is>
      </c>
    </row>
    <row r="10"/>
    <row r="11"/>
    <row r="12">
      <c r="B12" s="3" t="inlineStr">
        <is>
          <t>II. PRIORITY CLAIM LIQUIDATION WATERFALL</t>
        </is>
      </c>
    </row>
    <row r="13">
      <c r="B13" s="27" t="inlineStr">
        <is>
          <t>Tranche Claim</t>
        </is>
      </c>
      <c r="C13" s="27" t="inlineStr">
        <is>
          <t>Claim Amount ($M)</t>
        </is>
      </c>
      <c r="D13" s="27" t="inlineStr">
        <is>
          <t>Seniority Ranking</t>
        </is>
      </c>
      <c r="E13" s="27" t="inlineStr">
        <is>
          <t>Estimated Collateral</t>
        </is>
      </c>
      <c r="F13" s="27" t="inlineStr">
        <is>
          <t>Recovery Floor (%)</t>
        </is>
      </c>
      <c r="G13" s="27" t="inlineStr">
        <is>
          <t>Base Recovery (%)</t>
        </is>
      </c>
    </row>
    <row r="14">
      <c r="B14" s="7" t="inlineStr">
        <is>
          <t>Senior Secured Bank Loans &amp; RCF</t>
        </is>
      </c>
      <c r="C14" s="8" t="n">
        <v>145</v>
      </c>
      <c r="D14" s="7" t="inlineStr">
        <is>
          <t>Senior Secured (Pari Passu)</t>
        </is>
      </c>
      <c r="E14" s="7" t="inlineStr">
        <is>
          <t>First Lien Fixed Charges</t>
        </is>
      </c>
      <c r="F14" s="29" t="inlineStr">
        <is>
          <t>100.0%</t>
        </is>
      </c>
      <c r="G14" s="29" t="inlineStr">
        <is>
          <t>100.0%</t>
        </is>
      </c>
    </row>
    <row r="15">
      <c r="B15" s="7" t="inlineStr">
        <is>
          <t>PEARL Senior Unsecured Eurobonds</t>
        </is>
      </c>
      <c r="C15" s="8" t="n">
        <v>435</v>
      </c>
      <c r="D15" s="7" t="inlineStr">
        <is>
          <t>Senior Unsecured</t>
        </is>
      </c>
      <c r="E15" s="7" t="inlineStr">
        <is>
          <t>General Corporate Guarantee</t>
        </is>
      </c>
      <c r="F15" s="29" t="inlineStr">
        <is>
          <t>62.0%</t>
        </is>
      </c>
      <c r="G15" s="29" t="inlineStr">
        <is>
          <t>102.0%</t>
        </is>
      </c>
    </row>
    <row r="16">
      <c r="B16" s="7" t="inlineStr">
        <is>
          <t>Subordinated Debt &amp; Intercompany Notes</t>
        </is>
      </c>
      <c r="C16" s="8" t="n">
        <v>87</v>
      </c>
      <c r="D16" s="7" t="inlineStr">
        <is>
          <t>Subordinated</t>
        </is>
      </c>
      <c r="E16" s="7" t="inlineStr">
        <is>
          <t>Junior Unsecured Claim</t>
        </is>
      </c>
      <c r="F16" s="29" t="inlineStr">
        <is>
          <t>0.0%</t>
        </is>
      </c>
      <c r="G16" s="29" t="inlineStr">
        <is>
          <t>25.0%</t>
        </is>
      </c>
    </row>
    <row r="17">
      <c r="B17" s="7" t="inlineStr">
        <is>
          <t>Equity Shareholders</t>
        </is>
      </c>
      <c r="C17" s="8" t="n">
        <v>232</v>
      </c>
      <c r="D17" s="7" t="inlineStr">
        <is>
          <t>Residual Equity</t>
        </is>
      </c>
      <c r="E17" s="7" t="inlineStr">
        <is>
          <t>Ordinary Shares</t>
        </is>
      </c>
      <c r="F17" s="29" t="inlineStr">
        <is>
          <t>0.0%</t>
        </is>
      </c>
      <c r="G17" s="29" t="inlineStr">
        <is>
          <t>Residual Only</t>
        </is>
      </c>
    </row>
    <row r="18"/>
    <row r="19"/>
    <row r="20">
      <c r="B20" s="3" t="inlineStr">
        <is>
          <t>III. RESTRUCTURING JURISDICTION &amp; LEGAL FRAMEWORK</t>
        </is>
      </c>
    </row>
    <row r="21">
      <c r="B21" s="4" t="inlineStr">
        <is>
          <t>Governing Jurisdiction: English Law (Bond &amp; Intercreditor) / BVI Legal Perimeter / DIFC Arbitration. Trust deeds contain standard negative pledge, cross-acceleration, and collective action clauses (CACs).</t>
        </is>
      </c>
    </row>
    <row r="22"/>
  </sheetData>
  <mergeCells count="2">
    <mergeCell ref="B2:H2"/>
    <mergeCell ref="B21:H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9"/>
  <sheetViews>
    <sheetView showGridLines="1" workbookViewId="0">
      <selection activeCell="A1" sqref="A1"/>
    </sheetView>
  </sheetViews>
  <sheetFormatPr baseColWidth="8" defaultRowHeight="15"/>
  <cols>
    <col width="6" customWidth="1" min="1" max="1"/>
    <col width="38" customWidth="1" min="2" max="2"/>
    <col width="582" customWidth="1" min="3" max="3"/>
    <col width="75" customWidth="1" min="4" max="4"/>
    <col width="25" customWidth="1" min="5" max="5"/>
    <col width="241" customWidth="1" min="6" max="6"/>
    <col width="14" customWidth="1" min="7" max="7"/>
    <col width="135" customWidth="1" min="8" max="8"/>
    <col width="14" customWidth="1" min="9" max="9"/>
    <col width="14" customWidth="1" min="10" max="10"/>
    <col width="14" customWidth="1" min="11" max="11"/>
    <col width="14" customWidth="1" min="12" max="12"/>
  </cols>
  <sheetData>
    <row r="1"/>
    <row r="2">
      <c r="B2" s="1" t="inlineStr">
        <is>
          <t>Pearl Petroleum (PEARL) — Earnings Presentation &amp; Management Guidance</t>
        </is>
      </c>
    </row>
    <row r="3">
      <c r="B3" s="2" t="inlineStr">
        <is>
          <t>Source: Latest Investor Presentation | Reporting Currency: USD</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KM250 Capacity Ramp &amp; Gas Deliveries</t>
        </is>
      </c>
      <c r="C7" s="9" t="inlineStr">
        <is>
          <t>750 MMscfd total processing capacity reached and sustained</t>
        </is>
      </c>
      <c r="D7" s="35" t="inlineStr">
        <is>
          <t>720-740 MMscfd operational throughput</t>
        </is>
      </c>
      <c r="E7" s="36" t="inlineStr">
        <is>
          <t>Achieved / On Track</t>
        </is>
      </c>
      <c r="F7" s="37" t="inlineStr">
        <is>
          <t>KM250 Train 3 successfully commissioned; deliveries to KRG at ~655 MMscfd and Federal Iraq at 100 MMscfd.
[QUESTION TO CFO TO VERIFY]: With KM250 now operational, can you confirm sustained daily run-rate across both KRG and Kirkuk lines?</t>
        </is>
      </c>
    </row>
    <row r="8">
      <c r="B8" s="9" t="inlineStr">
        <is>
          <t>KRG Receivables Collection Rate</t>
        </is>
      </c>
      <c r="C8" s="9" t="inlineStr">
        <is>
          <t>100% current billing collection + amortization of legacy arrears</t>
        </is>
      </c>
      <c r="D8" s="35" t="inlineStr">
        <is>
          <t>Current invoices paid periodically; historical arrears persist &gt;3 years</t>
        </is>
      </c>
      <c r="E8" s="38" t="inlineStr">
        <is>
          <t>Lagging / Under Watch</t>
        </is>
      </c>
      <c r="F8" s="37" t="inlineStr">
        <is>
          <t>Federal budget transfers from Baghdad to Erbil remain subject to political delays.
[QUESTION TO CFO TO VERIFY]: What is the expected timeline for KRG to clear remaining overdue receivables following Baghdad budget disbursements?</t>
        </is>
      </c>
    </row>
    <row r="9"/>
    <row r="10">
      <c r="B10" s="3" t="inlineStr">
        <is>
          <t>II. CAPITAL ALLOCATION &amp; STRATEGIC PROJECT PIPELINE</t>
        </is>
      </c>
    </row>
    <row r="11">
      <c r="B11" s="5" t="inlineStr">
        <is>
          <t>Project / Capital Dimension</t>
        </is>
      </c>
      <c r="C11" s="5" t="inlineStr">
        <is>
          <t>Disclosure &amp; Execution Milestone</t>
        </is>
      </c>
    </row>
    <row r="12"/>
    <row r="13">
      <c r="B13" s="3" t="inlineStr">
        <is>
          <t>III. GEOGRAPHIC &amp; CURRENCY EXPOSURE MATRIX</t>
        </is>
      </c>
    </row>
    <row r="14">
      <c r="B14" s="5" t="inlineStr">
        <is>
          <t>Exposure Category</t>
        </is>
      </c>
      <c r="C14" s="5" t="inlineStr">
        <is>
          <t>Contractual / Balance Sheet Profile</t>
        </is>
      </c>
    </row>
    <row r="15"/>
    <row r="16">
      <c r="B16" s="3" t="inlineStr">
        <is>
          <t>IV. CONTRACT BACKLOG &amp; COMMERCIAL MOAT</t>
        </is>
      </c>
    </row>
    <row r="17">
      <c r="B17" s="5" t="inlineStr">
        <is>
          <t>Dimension</t>
        </is>
      </c>
      <c r="C17" s="5" t="inlineStr">
        <is>
          <t>Commercial / Asset Metrics</t>
        </is>
      </c>
    </row>
    <row r="18"/>
    <row r="19">
      <c r="B19" s="3" t="inlineStr">
        <is>
          <t>V. LIQUIDITY WATERFALL &amp; HEADROOM</t>
        </is>
      </c>
    </row>
    <row r="20">
      <c r="B20" s="5" t="inlineStr">
        <is>
          <t>Liquidity Component</t>
        </is>
      </c>
      <c r="C20" s="5" t="inlineStr">
        <is>
          <t>Available Buffer / Runway</t>
        </is>
      </c>
    </row>
    <row r="21"/>
    <row r="22">
      <c r="B22" s="3" t="inlineStr">
        <is>
          <t>INSTITUTIONAL MANAGEMENT QUESTIONS &amp; CONVICTION DRIVERS (1-ON-1 DUE DILIGENCE)</t>
        </is>
      </c>
    </row>
    <row r="23">
      <c r="B23" s="5" t="inlineStr">
        <is>
          <t>Focus Area</t>
        </is>
      </c>
      <c r="C23" s="5" t="inlineStr">
        <is>
          <t>Question to Ask CFO / Management</t>
        </is>
      </c>
      <c r="F23" s="5" t="inlineStr">
        <is>
          <t>Credit Relevance &amp; Deduced Ambiguity</t>
        </is>
      </c>
      <c r="H23" s="5" t="inlineStr">
        <is>
          <t>Conviction Trigger &amp; Decision Rule</t>
        </is>
      </c>
    </row>
    <row r="24">
      <c r="B24" s="9" t="inlineStr">
        <is>
          <t>Federal MOE (Kirkuk) Settlement Rail &amp; FX Trapping</t>
        </is>
      </c>
      <c r="C24" s="37" t="inlineStr">
        <is>
          <t>Under the 100 MMscf/d Kirkuk Gas Sales Agreement commenced in August 2026, what is the precise settlement currency, paying entity, and clearance channel? Are payments settled in unencumbered offshore USD through the Trade Bank of Iraq (TBI) and the NY Fed clearance window, or are funds credited in Iraqi Dinars (IQD) at the official CBI rate (1,310 IQD) subject to central bank conversion queues? If the KRG attempts to interfere with the physical valve at the border, does the MOE contract contain an enforceable sovereign take-or-pay guarantee backed by federal oil revenues?</t>
        </is>
      </c>
      <c r="F24" s="25" t="inlineStr">
        <is>
          <t>Determines whether the Kirkuk contract provides clean, hard-currency cash flow diversification or traps cash in local dinar banking rails.</t>
        </is>
      </c>
      <c r="H24" s="39" t="inlineStr">
        <is>
          <t>Direct USD offshore clearance warrants High-conviction Overweight; trapped IQD requires higher spread cushion.</t>
        </is>
      </c>
    </row>
    <row r="25">
      <c r="B25" s="9" t="inlineStr">
        <is>
          <t>Condensate Local Realizations &amp; Off-take Clearing</t>
        </is>
      </c>
      <c r="C25" s="37" t="inlineStr">
        <is>
          <t>With the Iraq-Turkey Pipeline (ITP) closed since March 2023, what is the exact netback clearing mechanism for Khor Mor's ~18,000 bpd of condensate? What is the current realized dollar discount to Dated Brent across your primary local buyers (e.g., KAR Group / Bazian refinery), and what percentage of this revenue is received in clean cash versus non-cash offsets against KRG power invoices or local diesel barter?</t>
        </is>
      </c>
      <c r="F25" s="25" t="inlineStr">
        <is>
          <t>Condensate represents the primary liquid margin generator; deep discounts directly reduce FCF conversion.</t>
        </is>
      </c>
      <c r="H25" s="39" t="inlineStr">
        <is>
          <t>Realized discount under $18/bbl in cash supports credit rating upgrade; barter/offsets exceeding 40% flags working capital leakage.</t>
        </is>
      </c>
    </row>
    <row r="26">
      <c r="B26" s="9" t="inlineStr">
        <is>
          <t>U.S. DFC Intercreditor Covenants &amp; Political Violence Acceleration Triggers</t>
        </is>
      </c>
      <c r="C26" s="37" t="inlineStr">
        <is>
          <t>Under the Intercreditor Agreement governing the $250M U.S. DFC facility and the $350M 13% Nordic bond, what are the specific 'force majeure / cessation of operations' covenant triggers? Does the DFC hold unilateral acceleration or cash sweep rights if drone strikes result in an operational shut-in exceeding 30 consecutive days, and does DFC approval require a minimum debt-service coverage ratio (DSCR) before any cash dividends can be upstreamed to Dana Gas and Crescent Petroleum?</t>
        </is>
      </c>
      <c r="F26" s="25" t="inlineStr">
        <is>
          <t>Intercreditor priority dictates whether bondholders are subordinated to sovereign DFI acceleration in a severe security crisis.</t>
        </is>
      </c>
      <c r="H26" s="39" t="inlineStr">
        <is>
          <t>Pari passu standstill covenants protect bondholders; unilateral DFC cash sweeps create severe refinancing risk.</t>
        </is>
      </c>
    </row>
    <row r="27">
      <c r="B27" s="9" t="inlineStr">
        <is>
          <t>Enerflex EPC Contract Settlement &amp; Standby Cost Allocation</t>
        </is>
      </c>
      <c r="C27" s="37" t="inlineStr">
        <is>
          <t>Following the April 2024 fatal drone strike and Enerflex's invocation of Force Majeure and demobilization, what were the final confidential commercial settlement terms with Enerflex? How much in demobilization claims, standby fees, and contractor acceleration premiums were incurred, and were these costs capitalized into the final $1.1B project cost or expensed through the P&amp;L?</t>
        </is>
      </c>
      <c r="F27" s="25" t="inlineStr">
        <is>
          <t>Reveals whether hidden contractor liabilities or contingent arbitration claims remain unresolved.</t>
        </is>
      </c>
      <c r="H27" s="39" t="inlineStr">
        <is>
          <t>Full and final mutual release with zero residual liability secures clean balance sheet.</t>
        </is>
      </c>
    </row>
    <row r="28">
      <c r="B28" s="9" t="inlineStr">
        <is>
          <t>C-RAM &amp; Air Defense Operational Cost Allocation</t>
        </is>
      </c>
      <c r="C28" s="37" t="inlineStr">
        <is>
          <t>Following the installation of counter-drone and air defense systems at Khor Mor in late 2024/2025, how are the ongoing operational, radar maintenance, and ammunition replenishment costs allocated? Are these costs borne directly by Pearl Petroleum as operating expenses (reducing net entitlement cash flow), or are they funded under a bilateral sovereign defense agreement between the U.S. Government and the Iraqi Ministry of Defense?</t>
        </is>
      </c>
      <c r="F28" s="25" t="inlineStr">
        <is>
          <t>Air defense operating costs in hostile frontier environments can add millions to annual operating overhead.</t>
        </is>
      </c>
      <c r="H28" s="39" t="inlineStr">
        <is>
          <t>Sovereign-funded military protection insulates OPEX from security inflation.</t>
        </is>
      </c>
    </row>
    <row r="29">
      <c r="B29" s="9" t="inlineStr">
        <is>
          <t>KRG Receivables Overdue Threshold &amp; DSRA Cash Lock-Up</t>
        </is>
      </c>
      <c r="C29" s="37" t="inlineStr">
        <is>
          <t>Under the Nordic ABM bond terms (NO0013387860), what is the explicit Days Sales Outstanding (DSO) or overdue receivables dollar cap that triggers a Restricted Payments dividend lock-up? With KRG payment delays continuing on historical arrears, what proportion of Pearl's current $95M cash balance is trapped in mandatory Debt Service Reserve Accounts (DSRA) versus freely distributable cash to the joint venture partners?</t>
        </is>
      </c>
      <c r="F29" s="25" t="inlineStr">
        <is>
          <t>Determines true unencumbered liquidity available for bond debt service vs dividend drain.</t>
        </is>
      </c>
      <c r="H29" s="39" t="inlineStr">
        <is>
          <t>Stringent DSRA lock-up covenants protect bondholders by trapping project cash flows.</t>
        </is>
      </c>
    </row>
    <row r="30">
      <c r="B30" s="9" t="inlineStr">
        <is>
          <t>European Partner Governance &amp; Exit Pre-emption Rights</t>
        </is>
      </c>
      <c r="C30" s="37" t="inlineStr">
        <is>
          <t>Given that KM250 is fully commissioned and OMV/MOL/RWE hold 10% non-operated stakes each, have any of the European partners formally signaled intentions to exercise tag-along, drag-along, or pre-emption rights to divest their stakes to regional players, and how would a change of ownership in the 30% European block impact the change-of-control put option (at 101%) in the 2028 notes?</t>
        </is>
      </c>
      <c r="F30" s="25" t="inlineStr">
        <is>
          <t>Potential consortium reshuffling could alter governance dynamics or trigger bond put options.</t>
        </is>
      </c>
      <c r="H30" s="39" t="inlineStr">
        <is>
          <t>Stable long-term partner pact preserves institutional governance credibility.</t>
        </is>
      </c>
    </row>
    <row r="31"/>
    <row r="32"/>
    <row r="33">
      <c r="B33" s="3" t="inlineStr">
        <is>
          <t>SCHEDULED EARNINGS RELEASE &amp; INVESTOR RELATIONS CALENDAR</t>
        </is>
      </c>
    </row>
    <row r="34">
      <c r="B34" s="5" t="inlineStr">
        <is>
          <t>Calendar Dimension</t>
        </is>
      </c>
      <c r="C34" s="5" t="inlineStr">
        <is>
          <t>Scheduled Detail &amp; IR Access</t>
        </is>
      </c>
    </row>
    <row r="35">
      <c r="B35" s="9" t="inlineStr">
        <is>
          <t>Next Scheduled Earnings Date</t>
        </is>
      </c>
      <c r="C35" s="37" t="inlineStr">
        <is>
          <t>2026-11-12</t>
        </is>
      </c>
    </row>
    <row r="36">
      <c r="B36" s="9" t="inlineStr">
        <is>
          <t>Reporting Period</t>
        </is>
      </c>
      <c r="C36" s="37" t="inlineStr">
        <is>
          <t>Q3 2026 / 9M</t>
        </is>
      </c>
    </row>
    <row r="37">
      <c r="B37" s="9" t="inlineStr">
        <is>
          <t>Confirmation Status</t>
        </is>
      </c>
      <c r="C37" s="37" t="inlineStr">
        <is>
          <t>Estimated</t>
        </is>
      </c>
    </row>
    <row r="38">
      <c r="B38" s="9" t="inlineStr">
        <is>
          <t>Conference Call &amp; Webcast Schedule</t>
        </is>
      </c>
      <c r="C38" s="37" t="inlineStr">
        <is>
          <t>14:00 Local / Pre-Market</t>
        </is>
      </c>
    </row>
    <row r="39">
      <c r="B39" s="9" t="inlineStr">
        <is>
          <t>Official IR Portal / Webcast URL</t>
        </is>
      </c>
      <c r="C39" s="37" t="inlineStr">
        <is>
          <t>https://www.google.com/finance/quote/PEARL</t>
        </is>
      </c>
    </row>
  </sheetData>
  <mergeCells count="38">
    <mergeCell ref="C36:I36"/>
    <mergeCell ref="F29:G29"/>
    <mergeCell ref="C17:I17"/>
    <mergeCell ref="H29:I29"/>
    <mergeCell ref="C39:I39"/>
    <mergeCell ref="F25:G25"/>
    <mergeCell ref="B3:I3"/>
    <mergeCell ref="C38:I38"/>
    <mergeCell ref="H30:I30"/>
    <mergeCell ref="C37:I37"/>
    <mergeCell ref="H25:I25"/>
    <mergeCell ref="F24:G24"/>
    <mergeCell ref="C27:E27"/>
    <mergeCell ref="F30:G30"/>
    <mergeCell ref="B2:I2"/>
    <mergeCell ref="C23:E23"/>
    <mergeCell ref="C34:I34"/>
    <mergeCell ref="F26:G26"/>
    <mergeCell ref="C14:I14"/>
    <mergeCell ref="C28:E28"/>
    <mergeCell ref="F7:I7"/>
    <mergeCell ref="C35:I35"/>
    <mergeCell ref="F23:G23"/>
    <mergeCell ref="C20:I20"/>
    <mergeCell ref="F28:G28"/>
    <mergeCell ref="H28:I28"/>
    <mergeCell ref="C30:E30"/>
    <mergeCell ref="F27:G27"/>
    <mergeCell ref="H27:I27"/>
    <mergeCell ref="C24:E24"/>
    <mergeCell ref="F8:I8"/>
    <mergeCell ref="H24:I24"/>
    <mergeCell ref="C26:E26"/>
    <mergeCell ref="H23:I23"/>
    <mergeCell ref="C29:E29"/>
    <mergeCell ref="C11:I11"/>
    <mergeCell ref="C25:E25"/>
    <mergeCell ref="H26:I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2026-10-23T04:16:42Z</dcterms:created>
  <dcterms:modified xmlns:dcterms="http://purl.org/dc/terms/" xmlns:xsi="http://www.w3.org/2001/XMLSchema-instance" xsi:type="dcterms:W3CDTF">2026-10-23T04:16:42Z</dcterms:modified>
</cp:coreProperties>
</file>