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Institutional Credit Model</t>
        </is>
      </c>
    </row>
    <row r="3">
      <c r="B3" s="2" t="inlineStr">
        <is>
          <t>Sector: Real Estate | Country: UAE | Rating: BB- / Ba3 | Benchmark: DAMAC 7.25% 2027 @ $101.00 (7.25% YTM / +320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$1.15B cash balance covering total gross debt; 46k homes delivered; negligible 0.29x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DAMAC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318.24</v>
      </c>
      <c r="F26" s="7" t="inlineStr">
        <is>
          <t>7.25%</t>
        </is>
      </c>
      <c r="G26" s="7" t="inlineStr">
        <is>
          <t>$101.00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DAMAC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212.16</v>
      </c>
      <c r="F27" s="7" t="inlineStr">
        <is>
          <t>6.50%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176.8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928.2</v>
      </c>
      <c r="D15" s="8" t="n">
        <v>1119.3</v>
      </c>
      <c r="E15" s="8" t="n">
        <v>1255.8</v>
      </c>
      <c r="F15" s="8" t="n">
        <v>1365</v>
      </c>
      <c r="G15" s="8" t="n">
        <v>1474.2</v>
      </c>
      <c r="H15" s="8" t="n">
        <v>1569.8</v>
      </c>
      <c r="I15" s="8" t="n">
        <v>1638</v>
      </c>
    </row>
    <row r="16">
      <c r="B16" s="7" t="inlineStr">
        <is>
          <t>Completed Ready Property Sales</t>
        </is>
      </c>
      <c r="C16" s="8" t="n">
        <v>314.2</v>
      </c>
      <c r="D16" s="8" t="n">
        <v>378.8</v>
      </c>
      <c r="E16" s="8" t="n">
        <v>425</v>
      </c>
      <c r="F16" s="8" t="n">
        <v>462</v>
      </c>
      <c r="G16" s="8" t="n">
        <v>499</v>
      </c>
      <c r="H16" s="8" t="n">
        <v>531.3</v>
      </c>
      <c r="I16" s="8" t="n">
        <v>554.4</v>
      </c>
    </row>
    <row r="17">
      <c r="B17" s="7" t="inlineStr">
        <is>
          <t>Commercial Leasing &amp; Hospitality</t>
        </is>
      </c>
      <c r="C17" s="8" t="n">
        <v>185.6</v>
      </c>
      <c r="D17" s="8" t="n">
        <v>223.9</v>
      </c>
      <c r="E17" s="8" t="n">
        <v>251.2</v>
      </c>
      <c r="F17" s="8" t="n">
        <v>273</v>
      </c>
      <c r="G17" s="8" t="n">
        <v>294.8</v>
      </c>
      <c r="H17" s="8" t="n">
        <v>313.9</v>
      </c>
      <c r="I17" s="8" t="n">
        <v>327.6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28.7</v>
      </c>
      <c r="D35" s="23" t="n">
        <v>35.4</v>
      </c>
      <c r="E35" s="23" t="n">
        <v>39.8</v>
      </c>
      <c r="F35" s="23" t="n">
        <v>44.2</v>
      </c>
      <c r="G35" s="23" t="n">
        <v>48.6</v>
      </c>
      <c r="H35" s="23" t="n">
        <v>52.2</v>
      </c>
      <c r="I35" s="23" t="n">
        <v>54.8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+$28.7M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+$35.4M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+$39.8M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+$44.2M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+$48.6M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+$52.2M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+$54.8M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-166.6</v>
      </c>
      <c r="D16" s="8" t="n">
        <v>-202.3</v>
      </c>
      <c r="E16" s="8" t="n">
        <v>-226.1</v>
      </c>
      <c r="F16" s="8" t="n">
        <v>-238</v>
      </c>
      <c r="G16" s="8" t="n">
        <v>-249.9</v>
      </c>
      <c r="H16" s="8" t="n">
        <v>-242.8</v>
      </c>
      <c r="I16" s="8" t="n">
        <v>-233.2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280.5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-12.8</v>
      </c>
      <c r="D32" s="8" t="n">
        <v>-26.4</v>
      </c>
      <c r="E32" s="8" t="n">
        <v>-35.8</v>
      </c>
      <c r="F32" s="8" t="n">
        <v>-52.7</v>
      </c>
      <c r="G32" s="8" t="n">
        <v>-46.3</v>
      </c>
      <c r="H32" s="8" t="n">
        <v>-40.5</v>
      </c>
      <c r="I32" s="8" t="n">
        <v>-41.1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DAMAC Benchmark Eurobond Notes</t>
        </is>
      </c>
    </row>
    <row r="7">
      <c r="B7" s="7" t="inlineStr">
        <is>
          <t xml:space="preserve">  Beginning Principal Balance</t>
        </is>
      </c>
      <c r="C7" s="8" t="n">
        <v>270.5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0.0725</f>
        <v/>
      </c>
      <c r="D11" s="8">
        <f>D10 * 0.0725</f>
        <v/>
      </c>
      <c r="E11" s="8">
        <f>E10 * 0.0725</f>
        <v/>
      </c>
      <c r="F11" s="8">
        <f>F10 * 0.0725</f>
        <v/>
      </c>
      <c r="G11" s="8">
        <f>G10 * 0.0725</f>
        <v/>
      </c>
      <c r="H11" s="8">
        <f>H10 * 0.0725</f>
        <v/>
      </c>
      <c r="I11" s="8">
        <f>I10 * 0.0725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330.6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84.90000000000001</v>
      </c>
      <c r="C32" s="8" t="n">
        <v>155.6</v>
      </c>
      <c r="D32" s="8" t="n">
        <v>198</v>
      </c>
      <c r="E32" s="8" t="n">
        <v>127.3</v>
      </c>
      <c r="F32" s="8" t="n">
        <v>84.90000000000001</v>
      </c>
      <c r="G32" s="8" t="n">
        <v>56.6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DAMAC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318.2</v>
      </c>
      <c r="F37" s="29" t="inlineStr">
        <is>
          <t>7.250%</t>
        </is>
      </c>
      <c r="G37" s="30" t="n">
        <v>101</v>
      </c>
      <c r="H37" s="31" t="n">
        <v>7.25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DAMAC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212.2</v>
      </c>
      <c r="F38" s="29" t="inlineStr">
        <is>
          <t>6.600%</t>
        </is>
      </c>
      <c r="G38" s="30" t="n">
        <v>101.5</v>
      </c>
      <c r="H38" s="31" t="n">
        <v>6.6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70.7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DAMAC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198</v>
      </c>
    </row>
    <row r="45">
      <c r="B45" s="7" t="inlineStr">
        <is>
          <t>Drawn Amount ($M)</t>
        </is>
      </c>
      <c r="C45" s="8" t="n">
        <v>70.7</v>
      </c>
    </row>
    <row r="46">
      <c r="B46" s="18" t="inlineStr">
        <is>
          <t>AVAILABLE UNDRAWN HEADROOM ($M)</t>
        </is>
      </c>
      <c r="C46" s="19" t="n">
        <v>127.3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0.29x</t>
        </is>
      </c>
      <c r="E55" s="32" t="inlineStr">
        <is>
          <t>3.21x leverage buffer ($2182.8M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6.94x</t>
        </is>
      </c>
      <c r="E56" s="32" t="inlineStr">
        <is>
          <t>+4.44x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2.8%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-12.9%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-25.7%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176.8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DAMAC Senior Unsecured Eurobonds</t>
        </is>
      </c>
      <c r="C15" s="8" t="n">
        <v>530.4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106.1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282.9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Earnings Presentation &amp; Management Guidance</t>
        </is>
      </c>
    </row>
    <row r="3">
      <c r="B3" s="2" t="inlineStr">
        <is>
          <t>Source: Damac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$748.0M (33.0% margin)</t>
        </is>
      </c>
      <c r="D8" s="35" t="inlineStr">
        <is>
          <t>$734.4M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$748.0M (33.0%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0.29x</t>
        </is>
      </c>
      <c r="E9" s="32" t="inlineStr">
        <is>
          <t>Ahead of Target</t>
        </is>
      </c>
      <c r="F9" s="37" t="inlineStr">
        <is>
          <t>Deleveraging on track with 3.21x buffer below covenant limit.
[QUESTION TO CFO TO VERIFY]: You previously committed to a Net Leverage ceiling of &lt; 3.00x Net Debt / EBITDA. Current actual leverage stands at 0.29x.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$249.9M (Maximum growth and sustaining envelope)</t>
        </is>
      </c>
      <c r="D10" s="35" t="inlineStr">
        <is>
          <t>$229.9M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$249.9M (Maximum growth and sustaining envelope). Current commitments stand at $229.9M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$6720.0M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9,450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$3885.0M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$331.5M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$433.5M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$247.5M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Performance Review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https://www.damacproperties.com/en/investor-relations/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2026-09-20T18:03:24Z</dcterms:created>
  <dcterms:modified xmlns:dcterms="http://purl.org/dc/terms/" xmlns:xsi="http://www.w3.org/2001/XMLSchema-instance" xsi:type="dcterms:W3CDTF">2026-09-20T18:03:24Z</dcterms:modified>
</cp:coreProperties>
</file>