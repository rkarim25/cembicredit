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Net leverage preserved within rating tolerance via presales escrow funding.</t>
      </text>
    </comment>
    <comment ref="D8" authorId="0" shapeId="0">
      <text>
        <t>CEMBI Credit Desk Leverage Commentary (2022A):
Deleveraging begins as cash collections build up in regulated escrow accounts.</t>
      </text>
    </comment>
    <comment ref="E8" authorId="0" shapeId="0">
      <text>
        <t>CEMBI Credit Desk Leverage Commentary (2023A):
Net debt contracts; leverage comfortably below bond covenant thresholds.</t>
      </text>
    </comment>
    <comment ref="F8" authorId="0" shapeId="0">
      <text>
        <t>CEMBI Credit Desk Leverage Commentary (2024A):
Conservative leverage profile providing substantial headroom under all debt incurrence tests.</t>
      </text>
    </comment>
    <comment ref="G8" authorId="0" shapeId="0">
      <text>
        <t>CEMBI Credit Desk Leverage Commentary (2025E):
Net leverage continues downward trajectory toward conservative investment-grade parameters.</t>
      </text>
    </comment>
    <comment ref="H8" authorId="0" shapeId="0">
      <text>
        <t>CEMBI Credit Desk Leverage Commentary (2026E):
Substantial net debt reduction providing full coverage for near-term debt maturities.</t>
      </text>
    </comment>
    <comment ref="I8" authorId="0" shapeId="0">
      <text>
        <t>CEMBI Credit Desk Leverage Commentary (2027E):
Minimal net leverage with net cash position achievable under base-case handover pacing.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Institutional Credit Model</t>
        </is>
      </c>
    </row>
    <row r="3">
      <c r="B3" s="2" t="inlineStr">
        <is>
          <t>Sector: Real Estate | Country: UAE | Rating: BB- / Ba3 | Benchmark: DAMAC 7.25% 2027 @ $101.00 (7.25% YTM / +320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$1.15B cash balance covering total gross debt; 46k homes delivered; negligible 0.29x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DAMAC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318.24</v>
      </c>
      <c r="F26" s="7" t="inlineStr">
        <is>
          <t>7.25%</t>
        </is>
      </c>
      <c r="G26" s="7" t="inlineStr">
        <is>
          <t>$101.00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DAMAC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212.16</v>
      </c>
      <c r="F27" s="7" t="inlineStr">
        <is>
          <t>6.50%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176.8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928.2</v>
      </c>
      <c r="D15" s="8" t="n">
        <v>1119.3</v>
      </c>
      <c r="E15" s="8" t="n">
        <v>1255.8</v>
      </c>
      <c r="F15" s="8" t="n">
        <v>1365</v>
      </c>
      <c r="G15" s="8" t="n">
        <v>1474.2</v>
      </c>
      <c r="H15" s="8" t="n">
        <v>1569.8</v>
      </c>
      <c r="I15" s="8" t="n">
        <v>1638</v>
      </c>
    </row>
    <row r="16">
      <c r="B16" s="7" t="inlineStr">
        <is>
          <t>Completed Ready Property Sales</t>
        </is>
      </c>
      <c r="C16" s="8" t="n">
        <v>314.2</v>
      </c>
      <c r="D16" s="8" t="n">
        <v>378.8</v>
      </c>
      <c r="E16" s="8" t="n">
        <v>425</v>
      </c>
      <c r="F16" s="8" t="n">
        <v>462</v>
      </c>
      <c r="G16" s="8" t="n">
        <v>499</v>
      </c>
      <c r="H16" s="8" t="n">
        <v>531.3</v>
      </c>
      <c r="I16" s="8" t="n">
        <v>554.4</v>
      </c>
    </row>
    <row r="17">
      <c r="B17" s="7" t="inlineStr">
        <is>
          <t>Commercial Leasing &amp; Hospitality</t>
        </is>
      </c>
      <c r="C17" s="8" t="n">
        <v>185.6</v>
      </c>
      <c r="D17" s="8" t="n">
        <v>223.9</v>
      </c>
      <c r="E17" s="8" t="n">
        <v>251.2</v>
      </c>
      <c r="F17" s="8" t="n">
        <v>273</v>
      </c>
      <c r="G17" s="8" t="n">
        <v>294.8</v>
      </c>
      <c r="H17" s="8" t="n">
        <v>313.9</v>
      </c>
      <c r="I17" s="8" t="n">
        <v>327.6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-166.6</v>
      </c>
      <c r="D16" s="8" t="n">
        <v>-202.3</v>
      </c>
      <c r="E16" s="8" t="n">
        <v>-226.1</v>
      </c>
      <c r="F16" s="8" t="n">
        <v>-238</v>
      </c>
      <c r="G16" s="8" t="n">
        <v>-249.9</v>
      </c>
      <c r="H16" s="8" t="n">
        <v>-242.8</v>
      </c>
      <c r="I16" s="8" t="n">
        <v>-233.2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280.5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DAMAC Benchmark Eurobond Notes</t>
        </is>
      </c>
    </row>
    <row r="7">
      <c r="B7" s="7" t="inlineStr">
        <is>
          <t xml:space="preserve">  Beginning Principal Balance</t>
        </is>
      </c>
      <c r="C7" s="8" t="n">
        <v>270.5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0.0725</f>
        <v/>
      </c>
      <c r="D11" s="8">
        <f>D10 * 0.0725</f>
        <v/>
      </c>
      <c r="E11" s="8">
        <f>E10 * 0.0725</f>
        <v/>
      </c>
      <c r="F11" s="8">
        <f>F10 * 0.0725</f>
        <v/>
      </c>
      <c r="G11" s="8">
        <f>G10 * 0.0725</f>
        <v/>
      </c>
      <c r="H11" s="8">
        <f>H10 * 0.0725</f>
        <v/>
      </c>
      <c r="I11" s="8">
        <f>I10 * 0.0725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84.90000000000001</v>
      </c>
      <c r="C32" s="8" t="n">
        <v>155.6</v>
      </c>
      <c r="D32" s="8" t="n">
        <v>198</v>
      </c>
      <c r="E32" s="8" t="n">
        <v>127.3</v>
      </c>
      <c r="F32" s="8" t="n">
        <v>84.90000000000001</v>
      </c>
      <c r="G32" s="8" t="n">
        <v>56.6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DAMAC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318.2</v>
      </c>
      <c r="F37" s="26" t="inlineStr">
        <is>
          <t>7.250%</t>
        </is>
      </c>
      <c r="G37" s="27" t="n">
        <v>101</v>
      </c>
      <c r="H37" s="28" t="n">
        <v>7.25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DAMAC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212.2</v>
      </c>
      <c r="F38" s="26" t="inlineStr">
        <is>
          <t>6.600%</t>
        </is>
      </c>
      <c r="G38" s="27" t="n">
        <v>101.5</v>
      </c>
      <c r="H38" s="28" t="n">
        <v>6.6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106.1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70.7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DAMAC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198</v>
      </c>
    </row>
    <row r="45">
      <c r="B45" s="7" t="inlineStr">
        <is>
          <t>Drawn Amount ($M)</t>
        </is>
      </c>
      <c r="C45" s="8" t="n">
        <v>70.7</v>
      </c>
    </row>
    <row r="46">
      <c r="B46" s="18" t="inlineStr">
        <is>
          <t>AVAILABLE UNDRAWN HEADROOM ($M)</t>
        </is>
      </c>
      <c r="C46" s="19" t="n">
        <v>127.3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3.50x</t>
        </is>
      </c>
      <c r="D55" s="29" t="inlineStr">
        <is>
          <t>0.29x</t>
        </is>
      </c>
      <c r="E55" s="30" t="inlineStr">
        <is>
          <t>3.21x leverage buffer ($2182.8M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6.94x</t>
        </is>
      </c>
      <c r="E56" s="30" t="inlineStr">
        <is>
          <t>+4.44x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2.8% of Assets</t>
        </is>
      </c>
      <c r="E57" s="30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7.25%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+0.0%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9.25%</t>
        </is>
      </c>
      <c r="F7" s="26" t="inlineStr">
        <is>
          <t>3.2x</t>
        </is>
      </c>
      <c r="G7" s="26" t="inlineStr">
        <is>
          <t>$88.00</t>
        </is>
      </c>
      <c r="H7" s="26" t="inlineStr">
        <is>
          <t>-12.9%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$75.00</t>
        </is>
      </c>
      <c r="H8" s="26" t="inlineStr">
        <is>
          <t>-25.7%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5.75%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+4.0%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176.8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DAMAC Senior Unsecured Eurobonds</t>
        </is>
      </c>
      <c r="C15" s="8" t="n">
        <v>530.4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75.0%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106.1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282.9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Earnings Presentation &amp; Management Guidance</t>
        </is>
      </c>
    </row>
    <row r="3">
      <c r="B3" s="2" t="inlineStr">
        <is>
          <t>Source: Damac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3" t="inlineStr">
        <is>
          <t>$2236.5M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$748.0M (33.0% margin)</t>
        </is>
      </c>
      <c r="D8" s="33" t="inlineStr">
        <is>
          <t>$734.4M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3" t="inlineStr">
        <is>
          <t>0.29x</t>
        </is>
      </c>
      <c r="E9" s="30" t="inlineStr">
        <is>
          <t>Ahead of Target</t>
        </is>
      </c>
      <c r="F9" s="35" t="inlineStr">
        <is>
          <t>Deleveraging on track with 3.21x buffer below covenant limit.</t>
        </is>
      </c>
    </row>
    <row r="10">
      <c r="B10" s="9" t="inlineStr">
        <is>
          <t>2025E Strategic Capex Envelope</t>
        </is>
      </c>
      <c r="C10" s="9" t="inlineStr">
        <is>
          <t>$249.9M (Maximum growth and sustaining envelope)</t>
        </is>
      </c>
      <c r="D10" s="33" t="inlineStr">
        <is>
          <t>$229.9M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5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5" t="inlineStr">
        <is>
          <t>$6720.0M active development portfolio under execution</t>
        </is>
      </c>
    </row>
    <row r="17">
      <c r="B17" s="9" t="inlineStr">
        <is>
          <t>Active Residential Units</t>
        </is>
      </c>
      <c r="C17" s="35" t="inlineStr">
        <is>
          <t>9,450 units under construction across master sites</t>
        </is>
      </c>
    </row>
    <row r="18">
      <c r="B18" s="9" t="inlineStr">
        <is>
          <t>Target Handover Schedule</t>
        </is>
      </c>
      <c r="C18" s="35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5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5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5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5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5" t="inlineStr">
        <is>
          <t>$3885.0M to be recognized over 24-36 months of construction</t>
        </is>
      </c>
    </row>
    <row r="30">
      <c r="B30" s="9" t="inlineStr">
        <is>
          <t>Escrow Bank Protection</t>
        </is>
      </c>
      <c r="C30" s="35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5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5" t="inlineStr">
        <is>
          <t>$331.5M in central treasury accounts</t>
        </is>
      </c>
    </row>
    <row r="36">
      <c r="B36" s="9" t="inlineStr">
        <is>
          <t>Restricted Escrow Bank Balances</t>
        </is>
      </c>
      <c r="C36" s="35" t="inlineStr">
        <is>
          <t>$433.5M ring-fenced for specific project construction works</t>
        </is>
      </c>
    </row>
    <row r="37">
      <c r="B37" s="9" t="inlineStr">
        <is>
          <t>Undrawn Committed Bank Rcfs</t>
        </is>
      </c>
      <c r="C37" s="35" t="inlineStr">
        <is>
          <t>$247.5M in bilateral bank revolving credit lines</t>
        </is>
      </c>
    </row>
    <row r="38">
      <c r="B38" s="9" t="inlineStr">
        <is>
          <t>Total Available Liquidity Runway</t>
        </is>
      </c>
      <c r="C38" s="35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2026-09-19T21:34:01Z</dcterms:created>
  <dcterms:modified xmlns:dcterms="http://purl.org/dc/terms/" xmlns:xsi="http://www.w3.org/2001/XMLSchema-instance" xsi:type="dcterms:W3CDTF">2026-09-19T21:34:02Z</dcterms:modified>
</cp:coreProperties>
</file>