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(+$81.9M)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(+$100.8M)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(+$113.4M)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(+$126.0M)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(+$138.6M)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(+$148.7M)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(+$156.2M)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(+$81.9M)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(+$100.8M)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(+$113.4M)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(+$126.0M)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(+$138.6M)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(+$148.7M)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(+$156.2M)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(SECO) — Institutional Credit Model</t>
        </is>
      </c>
    </row>
    <row r="3">
      <c r="B3" s="2" t="inlineStr">
        <is>
          <t>Sector: Utilities | Country: Saudi Arabia | Rating: A1 / A | Benchmark: SECO 4.723% 2028 @ $99.20 (5.15% YTM / +110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Monopoly transmission and distribution grid in Saudi Arabia; explicit sovereign balancing account mechanism.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SECO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14931</v>
      </c>
      <c r="F26" s="7" t="inlineStr">
        <is>
          <t>5.15%</t>
        </is>
      </c>
      <c r="G26" s="7" t="inlineStr">
        <is>
          <t>$99.20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SECO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9954</v>
      </c>
      <c r="F27" s="7" t="inlineStr">
        <is>
          <t>4.40%</t>
        </is>
      </c>
      <c r="G27" s="7" t="inlineStr">
        <is>
          <t>$101.70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8295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10542.7</v>
      </c>
      <c r="D15" s="8" t="n">
        <v>12713.3</v>
      </c>
      <c r="E15" s="8" t="n">
        <v>14263.7</v>
      </c>
      <c r="F15" s="8" t="n">
        <v>15504</v>
      </c>
      <c r="G15" s="8" t="n">
        <v>16744.3</v>
      </c>
      <c r="H15" s="8" t="n">
        <v>17829.6</v>
      </c>
      <c r="I15" s="8" t="n">
        <v>18604.8</v>
      </c>
    </row>
    <row r="16">
      <c r="B16" s="7" t="inlineStr">
        <is>
          <t>Regulated Power Distribution &amp; Grid</t>
        </is>
      </c>
      <c r="C16" s="8" t="n">
        <v>3410.9</v>
      </c>
      <c r="D16" s="8" t="n">
        <v>4113.1</v>
      </c>
      <c r="E16" s="8" t="n">
        <v>4614.7</v>
      </c>
      <c r="F16" s="8" t="n">
        <v>5016</v>
      </c>
      <c r="G16" s="8" t="n">
        <v>5417.3</v>
      </c>
      <c r="H16" s="8" t="n">
        <v>5768.4</v>
      </c>
      <c r="I16" s="8" t="n">
        <v>6019.2</v>
      </c>
    </row>
    <row r="17">
      <c r="B17" s="7" t="inlineStr">
        <is>
          <t>Merchant &amp; Capacity Balancing Services</t>
        </is>
      </c>
      <c r="C17" s="8" t="n">
        <v>1550.4</v>
      </c>
      <c r="D17" s="8" t="n">
        <v>1869.6</v>
      </c>
      <c r="E17" s="8" t="n">
        <v>2097.6</v>
      </c>
      <c r="F17" s="8" t="n">
        <v>2280</v>
      </c>
      <c r="G17" s="8" t="n">
        <v>2462.4</v>
      </c>
      <c r="H17" s="8" t="n">
        <v>2622</v>
      </c>
      <c r="I17" s="8" t="n">
        <v>2736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81.90000000000001</v>
      </c>
      <c r="D35" s="24" t="n">
        <v>100.8</v>
      </c>
      <c r="E35" s="24" t="n">
        <v>113.4</v>
      </c>
      <c r="F35" s="24" t="n">
        <v>126</v>
      </c>
      <c r="G35" s="24" t="n">
        <v>138.6</v>
      </c>
      <c r="H35" s="24" t="n">
        <v>148.7</v>
      </c>
      <c r="I35" s="24" t="n">
        <v>156.2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(+$81.9M)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(+$100.8M)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(+$113.4M)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(+$126.0M)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(+$138.6M)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(+$148.7M)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(+$156.2M)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23256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5426.4</v>
      </c>
      <c r="D36" s="8" t="n">
        <v>5426.4</v>
      </c>
      <c r="E36" s="8" t="n">
        <v>5426.4</v>
      </c>
      <c r="F36" s="8" t="n">
        <v>5426.4</v>
      </c>
      <c r="G36" s="8" t="n">
        <v>5426.4</v>
      </c>
      <c r="H36" s="8" t="n">
        <v>5426.4</v>
      </c>
      <c r="I36" s="8" t="n">
        <v>5426.4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-4408.9</v>
      </c>
      <c r="D16" s="8" t="n">
        <v>-7711.2</v>
      </c>
      <c r="E16" s="8" t="n">
        <v>-8675.1</v>
      </c>
      <c r="F16" s="8" t="n">
        <v>-8211</v>
      </c>
      <c r="G16" s="8" t="n">
        <v>-7461.3</v>
      </c>
      <c r="H16" s="8" t="n">
        <v>-8003.9</v>
      </c>
      <c r="I16" s="8" t="n">
        <v>-8410.9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3465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415.6</v>
      </c>
      <c r="D32" s="8" t="n">
        <v>898.3</v>
      </c>
      <c r="E32" s="8" t="n">
        <v>1024.9</v>
      </c>
      <c r="F32" s="8" t="n">
        <v>637.2</v>
      </c>
      <c r="G32" s="8" t="n">
        <v>648.2</v>
      </c>
      <c r="H32" s="8" t="n">
        <v>657.4</v>
      </c>
      <c r="I32" s="8" t="n">
        <v>660.1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SECO Benchmark Eurobond Notes</t>
        </is>
      </c>
    </row>
    <row r="7">
      <c r="B7" s="7" t="inlineStr">
        <is>
          <t xml:space="preserve">  Beginning Principal Balance</t>
        </is>
      </c>
      <c r="C7" s="8" t="n">
        <v>12691.4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4230.4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2820.3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0.0515</f>
        <v/>
      </c>
      <c r="D11" s="8">
        <f>D10 * 0.0515</f>
        <v/>
      </c>
      <c r="E11" s="8">
        <f>E10 * 0.0515</f>
        <v/>
      </c>
      <c r="F11" s="8">
        <f>F10 * 0.0515</f>
        <v/>
      </c>
      <c r="G11" s="8">
        <f>G10 * 0.0515</f>
        <v/>
      </c>
      <c r="H11" s="8">
        <f>H10 * 0.0515</f>
        <v/>
      </c>
      <c r="I11" s="8">
        <f>I10 * 0.0515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15511.7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3981.6</v>
      </c>
      <c r="C32" s="8" t="n">
        <v>7299.6</v>
      </c>
      <c r="D32" s="8" t="n">
        <v>9290.4</v>
      </c>
      <c r="E32" s="8" t="n">
        <v>5972.4</v>
      </c>
      <c r="F32" s="8" t="n">
        <v>3981.6</v>
      </c>
      <c r="G32" s="8" t="n">
        <v>2654.4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SECO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14931</v>
      </c>
      <c r="F37" s="30" t="inlineStr">
        <is>
          <t>5.150%</t>
        </is>
      </c>
      <c r="G37" s="31" t="n">
        <v>99.2</v>
      </c>
      <c r="H37" s="32" t="n">
        <v>5.15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SECO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9954</v>
      </c>
      <c r="F38" s="30" t="inlineStr">
        <is>
          <t>4.500%</t>
        </is>
      </c>
      <c r="G38" s="31" t="n">
        <v>101.2</v>
      </c>
      <c r="H38" s="32" t="n">
        <v>4.5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4977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3318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SECO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9290.4</v>
      </c>
    </row>
    <row r="45">
      <c r="B45" s="7" t="inlineStr">
        <is>
          <t>Drawn Amount ($M)</t>
        </is>
      </c>
      <c r="C45" s="8" t="n">
        <v>3318</v>
      </c>
    </row>
    <row r="46">
      <c r="B46" s="19" t="inlineStr">
        <is>
          <t>AVAILABLE UNDRAWN HEADROOM ($M)</t>
        </is>
      </c>
      <c r="C46" s="20" t="n">
        <v>5972.4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3.20x</t>
        </is>
      </c>
      <c r="E55" s="33" t="inlineStr">
        <is>
          <t>1.30x leverage buffer ($10920.0M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4.20x</t>
        </is>
      </c>
      <c r="E56" s="33" t="inlineStr">
        <is>
          <t>+1.70x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12.1% of Assets</t>
        </is>
      </c>
      <c r="E57" s="33" t="inlineStr">
        <is>
          <t>$5016.0M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5.15%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7.15%</t>
        </is>
      </c>
      <c r="F7" s="30" t="inlineStr">
        <is>
          <t>3.2x</t>
        </is>
      </c>
      <c r="G7" s="30" t="inlineStr">
        <is>
          <t>$91.50</t>
        </is>
      </c>
      <c r="H7" s="30" t="inlineStr">
        <is>
          <t>-7.8%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$82.00</t>
        </is>
      </c>
      <c r="H8" s="30" t="inlineStr">
        <is>
          <t>-17.3%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3.65%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8295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SECO Senior Unsecured Eurobonds</t>
        </is>
      </c>
      <c r="C15" s="8" t="n">
        <v>24885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82.0%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4977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13272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(SECO) — Earnings Presentation &amp; Management Guidance</t>
        </is>
      </c>
    </row>
    <row r="3">
      <c r="B3" s="2" t="inlineStr">
        <is>
          <t>Source: Saudi Electricity Company (SEC)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$24624.0M (+8.0% YoY growth)</t>
        </is>
      </c>
      <c r="D7" s="36" t="inlineStr">
        <is>
          <t>$24282.0M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$24624.0M (+8.0% YoY growth). With current run-rate at $24282.0M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$9240.0M (37.5% margin)</t>
        </is>
      </c>
      <c r="D8" s="36" t="inlineStr">
        <is>
          <t>$9072.0M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$9240.0M (37.5%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3.20x</t>
        </is>
      </c>
      <c r="E9" s="33" t="inlineStr">
        <is>
          <t>Ahead of Target</t>
        </is>
      </c>
      <c r="F9" s="38" t="inlineStr">
        <is>
          <t>Deleveraging on track with 1.30x buffer below covenant limit.
[QUESTION TO CFO TO VERIFY]: You previously committed to a Net Leverage ceiling of &lt; 4.00x Net Debt / EBITDA. Current actual leverage stands at 3.20x.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$3087.0M (Maximum growth and sustaining envelope)</t>
        </is>
      </c>
      <c r="D10" s="36" t="inlineStr">
        <is>
          <t>$2840.0M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$3087.0M (Maximum growth and sustaining envelope). Current commitments stand at $2840.0M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$10290.0M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$410400.0M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$6300.0M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$13272.0M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https://www.google.com/finance/quote/SECO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2026-09-30T04:16:28Z</dcterms:created>
  <dcterms:modified xmlns:dcterms="http://purl.org/dc/terms/" xmlns:xsi="http://www.w3.org/2001/XMLSchema-instance" xsi:type="dcterms:W3CDTF">2026-09-30T04:16:28Z</dcterms:modified>
</cp:coreProperties>
</file>