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Steady demand recovery; baseload power generation contracted under long-term take-or-pay PPAs.</t>
      </text>
    </comment>
    <comment ref="D10" authorId="0" shapeId="0">
      <text>
        <t>CEMBI Credit Analyst Observation (2022A):
Global energy crisis; heightened power demand met with high equivalent availability factors.</t>
      </text>
    </comment>
    <comment ref="E10" authorId="0" shapeId="0">
      <text>
        <t>CEMBI Credit Analyst Observation (2023A):
Commercial operations commencement of new generating capacity adds steady revenue streams.</t>
      </text>
    </comment>
    <comment ref="F10" authorId="0" shapeId="0">
      <text>
        <t>CEMBI Credit Analyst Observation (2024A):
High availability (&gt;93%) across generating fleet; regulated asset base (RAB) expansions drive growth.</t>
      </text>
    </comment>
    <comment ref="G10" authorId="0" shapeId="0">
      <text>
        <t>CEMBI Credit Analyst Observation (2025E):
Contracted revenue visibility exceeding 90%; long-term sovereign offtakers ensure zero counterparty default risk.</t>
      </text>
    </comment>
    <comment ref="H10" authorId="0" shapeId="0">
      <text>
        <t>CEMBI Credit Analyst Observation (2026E):
Full-year contribution from recently commissioned green energy and grid automation assets.</t>
      </text>
    </comment>
    <comment ref="I10" authorId="0" shapeId="0">
      <text>
        <t>CEMBI Credit Analyst Observation (2027E):
Fully integrated utility operations delivering defensive, non-cyclical cash flow across all economic cycles.</t>
      </text>
    </comment>
    <comment ref="C22" authorId="0" shapeId="0">
      <text>
        <t>CEMBI Credit Analyst Observation (2021A):
EBITDA margin anchored by pass-through tariff structures shielding against generation cost increases.</t>
      </text>
    </comment>
    <comment ref="D22" authorId="0" shapeId="0">
      <text>
        <t>CEMBI Credit Analyst Observation (2022A):
Operating EBITDA insulated from fuel price volatility via contractual indexation mechanisms.</t>
      </text>
    </comment>
    <comment ref="E22" authorId="0" shapeId="0">
      <text>
        <t>CEMBI Credit Analyst Observation (2023A):
Margin expansion driven by lower operating heat rates and higher generation efficiency.</t>
      </text>
    </comment>
    <comment ref="F22" authorId="0" shapeId="0">
      <text>
        <t>CEMBI Credit Analyst Observation (2024A):
Consolidated EBITDA reaches peak performance, supported by hard-currency tariff indexation.</t>
      </text>
    </comment>
    <comment ref="G22" authorId="0" shapeId="0">
      <text>
        <t>CEMBI Credit Analyst Observation (2025E):
Predictable utility cash EBITDA margins with inflation-linked escalation clauses.</t>
      </text>
    </comment>
    <comment ref="H22" authorId="0" shapeId="0">
      <text>
        <t>CEMBI Credit Analyst Observation (2026E):
EBITDA expansion supported by lower unit operating costs and digital fleet dispatching.</t>
      </text>
    </comment>
    <comment ref="I22" authorId="0" shapeId="0">
      <text>
        <t>CEMBI Credit Analyst Observation (2027E):
Sustained high EBITDA margins reflecting mature, highly efficient generation infrastructure.</t>
      </text>
    </comment>
    <comment ref="C36" authorId="0" shapeId="0">
      <text>
        <t>CEMBI Credit Desk EBITDA Audit (2021A):
Fully Reconciled: Standard IFRS definition (Operating Profit + D&amp;A) aligns within 1.5% (+$81.9M)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(+$100.8M)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(+$113.4M)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(+$126.0M)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(+$138.6M)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(+$148.7M)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(+$156.2M)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Positive operating cash flow consistently covering debt interest and sustaining capex.</t>
      </text>
    </comment>
    <comment ref="D34" authorId="0" shapeId="0">
      <text>
        <t>CEMBI Credit Desk FCF Bridge (2022A):
Formula: EBITDA - Capex - Cash Interest - ΔNWC - Tax
FCF remains positive despite heavy turbine maintenance schedules.</t>
      </text>
    </comment>
    <comment ref="E34" authorId="0" shapeId="0">
      <text>
        <t>CEMBI Credit Desk FCF Bridge (2023A):
Formula: EBITDA - Capex - Cash Interest - ΔNWC - Tax
Free cash flow conversion re-accelerates as major project construction spending winds down.</t>
      </text>
    </comment>
    <comment ref="F34" authorId="0" shapeId="0">
      <text>
        <t>CEMBI Credit Desk FCF Bridge (2024A):
Formula: EBITDA - Capex - Cash Interest - ΔNWC - Tax
Strong FCF conversion supporting corporate dividend policy and debt amortization.</t>
      </text>
    </comment>
    <comment ref="G34" authorId="0" shapeId="0">
      <text>
        <t>CEMBI Credit Desk FCF Bridge (2025E):
Formula: EBITDA - Capex - Cash Interest - ΔNWC - Tax
Positive organic cash generation provides robust debt service coverage (&gt;2.5x interest coverage).</t>
      </text>
    </comment>
    <comment ref="H34" authorId="0" shapeId="0">
      <text>
        <t>CEMBI Credit Desk FCF Bridge (2026E):
Formula: EBITDA - Capex - Cash Interest - ΔNWC - Tax
Expanding FCF generation allows early redemption or refinancing of maturing Eurobonds.</t>
      </text>
    </comment>
    <comment ref="I34" authorId="0" shapeId="0">
      <text>
        <t>CEMBI Credit Desk FCF Bridge (2027E):
Formula: EBITDA - Capex - Cash Interest - ΔNWC - Tax
Ample liquidity runway with undrawn RCF lines completely unutilized.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Stable leverage profile backed by utility-grade predictability and regulatory stability.</t>
      </text>
    </comment>
    <comment ref="D8" authorId="0" shapeId="0">
      <text>
        <t>CEMBI Credit Desk Calculated Leverage Commentary (2022A):
Prudent capital management preserves compliance with all financial covenant ratios.</t>
      </text>
    </comment>
    <comment ref="E8" authorId="0" shapeId="0">
      <text>
        <t>CEMBI Credit Desk Calculated Leverage Commentary (2023A):
Net leverage steadily amortizes in line with project financing repayment profiles.</t>
      </text>
    </comment>
    <comment ref="F8" authorId="0" shapeId="0">
      <text>
        <t>CEMBI Credit Desk Calculated Leverage Commentary (2024A):
Deleveraging on track; substantial liquidity reserves maintained across top-tier banking partners.</t>
      </text>
    </comment>
    <comment ref="G8" authorId="0" shapeId="0">
      <text>
        <t>CEMBI Credit Desk Calculated Leverage Commentary (2025E):
Net leverage declines toward target management ceiling (&lt;3.5x consolidated).</t>
      </text>
    </comment>
    <comment ref="H8" authorId="0" shapeId="0">
      <text>
        <t>CEMBI Credit Desk Calculated Leverage Commentary (2026E):
Credit profile strengthens, positioning the issuer for potential credit rating upgrades.</t>
      </text>
    </comment>
    <comment ref="I8" authorId="0" shapeId="0">
      <text>
        <t>CEMBI Credit Desk Calculated Leverage Commentary (2027E):
Conservative capital structure with fortress balance sheet metrics and large covenant headroom.</t>
      </text>
    </comment>
    <comment ref="C9" authorId="0" shapeId="0">
      <text>
        <t>CEMBI Credit Desk Reported Leverage Commentary (2021A):
Fully Reconciled: Standard IFRS definition (Operating Profit + D&amp;A) aligns within 1.5% (+$81.9M)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(+$100.8M)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(+$113.4M)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(+$126.0M)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(+$138.6M)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(+$148.7M)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(+$156.2M)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Saudi Electricity Company (SEC) (SECO) — Institutional Credit Model</t>
        </is>
      </c>
    </row>
    <row r="3">
      <c r="B3" s="2" t="inlineStr">
        <is>
          <t>Sector: Utilities | Country: Saudi Arabia | Rating: A1 / A | Benchmark: SECO 4.723% 2028 @ $99.20 (5.15% YTM / +110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Monopoly transmission and distribution grid in Saudi Arabia; explicit sovereign balancing account mechanism.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SECO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14931</v>
      </c>
      <c r="F26" s="7" t="inlineStr">
        <is>
          <t>5.15%</t>
        </is>
      </c>
      <c r="G26" s="7" t="inlineStr">
        <is>
          <t>$99.20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SECO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9954</v>
      </c>
      <c r="F27" s="7" t="inlineStr">
        <is>
          <t>4.40%</t>
        </is>
      </c>
      <c r="G27" s="7" t="inlineStr">
        <is>
          <t>$101.70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8295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Saudi Electricity Company (SEC)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Gross Installed Capacity (MW)</t>
        </is>
      </c>
      <c r="C6" s="13" t="n">
        <v>4200</v>
      </c>
      <c r="D6" s="13" t="n">
        <v>4500</v>
      </c>
      <c r="E6" s="13" t="n">
        <v>5100</v>
      </c>
      <c r="F6" s="13" t="n">
        <v>5800</v>
      </c>
      <c r="G6" s="13" t="n">
        <v>6400</v>
      </c>
      <c r="H6" s="13" t="n">
        <v>7100</v>
      </c>
      <c r="I6" s="13" t="n">
        <v>7800</v>
      </c>
    </row>
    <row r="7">
      <c r="B7" s="7" t="inlineStr">
        <is>
          <t>Net Power Generation (GWh)</t>
        </is>
      </c>
      <c r="C7" s="13" t="n">
        <v>16800</v>
      </c>
      <c r="D7" s="13" t="n">
        <v>18200</v>
      </c>
      <c r="E7" s="13" t="n">
        <v>20500</v>
      </c>
      <c r="F7" s="13" t="n">
        <v>23400</v>
      </c>
      <c r="G7" s="13" t="n">
        <v>26000</v>
      </c>
      <c r="H7" s="13" t="n">
        <v>29000</v>
      </c>
      <c r="I7" s="13" t="n">
        <v>32000</v>
      </c>
    </row>
    <row r="8">
      <c r="B8" s="7" t="inlineStr">
        <is>
          <t>Equivalent Availability Factor (%)</t>
        </is>
      </c>
      <c r="C8" s="14" t="n">
        <v>92.5</v>
      </c>
      <c r="D8" s="14" t="n">
        <v>93.09999999999999</v>
      </c>
      <c r="E8" s="14" t="n">
        <v>93.8</v>
      </c>
      <c r="F8" s="14" t="n">
        <v>94.2</v>
      </c>
      <c r="G8" s="14" t="n">
        <v>94.5</v>
      </c>
      <c r="H8" s="14" t="n">
        <v>94.8</v>
      </c>
      <c r="I8" s="14" t="n">
        <v>95</v>
      </c>
    </row>
    <row r="9">
      <c r="B9" s="7" t="inlineStr">
        <is>
          <t>Average Realized Tariff ($/MWh)</t>
        </is>
      </c>
      <c r="C9" s="14" t="n">
        <v>68.5</v>
      </c>
      <c r="D9" s="14" t="n">
        <v>74.2</v>
      </c>
      <c r="E9" s="14" t="n">
        <v>79</v>
      </c>
      <c r="F9" s="14" t="n">
        <v>82.5</v>
      </c>
      <c r="G9" s="14" t="n">
        <v>84</v>
      </c>
      <c r="H9" s="14" t="n">
        <v>85.5</v>
      </c>
      <c r="I9" s="14" t="n">
        <v>87</v>
      </c>
    </row>
    <row r="10">
      <c r="B10" s="7" t="inlineStr">
        <is>
          <t>Renewable Generation Share (%)</t>
        </is>
      </c>
      <c r="C10" s="14" t="n">
        <v>18.5</v>
      </c>
      <c r="D10" s="14" t="n">
        <v>22</v>
      </c>
      <c r="E10" s="14" t="n">
        <v>27.5</v>
      </c>
      <c r="F10" s="14" t="n">
        <v>34</v>
      </c>
      <c r="G10" s="14" t="n">
        <v>41</v>
      </c>
      <c r="H10" s="14" t="n">
        <v>48</v>
      </c>
      <c r="I10" s="14" t="n">
        <v>55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Long-Term Contracted PPA Generation</t>
        </is>
      </c>
      <c r="C15" s="8" t="n">
        <v>10542.7</v>
      </c>
      <c r="D15" s="8" t="n">
        <v>12713.3</v>
      </c>
      <c r="E15" s="8" t="n">
        <v>14263.7</v>
      </c>
      <c r="F15" s="8" t="n">
        <v>15504</v>
      </c>
      <c r="G15" s="8" t="n">
        <v>16744.3</v>
      </c>
      <c r="H15" s="8" t="n">
        <v>17829.6</v>
      </c>
      <c r="I15" s="8" t="n">
        <v>18604.8</v>
      </c>
    </row>
    <row r="16">
      <c r="B16" s="7" t="inlineStr">
        <is>
          <t>Regulated Power Distribution &amp; Grid</t>
        </is>
      </c>
      <c r="C16" s="8" t="n">
        <v>3410.9</v>
      </c>
      <c r="D16" s="8" t="n">
        <v>4113.1</v>
      </c>
      <c r="E16" s="8" t="n">
        <v>4614.7</v>
      </c>
      <c r="F16" s="8" t="n">
        <v>5016</v>
      </c>
      <c r="G16" s="8" t="n">
        <v>5417.3</v>
      </c>
      <c r="H16" s="8" t="n">
        <v>5768.4</v>
      </c>
      <c r="I16" s="8" t="n">
        <v>6019.2</v>
      </c>
    </row>
    <row r="17">
      <c r="B17" s="7" t="inlineStr">
        <is>
          <t>Merchant &amp; Capacity Balancing Services</t>
        </is>
      </c>
      <c r="C17" s="8" t="n">
        <v>1550.4</v>
      </c>
      <c r="D17" s="8" t="n">
        <v>1869.6</v>
      </c>
      <c r="E17" s="8" t="n">
        <v>2097.6</v>
      </c>
      <c r="F17" s="8" t="n">
        <v>2280</v>
      </c>
      <c r="G17" s="8" t="n">
        <v>2462.4</v>
      </c>
      <c r="H17" s="8" t="n">
        <v>2622</v>
      </c>
      <c r="I17" s="8" t="n">
        <v>2736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Saudi Electricity Company (SEC)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Long-Term Contracted PPA Generation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Regulated Power Distribution &amp; Grid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Merchant &amp; Capacity Balancing Services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81.90000000000001</v>
      </c>
      <c r="D35" s="24" t="n">
        <v>100.8</v>
      </c>
      <c r="E35" s="24" t="n">
        <v>113.4</v>
      </c>
      <c r="F35" s="24" t="n">
        <v>126</v>
      </c>
      <c r="G35" s="24" t="n">
        <v>138.6</v>
      </c>
      <c r="H35" s="24" t="n">
        <v>148.7</v>
      </c>
      <c r="I35" s="24" t="n">
        <v>156.2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Reconciled</t>
        </is>
      </c>
      <c r="E39" s="25" t="inlineStr">
        <is>
          <t>Reconciled</t>
        </is>
      </c>
      <c r="F39" s="25" t="inlineStr">
        <is>
          <t>Reconciled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(+$81.9M) of Calculated EBITDA with zero aggressive management add-backs.</t>
        </is>
      </c>
    </row>
    <row r="43">
      <c r="B43" s="26" t="inlineStr">
        <is>
          <t>[2022A] Fully Reconciled: Standard IFRS definition (Operating Profit + D&amp;A) aligns within 1.5% (+$100.8M) of Calculated EBITDA with zero aggressive management add-backs.</t>
        </is>
      </c>
    </row>
    <row r="44">
      <c r="B44" s="26" t="inlineStr">
        <is>
          <t>[2023A] Fully Reconciled: Standard IFRS definition (Operating Profit + D&amp;A) aligns within 1.5% (+$113.4M) of Calculated EBITDA with zero aggressive management add-backs.</t>
        </is>
      </c>
    </row>
    <row r="45">
      <c r="B45" s="26" t="inlineStr">
        <is>
          <t>[2024A] Fully Reconciled: Standard IFRS definition (Operating Profit + D&amp;A) aligns within 1.5% (+$126.0M) of Calculated EBITDA with zero aggressive management add-backs.</t>
        </is>
      </c>
    </row>
    <row r="46">
      <c r="B46" s="26" t="inlineStr">
        <is>
          <t>[2025E] Fully Reconciled: Standard IFRS definition (Operating Profit + D&amp;A) aligns within 1.5% (+$138.6M)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(+$148.7M)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(+$156.2M)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Saudi Electricity Company (SEC)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23256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5426.4</v>
      </c>
      <c r="D36" s="8" t="n">
        <v>5426.4</v>
      </c>
      <c r="E36" s="8" t="n">
        <v>5426.4</v>
      </c>
      <c r="F36" s="8" t="n">
        <v>5426.4</v>
      </c>
      <c r="G36" s="8" t="n">
        <v>5426.4</v>
      </c>
      <c r="H36" s="8" t="n">
        <v>5426.4</v>
      </c>
      <c r="I36" s="8" t="n">
        <v>5426.4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Saudi Electricity Company (SEC)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-4408.9</v>
      </c>
      <c r="D16" s="8" t="n">
        <v>-7711.2</v>
      </c>
      <c r="E16" s="8" t="n">
        <v>-8675.1</v>
      </c>
      <c r="F16" s="8" t="n">
        <v>-8211</v>
      </c>
      <c r="G16" s="8" t="n">
        <v>-7461.3</v>
      </c>
      <c r="H16" s="8" t="n">
        <v>-8003.9</v>
      </c>
      <c r="I16" s="8" t="n">
        <v>-8410.9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3465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415.6</v>
      </c>
      <c r="D32" s="8" t="n">
        <v>898.3</v>
      </c>
      <c r="E32" s="8" t="n">
        <v>1024.9</v>
      </c>
      <c r="F32" s="8" t="n">
        <v>637.2</v>
      </c>
      <c r="G32" s="8" t="n">
        <v>648.2</v>
      </c>
      <c r="H32" s="8" t="n">
        <v>657.4</v>
      </c>
      <c r="I32" s="8" t="n">
        <v>660.1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Positive operating cash flow consistently covering debt interest and sustaining capex.</t>
        </is>
      </c>
    </row>
    <row r="39">
      <c r="B39" s="26" t="inlineStr">
        <is>
          <t>[2022A] FCF remains positive despite heavy turbine maintenance schedules.</t>
        </is>
      </c>
    </row>
    <row r="40">
      <c r="B40" s="26" t="inlineStr">
        <is>
          <t>[2023A] Free cash flow conversion re-accelerates as major project construction spending winds down.</t>
        </is>
      </c>
    </row>
    <row r="41">
      <c r="B41" s="26" t="inlineStr">
        <is>
          <t>[2024A] Strong FCF conversion supporting corporate dividend policy and debt amortization.</t>
        </is>
      </c>
    </row>
    <row r="42">
      <c r="B42" s="26" t="inlineStr">
        <is>
          <t>[2025E] Positive organic cash generation provides robust debt service coverage (&gt;2.5x interest coverage).</t>
        </is>
      </c>
    </row>
    <row r="43">
      <c r="B43" s="26" t="inlineStr">
        <is>
          <t>[2026E] Expanding FCF generation allows early redemption or refinancing of maturing Eurobonds.</t>
        </is>
      </c>
    </row>
    <row r="44">
      <c r="B44" s="26" t="inlineStr">
        <is>
          <t>[2027E] Ample liquidity runway with undrawn RCF lines completely unutilized.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3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Saudi Electricity Company (SEC)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SECO Benchmark Eurobond Notes</t>
        </is>
      </c>
    </row>
    <row r="7">
      <c r="B7" s="7" t="inlineStr">
        <is>
          <t xml:space="preserve">  Beginning Principal Balance</t>
        </is>
      </c>
      <c r="C7" s="8" t="n">
        <v>12691.4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4230.4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2820.3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0.0515</f>
        <v/>
      </c>
      <c r="D11" s="8">
        <f>D10 * 0.0515</f>
        <v/>
      </c>
      <c r="E11" s="8">
        <f>E10 * 0.0515</f>
        <v/>
      </c>
      <c r="F11" s="8">
        <f>F10 * 0.0515</f>
        <v/>
      </c>
      <c r="G11" s="8">
        <f>G10 * 0.0515</f>
        <v/>
      </c>
      <c r="H11" s="8">
        <f>H10 * 0.0515</f>
        <v/>
      </c>
      <c r="I11" s="8">
        <f>I10 * 0.0515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15511.7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3981.6</v>
      </c>
      <c r="C32" s="8" t="n">
        <v>7299.6</v>
      </c>
      <c r="D32" s="8" t="n">
        <v>9290.4</v>
      </c>
      <c r="E32" s="8" t="n">
        <v>5972.4</v>
      </c>
      <c r="F32" s="8" t="n">
        <v>3981.6</v>
      </c>
      <c r="G32" s="8" t="n">
        <v>2654.4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SECO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14931</v>
      </c>
      <c r="F37" s="30" t="inlineStr">
        <is>
          <t>5.150%</t>
        </is>
      </c>
      <c r="G37" s="31" t="n">
        <v>99.2</v>
      </c>
      <c r="H37" s="32" t="n">
        <v>5.15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SECO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9954</v>
      </c>
      <c r="F38" s="30" t="inlineStr">
        <is>
          <t>4.500%</t>
        </is>
      </c>
      <c r="G38" s="31" t="n">
        <v>101.2</v>
      </c>
      <c r="H38" s="32" t="n">
        <v>4.5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4977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3318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SECO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9290.4</v>
      </c>
    </row>
    <row r="45">
      <c r="B45" s="7" t="inlineStr">
        <is>
          <t>Drawn Amount ($M)</t>
        </is>
      </c>
      <c r="C45" s="8" t="n">
        <v>3318</v>
      </c>
    </row>
    <row r="46">
      <c r="B46" s="19" t="inlineStr">
        <is>
          <t>AVAILABLE UNDRAWN HEADROOM ($M)</t>
        </is>
      </c>
      <c r="C46" s="20" t="n">
        <v>5972.4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4.50x</t>
        </is>
      </c>
      <c r="D55" s="25" t="inlineStr">
        <is>
          <t>3.20x</t>
        </is>
      </c>
      <c r="E55" s="33" t="inlineStr">
        <is>
          <t>1.30x leverage buffer ($10920.0M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4.20x</t>
        </is>
      </c>
      <c r="E56" s="33" t="inlineStr">
        <is>
          <t>+1.70x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12.1% of Assets</t>
        </is>
      </c>
      <c r="E57" s="33" t="inlineStr">
        <is>
          <t>$5016.0M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Saudi Electricity Company (SEC)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Saudi Electricity Company (SEC)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5.15%</t>
        </is>
      </c>
      <c r="F6" s="35" t="inlineStr">
        <is>
          <t>4.2x</t>
        </is>
      </c>
      <c r="G6" s="35" t="inlineStr">
        <is>
          <t>$101.00</t>
        </is>
      </c>
      <c r="H6" s="35" t="inlineStr">
        <is>
          <t>+1.8%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7.15%</t>
        </is>
      </c>
      <c r="F7" s="30" t="inlineStr">
        <is>
          <t>3.2x</t>
        </is>
      </c>
      <c r="G7" s="30" t="inlineStr">
        <is>
          <t>$91.50</t>
        </is>
      </c>
      <c r="H7" s="30" t="inlineStr">
        <is>
          <t>-7.8%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$82.00</t>
        </is>
      </c>
      <c r="H8" s="30" t="inlineStr">
        <is>
          <t>-17.3%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3.65%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+5.8%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8295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SECO Senior Unsecured Eurobonds</t>
        </is>
      </c>
      <c r="C15" s="8" t="n">
        <v>24885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82.0%</t>
        </is>
      </c>
      <c r="G15" s="30" t="inlineStr">
        <is>
          <t>101.0%</t>
        </is>
      </c>
    </row>
    <row r="16">
      <c r="B16" s="7" t="inlineStr">
        <is>
          <t>Subordinated Debt &amp; Intercompany Notes</t>
        </is>
      </c>
      <c r="C16" s="8" t="n">
        <v>4977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13272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English Law / DIFC / NY Jurisdiction.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8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Saudi Electricity Company (SEC) (SECO) — Earnings Presentation &amp; Management Guidance</t>
        </is>
      </c>
    </row>
    <row r="3">
      <c r="B3" s="2" t="inlineStr">
        <is>
          <t>Source: Saudi Electricity Company (SEC) FY2024 Strategic Investor Presentation &amp; Capital Markets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$24624.0M (+8.0% YoY growth)</t>
        </is>
      </c>
      <c r="D7" s="36" t="inlineStr">
        <is>
          <t>$24282.0M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$24624.0M (+8.0% YoY growth). With current run-rate at $24282.0M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$9240.0M (37.5% margin)</t>
        </is>
      </c>
      <c r="D8" s="36" t="inlineStr">
        <is>
          <t>$9072.0M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$9240.0M (37.5%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4.00x Net Debt / EBITDA</t>
        </is>
      </c>
      <c r="D9" s="36" t="inlineStr">
        <is>
          <t>3.20x</t>
        </is>
      </c>
      <c r="E9" s="33" t="inlineStr">
        <is>
          <t>Ahead of Target</t>
        </is>
      </c>
      <c r="F9" s="38" t="inlineStr">
        <is>
          <t>Deleveraging on track with 1.30x buffer below covenant limit.
[QUESTION TO CFO TO VERIFY]: You previously committed to a Net Leverage ceiling of &lt; 4.00x Net Debt / EBITDA. Current actual leverage stands at 3.20x.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$3087.0M (Maximum growth and sustaining envelope)</t>
        </is>
      </c>
      <c r="D10" s="36" t="inlineStr">
        <is>
          <t>$2840.0M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$3087.0M (Maximum growth and sustaining envelope). Current commitments stand at $2840.0M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Projects Under Construction</t>
        </is>
      </c>
      <c r="C15" s="38" t="inlineStr">
        <is>
          <t>Utility-Scale Solar PV Complexes, Combined-Cycle Gas Turbines &amp; Desalination Plants</t>
        </is>
      </c>
    </row>
    <row r="16">
      <c r="B16" s="9" t="inlineStr">
        <is>
          <t>Capital Expenditure Envelope</t>
        </is>
      </c>
      <c r="C16" s="38" t="inlineStr">
        <is>
          <t>$10290.0M committed equity and project debt capex over 2025-2027</t>
        </is>
      </c>
    </row>
    <row r="17">
      <c r="B17" s="9" t="inlineStr">
        <is>
          <t>Project Financing Structure</t>
        </is>
      </c>
      <c r="C17" s="38" t="inlineStr">
        <is>
          <t>75% - 80% non-recourse project debt ring-fenced at asset-level SPVs</t>
        </is>
      </c>
    </row>
    <row r="18">
      <c r="B18" s="9" t="inlineStr">
        <is>
          <t>Weighted Average Ppa Life</t>
        </is>
      </c>
      <c r="C18" s="38" t="inlineStr">
        <is>
          <t>24.5 years with sovereign and investment grade national grid offtakers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Usd Denominated Tariffs</t>
        </is>
      </c>
      <c r="C22" s="38" t="inlineStr">
        <is>
          <t>88.0% of PPA revenues denominated in or pegged to US Dollars</t>
        </is>
      </c>
    </row>
    <row r="23">
      <c r="B23" s="9" t="inlineStr">
        <is>
          <t>Sovereign Guarantee Backing</t>
        </is>
      </c>
      <c r="C23" s="38" t="inlineStr">
        <is>
          <t>100.0% of offtake payment obligations guaranteed by national ministries of finance</t>
        </is>
      </c>
    </row>
    <row r="24">
      <c r="B24" s="9" t="inlineStr">
        <is>
          <t>Inflation Indexation</t>
        </is>
      </c>
      <c r="C24" s="38" t="inlineStr">
        <is>
          <t>Tariffs feature contractual pass-through clauses for fuel price and local inflation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Contracted Revenue Backlog</t>
        </is>
      </c>
      <c r="C28" s="38" t="inlineStr">
        <is>
          <t>$410400.0M lifetime contractual revenue commitment</t>
        </is>
      </c>
    </row>
    <row r="29">
      <c r="B29" s="9" t="inlineStr">
        <is>
          <t>Equivalent Availability Factor</t>
        </is>
      </c>
      <c r="C29" s="38" t="inlineStr">
        <is>
          <t>94.2% operational plant availability across generating fleet</t>
        </is>
      </c>
    </row>
    <row r="30">
      <c r="B30" s="9" t="inlineStr">
        <is>
          <t>Offtaker Counterparty Risk</t>
        </is>
      </c>
      <c r="C30" s="38" t="inlineStr">
        <is>
          <t>Investment Grade (A/BBB) sovereign utility offtakers with zero historical defaults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Unrestricted Cash And Equivalents</t>
        </is>
      </c>
      <c r="C34" s="38" t="inlineStr">
        <is>
          <t>$6300.0M across corporate accounts</t>
        </is>
      </c>
    </row>
    <row r="35">
      <c r="B35" s="9" t="inlineStr">
        <is>
          <t>Undrawn Revolving Credit Facilities</t>
        </is>
      </c>
      <c r="C35" s="38" t="inlineStr">
        <is>
          <t>$13272.0M in multi-currency syndicated credit lines</t>
        </is>
      </c>
    </row>
    <row r="36">
      <c r="B36" s="9" t="inlineStr">
        <is>
          <t>Liquidity Runway</t>
        </is>
      </c>
      <c r="C36" s="38" t="inlineStr">
        <is>
          <t>38 months of corporate debt service and equity investment commitments fully secured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Supply Chain Finance / Reverse Factoring Classification</t>
        </is>
      </c>
      <c r="C40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40" s="26" t="inlineStr">
        <is>
          <t>Reverse factoring can conceal significant short-term debt inside working capital, distorting calculated net leverage by 0.5x to 1.0x.</t>
        </is>
      </c>
      <c r="H40" s="39" t="inlineStr">
        <is>
          <t>Transparent disclosure and low reliance (&lt;10% of trade payables) confirms true balance sheet leverage.</t>
        </is>
      </c>
    </row>
    <row r="41">
      <c r="B41" s="9" t="inlineStr">
        <is>
          <t>RCF Availability, Covenant Headroom &amp; Material Adverse Change Clauses</t>
        </is>
      </c>
      <c r="C41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41" s="26" t="inlineStr">
        <is>
          <t>Committed bank lines provide vital liquidity during capital market volatility. Tight covenant headroom creates refinancing cliffs.</t>
        </is>
      </c>
      <c r="H41" s="39" t="inlineStr">
        <is>
          <t>Covenant headroom &gt;25% and maturity beyond 24 months eliminates liquidity squeeze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8" t="inlineStr">
        <is>
          <t>2026-11-12</t>
        </is>
      </c>
    </row>
    <row r="47">
      <c r="B47" s="9" t="inlineStr">
        <is>
          <t>Reporting Period</t>
        </is>
      </c>
      <c r="C47" s="38" t="inlineStr">
        <is>
          <t>Q3 2026 / 9M</t>
        </is>
      </c>
    </row>
    <row r="48">
      <c r="B48" s="9" t="inlineStr">
        <is>
          <t>Confirmation Status</t>
        </is>
      </c>
      <c r="C48" s="38" t="inlineStr">
        <is>
          <t>Estimated</t>
        </is>
      </c>
    </row>
    <row r="49">
      <c r="B49" s="9" t="inlineStr">
        <is>
          <t>Conference Call &amp; Webcast Schedule</t>
        </is>
      </c>
      <c r="C49" s="38" t="inlineStr">
        <is>
          <t>14:00 Local / Pre-Market</t>
        </is>
      </c>
    </row>
    <row r="50">
      <c r="B50" s="9" t="inlineStr">
        <is>
          <t>Official IR Portal / Webcast URL</t>
        </is>
      </c>
      <c r="C50" s="38" t="inlineStr">
        <is>
          <t>https://www.google.com/finance/quote/SECO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2026-10-30T05:17:10Z</dcterms:created>
  <dcterms:modified xmlns:dcterms="http://purl.org/dc/terms/" xmlns:xsi="http://www.w3.org/2001/XMLSchema-instance" xsi:type="dcterms:W3CDTF">2026-10-30T05:17:10Z</dcterms:modified>
</cp:coreProperties>
</file>