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Saudi Electricity Company (SEC)</t>
        </is>
      </c>
    </row>
    <row r="3">
      <c r="B3" s="2" t="inlineStr">
        <is>
          <t>CEMBI CEEMEA Institutional Credit Assessment | Country: Saudi Arabia (GCC) | Sector: Utilities | Benchmark: SECO 4.723% 2028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SECO 4.723% 2028</t>
        </is>
      </c>
      <c r="C6" s="5" t="inlineStr">
        <is>
          <t>5.15% (+110 bp)</t>
        </is>
      </c>
      <c r="D6" s="4" t="inlineStr">
        <is>
          <t>A1 / A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Monopoly transmission and distribution grid in Saudi Arabia; explicit sovereign balancing account mechanism.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Saudi Electricity Company (SEC)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15504</v>
      </c>
      <c r="D7" s="13" t="n">
        <v>18696</v>
      </c>
      <c r="E7" s="13" t="n">
        <v>20976</v>
      </c>
      <c r="F7" s="13" t="n">
        <v>22800</v>
      </c>
      <c r="G7" s="14" t="n">
        <v>24624</v>
      </c>
      <c r="H7" s="14" t="n">
        <v>26220</v>
      </c>
      <c r="I7" s="14" t="n">
        <v>27360</v>
      </c>
    </row>
    <row r="8">
      <c r="B8" s="12" t="inlineStr">
        <is>
          <t>EBITDA</t>
        </is>
      </c>
      <c r="C8" s="13" t="n">
        <v>5460</v>
      </c>
      <c r="D8" s="13" t="n">
        <v>6720</v>
      </c>
      <c r="E8" s="13" t="n">
        <v>7560</v>
      </c>
      <c r="F8" s="13" t="n">
        <v>8400</v>
      </c>
      <c r="G8" s="14" t="n">
        <v>9240</v>
      </c>
      <c r="H8" s="14" t="n">
        <v>9912</v>
      </c>
      <c r="I8" s="14" t="n">
        <v>10416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1200</v>
      </c>
      <c r="D10" s="17" t="n">
        <v>1500</v>
      </c>
      <c r="E10" s="17" t="n">
        <v>1800</v>
      </c>
      <c r="F10" s="17" t="n">
        <v>2000</v>
      </c>
      <c r="G10" s="18" t="n">
        <v>1920</v>
      </c>
      <c r="H10" s="18" t="n">
        <v>1840</v>
      </c>
      <c r="I10" s="18" t="n">
        <v>1760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4426.8</v>
      </c>
      <c r="D12" s="13" t="n">
        <v>5569.2</v>
      </c>
      <c r="E12" s="13" t="n">
        <v>6283.2</v>
      </c>
      <c r="F12" s="13" t="n">
        <v>7140</v>
      </c>
      <c r="G12" s="14" t="n">
        <v>7854</v>
      </c>
      <c r="H12" s="14" t="n">
        <v>8425.200000000001</v>
      </c>
      <c r="I12" s="14" t="n">
        <v>8925</v>
      </c>
    </row>
    <row r="13">
      <c r="B13" s="5" t="inlineStr">
        <is>
          <t>Capital Expenditures (Capex)</t>
        </is>
      </c>
      <c r="C13" s="17" t="n">
        <v>2058</v>
      </c>
      <c r="D13" s="17" t="n">
        <v>2499</v>
      </c>
      <c r="E13" s="17" t="n">
        <v>2793</v>
      </c>
      <c r="F13" s="17" t="n">
        <v>2940</v>
      </c>
      <c r="G13" s="18" t="n">
        <v>3087</v>
      </c>
      <c r="H13" s="18" t="n">
        <v>2998.8</v>
      </c>
      <c r="I13" s="18" t="n">
        <v>2881.2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3465</v>
      </c>
      <c r="D16" s="13" t="n">
        <v>4410</v>
      </c>
      <c r="E16" s="13" t="n">
        <v>5355</v>
      </c>
      <c r="F16" s="13" t="n">
        <v>6300</v>
      </c>
      <c r="G16" s="14" t="n">
        <v>7434</v>
      </c>
      <c r="H16" s="14" t="n">
        <v>8505</v>
      </c>
      <c r="I16" s="14" t="n">
        <v>9450</v>
      </c>
    </row>
    <row r="17">
      <c r="B17" s="12" t="inlineStr">
        <is>
          <t>Gross Total Debt</t>
        </is>
      </c>
      <c r="C17" s="13" t="n">
        <v>28203</v>
      </c>
      <c r="D17" s="13" t="n">
        <v>30525.6</v>
      </c>
      <c r="E17" s="13" t="n">
        <v>32516.4</v>
      </c>
      <c r="F17" s="13" t="n">
        <v>33180</v>
      </c>
      <c r="G17" s="14" t="n">
        <v>32516.4</v>
      </c>
      <c r="H17" s="14" t="n">
        <v>31521</v>
      </c>
      <c r="I17" s="14" t="n">
        <v>29862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Saudi Electricity Company (SEC)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5.15%</t>
        </is>
      </c>
      <c r="F6" s="21" t="inlineStr">
        <is>
          <t>2028 / 2029</t>
        </is>
      </c>
      <c r="G6" s="17" t="n">
        <v>14931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8295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4977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3318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1659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5355</v>
      </c>
    </row>
    <row r="15">
      <c r="B15" t="inlineStr">
        <is>
          <t>Committed Undrawn RCF Capacity</t>
        </is>
      </c>
      <c r="C15" s="22" t="n">
        <v>3360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5981.6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Saudi Electricity Company (SEC)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8400</v>
      </c>
      <c r="D6" s="17" t="n">
        <v>7140</v>
      </c>
      <c r="E6" s="25" t="n">
        <v>5460</v>
      </c>
    </row>
    <row r="7">
      <c r="B7" s="5" t="inlineStr">
        <is>
          <t>Free Cash Flow ($M)</t>
        </is>
      </c>
      <c r="C7" s="17" t="n">
        <v>4200</v>
      </c>
      <c r="D7" s="17" t="n">
        <v>2520</v>
      </c>
      <c r="E7" s="25" t="n">
        <v>630</v>
      </c>
    </row>
    <row r="8">
      <c r="B8" s="12" t="inlineStr">
        <is>
          <t>Net Leverage Ratio (x)</t>
        </is>
      </c>
      <c r="C8" s="26" t="n">
        <v>3.2</v>
      </c>
      <c r="D8" s="26" t="n">
        <v>4</v>
      </c>
      <c r="E8" s="27" t="n">
        <v>5.92</v>
      </c>
    </row>
    <row r="9">
      <c r="B9" s="5" t="inlineStr">
        <is>
          <t>Interest Coverage Ratio (x)</t>
        </is>
      </c>
      <c r="C9" s="26" t="n">
        <v>4.2</v>
      </c>
      <c r="D9" s="26" t="n">
        <v>3.28</v>
      </c>
      <c r="E9" s="27" t="n">
        <v>1.89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$94.00</t>
        </is>
      </c>
      <c r="E10" s="28" t="inlineStr">
        <is>
          <t>$82.00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