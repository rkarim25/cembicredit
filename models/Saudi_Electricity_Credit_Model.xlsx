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Electricity Company (SEC) (SECO) — Institutional Credit Model</t>
        </is>
      </c>
    </row>
    <row r="3">
      <c r="B3" s="2" t="inlineStr">
        <is>
          <t>Sector: Utilities | Country: Saudi Arabia | Rating: A1 / A | Benchmark: SECO 4.723% 2028 @ $99.20 (5.15% YTM / +110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Monopoly transmission and distribution grid in Saudi Arabia; explicit sovereign balancing account mechanism.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EBITDA Margin (%)</t>
        </is>
      </c>
      <c r="C13" s="10">
        <f>'Income Statement (P&amp;L)'!C23</f>
        <v/>
      </c>
      <c r="D13" s="10">
        <f>'Income Statement (P&amp;L)'!D23</f>
        <v/>
      </c>
      <c r="E13" s="10">
        <f>'Income Statement (P&amp;L)'!E23</f>
        <v/>
      </c>
      <c r="F13" s="10">
        <f>'Income Statement (P&amp;L)'!F23</f>
        <v/>
      </c>
      <c r="G13" s="10">
        <f>'Income Statement (P&amp;L)'!G23</f>
        <v/>
      </c>
      <c r="H13" s="10">
        <f>'Income Statement (P&amp;L)'!H23</f>
        <v/>
      </c>
      <c r="I13" s="10">
        <f>'Income Statement (P&amp;L)'!I23</f>
        <v/>
      </c>
    </row>
    <row r="14">
      <c r="B14" s="7" t="inlineStr">
        <is>
          <t>Cash Flow from Operations (CFO)</t>
        </is>
      </c>
      <c r="C14" s="8">
        <f>'Cash Flow Statement'!C14</f>
        <v/>
      </c>
      <c r="D14" s="8">
        <f>'Cash Flow Statement'!D14</f>
        <v/>
      </c>
      <c r="E14" s="8">
        <f>'Cash Flow Statement'!E14</f>
        <v/>
      </c>
      <c r="F14" s="8">
        <f>'Cash Flow Statement'!F14</f>
        <v/>
      </c>
      <c r="G14" s="8">
        <f>'Cash Flow Statement'!G14</f>
        <v/>
      </c>
      <c r="H14" s="8">
        <f>'Cash Flow Statement'!H14</f>
        <v/>
      </c>
      <c r="I14" s="8">
        <f>'Cash Flow Statement'!I14</f>
        <v/>
      </c>
    </row>
    <row r="15">
      <c r="B15" s="7" t="inlineStr">
        <is>
          <t>Capital Expenditures (Capex)</t>
        </is>
      </c>
      <c r="C15" s="8">
        <f>'Cash Flow Statement'!C16</f>
        <v/>
      </c>
      <c r="D15" s="8">
        <f>'Cash Flow Statement'!D16</f>
        <v/>
      </c>
      <c r="E15" s="8">
        <f>'Cash Flow Statement'!E16</f>
        <v/>
      </c>
      <c r="F15" s="8">
        <f>'Cash Flow Statement'!F16</f>
        <v/>
      </c>
      <c r="G15" s="8">
        <f>'Cash Flow Statement'!G16</f>
        <v/>
      </c>
      <c r="H15" s="8">
        <f>'Cash Flow Statement'!H16</f>
        <v/>
      </c>
      <c r="I15" s="8">
        <f>'Cash Flow Statement'!I16</f>
        <v/>
      </c>
    </row>
    <row r="16">
      <c r="B16" s="7" t="inlineStr">
        <is>
          <t>Free Cash Flow (FCF)</t>
        </is>
      </c>
      <c r="C16" s="8">
        <f>'Cash Flow Statement'!C26</f>
        <v/>
      </c>
      <c r="D16" s="8">
        <f>'Cash Flow Statement'!D26</f>
        <v/>
      </c>
      <c r="E16" s="8">
        <f>'Cash Flow Statement'!E26</f>
        <v/>
      </c>
      <c r="F16" s="8">
        <f>'Cash Flow Statement'!F26</f>
        <v/>
      </c>
      <c r="G16" s="8">
        <f>'Cash Flow Statement'!G26</f>
        <v/>
      </c>
      <c r="H16" s="8">
        <f>'Cash Flow Statement'!H26</f>
        <v/>
      </c>
      <c r="I16" s="8">
        <f>'Cash Flow Statement'!I26</f>
        <v/>
      </c>
    </row>
    <row r="17">
      <c r="B17" s="7" t="inlineStr">
        <is>
          <t>Cash &amp; Liquid Reserves</t>
        </is>
      </c>
      <c r="C17" s="8">
        <f>'Balance Sheet'!C8</f>
        <v/>
      </c>
      <c r="D17" s="8">
        <f>'Balance Sheet'!D8</f>
        <v/>
      </c>
      <c r="E17" s="8">
        <f>'Balance Sheet'!E8</f>
        <v/>
      </c>
      <c r="F17" s="8">
        <f>'Balance Sheet'!F8</f>
        <v/>
      </c>
      <c r="G17" s="8">
        <f>'Balance Sheet'!G8</f>
        <v/>
      </c>
      <c r="H17" s="8">
        <f>'Balance Sheet'!H8</f>
        <v/>
      </c>
      <c r="I17" s="8">
        <f>'Balance Sheet'!I8</f>
        <v/>
      </c>
    </row>
    <row r="18">
      <c r="B18" s="7" t="inlineStr">
        <is>
          <t>Consolidated Gross Debt</t>
        </is>
      </c>
      <c r="C18" s="8">
        <f>'Debt Schedule &amp; Tranches'!C24</f>
        <v/>
      </c>
      <c r="D18" s="8">
        <f>'Debt Schedule &amp; Tranches'!D24</f>
        <v/>
      </c>
      <c r="E18" s="8">
        <f>'Debt Schedule &amp; Tranches'!E24</f>
        <v/>
      </c>
      <c r="F18" s="8">
        <f>'Debt Schedule &amp; Tranches'!F24</f>
        <v/>
      </c>
      <c r="G18" s="8">
        <f>'Debt Schedule &amp; Tranches'!G24</f>
        <v/>
      </c>
      <c r="H18" s="8">
        <f>'Debt Schedule &amp; Tranches'!H24</f>
        <v/>
      </c>
      <c r="I18" s="8">
        <f>'Debt Schedule &amp; Tranches'!I24</f>
        <v/>
      </c>
    </row>
    <row r="19">
      <c r="B19" s="7" t="inlineStr">
        <is>
          <t>Consolidated Net Debt</t>
        </is>
      </c>
      <c r="C19" s="8">
        <f>'Debt Schedule &amp; Tranches'!C26</f>
        <v/>
      </c>
      <c r="D19" s="8">
        <f>'Debt Schedule &amp; Tranches'!D26</f>
        <v/>
      </c>
      <c r="E19" s="8">
        <f>'Debt Schedule &amp; Tranches'!E26</f>
        <v/>
      </c>
      <c r="F19" s="8">
        <f>'Debt Schedule &amp; Tranches'!F26</f>
        <v/>
      </c>
      <c r="G19" s="8">
        <f>'Debt Schedule &amp; Tranches'!G26</f>
        <v/>
      </c>
      <c r="H19" s="8">
        <f>'Debt Schedule &amp; Tranches'!H26</f>
        <v/>
      </c>
      <c r="I19" s="8">
        <f>'Debt Schedule &amp; Tranches'!I26</f>
        <v/>
      </c>
    </row>
    <row r="20">
      <c r="B20" s="9" t="inlineStr">
        <is>
          <t>Net Leverage (Net Debt / EBITDA)</t>
        </is>
      </c>
      <c r="C20" s="11">
        <f>'Credit Metrics &amp; Ratios'!C8</f>
        <v/>
      </c>
      <c r="D20" s="11">
        <f>'Credit Metrics &amp; Ratios'!D8</f>
        <v/>
      </c>
      <c r="E20" s="11">
        <f>'Credit Metrics &amp; Ratios'!E8</f>
        <v/>
      </c>
      <c r="F20" s="11">
        <f>'Credit Metrics &amp; Ratios'!F8</f>
        <v/>
      </c>
      <c r="G20" s="11">
        <f>'Credit Metrics &amp; Ratios'!G8</f>
        <v/>
      </c>
      <c r="H20" s="11">
        <f>'Credit Metrics &amp; Ratios'!H8</f>
        <v/>
      </c>
      <c r="I20" s="11">
        <f>'Credit Metrics &amp; Ratios'!I8</f>
        <v/>
      </c>
    </row>
    <row r="21">
      <c r="B21" s="9" t="inlineStr">
        <is>
          <t>EBITDA Interest Coverage</t>
        </is>
      </c>
      <c r="C21" s="12">
        <f>'Credit Metrics &amp; Ratios'!C10</f>
        <v/>
      </c>
      <c r="D21" s="12">
        <f>'Credit Metrics &amp; Ratios'!D10</f>
        <v/>
      </c>
      <c r="E21" s="12">
        <f>'Credit Metrics &amp; Ratios'!E10</f>
        <v/>
      </c>
      <c r="F21" s="12">
        <f>'Credit Metrics &amp; Ratios'!F10</f>
        <v/>
      </c>
      <c r="G21" s="12">
        <f>'Credit Metrics &amp; Ratios'!G10</f>
        <v/>
      </c>
      <c r="H21" s="12">
        <f>'Credit Metrics &amp; Ratios'!H10</f>
        <v/>
      </c>
      <c r="I21" s="12">
        <f>'Credit Metrics &amp; Ratios'!I10</f>
        <v/>
      </c>
    </row>
    <row r="22"/>
    <row r="23"/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SECO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14931</v>
      </c>
      <c r="F26" s="7" t="inlineStr">
        <is>
          <t>5.15%</t>
        </is>
      </c>
      <c r="G26" s="7" t="inlineStr">
        <is>
          <t>$99.20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SECO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9954</v>
      </c>
      <c r="F27" s="7" t="inlineStr">
        <is>
          <t>4.40%</t>
        </is>
      </c>
      <c r="G27" s="7" t="inlineStr">
        <is>
          <t>$101.70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8295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Electricity Company (SEC)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10542.7</v>
      </c>
      <c r="D15" s="8" t="n">
        <v>12713.3</v>
      </c>
      <c r="E15" s="8" t="n">
        <v>14263.7</v>
      </c>
      <c r="F15" s="8" t="n">
        <v>15504</v>
      </c>
      <c r="G15" s="8" t="n">
        <v>16744.3</v>
      </c>
      <c r="H15" s="8" t="n">
        <v>17829.6</v>
      </c>
      <c r="I15" s="8" t="n">
        <v>18604.8</v>
      </c>
    </row>
    <row r="16">
      <c r="B16" s="7" t="inlineStr">
        <is>
          <t>Regulated Power Distribution &amp; Grid</t>
        </is>
      </c>
      <c r="C16" s="8" t="n">
        <v>3410.9</v>
      </c>
      <c r="D16" s="8" t="n">
        <v>4113.1</v>
      </c>
      <c r="E16" s="8" t="n">
        <v>4614.7</v>
      </c>
      <c r="F16" s="8" t="n">
        <v>5016</v>
      </c>
      <c r="G16" s="8" t="n">
        <v>5417.3</v>
      </c>
      <c r="H16" s="8" t="n">
        <v>5768.4</v>
      </c>
      <c r="I16" s="8" t="n">
        <v>6019.2</v>
      </c>
    </row>
    <row r="17">
      <c r="B17" s="7" t="inlineStr">
        <is>
          <t>Merchant &amp; Capacity Balancing Services</t>
        </is>
      </c>
      <c r="C17" s="8" t="n">
        <v>1550.4</v>
      </c>
      <c r="D17" s="8" t="n">
        <v>1869.6</v>
      </c>
      <c r="E17" s="8" t="n">
        <v>2097.6</v>
      </c>
      <c r="F17" s="8" t="n">
        <v>2280</v>
      </c>
      <c r="G17" s="8" t="n">
        <v>2462.4</v>
      </c>
      <c r="H17" s="8" t="n">
        <v>2622</v>
      </c>
      <c r="I17" s="8" t="n">
        <v>2736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Electricity Company (SEC)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Electricity Company (SEC)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23256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5426.4</v>
      </c>
      <c r="D36" s="8" t="n">
        <v>5426.4</v>
      </c>
      <c r="E36" s="8" t="n">
        <v>5426.4</v>
      </c>
      <c r="F36" s="8" t="n">
        <v>5426.4</v>
      </c>
      <c r="G36" s="8" t="n">
        <v>5426.4</v>
      </c>
      <c r="H36" s="8" t="n">
        <v>5426.4</v>
      </c>
      <c r="I36" s="8" t="n">
        <v>5426.4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4">
        <f>C21 - C39</f>
        <v/>
      </c>
      <c r="D41" s="24">
        <f>D21 - D39</f>
        <v/>
      </c>
      <c r="E41" s="24">
        <f>E21 - E39</f>
        <v/>
      </c>
      <c r="F41" s="24">
        <f>F21 - F39</f>
        <v/>
      </c>
      <c r="G41" s="24">
        <f>G21 - G39</f>
        <v/>
      </c>
      <c r="H41" s="24">
        <f>H21 - H39</f>
        <v/>
      </c>
      <c r="I41" s="24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Electricity Company (SEC)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-2058</v>
      </c>
      <c r="D16" s="8" t="n">
        <v>-2499</v>
      </c>
      <c r="E16" s="8" t="n">
        <v>-2793</v>
      </c>
      <c r="F16" s="8" t="n">
        <v>-2940</v>
      </c>
      <c r="G16" s="8" t="n">
        <v>-3087</v>
      </c>
      <c r="H16" s="8" t="n">
        <v>-2998.8</v>
      </c>
      <c r="I16" s="8" t="n">
        <v>-2881.2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3465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15" t="inlineStr">
        <is>
          <t>FREE CASH FLOW (FCF = CFO + Capex)</t>
        </is>
      </c>
      <c r="C28" s="16">
        <f>C14 + C16</f>
        <v/>
      </c>
      <c r="D28" s="16">
        <f>D14 + D16</f>
        <v/>
      </c>
      <c r="E28" s="16">
        <f>E14 + E16</f>
        <v/>
      </c>
      <c r="F28" s="16">
        <f>F14 + F16</f>
        <v/>
      </c>
      <c r="G28" s="16">
        <f>G14 + G16</f>
        <v/>
      </c>
      <c r="H28" s="16">
        <f>H14 + H16</f>
        <v/>
      </c>
      <c r="I28" s="16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3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Saudi Electricity Company (SEC)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SECO Benchmark Eurobond Notes</t>
        </is>
      </c>
    </row>
    <row r="7">
      <c r="B7" s="7" t="inlineStr">
        <is>
          <t xml:space="preserve">  Beginning Principal Balance</t>
        </is>
      </c>
      <c r="C7" s="8" t="n">
        <v>12691.4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4230.4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2820.3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0.0515</f>
        <v/>
      </c>
      <c r="D11" s="8">
        <f>D10 * 0.0515</f>
        <v/>
      </c>
      <c r="E11" s="8">
        <f>E10 * 0.0515</f>
        <v/>
      </c>
      <c r="F11" s="8">
        <f>F10 * 0.0515</f>
        <v/>
      </c>
      <c r="G11" s="8">
        <f>G10 * 0.0515</f>
        <v/>
      </c>
      <c r="H11" s="8">
        <f>H10 * 0.0515</f>
        <v/>
      </c>
      <c r="I11" s="8">
        <f>I10 * 0.0515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15511.7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5" t="inlineStr">
        <is>
          <t>2025</t>
        </is>
      </c>
      <c r="C31" s="25" t="inlineStr">
        <is>
          <t>2026</t>
        </is>
      </c>
      <c r="D31" s="25" t="inlineStr">
        <is>
          <t>2027</t>
        </is>
      </c>
      <c r="E31" s="25" t="inlineStr">
        <is>
          <t>2028</t>
        </is>
      </c>
      <c r="F31" s="25" t="inlineStr">
        <is>
          <t>2029</t>
        </is>
      </c>
      <c r="G31" s="25" t="inlineStr">
        <is>
          <t>2030+</t>
        </is>
      </c>
    </row>
    <row r="32">
      <c r="B32" s="8" t="n">
        <v>3981.6</v>
      </c>
      <c r="C32" s="8" t="n">
        <v>7299.6</v>
      </c>
      <c r="D32" s="8" t="n">
        <v>9290.4</v>
      </c>
      <c r="E32" s="8" t="n">
        <v>5972.4</v>
      </c>
      <c r="F32" s="8" t="n">
        <v>3981.6</v>
      </c>
      <c r="G32" s="8" t="n">
        <v>2654.4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SECO Benchmark Senior Notes</t>
        </is>
      </c>
      <c r="C37" s="7" t="inlineStr">
        <is>
          <t>Senior Unsecured RegS/144A Eurobond</t>
        </is>
      </c>
      <c r="D37" s="26" t="inlineStr">
        <is>
          <t>USD</t>
        </is>
      </c>
      <c r="E37" s="21" t="n">
        <v>14931</v>
      </c>
      <c r="F37" s="27" t="inlineStr">
        <is>
          <t>5.150%</t>
        </is>
      </c>
      <c r="G37" s="28" t="n">
        <v>99.2</v>
      </c>
      <c r="H37" s="29" t="n">
        <v>5.15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SECO Secondary Eurobond / Sukuk Tranche 2</t>
        </is>
      </c>
      <c r="C38" s="7" t="inlineStr">
        <is>
          <t>Senior Unsecured Notes</t>
        </is>
      </c>
      <c r="D38" s="26" t="inlineStr">
        <is>
          <t>USD</t>
        </is>
      </c>
      <c r="E38" s="21" t="n">
        <v>9954</v>
      </c>
      <c r="F38" s="27" t="inlineStr">
        <is>
          <t>4.500%</t>
        </is>
      </c>
      <c r="G38" s="28" t="n">
        <v>101.2</v>
      </c>
      <c r="H38" s="29" t="n">
        <v>4.5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6" t="inlineStr">
        <is>
          <t>USD / EUR</t>
        </is>
      </c>
      <c r="E39" s="21" t="n">
        <v>4977</v>
      </c>
      <c r="F39" s="27" t="inlineStr">
        <is>
          <t>SOFR + 185 bps</t>
        </is>
      </c>
      <c r="G39" s="28" t="n">
        <v>100</v>
      </c>
      <c r="H39" s="29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6" t="inlineStr">
        <is>
          <t>USD</t>
        </is>
      </c>
      <c r="E40" s="21" t="n">
        <v>3318</v>
      </c>
      <c r="F40" s="27" t="inlineStr">
        <is>
          <t>SOFR + 150 bps</t>
        </is>
      </c>
      <c r="G40" s="28" t="n">
        <v>100</v>
      </c>
      <c r="H40" s="29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SECO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9290.4</v>
      </c>
    </row>
    <row r="45">
      <c r="B45" s="7" t="inlineStr">
        <is>
          <t>Drawn Amount ($M)</t>
        </is>
      </c>
      <c r="C45" s="8" t="n">
        <v>3318</v>
      </c>
    </row>
    <row r="46">
      <c r="B46" s="19" t="inlineStr">
        <is>
          <t>AVAILABLE UNDRAWN HEADROOM ($M)</t>
        </is>
      </c>
      <c r="C46" s="20" t="n">
        <v>5972.4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6" t="inlineStr">
        <is>
          <t>4.50x</t>
        </is>
      </c>
      <c r="D55" s="30" t="inlineStr">
        <is>
          <t>3.20x</t>
        </is>
      </c>
      <c r="E55" s="31" t="inlineStr">
        <is>
          <t>1.30x leverage buffer ($10920.0M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6" t="inlineStr">
        <is>
          <t>2.50x</t>
        </is>
      </c>
      <c r="D56" s="30" t="inlineStr">
        <is>
          <t>4.20x</t>
        </is>
      </c>
      <c r="E56" s="31" t="inlineStr">
        <is>
          <t>+1.70x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6" t="inlineStr">
        <is>
          <t>15.0% of Consolidated Total Tangible Assets</t>
        </is>
      </c>
      <c r="D57" s="30" t="inlineStr">
        <is>
          <t>12.1% of Assets</t>
        </is>
      </c>
      <c r="E57" s="31" t="inlineStr">
        <is>
          <t>$5016.0M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6" t="inlineStr">
        <is>
          <t>101.00% Redemption</t>
        </is>
      </c>
      <c r="D58" s="30" t="inlineStr">
        <is>
          <t>N/A (Inactive)</t>
        </is>
      </c>
      <c r="E58" s="31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6" t="inlineStr">
        <is>
          <t>Builder Basket</t>
        </is>
      </c>
      <c r="D59" s="30" t="inlineStr">
        <is>
          <t>Within Capacity</t>
        </is>
      </c>
      <c r="E59" s="31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6" t="inlineStr">
        <is>
          <t>$50.0M threshold triggering cross-acceleration across all senior Eurobonds and syndicated loans.</t>
        </is>
      </c>
      <c r="D60" s="30" t="inlineStr">
        <is>
          <t>Zero Defaults</t>
        </is>
      </c>
      <c r="E60" s="31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Electricity Company (SEC)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EBITDA)</t>
        </is>
      </c>
      <c r="C8" s="32">
        <f>'Debt Schedule &amp; Tranches'!C26 / 'Income Statement (P&amp;L)'!C22</f>
        <v/>
      </c>
      <c r="D8" s="32">
        <f>'Debt Schedule &amp; Tranches'!D26 / 'Income Statement (P&amp;L)'!D22</f>
        <v/>
      </c>
      <c r="E8" s="32">
        <f>'Debt Schedule &amp; Tranches'!E26 / 'Income Statement (P&amp;L)'!E22</f>
        <v/>
      </c>
      <c r="F8" s="32">
        <f>'Debt Schedule &amp; Tranches'!F26 / 'Income Statement (P&amp;L)'!F22</f>
        <v/>
      </c>
      <c r="G8" s="32">
        <f>'Debt Schedule &amp; Tranches'!G26 / 'Income Statement (P&amp;L)'!G22</f>
        <v/>
      </c>
      <c r="H8" s="32">
        <f>'Debt Schedule &amp; Tranches'!H26 / 'Income Statement (P&amp;L)'!H22</f>
        <v/>
      </c>
      <c r="I8" s="32">
        <f>'Debt Schedule &amp; Tranches'!I26 / 'Income Statement (P&amp;L)'!I22</f>
        <v/>
      </c>
    </row>
    <row r="9">
      <c r="B9" s="7" t="inlineStr">
        <is>
          <t>Net Debt / Total Capitalization (%)</t>
        </is>
      </c>
      <c r="C9" s="10">
        <f>'Debt Schedule &amp; Tranches'!C26 / ('Debt Schedule &amp; Tranches'!C26 + 'Balance Sheet'!C38)</f>
        <v/>
      </c>
      <c r="D9" s="10">
        <f>'Debt Schedule &amp; Tranches'!D26 / ('Debt Schedule &amp; Tranches'!D26 + 'Balance Sheet'!D38)</f>
        <v/>
      </c>
      <c r="E9" s="10">
        <f>'Debt Schedule &amp; Tranches'!E26 / ('Debt Schedule &amp; Tranches'!E26 + 'Balance Sheet'!E38)</f>
        <v/>
      </c>
      <c r="F9" s="10">
        <f>'Debt Schedule &amp; Tranches'!F26 / ('Debt Schedule &amp; Tranches'!F26 + 'Balance Sheet'!F38)</f>
        <v/>
      </c>
      <c r="G9" s="10">
        <f>'Debt Schedule &amp; Tranches'!G26 / ('Debt Schedule &amp; Tranches'!G26 + 'Balance Sheet'!G38)</f>
        <v/>
      </c>
      <c r="H9" s="10">
        <f>'Debt Schedule &amp; Tranches'!H26 / ('Debt Schedule &amp; Tranches'!H26 + 'Balance Sheet'!H38)</f>
        <v/>
      </c>
      <c r="I9" s="10">
        <f>'Debt Schedule &amp; Tranches'!I26 / ('Debt Schedule &amp; Tranches'!I26 + 'Balance Sheet'!I38)</f>
        <v/>
      </c>
    </row>
    <row r="10">
      <c r="B10" s="19" t="inlineStr">
        <is>
          <t>EBITDA INTEREST COVERAGE</t>
        </is>
      </c>
      <c r="C10" s="32">
        <f>'Income Statement (P&amp;L)'!C22 / 'Debt Schedule &amp; Tranches'!C28</f>
        <v/>
      </c>
      <c r="D10" s="32">
        <f>'Income Statement (P&amp;L)'!D22 / 'Debt Schedule &amp; Tranches'!D28</f>
        <v/>
      </c>
      <c r="E10" s="32">
        <f>'Income Statement (P&amp;L)'!E22 / 'Debt Schedule &amp; Tranches'!E28</f>
        <v/>
      </c>
      <c r="F10" s="32">
        <f>'Income Statement (P&amp;L)'!F22 / 'Debt Schedule &amp; Tranches'!F28</f>
        <v/>
      </c>
      <c r="G10" s="32">
        <f>'Income Statement (P&amp;L)'!G22 / 'Debt Schedule &amp; Tranches'!G28</f>
        <v/>
      </c>
      <c r="H10" s="32">
        <f>'Income Statement (P&amp;L)'!H22 / 'Debt Schedule &amp; Tranches'!H28</f>
        <v/>
      </c>
      <c r="I10" s="32">
        <f>'Income Statement (P&amp;L)'!I22 / 'Debt Schedule &amp; Tranches'!I28</f>
        <v/>
      </c>
    </row>
    <row r="11">
      <c r="B11" s="7" t="inlineStr">
        <is>
          <t>EBIT Interest Coverage</t>
        </is>
      </c>
      <c r="C11" s="12">
        <f>'Income Statement (P&amp;L)'!C25 / 'Debt Schedule &amp; Tranches'!C28</f>
        <v/>
      </c>
      <c r="D11" s="12">
        <f>'Income Statement (P&amp;L)'!D25 / 'Debt Schedule &amp; Tranches'!D28</f>
        <v/>
      </c>
      <c r="E11" s="12">
        <f>'Income Statement (P&amp;L)'!E25 / 'Debt Schedule &amp; Tranches'!E28</f>
        <v/>
      </c>
      <c r="F11" s="12">
        <f>'Income Statement (P&amp;L)'!F25 / 'Debt Schedule &amp; Tranches'!F28</f>
        <v/>
      </c>
      <c r="G11" s="12">
        <f>'Income Statement (P&amp;L)'!G25 / 'Debt Schedule &amp; Tranches'!G28</f>
        <v/>
      </c>
      <c r="H11" s="12">
        <f>'Income Statement (P&amp;L)'!H25 / 'Debt Schedule &amp; Tranches'!H28</f>
        <v/>
      </c>
      <c r="I11" s="12">
        <f>'Income Statement (P&amp;L)'!I25 / 'Debt Schedule &amp; Tranches'!I28</f>
        <v/>
      </c>
    </row>
    <row r="12"/>
    <row r="13">
      <c r="B13" s="3" t="inlineStr">
        <is>
          <t>II. CASH FLOW COVERAGE &amp; LIQUIDITY RATIOS</t>
        </is>
      </c>
    </row>
    <row r="14">
      <c r="B14" s="7" t="inlineStr">
        <is>
          <t>CFO / Gross Debt (%)</t>
        </is>
      </c>
      <c r="C14" s="10">
        <f>'Cash Flow Statement'!C14 / 'Debt Schedule &amp; Tranches'!C24</f>
        <v/>
      </c>
      <c r="D14" s="10">
        <f>'Cash Flow Statement'!D14 / 'Debt Schedule &amp; Tranches'!D24</f>
        <v/>
      </c>
      <c r="E14" s="10">
        <f>'Cash Flow Statement'!E14 / 'Debt Schedule &amp; Tranches'!E24</f>
        <v/>
      </c>
      <c r="F14" s="10">
        <f>'Cash Flow Statement'!F14 / 'Debt Schedule &amp; Tranches'!F24</f>
        <v/>
      </c>
      <c r="G14" s="10">
        <f>'Cash Flow Statement'!G14 / 'Debt Schedule &amp; Tranches'!G24</f>
        <v/>
      </c>
      <c r="H14" s="10">
        <f>'Cash Flow Statement'!H14 / 'Debt Schedule &amp; Tranches'!H24</f>
        <v/>
      </c>
      <c r="I14" s="10">
        <f>'Cash Flow Statement'!I14 / 'Debt Schedule &amp; Tranches'!I24</f>
        <v/>
      </c>
    </row>
    <row r="15">
      <c r="B15" s="7" t="inlineStr">
        <is>
          <t>FCF / Net Debt (%)</t>
        </is>
      </c>
      <c r="C15" s="10">
        <f>'Cash Flow Statement'!C28 / 'Debt Schedule &amp; Tranches'!C26</f>
        <v/>
      </c>
      <c r="D15" s="10">
        <f>'Cash Flow Statement'!D28 / 'Debt Schedule &amp; Tranches'!D26</f>
        <v/>
      </c>
      <c r="E15" s="10">
        <f>'Cash Flow Statement'!E28 / 'Debt Schedule &amp; Tranches'!E26</f>
        <v/>
      </c>
      <c r="F15" s="10">
        <f>'Cash Flow Statement'!F28 / 'Debt Schedule &amp; Tranches'!F26</f>
        <v/>
      </c>
      <c r="G15" s="10">
        <f>'Cash Flow Statement'!G28 / 'Debt Schedule &amp; Tranches'!G26</f>
        <v/>
      </c>
      <c r="H15" s="10">
        <f>'Cash Flow Statement'!H28 / 'Debt Schedule &amp; Tranches'!H26</f>
        <v/>
      </c>
      <c r="I15" s="10">
        <f>'Cash Flow Statement'!I28 / 'Debt Schedule &amp; Tranches'!I26</f>
        <v/>
      </c>
    </row>
    <row r="16">
      <c r="B16" s="7" t="inlineStr">
        <is>
          <t>FCF Conversion Ratio (FCF / EBITDA)</t>
        </is>
      </c>
      <c r="C16" s="10">
        <f>'Cash Flow Statement'!C28 / 'Income Statement (P&amp;L)'!C22</f>
        <v/>
      </c>
      <c r="D16" s="10">
        <f>'Cash Flow Statement'!D28 / 'Income Statement (P&amp;L)'!D22</f>
        <v/>
      </c>
      <c r="E16" s="10">
        <f>'Cash Flow Statement'!E28 / 'Income Statement (P&amp;L)'!E22</f>
        <v/>
      </c>
      <c r="F16" s="10">
        <f>'Cash Flow Statement'!F28 / 'Income Statement (P&amp;L)'!F22</f>
        <v/>
      </c>
      <c r="G16" s="10">
        <f>'Cash Flow Statement'!G28 / 'Income Statement (P&amp;L)'!G22</f>
        <v/>
      </c>
      <c r="H16" s="10">
        <f>'Cash Flow Statement'!H28 / 'Income Statement (P&amp;L)'!H22</f>
        <v/>
      </c>
      <c r="I16" s="10">
        <f>'Cash Flow Statement'!I28 / 'Income Statement (P&amp;L)'!I22</f>
        <v/>
      </c>
    </row>
    <row r="17">
      <c r="B17" s="7" t="inlineStr">
        <is>
          <t>Capex / Operating Cash Flow (%)</t>
        </is>
      </c>
      <c r="C17" s="10">
        <f>-'Cash Flow Statement'!C16 / 'Cash Flow Statement'!C14</f>
        <v/>
      </c>
      <c r="D17" s="10">
        <f>-'Cash Flow Statement'!D16 / 'Cash Flow Statement'!D14</f>
        <v/>
      </c>
      <c r="E17" s="10">
        <f>-'Cash Flow Statement'!E16 / 'Cash Flow Statement'!E14</f>
        <v/>
      </c>
      <c r="F17" s="10">
        <f>-'Cash Flow Statement'!F16 / 'Cash Flow Statement'!F14</f>
        <v/>
      </c>
      <c r="G17" s="10">
        <f>-'Cash Flow Statement'!G16 / 'Cash Flow Statement'!G14</f>
        <v/>
      </c>
      <c r="H17" s="10">
        <f>-'Cash Flow Statement'!H16 / 'Cash Flow Statement'!H14</f>
        <v/>
      </c>
      <c r="I17" s="10">
        <f>-'Cash Flow Statement'!I16 / 'Cash Flow Statement'!I14</f>
        <v/>
      </c>
    </row>
    <row r="18">
      <c r="B18" s="7" t="inlineStr">
        <is>
          <t>Current Ratio (Current Assets / Current Liab)</t>
        </is>
      </c>
      <c r="C18" s="12">
        <f>'Balance Sheet'!C11 / 'Balance Sheet'!C27</f>
        <v/>
      </c>
      <c r="D18" s="12">
        <f>'Balance Sheet'!D11 / 'Balance Sheet'!D27</f>
        <v/>
      </c>
      <c r="E18" s="12">
        <f>'Balance Sheet'!E11 / 'Balance Sheet'!E27</f>
        <v/>
      </c>
      <c r="F18" s="12">
        <f>'Balance Sheet'!F11 / 'Balance Sheet'!F27</f>
        <v/>
      </c>
      <c r="G18" s="12">
        <f>'Balance Sheet'!G11 / 'Balance Sheet'!G27</f>
        <v/>
      </c>
      <c r="H18" s="12">
        <f>'Balance Sheet'!H11 / 'Balance Sheet'!H27</f>
        <v/>
      </c>
      <c r="I18" s="12">
        <f>'Balance Sheet'!I11 / 'Balance Sheet'!I27</f>
        <v/>
      </c>
    </row>
    <row r="19">
      <c r="B19" s="7" t="inlineStr">
        <is>
          <t>Quick Ratio ((Cash + AR) / Current Liab)</t>
        </is>
      </c>
      <c r="C19" s="12">
        <f>('Balance Sheet'!C7 + 'Balance Sheet'!C8) / 'Balance Sheet'!C27</f>
        <v/>
      </c>
      <c r="D19" s="12">
        <f>('Balance Sheet'!D7 + 'Balance Sheet'!D8) / 'Balance Sheet'!D27</f>
        <v/>
      </c>
      <c r="E19" s="12">
        <f>('Balance Sheet'!E7 + 'Balance Sheet'!E8) / 'Balance Sheet'!E27</f>
        <v/>
      </c>
      <c r="F19" s="12">
        <f>('Balance Sheet'!F7 + 'Balance Sheet'!F8) / 'Balance Sheet'!F27</f>
        <v/>
      </c>
      <c r="G19" s="12">
        <f>('Balance Sheet'!G7 + 'Balance Sheet'!G8) / 'Balance Sheet'!G27</f>
        <v/>
      </c>
      <c r="H19" s="12">
        <f>('Balance Sheet'!H7 + 'Balance Sheet'!H8) / 'Balance Sheet'!H27</f>
        <v/>
      </c>
      <c r="I19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Electricity Company (SEC)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5" t="inlineStr">
        <is>
          <t>Scenario Name</t>
        </is>
      </c>
      <c r="C5" s="25" t="inlineStr">
        <is>
          <t>Revenue Drop</t>
        </is>
      </c>
      <c r="D5" s="25" t="inlineStr">
        <is>
          <t>Margin Compression</t>
        </is>
      </c>
      <c r="E5" s="25" t="inlineStr">
        <is>
          <t>Refinancing Rate</t>
        </is>
      </c>
      <c r="F5" s="25" t="inlineStr">
        <is>
          <t>Exit EV Multiple</t>
        </is>
      </c>
      <c r="G5" s="25" t="inlineStr">
        <is>
          <t>Implied Recovery Px</t>
        </is>
      </c>
      <c r="H5" s="25" t="inlineStr">
        <is>
          <t>Upside / Downside</t>
        </is>
      </c>
    </row>
    <row r="6">
      <c r="B6" s="19" t="inlineStr">
        <is>
          <t>Base Case (Consensus Forecast)</t>
        </is>
      </c>
      <c r="C6" s="33" t="inlineStr">
        <is>
          <t>0.0%</t>
        </is>
      </c>
      <c r="D6" s="33" t="inlineStr">
        <is>
          <t>0 bp</t>
        </is>
      </c>
      <c r="E6" s="33" t="inlineStr">
        <is>
          <t>5.15%</t>
        </is>
      </c>
      <c r="F6" s="33" t="inlineStr">
        <is>
          <t>4.2x</t>
        </is>
      </c>
      <c r="G6" s="33" t="inlineStr">
        <is>
          <t>$101.00</t>
        </is>
      </c>
      <c r="H6" s="33" t="inlineStr">
        <is>
          <t>+1.8%</t>
        </is>
      </c>
    </row>
    <row r="7">
      <c r="B7" s="7" t="inlineStr">
        <is>
          <t>Downside Stress Case (Recession)</t>
        </is>
      </c>
      <c r="C7" s="27" t="inlineStr">
        <is>
          <t>-15.0%</t>
        </is>
      </c>
      <c r="D7" s="27" t="inlineStr">
        <is>
          <t>-300 bp</t>
        </is>
      </c>
      <c r="E7" s="27" t="inlineStr">
        <is>
          <t>7.15%</t>
        </is>
      </c>
      <c r="F7" s="27" t="inlineStr">
        <is>
          <t>3.2x</t>
        </is>
      </c>
      <c r="G7" s="27" t="inlineStr">
        <is>
          <t>$91.50</t>
        </is>
      </c>
      <c r="H7" s="27" t="inlineStr">
        <is>
          <t>-7.8%</t>
        </is>
      </c>
    </row>
    <row r="8">
      <c r="B8" s="7" t="inlineStr">
        <is>
          <t>Severe Distressed Floor (Liquidation)</t>
        </is>
      </c>
      <c r="C8" s="27" t="inlineStr">
        <is>
          <t>-35.0%</t>
        </is>
      </c>
      <c r="D8" s="27" t="inlineStr">
        <is>
          <t>-650 bp</t>
        </is>
      </c>
      <c r="E8" s="27" t="inlineStr">
        <is>
          <t>+500 bp spread</t>
        </is>
      </c>
      <c r="F8" s="27" t="inlineStr">
        <is>
          <t>Liquidation Value</t>
        </is>
      </c>
      <c r="G8" s="27" t="inlineStr">
        <is>
          <t>$82.00</t>
        </is>
      </c>
      <c r="H8" s="27" t="inlineStr">
        <is>
          <t>-17.3%</t>
        </is>
      </c>
    </row>
    <row r="9">
      <c r="B9" s="7" t="inlineStr">
        <is>
          <t>Bull Case (Cycle Peak / Accretion)</t>
        </is>
      </c>
      <c r="C9" s="27" t="inlineStr">
        <is>
          <t>+12.0%</t>
        </is>
      </c>
      <c r="D9" s="27" t="inlineStr">
        <is>
          <t>+200 bp</t>
        </is>
      </c>
      <c r="E9" s="27" t="inlineStr">
        <is>
          <t>3.65%</t>
        </is>
      </c>
      <c r="F9" s="27" t="inlineStr">
        <is>
          <t>5.7x</t>
        </is>
      </c>
      <c r="G9" s="27" t="inlineStr">
        <is>
          <t>$105.00</t>
        </is>
      </c>
      <c r="H9" s="27" t="inlineStr">
        <is>
          <t>+5.8%</t>
        </is>
      </c>
    </row>
    <row r="10"/>
    <row r="11"/>
    <row r="12">
      <c r="B12" s="3" t="inlineStr">
        <is>
          <t>II. PRIORITY CLAIM LIQUIDATION WATERFALL</t>
        </is>
      </c>
    </row>
    <row r="13">
      <c r="B13" s="25" t="inlineStr">
        <is>
          <t>Tranche Claim</t>
        </is>
      </c>
      <c r="C13" s="25" t="inlineStr">
        <is>
          <t>Claim Amount ($M)</t>
        </is>
      </c>
      <c r="D13" s="25" t="inlineStr">
        <is>
          <t>Seniority Ranking</t>
        </is>
      </c>
      <c r="E13" s="25" t="inlineStr">
        <is>
          <t>Estimated Collateral</t>
        </is>
      </c>
      <c r="F13" s="25" t="inlineStr">
        <is>
          <t>Recovery Floor (%)</t>
        </is>
      </c>
      <c r="G13" s="25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8295</v>
      </c>
      <c r="D14" s="7" t="inlineStr">
        <is>
          <t>Senior Secured (Pari Passu)</t>
        </is>
      </c>
      <c r="E14" s="7" t="inlineStr">
        <is>
          <t>First Lien Fixed Charges</t>
        </is>
      </c>
      <c r="F14" s="27" t="inlineStr">
        <is>
          <t>100.0%</t>
        </is>
      </c>
      <c r="G14" s="27" t="inlineStr">
        <is>
          <t>100.0%</t>
        </is>
      </c>
    </row>
    <row r="15">
      <c r="B15" s="7" t="inlineStr">
        <is>
          <t>SECO Senior Unsecured Eurobonds</t>
        </is>
      </c>
      <c r="C15" s="8" t="n">
        <v>24885</v>
      </c>
      <c r="D15" s="7" t="inlineStr">
        <is>
          <t>Senior Unsecured</t>
        </is>
      </c>
      <c r="E15" s="7" t="inlineStr">
        <is>
          <t>General Corporate Guarantee</t>
        </is>
      </c>
      <c r="F15" s="27" t="inlineStr">
        <is>
          <t>82.0%</t>
        </is>
      </c>
      <c r="G15" s="27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4977</v>
      </c>
      <c r="D16" s="7" t="inlineStr">
        <is>
          <t>Subordinated</t>
        </is>
      </c>
      <c r="E16" s="7" t="inlineStr">
        <is>
          <t>Junior Unsecured Claim</t>
        </is>
      </c>
      <c r="F16" s="27" t="inlineStr">
        <is>
          <t>0.0%</t>
        </is>
      </c>
      <c r="G16" s="27" t="inlineStr">
        <is>
          <t>25.0%</t>
        </is>
      </c>
    </row>
    <row r="17">
      <c r="B17" s="7" t="inlineStr">
        <is>
          <t>Equity Shareholders</t>
        </is>
      </c>
      <c r="C17" s="8" t="n">
        <v>13272</v>
      </c>
      <c r="D17" s="7" t="inlineStr">
        <is>
          <t>Residual Equity</t>
        </is>
      </c>
      <c r="E17" s="7" t="inlineStr">
        <is>
          <t>Ordinary Shares</t>
        </is>
      </c>
      <c r="F17" s="27" t="inlineStr">
        <is>
          <t>0.0%</t>
        </is>
      </c>
      <c r="G17" s="27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/ DIFC / NY Jurisdiction.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6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87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Electricity Company (SEC) (SECO) — Earnings Presentation &amp; Management Guidance</t>
        </is>
      </c>
    </row>
    <row r="3">
      <c r="B3" s="2" t="inlineStr">
        <is>
          <t>Source: Saudi Electricity Company (SEC) FY2024 Strategic Investor Presentation &amp; Capital Markets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$24624.0M (+8.0% YoY growth)</t>
        </is>
      </c>
      <c r="D7" s="34" t="inlineStr">
        <is>
          <t>$24282.0M (+6.5% YoY)</t>
        </is>
      </c>
      <c r="E7" s="35" t="inlineStr">
        <is>
          <t>On Track</t>
        </is>
      </c>
      <c r="F7" s="36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$9240.0M (37.5% margin)</t>
        </is>
      </c>
      <c r="D8" s="34" t="inlineStr">
        <is>
          <t>$9072.0M</t>
        </is>
      </c>
      <c r="E8" s="35" t="inlineStr">
        <is>
          <t>On Track</t>
        </is>
      </c>
      <c r="F8" s="36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4.00x Net Debt / EBITDA</t>
        </is>
      </c>
      <c r="D9" s="34" t="inlineStr">
        <is>
          <t>3.20x</t>
        </is>
      </c>
      <c r="E9" s="31" t="inlineStr">
        <is>
          <t>Ahead of Target</t>
        </is>
      </c>
      <c r="F9" s="36" t="inlineStr">
        <is>
          <t>Deleveraging on track with 1.30x buffer below covenant limit.</t>
        </is>
      </c>
    </row>
    <row r="10">
      <c r="B10" s="9" t="inlineStr">
        <is>
          <t>2025E Strategic Capex Envelope</t>
        </is>
      </c>
      <c r="C10" s="9" t="inlineStr">
        <is>
          <t>$3087.0M (Maximum growth and sustaining envelope)</t>
        </is>
      </c>
      <c r="D10" s="34" t="inlineStr">
        <is>
          <t>$2840.0M committed</t>
        </is>
      </c>
      <c r="E10" s="35" t="inlineStr">
        <is>
          <t>On Track</t>
        </is>
      </c>
      <c r="F10" s="36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4" t="inlineStr">
        <is>
          <t>35% payout policy maintained</t>
        </is>
      </c>
      <c r="E11" s="35" t="inlineStr">
        <is>
          <t>On Track</t>
        </is>
      </c>
      <c r="F11" s="36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6" t="inlineStr">
        <is>
          <t>Utility-Scale Solar PV Complexes, Combined-Cycle Gas Turbines &amp; Desalination Plants</t>
        </is>
      </c>
    </row>
    <row r="16">
      <c r="B16" s="9" t="inlineStr">
        <is>
          <t>Capital Expenditure Envelope</t>
        </is>
      </c>
      <c r="C16" s="36" t="inlineStr">
        <is>
          <t>$10290.0M committed equity and project debt capex over 2025-2027</t>
        </is>
      </c>
    </row>
    <row r="17">
      <c r="B17" s="9" t="inlineStr">
        <is>
          <t>Project Financing Structure</t>
        </is>
      </c>
      <c r="C17" s="36" t="inlineStr">
        <is>
          <t>75% - 80% non-recourse project debt ring-fenced at asset-level SPVs</t>
        </is>
      </c>
    </row>
    <row r="18">
      <c r="B18" s="9" t="inlineStr">
        <is>
          <t>Weighted Average Ppa Life</t>
        </is>
      </c>
      <c r="C18" s="36" t="inlineStr">
        <is>
          <t>24.5 years with sovereign and investment grade national grid offtakers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Usd Denominated Tariffs</t>
        </is>
      </c>
      <c r="C22" s="36" t="inlineStr">
        <is>
          <t>88.0% of PPA revenues denominated in or pegged to US Dollars</t>
        </is>
      </c>
    </row>
    <row r="23">
      <c r="B23" s="9" t="inlineStr">
        <is>
          <t>Sovereign Guarantee Backing</t>
        </is>
      </c>
      <c r="C23" s="36" t="inlineStr">
        <is>
          <t>100.0% of offtake payment obligations guaranteed by national ministries of finance</t>
        </is>
      </c>
    </row>
    <row r="24">
      <c r="B24" s="9" t="inlineStr">
        <is>
          <t>Inflation Indexation</t>
        </is>
      </c>
      <c r="C24" s="36" t="inlineStr">
        <is>
          <t>Tariffs feature contractual pass-through clauses for fuel price and local inflation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Contracted Revenue Backlog</t>
        </is>
      </c>
      <c r="C28" s="36" t="inlineStr">
        <is>
          <t>$410400.0M lifetime contractual revenue commitment</t>
        </is>
      </c>
    </row>
    <row r="29">
      <c r="B29" s="9" t="inlineStr">
        <is>
          <t>Equivalent Availability Factor</t>
        </is>
      </c>
      <c r="C29" s="36" t="inlineStr">
        <is>
          <t>94.2% operational plant availability across generating fleet</t>
        </is>
      </c>
    </row>
    <row r="30">
      <c r="B30" s="9" t="inlineStr">
        <is>
          <t>Offtaker Counterparty Risk</t>
        </is>
      </c>
      <c r="C30" s="36" t="inlineStr">
        <is>
          <t>Investment Grade (A/BBB) sovereign utility offtakers with zero historical defaults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Equivalents</t>
        </is>
      </c>
      <c r="C34" s="36" t="inlineStr">
        <is>
          <t>$6300.0M across corporate accounts</t>
        </is>
      </c>
    </row>
    <row r="35">
      <c r="B35" s="9" t="inlineStr">
        <is>
          <t>Undrawn Revolving Credit Facilities</t>
        </is>
      </c>
      <c r="C35" s="36" t="inlineStr">
        <is>
          <t>$13272.0M in multi-currency syndicated credit lines</t>
        </is>
      </c>
    </row>
    <row r="36">
      <c r="B36" s="9" t="inlineStr">
        <is>
          <t>Liquidity Runway</t>
        </is>
      </c>
      <c r="C36" s="36" t="inlineStr">
        <is>
          <t>38 months of corporate debt service and equity investment commitments fully secured</t>
        </is>
      </c>
    </row>
  </sheetData>
  <mergeCells count="24">
    <mergeCell ref="C36:I36"/>
    <mergeCell ref="C23:I23"/>
    <mergeCell ref="F9:I9"/>
    <mergeCell ref="C17:I17"/>
    <mergeCell ref="B3:I3"/>
    <mergeCell ref="C28:I28"/>
    <mergeCell ref="C18:I18"/>
    <mergeCell ref="B2:I2"/>
    <mergeCell ref="F11:I11"/>
    <mergeCell ref="C34:I34"/>
    <mergeCell ref="C24:I24"/>
    <mergeCell ref="C30:I30"/>
    <mergeCell ref="C15:I15"/>
    <mergeCell ref="C33:I33"/>
    <mergeCell ref="F10:I10"/>
    <mergeCell ref="C14:I14"/>
    <mergeCell ref="F7:I7"/>
    <mergeCell ref="C35:I35"/>
    <mergeCell ref="C29:I29"/>
    <mergeCell ref="C16:I16"/>
    <mergeCell ref="C22:I22"/>
    <mergeCell ref="F8:I8"/>
    <mergeCell ref="C21:I2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2026-09-19T21:22:59Z</dcterms:created>
  <dcterms:modified xmlns:dcterms="http://purl.org/dc/terms/" xmlns:xsi="http://www.w3.org/2001/XMLSchema-instance" xsi:type="dcterms:W3CDTF">2026-09-19T21:22:59Z</dcterms:modified>
</cp:coreProperties>
</file>