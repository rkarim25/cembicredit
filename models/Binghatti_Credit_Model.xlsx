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Institutional Credit Model</t>
        </is>
      </c>
    </row>
    <row r="3">
      <c r="B3" s="2" t="inlineStr">
        <is>
          <t>Sector: Real Estate | Country: UAE | Rating: B+ / B | Benchmark: BINGHA 8.85% 2027 @ $101.50 (8.85% YTM / +480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FOCUS: $400M 2027 Sukuk covered by $280M cash + $380M RERA escrow profit releases upon handover; 0.89x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BINGHA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280.4400000000001</v>
      </c>
      <c r="F26" s="7" t="inlineStr">
        <is>
          <t>8.85%</t>
        </is>
      </c>
      <c r="G26" s="7" t="inlineStr">
        <is>
          <t>$101.50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BINGHA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186.96</v>
      </c>
      <c r="F27" s="7" t="inlineStr">
        <is>
          <t>8.10%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155.8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552.5</v>
      </c>
      <c r="D15" s="8" t="n">
        <v>666.2</v>
      </c>
      <c r="E15" s="8" t="n">
        <v>747.5</v>
      </c>
      <c r="F15" s="8" t="n">
        <v>812.5</v>
      </c>
      <c r="G15" s="8" t="n">
        <v>877.5</v>
      </c>
      <c r="H15" s="8" t="n">
        <v>934.4</v>
      </c>
      <c r="I15" s="8" t="n">
        <v>975</v>
      </c>
    </row>
    <row r="16">
      <c r="B16" s="7" t="inlineStr">
        <is>
          <t>Completed Ready Property Sales</t>
        </is>
      </c>
      <c r="C16" s="8" t="n">
        <v>187</v>
      </c>
      <c r="D16" s="8" t="n">
        <v>225.5</v>
      </c>
      <c r="E16" s="8" t="n">
        <v>253</v>
      </c>
      <c r="F16" s="8" t="n">
        <v>275</v>
      </c>
      <c r="G16" s="8" t="n">
        <v>297</v>
      </c>
      <c r="H16" s="8" t="n">
        <v>316.2</v>
      </c>
      <c r="I16" s="8" t="n">
        <v>330</v>
      </c>
    </row>
    <row r="17">
      <c r="B17" s="7" t="inlineStr">
        <is>
          <t>Commercial Leasing &amp; Hospitality</t>
        </is>
      </c>
      <c r="C17" s="8" t="n">
        <v>110.5</v>
      </c>
      <c r="D17" s="8" t="n">
        <v>133.2</v>
      </c>
      <c r="E17" s="8" t="n">
        <v>149.5</v>
      </c>
      <c r="F17" s="8" t="n">
        <v>162.5</v>
      </c>
      <c r="G17" s="8" t="n">
        <v>175.5</v>
      </c>
      <c r="H17" s="8" t="n">
        <v>186.9</v>
      </c>
      <c r="I17" s="8" t="n">
        <v>195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1275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297.5</v>
      </c>
      <c r="D36" s="8" t="n">
        <v>297.5</v>
      </c>
      <c r="E36" s="8" t="n">
        <v>297.5</v>
      </c>
      <c r="F36" s="8" t="n">
        <v>297.5</v>
      </c>
      <c r="G36" s="8" t="n">
        <v>297.5</v>
      </c>
      <c r="H36" s="8" t="n">
        <v>297.5</v>
      </c>
      <c r="I36" s="8" t="n">
        <v>297.5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-93.09999999999999</v>
      </c>
      <c r="D16" s="8" t="n">
        <v>-113</v>
      </c>
      <c r="E16" s="8" t="n">
        <v>-126.3</v>
      </c>
      <c r="F16" s="8" t="n">
        <v>-133</v>
      </c>
      <c r="G16" s="8" t="n">
        <v>-139.7</v>
      </c>
      <c r="H16" s="8" t="n">
        <v>-135.7</v>
      </c>
      <c r="I16" s="8" t="n">
        <v>-130.3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156.8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BINGHA Benchmark Eurobond Notes</t>
        </is>
      </c>
    </row>
    <row r="7">
      <c r="B7" s="7" t="inlineStr">
        <is>
          <t xml:space="preserve">  Beginning Principal Balance</t>
        </is>
      </c>
      <c r="C7" s="8" t="n">
        <v>238.4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79.5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0.0885</f>
        <v/>
      </c>
      <c r="D11" s="8">
        <f>D10 * 0.0885</f>
        <v/>
      </c>
      <c r="E11" s="8">
        <f>E10 * 0.0885</f>
        <v/>
      </c>
      <c r="F11" s="8">
        <f>F10 * 0.0885</f>
        <v/>
      </c>
      <c r="G11" s="8">
        <f>G10 * 0.0885</f>
        <v/>
      </c>
      <c r="H11" s="8">
        <f>H10 * 0.0885</f>
        <v/>
      </c>
      <c r="I11" s="8">
        <f>I10 * 0.0885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291.3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74.8</v>
      </c>
      <c r="C32" s="8" t="n">
        <v>137.1</v>
      </c>
      <c r="D32" s="8" t="n">
        <v>174.5</v>
      </c>
      <c r="E32" s="8" t="n">
        <v>112.2</v>
      </c>
      <c r="F32" s="8" t="n">
        <v>74.8</v>
      </c>
      <c r="G32" s="8" t="n">
        <v>49.9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8.85%</t>
        </is>
      </c>
      <c r="F6" s="26" t="inlineStr">
        <is>
          <t>4.2x</t>
        </is>
      </c>
      <c r="G6" s="26" t="inlineStr">
        <is>
          <t>$101.50</t>
        </is>
      </c>
      <c r="H6" s="26" t="inlineStr">
        <is>
          <t>+0.0%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10.85%</t>
        </is>
      </c>
      <c r="F7" s="27" t="inlineStr">
        <is>
          <t>3.2x</t>
        </is>
      </c>
      <c r="G7" s="27" t="inlineStr">
        <is>
          <t>$84.75</t>
        </is>
      </c>
      <c r="H7" s="27" t="inlineStr">
        <is>
          <t>-16.5%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$68.00</t>
        </is>
      </c>
      <c r="H8" s="27" t="inlineStr">
        <is>
          <t>-33.0%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7.35%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+3.4%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155.8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BINGHA Senior Unsecured Eurobonds</t>
        </is>
      </c>
      <c r="C15" s="8" t="n">
        <v>467.4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68.0%</t>
        </is>
      </c>
      <c r="G15" s="27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93.5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249.3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2026-09-19T21:03:31Z</dcterms:created>
  <dcterms:modified xmlns:dcterms="http://purl.org/dc/terms/" xmlns:xsi="http://www.w3.org/2001/XMLSchema-instance" xsi:type="dcterms:W3CDTF">2026-09-19T21:03:31Z</dcterms:modified>
</cp:coreProperties>
</file>