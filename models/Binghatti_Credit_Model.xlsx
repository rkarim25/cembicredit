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  <sheet xmlns:r="http://schemas.openxmlformats.org/officeDocument/2006/relationships" name="2027 Sukuk Payba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  <xf numFmtId="164" fontId="5" fillId="0" borderId="1" pivotButton="0" quotePrefix="0" xfId="0"/>
    <xf numFmtId="166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Binghatti Holding</t>
        </is>
      </c>
    </row>
    <row r="3">
      <c r="B3" s="2" t="inlineStr">
        <is>
          <t>CEMBI CEEMEA Institutional Credit Assessment | Country: UAE (Middle East) | Sector: Real Estate | Benchmark: BINGHA 8.85%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BINGHA 8.85% 2027</t>
        </is>
      </c>
      <c r="C6" s="5" t="inlineStr">
        <is>
          <t>8.85% (+480 bp)</t>
        </is>
      </c>
      <c r="D6" s="4" t="inlineStr">
        <is>
          <t>B+ / B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$68.00</t>
        </is>
      </c>
      <c r="D7" s="4" t="inlineStr">
        <is>
          <t>Base Case Fair Value</t>
        </is>
      </c>
      <c r="E7" s="5" t="inlineStr">
        <is>
          <t>$101.50</t>
        </is>
      </c>
    </row>
    <row r="9">
      <c r="B9" s="6" t="inlineStr">
        <is>
          <t>INSTITUTIONAL INVESTMENT THESIS</t>
        </is>
      </c>
    </row>
    <row r="10">
      <c r="B10" s="7" t="inlineStr">
        <is>
          <t>FORENSIC FOCUS: $400M 2027 Sukuk covered by $280M cash + $380M RERA escrow profit releases upon handover; 0.89x net debt.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Binghatti Holding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850</v>
      </c>
      <c r="D7" s="13" t="n">
        <v>1025</v>
      </c>
      <c r="E7" s="13" t="n">
        <v>1150</v>
      </c>
      <c r="F7" s="13" t="n">
        <v>1250</v>
      </c>
      <c r="G7" s="14" t="n">
        <v>1350</v>
      </c>
      <c r="H7" s="14" t="n">
        <v>1437.5</v>
      </c>
      <c r="I7" s="14" t="n">
        <v>1500</v>
      </c>
    </row>
    <row r="8">
      <c r="B8" s="12" t="inlineStr">
        <is>
          <t>EBITDA</t>
        </is>
      </c>
      <c r="C8" s="13" t="n">
        <v>247</v>
      </c>
      <c r="D8" s="13" t="n">
        <v>304</v>
      </c>
      <c r="E8" s="13" t="n">
        <v>342</v>
      </c>
      <c r="F8" s="13" t="n">
        <v>380</v>
      </c>
      <c r="G8" s="14" t="n">
        <v>418</v>
      </c>
      <c r="H8" s="14" t="n">
        <v>448.4</v>
      </c>
      <c r="I8" s="14" t="n">
        <v>471.2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40.8</v>
      </c>
      <c r="D10" s="17" t="n">
        <v>51</v>
      </c>
      <c r="E10" s="17" t="n">
        <v>61.2</v>
      </c>
      <c r="F10" s="17" t="n">
        <v>68</v>
      </c>
      <c r="G10" s="18" t="n">
        <v>65.3</v>
      </c>
      <c r="H10" s="18" t="n">
        <v>62.5</v>
      </c>
      <c r="I10" s="18" t="n">
        <v>59.8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200.3</v>
      </c>
      <c r="D12" s="13" t="n">
        <v>251.9</v>
      </c>
      <c r="E12" s="13" t="n">
        <v>284.2</v>
      </c>
      <c r="F12" s="13" t="n">
        <v>323</v>
      </c>
      <c r="G12" s="14" t="n">
        <v>355.3</v>
      </c>
      <c r="H12" s="14" t="n">
        <v>381.1</v>
      </c>
      <c r="I12" s="14" t="n">
        <v>403.8</v>
      </c>
    </row>
    <row r="13">
      <c r="B13" s="5" t="inlineStr">
        <is>
          <t>Capital Expenditures (Capex)</t>
        </is>
      </c>
      <c r="C13" s="17" t="n">
        <v>93.09999999999999</v>
      </c>
      <c r="D13" s="17" t="n">
        <v>113</v>
      </c>
      <c r="E13" s="17" t="n">
        <v>126.3</v>
      </c>
      <c r="F13" s="17" t="n">
        <v>133</v>
      </c>
      <c r="G13" s="18" t="n">
        <v>139.7</v>
      </c>
      <c r="H13" s="18" t="n">
        <v>135.7</v>
      </c>
      <c r="I13" s="18" t="n">
        <v>130.3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156.8</v>
      </c>
      <c r="D16" s="13" t="n">
        <v>199.5</v>
      </c>
      <c r="E16" s="13" t="n">
        <v>242.2</v>
      </c>
      <c r="F16" s="13" t="n">
        <v>285</v>
      </c>
      <c r="G16" s="14" t="n">
        <v>336.3</v>
      </c>
      <c r="H16" s="14" t="n">
        <v>384.8</v>
      </c>
      <c r="I16" s="14" t="n">
        <v>427.5</v>
      </c>
    </row>
    <row r="17">
      <c r="B17" s="12" t="inlineStr">
        <is>
          <t>Gross Total Debt</t>
        </is>
      </c>
      <c r="C17" s="13" t="n">
        <v>529.7</v>
      </c>
      <c r="D17" s="13" t="n">
        <v>573.3</v>
      </c>
      <c r="E17" s="13" t="n">
        <v>610.7</v>
      </c>
      <c r="F17" s="13" t="n">
        <v>623.2</v>
      </c>
      <c r="G17" s="14" t="n">
        <v>610.7</v>
      </c>
      <c r="H17" s="14" t="n">
        <v>592</v>
      </c>
      <c r="I17" s="14" t="n">
        <v>560.9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Binghatti Holding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8.85%</t>
        </is>
      </c>
      <c r="F6" s="21" t="inlineStr">
        <is>
          <t>2028 / 2029</t>
        </is>
      </c>
      <c r="G6" s="17" t="n">
        <v>280.4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155.8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93.5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62.3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31.2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242.2</v>
      </c>
    </row>
    <row r="15">
      <c r="B15" t="inlineStr">
        <is>
          <t>Committed Undrawn RCF Capacity</t>
        </is>
      </c>
      <c r="C15" s="22" t="n">
        <v>152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142.8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Binghatti Holding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380</v>
      </c>
      <c r="D6" s="17" t="n">
        <v>323</v>
      </c>
      <c r="E6" s="25" t="n">
        <v>247</v>
      </c>
    </row>
    <row r="7">
      <c r="B7" s="5" t="inlineStr">
        <is>
          <t>Free Cash Flow ($M)</t>
        </is>
      </c>
      <c r="C7" s="17" t="n">
        <v>190</v>
      </c>
      <c r="D7" s="17" t="n">
        <v>114</v>
      </c>
      <c r="E7" s="25" t="n">
        <v>28.5</v>
      </c>
    </row>
    <row r="8">
      <c r="B8" s="12" t="inlineStr">
        <is>
          <t>Net Leverage Ratio (x)</t>
        </is>
      </c>
      <c r="C8" s="26" t="n">
        <v>0.89</v>
      </c>
      <c r="D8" s="26" t="n">
        <v>1.11</v>
      </c>
      <c r="E8" s="27" t="n">
        <v>1.65</v>
      </c>
    </row>
    <row r="9">
      <c r="B9" s="5" t="inlineStr">
        <is>
          <t>Interest Coverage Ratio (x)</t>
        </is>
      </c>
      <c r="C9" s="26" t="n">
        <v>5.59</v>
      </c>
      <c r="D9" s="26" t="n">
        <v>4.36</v>
      </c>
      <c r="E9" s="27" t="n">
        <v>2.52</v>
      </c>
    </row>
    <row r="10">
      <c r="B10" s="12" t="inlineStr">
        <is>
          <t>Implied Senior Paper Trading / Recovery ($)</t>
        </is>
      </c>
      <c r="C10" s="12" t="inlineStr">
        <is>
          <t>$101.50</t>
        </is>
      </c>
      <c r="D10" s="12" t="inlineStr">
        <is>
          <t>$80.00</t>
        </is>
      </c>
      <c r="E10" s="28" t="inlineStr">
        <is>
          <t>$68.00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22" customWidth="1" min="3" max="3"/>
    <col width="45" customWidth="1" min="4" max="4"/>
  </cols>
  <sheetData>
    <row r="2">
      <c r="B2" s="1" t="inlineStr">
        <is>
          <t>Binghatti Holding — $400M Feb 2027 Sukuk Bullet Payback Waterfall</t>
        </is>
      </c>
    </row>
    <row r="3">
      <c r="B3" s="2" t="inlineStr">
        <is>
          <t>RERA Escrow profit sweep, project handovers, and unrestricted liquidity backing bullet redemption</t>
        </is>
      </c>
    </row>
    <row r="5">
      <c r="B5" s="8" t="inlineStr">
        <is>
          <t>CASH INFLOW / LIQUIDITY SOURCE (2025E - FEB 2027)</t>
        </is>
      </c>
      <c r="C5" s="8" t="inlineStr">
        <is>
          <t>CASH VALUE ($M)</t>
        </is>
      </c>
      <c r="D5" s="8" t="inlineStr">
        <is>
          <t>REMARKS / LEGAL RESTRICTION</t>
        </is>
      </c>
    </row>
    <row r="6">
      <c r="B6" s="5" t="inlineStr">
        <is>
          <t>Unrestricted Corporate Cash Balance (as of Q4 2024)</t>
        </is>
      </c>
      <c r="C6" s="29" t="n">
        <v>145</v>
      </c>
      <c r="D6" s="21" t="inlineStr">
        <is>
          <t>Available immediately for debt service</t>
        </is>
      </c>
    </row>
    <row r="7">
      <c r="B7" s="5" t="inlineStr">
        <is>
          <t>RERA Protected Project Escrow Surplus Releases</t>
        </is>
      </c>
      <c r="C7" s="29" t="n">
        <v>340</v>
      </c>
      <c r="D7" s="21" t="inlineStr">
        <is>
          <t>Released upon engineer-certified project handovers</t>
        </is>
      </c>
    </row>
    <row r="8">
      <c r="B8" s="5" t="inlineStr">
        <is>
          <t>Contracted Off-Plan Installment Collections (2025-2026)</t>
        </is>
      </c>
      <c r="C8" s="29" t="n">
        <v>195</v>
      </c>
      <c r="D8" s="21" t="inlineStr">
        <is>
          <t>From 85%+ sold-out luxury branded towers</t>
        </is>
      </c>
    </row>
    <row r="9">
      <c r="B9" s="12" t="inlineStr">
        <is>
          <t>Total Available Cash Pre-Redemption (Feb 2027)</t>
        </is>
      </c>
      <c r="C9" s="4">
        <f>SUM(C6:C8)</f>
        <v/>
      </c>
      <c r="D9" s="21" t="inlineStr">
        <is>
          <t>Gross liquid pool for Sukuk redemption</t>
        </is>
      </c>
    </row>
    <row r="10">
      <c r="B10" s="12" t="inlineStr">
        <is>
          <t>Feb 2027 Benchmark Sukuk Bullet Redemption</t>
        </is>
      </c>
      <c r="C10" s="28" t="n">
        <v>400</v>
      </c>
      <c r="D10" s="21" t="inlineStr">
        <is>
          <t>Final principal maturity</t>
        </is>
      </c>
    </row>
    <row r="11">
      <c r="B11" s="12" t="inlineStr">
        <is>
          <t>Net Surplus Liquidity Post-Redemption</t>
        </is>
      </c>
      <c r="C11" s="4">
        <f>C9-C10</f>
        <v/>
      </c>
      <c r="D11" s="21" t="inlineStr">
        <is>
          <t>Surplus cash retained on balance sheet</t>
        </is>
      </c>
    </row>
    <row r="12">
      <c r="B12" s="12" t="inlineStr">
        <is>
          <t>Bullet Debt Service Coverage Ratio (DSCR)</t>
        </is>
      </c>
      <c r="C12" s="30">
        <f>C9/C10</f>
        <v/>
      </c>
      <c r="D12" s="21" t="inlineStr">
        <is>
          <t>1.70x Coverage Buffer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