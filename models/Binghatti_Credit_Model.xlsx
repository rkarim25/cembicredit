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Institutional Credit Model</t>
        </is>
      </c>
    </row>
    <row r="3">
      <c r="B3" s="2" t="inlineStr">
        <is>
          <t>Sector: Real Estate | Country: UAE | Rating: B+ / B | Benchmark: BINGHA 8.85% 2027 @ $101.50 (8.85% YTM / +480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FOCUS: $400M 2027 Sukuk covered by $280M cash + $380M RERA escrow profit releases upon handover; 0.89x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BINGHA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280.4400000000001</v>
      </c>
      <c r="F26" s="7" t="inlineStr">
        <is>
          <t>8.85%</t>
        </is>
      </c>
      <c r="G26" s="7" t="inlineStr">
        <is>
          <t>$101.50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BINGHA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186.96</v>
      </c>
      <c r="F27" s="7" t="inlineStr">
        <is>
          <t>8.10%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155.8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552.5</v>
      </c>
      <c r="D15" s="8" t="n">
        <v>666.2</v>
      </c>
      <c r="E15" s="8" t="n">
        <v>747.5</v>
      </c>
      <c r="F15" s="8" t="n">
        <v>812.5</v>
      </c>
      <c r="G15" s="8" t="n">
        <v>877.5</v>
      </c>
      <c r="H15" s="8" t="n">
        <v>934.4</v>
      </c>
      <c r="I15" s="8" t="n">
        <v>975</v>
      </c>
    </row>
    <row r="16">
      <c r="B16" s="7" t="inlineStr">
        <is>
          <t>Completed Ready Property Sales</t>
        </is>
      </c>
      <c r="C16" s="8" t="n">
        <v>187</v>
      </c>
      <c r="D16" s="8" t="n">
        <v>225.5</v>
      </c>
      <c r="E16" s="8" t="n">
        <v>253</v>
      </c>
      <c r="F16" s="8" t="n">
        <v>275</v>
      </c>
      <c r="G16" s="8" t="n">
        <v>297</v>
      </c>
      <c r="H16" s="8" t="n">
        <v>316.2</v>
      </c>
      <c r="I16" s="8" t="n">
        <v>330</v>
      </c>
    </row>
    <row r="17">
      <c r="B17" s="7" t="inlineStr">
        <is>
          <t>Commercial Leasing &amp; Hospitality</t>
        </is>
      </c>
      <c r="C17" s="8" t="n">
        <v>110.5</v>
      </c>
      <c r="D17" s="8" t="n">
        <v>133.2</v>
      </c>
      <c r="E17" s="8" t="n">
        <v>149.5</v>
      </c>
      <c r="F17" s="8" t="n">
        <v>162.5</v>
      </c>
      <c r="G17" s="8" t="n">
        <v>175.5</v>
      </c>
      <c r="H17" s="8" t="n">
        <v>186.9</v>
      </c>
      <c r="I17" s="8" t="n">
        <v>195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1275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297.5</v>
      </c>
      <c r="D36" s="8" t="n">
        <v>297.5</v>
      </c>
      <c r="E36" s="8" t="n">
        <v>297.5</v>
      </c>
      <c r="F36" s="8" t="n">
        <v>297.5</v>
      </c>
      <c r="G36" s="8" t="n">
        <v>297.5</v>
      </c>
      <c r="H36" s="8" t="n">
        <v>297.5</v>
      </c>
      <c r="I36" s="8" t="n">
        <v>297.5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-93.09999999999999</v>
      </c>
      <c r="D16" s="8" t="n">
        <v>-113</v>
      </c>
      <c r="E16" s="8" t="n">
        <v>-126.3</v>
      </c>
      <c r="F16" s="8" t="n">
        <v>-133</v>
      </c>
      <c r="G16" s="8" t="n">
        <v>-139.7</v>
      </c>
      <c r="H16" s="8" t="n">
        <v>-135.7</v>
      </c>
      <c r="I16" s="8" t="n">
        <v>-130.3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156.8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BINGHA Benchmark Eurobond Notes</t>
        </is>
      </c>
    </row>
    <row r="7">
      <c r="B7" s="7" t="inlineStr">
        <is>
          <t xml:space="preserve">  Beginning Principal Balance</t>
        </is>
      </c>
      <c r="C7" s="8" t="n">
        <v>238.4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79.5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0.0885</f>
        <v/>
      </c>
      <c r="D11" s="8">
        <f>D10 * 0.0885</f>
        <v/>
      </c>
      <c r="E11" s="8">
        <f>E10 * 0.0885</f>
        <v/>
      </c>
      <c r="F11" s="8">
        <f>F10 * 0.0885</f>
        <v/>
      </c>
      <c r="G11" s="8">
        <f>G10 * 0.0885</f>
        <v/>
      </c>
      <c r="H11" s="8">
        <f>H10 * 0.0885</f>
        <v/>
      </c>
      <c r="I11" s="8">
        <f>I10 * 0.0885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291.3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74.8</v>
      </c>
      <c r="C32" s="8" t="n">
        <v>137.1</v>
      </c>
      <c r="D32" s="8" t="n">
        <v>174.5</v>
      </c>
      <c r="E32" s="8" t="n">
        <v>112.2</v>
      </c>
      <c r="F32" s="8" t="n">
        <v>74.8</v>
      </c>
      <c r="G32" s="8" t="n">
        <v>49.9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8.85%</t>
        </is>
      </c>
      <c r="F6" s="26" t="inlineStr">
        <is>
          <t>4.2x</t>
        </is>
      </c>
      <c r="G6" s="26" t="inlineStr">
        <is>
          <t>$101.50</t>
        </is>
      </c>
      <c r="H6" s="26" t="inlineStr">
        <is>
          <t>+0.0%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10.85%</t>
        </is>
      </c>
      <c r="F7" s="27" t="inlineStr">
        <is>
          <t>3.2x</t>
        </is>
      </c>
      <c r="G7" s="27" t="inlineStr">
        <is>
          <t>$84.75</t>
        </is>
      </c>
      <c r="H7" s="27" t="inlineStr">
        <is>
          <t>-16.5%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$68.00</t>
        </is>
      </c>
      <c r="H8" s="27" t="inlineStr">
        <is>
          <t>-33.0%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7.35%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+3.4%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155.8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BINGHA Senior Unsecured Eurobonds</t>
        </is>
      </c>
      <c r="C15" s="8" t="n">
        <v>467.4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68.0%</t>
        </is>
      </c>
      <c r="G15" s="27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93.5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249.3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Earnings Presentation &amp; Management Guidance</t>
        </is>
      </c>
    </row>
    <row r="3">
      <c r="B3" s="2" t="inlineStr">
        <is>
          <t>Source: Binghatti Holding FY2024 &amp; Recent Quarterly Earnings Presentation &amp; Global Investor Deck | Reporting Currency: AED / USD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Net Debt To Equity Ceiling</t>
        </is>
      </c>
      <c r="C7" s="28" t="inlineStr">
        <is>
          <t>&lt; 30.0% (Committed conservative leverage framework)</t>
        </is>
      </c>
    </row>
    <row r="8">
      <c r="B8" s="9" t="inlineStr">
        <is>
          <t>Annual Presales Growth</t>
        </is>
      </c>
      <c r="C8" s="28" t="inlineStr">
        <is>
          <t>+20.0% - 30.0% YoY presales value expansion</t>
        </is>
      </c>
    </row>
    <row r="9">
      <c r="B9" s="9" t="inlineStr">
        <is>
          <t>Gross Profit Margin Target</t>
        </is>
      </c>
      <c r="C9" s="28" t="inlineStr">
        <is>
          <t>35.0% - 42.0% across off-plan development projects</t>
        </is>
      </c>
    </row>
    <row r="10">
      <c r="B10" s="9" t="inlineStr">
        <is>
          <t>Dividend Payout Policy</t>
        </is>
      </c>
      <c r="C10" s="28" t="inlineStr">
        <is>
          <t>Minimum 30% - 40% payout of operational net profit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Flagship Projects Under Construction</t>
        </is>
      </c>
      <c r="C14" s="28" t="inlineStr">
        <is>
          <t>Signature Luxury Residential Towers, Waterfront Master Communities &amp; Branded Villas</t>
        </is>
      </c>
    </row>
    <row r="15">
      <c r="B15" s="9" t="inlineStr">
        <is>
          <t>Gross Development Value Gdv</t>
        </is>
      </c>
      <c r="C15" s="28" t="inlineStr">
        <is>
          <t>$4000.0M active development portfolio under execution</t>
        </is>
      </c>
    </row>
    <row r="16">
      <c r="B16" s="9" t="inlineStr">
        <is>
          <t>Active Residential Units</t>
        </is>
      </c>
      <c r="C16" s="28" t="inlineStr">
        <is>
          <t>5,625 units under construction across master sites</t>
        </is>
      </c>
    </row>
    <row r="17">
      <c r="B17" s="9" t="inlineStr">
        <is>
          <t>Target Handover Schedule</t>
        </is>
      </c>
      <c r="C17" s="28" t="inlineStr">
        <is>
          <t>Phased deliveries scheduled between Q4 2025 and Q4 2027</t>
        </is>
      </c>
    </row>
    <row r="18">
      <c r="B18" s="9" t="inlineStr">
        <is>
          <t>Land Bank Reserves</t>
        </is>
      </c>
      <c r="C18" s="28" t="inlineStr">
        <is>
          <t>Over 45M sqft gross floor area (GFA) fully paid with zero land acquisition debt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Pegged Share</t>
        </is>
      </c>
      <c r="C22" s="28" t="inlineStr">
        <is>
          <t>100.0% in USD / AED (Zero emerging market FX devaluation risk)</t>
        </is>
      </c>
    </row>
    <row r="23">
      <c r="B23" s="9" t="inlineStr">
        <is>
          <t>International Buyer Inflow</t>
        </is>
      </c>
      <c r="C23" s="28" t="inlineStr">
        <is>
          <t>72.0% of presale sales value generated from overseas high-net-worth investors</t>
        </is>
      </c>
    </row>
    <row r="24">
      <c r="B24" s="9" t="inlineStr">
        <is>
          <t>Natural Currency Hedge</t>
        </is>
      </c>
      <c r="C24" s="28" t="inlineStr">
        <is>
          <t>100.0% of bond/sukuk debt and construction contractor liabilities matched in USD/AED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Unrecognized Revenue Backlog</t>
        </is>
      </c>
      <c r="C28" s="28" t="inlineStr">
        <is>
          <t>$2312.5M to be recognized over 24-36 months of construction</t>
        </is>
      </c>
    </row>
    <row r="29">
      <c r="B29" s="9" t="inlineStr">
        <is>
          <t>Escrow Bank Protection</t>
        </is>
      </c>
      <c r="C29" s="28" t="inlineStr">
        <is>
          <t>100.0% of buyer presale funds deposited in RERA statutory escrow bank accounts</t>
        </is>
      </c>
    </row>
    <row r="30">
      <c r="B30" s="9" t="inlineStr">
        <is>
          <t>Milestone Collection Cycle</t>
        </is>
      </c>
      <c r="C30" s="28" t="inlineStr">
        <is>
          <t>Construction-linked milestone payment structures (Average 30% downpayment / 70% handover)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Treasury Cash</t>
        </is>
      </c>
      <c r="C34" s="28" t="inlineStr">
        <is>
          <t>$185.2M in central treasury accounts</t>
        </is>
      </c>
    </row>
    <row r="35">
      <c r="B35" s="9" t="inlineStr">
        <is>
          <t>Restricted Escrow Bank Balances</t>
        </is>
      </c>
      <c r="C35" s="28" t="inlineStr">
        <is>
          <t>$242.2M ring-fenced for specific project construction works</t>
        </is>
      </c>
    </row>
    <row r="36">
      <c r="B36" s="9" t="inlineStr">
        <is>
          <t>Undrawn Committed Bank Rcfs</t>
        </is>
      </c>
      <c r="C36" s="28" t="inlineStr">
        <is>
          <t>$218.1M in bilateral bank revolving credit lines</t>
        </is>
      </c>
    </row>
    <row r="37">
      <c r="B37" s="9" t="inlineStr">
        <is>
          <t>Total Available Liquidity Runway</t>
        </is>
      </c>
      <c r="C37" s="28" t="inlineStr">
        <is>
          <t>42 months of corporate debt service and fixed overhead pre-funded</t>
        </is>
      </c>
    </row>
  </sheetData>
  <mergeCells count="26">
    <mergeCell ref="C36:I36"/>
    <mergeCell ref="C23:I23"/>
    <mergeCell ref="C17:I17"/>
    <mergeCell ref="C8:I8"/>
    <mergeCell ref="B3:I3"/>
    <mergeCell ref="C7:I7"/>
    <mergeCell ref="C37:I37"/>
    <mergeCell ref="C28:I28"/>
    <mergeCell ref="C13:I13"/>
    <mergeCell ref="C18:I18"/>
    <mergeCell ref="B2:I2"/>
    <mergeCell ref="C34:I34"/>
    <mergeCell ref="C6:I6"/>
    <mergeCell ref="C24:I24"/>
    <mergeCell ref="C30:I30"/>
    <mergeCell ref="C15:I15"/>
    <mergeCell ref="C33:I33"/>
    <mergeCell ref="C14:I14"/>
    <mergeCell ref="C35:I35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2026-09-19T21:07:14Z</dcterms:created>
  <dcterms:modified xmlns:dcterms="http://purl.org/dc/terms/" xmlns:xsi="http://www.w3.org/2001/XMLSchema-instance" xsi:type="dcterms:W3CDTF">2026-09-19T21:07:14Z</dcterms:modified>
</cp:coreProperties>
</file>