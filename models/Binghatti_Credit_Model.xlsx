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Institutional Credit Model</t>
        </is>
      </c>
    </row>
    <row r="3">
      <c r="B3" s="2" t="inlineStr">
        <is>
          <t>Sector: Real Estate | Country: UAE | Rating: B+ / B | Benchmark: BINGHA 8.85% 2027 @ $101.50 (8.85% YTM / +480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FOCUS: $400M 2027 Sukuk covered by $280M cash + $380M RERA escrow profit releases upon handover; 0.89x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BINGHA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280.4400000000001</v>
      </c>
      <c r="F26" s="7" t="inlineStr">
        <is>
          <t>8.85%</t>
        </is>
      </c>
      <c r="G26" s="7" t="inlineStr">
        <is>
          <t>$101.50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BINGHA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186.96</v>
      </c>
      <c r="F27" s="7" t="inlineStr">
        <is>
          <t>8.10%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155.8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552.5</v>
      </c>
      <c r="D15" s="8" t="n">
        <v>666.2</v>
      </c>
      <c r="E15" s="8" t="n">
        <v>747.5</v>
      </c>
      <c r="F15" s="8" t="n">
        <v>812.5</v>
      </c>
      <c r="G15" s="8" t="n">
        <v>877.5</v>
      </c>
      <c r="H15" s="8" t="n">
        <v>934.4</v>
      </c>
      <c r="I15" s="8" t="n">
        <v>975</v>
      </c>
    </row>
    <row r="16">
      <c r="B16" s="7" t="inlineStr">
        <is>
          <t>Completed Ready Property Sales</t>
        </is>
      </c>
      <c r="C16" s="8" t="n">
        <v>187</v>
      </c>
      <c r="D16" s="8" t="n">
        <v>225.5</v>
      </c>
      <c r="E16" s="8" t="n">
        <v>253</v>
      </c>
      <c r="F16" s="8" t="n">
        <v>275</v>
      </c>
      <c r="G16" s="8" t="n">
        <v>297</v>
      </c>
      <c r="H16" s="8" t="n">
        <v>316.2</v>
      </c>
      <c r="I16" s="8" t="n">
        <v>330</v>
      </c>
    </row>
    <row r="17">
      <c r="B17" s="7" t="inlineStr">
        <is>
          <t>Commercial Leasing &amp; Hospitality</t>
        </is>
      </c>
      <c r="C17" s="8" t="n">
        <v>110.5</v>
      </c>
      <c r="D17" s="8" t="n">
        <v>133.2</v>
      </c>
      <c r="E17" s="8" t="n">
        <v>149.5</v>
      </c>
      <c r="F17" s="8" t="n">
        <v>162.5</v>
      </c>
      <c r="G17" s="8" t="n">
        <v>175.5</v>
      </c>
      <c r="H17" s="8" t="n">
        <v>186.9</v>
      </c>
      <c r="I17" s="8" t="n">
        <v>195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1275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297.5</v>
      </c>
      <c r="D36" s="8" t="n">
        <v>297.5</v>
      </c>
      <c r="E36" s="8" t="n">
        <v>297.5</v>
      </c>
      <c r="F36" s="8" t="n">
        <v>297.5</v>
      </c>
      <c r="G36" s="8" t="n">
        <v>297.5</v>
      </c>
      <c r="H36" s="8" t="n">
        <v>297.5</v>
      </c>
      <c r="I36" s="8" t="n">
        <v>297.5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-93.09999999999999</v>
      </c>
      <c r="D16" s="8" t="n">
        <v>-113</v>
      </c>
      <c r="E16" s="8" t="n">
        <v>-126.3</v>
      </c>
      <c r="F16" s="8" t="n">
        <v>-133</v>
      </c>
      <c r="G16" s="8" t="n">
        <v>-139.7</v>
      </c>
      <c r="H16" s="8" t="n">
        <v>-135.7</v>
      </c>
      <c r="I16" s="8" t="n">
        <v>-130.3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156.8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BINGHA Benchmark Eurobond Notes</t>
        </is>
      </c>
    </row>
    <row r="7">
      <c r="B7" s="7" t="inlineStr">
        <is>
          <t xml:space="preserve">  Beginning Principal Balance</t>
        </is>
      </c>
      <c r="C7" s="8" t="n">
        <v>238.4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79.5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0.0885</f>
        <v/>
      </c>
      <c r="D11" s="8">
        <f>D10 * 0.0885</f>
        <v/>
      </c>
      <c r="E11" s="8">
        <f>E10 * 0.0885</f>
        <v/>
      </c>
      <c r="F11" s="8">
        <f>F10 * 0.0885</f>
        <v/>
      </c>
      <c r="G11" s="8">
        <f>G10 * 0.0885</f>
        <v/>
      </c>
      <c r="H11" s="8">
        <f>H10 * 0.0885</f>
        <v/>
      </c>
      <c r="I11" s="8">
        <f>I10 * 0.0885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291.3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74.8</v>
      </c>
      <c r="C32" s="8" t="n">
        <v>137.1</v>
      </c>
      <c r="D32" s="8" t="n">
        <v>174.5</v>
      </c>
      <c r="E32" s="8" t="n">
        <v>112.2</v>
      </c>
      <c r="F32" s="8" t="n">
        <v>74.8</v>
      </c>
      <c r="G32" s="8" t="n">
        <v>49.9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BINGHA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280.4</v>
      </c>
      <c r="F37" s="26" t="inlineStr">
        <is>
          <t>8.850%</t>
        </is>
      </c>
      <c r="G37" s="27" t="n">
        <v>101.5</v>
      </c>
      <c r="H37" s="28" t="n">
        <v>8.85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BINGHA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187</v>
      </c>
      <c r="F38" s="26" t="inlineStr">
        <is>
          <t>8.200%</t>
        </is>
      </c>
      <c r="G38" s="27" t="n">
        <v>101.5</v>
      </c>
      <c r="H38" s="28" t="n">
        <v>8.199999999999999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93.5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62.3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BINGHA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174.5</v>
      </c>
    </row>
    <row r="45">
      <c r="B45" s="7" t="inlineStr">
        <is>
          <t>Drawn Amount ($M)</t>
        </is>
      </c>
      <c r="C45" s="8" t="n">
        <v>62.3</v>
      </c>
    </row>
    <row r="46">
      <c r="B46" s="18" t="inlineStr">
        <is>
          <t>AVAILABLE UNDRAWN HEADROOM ($M)</t>
        </is>
      </c>
      <c r="C46" s="19" t="n">
        <v>112.2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3.50x</t>
        </is>
      </c>
      <c r="D55" s="29" t="inlineStr">
        <is>
          <t>0.89x</t>
        </is>
      </c>
      <c r="E55" s="30" t="inlineStr">
        <is>
          <t>2.61x leverage buffer ($991.8M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5.59x</t>
        </is>
      </c>
      <c r="E56" s="30" t="inlineStr">
        <is>
          <t>+3.09x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4.2% of Assets</t>
        </is>
      </c>
      <c r="E57" s="30" t="inlineStr">
        <is>
          <t>$275.0M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8.85%</t>
        </is>
      </c>
      <c r="F6" s="32" t="inlineStr">
        <is>
          <t>4.2x</t>
        </is>
      </c>
      <c r="G6" s="32" t="inlineStr">
        <is>
          <t>$101.50</t>
        </is>
      </c>
      <c r="H6" s="32" t="inlineStr">
        <is>
          <t>+0.0%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10.85%</t>
        </is>
      </c>
      <c r="F7" s="26" t="inlineStr">
        <is>
          <t>3.2x</t>
        </is>
      </c>
      <c r="G7" s="26" t="inlineStr">
        <is>
          <t>$84.75</t>
        </is>
      </c>
      <c r="H7" s="26" t="inlineStr">
        <is>
          <t>-16.5%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$68.00</t>
        </is>
      </c>
      <c r="H8" s="26" t="inlineStr">
        <is>
          <t>-33.0%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7.35%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+3.4%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155.8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BINGHA Senior Unsecured Eurobonds</t>
        </is>
      </c>
      <c r="C15" s="8" t="n">
        <v>467.4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68.0%</t>
        </is>
      </c>
      <c r="G15" s="26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93.5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249.3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Earnings Presentation &amp; Management Guidance</t>
        </is>
      </c>
    </row>
    <row r="3">
      <c r="B3" s="2" t="inlineStr">
        <is>
          <t>Source: Binghatti Holding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$1350.0M (+8.0% YoY growth)</t>
        </is>
      </c>
      <c r="D7" s="33" t="inlineStr">
        <is>
          <t>$1331.2M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$418.0M (31.0% margin)</t>
        </is>
      </c>
      <c r="D8" s="33" t="inlineStr">
        <is>
          <t>$410.4M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3" t="inlineStr">
        <is>
          <t>0.89x</t>
        </is>
      </c>
      <c r="E9" s="30" t="inlineStr">
        <is>
          <t>Ahead of Target</t>
        </is>
      </c>
      <c r="F9" s="35" t="inlineStr">
        <is>
          <t>Deleveraging on track with 2.61x buffer below covenant limit.</t>
        </is>
      </c>
    </row>
    <row r="10">
      <c r="B10" s="9" t="inlineStr">
        <is>
          <t>2025E Strategic Capex Envelope</t>
        </is>
      </c>
      <c r="C10" s="9" t="inlineStr">
        <is>
          <t>$139.7M (Maximum growth and sustaining envelope)</t>
        </is>
      </c>
      <c r="D10" s="33" t="inlineStr">
        <is>
          <t>$128.5M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5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5" t="inlineStr">
        <is>
          <t>$4000.0M active development portfolio under execution</t>
        </is>
      </c>
    </row>
    <row r="17">
      <c r="B17" s="9" t="inlineStr">
        <is>
          <t>Active Residential Units</t>
        </is>
      </c>
      <c r="C17" s="35" t="inlineStr">
        <is>
          <t>5,625 units under construction across master sites</t>
        </is>
      </c>
    </row>
    <row r="18">
      <c r="B18" s="9" t="inlineStr">
        <is>
          <t>Target Handover Schedule</t>
        </is>
      </c>
      <c r="C18" s="35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5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5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5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5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5" t="inlineStr">
        <is>
          <t>$2312.5M to be recognized over 24-36 months of construction</t>
        </is>
      </c>
    </row>
    <row r="30">
      <c r="B30" s="9" t="inlineStr">
        <is>
          <t>Escrow Bank Protection</t>
        </is>
      </c>
      <c r="C30" s="35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5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5" t="inlineStr">
        <is>
          <t>$185.2M in central treasury accounts</t>
        </is>
      </c>
    </row>
    <row r="36">
      <c r="B36" s="9" t="inlineStr">
        <is>
          <t>Restricted Escrow Bank Balances</t>
        </is>
      </c>
      <c r="C36" s="35" t="inlineStr">
        <is>
          <t>$242.2M ring-fenced for specific project construction works</t>
        </is>
      </c>
    </row>
    <row r="37">
      <c r="B37" s="9" t="inlineStr">
        <is>
          <t>Undrawn Committed Bank Rcfs</t>
        </is>
      </c>
      <c r="C37" s="35" t="inlineStr">
        <is>
          <t>$218.1M in bilateral bank revolving credit lines</t>
        </is>
      </c>
    </row>
    <row r="38">
      <c r="B38" s="9" t="inlineStr">
        <is>
          <t>Total Available Liquidity Runway</t>
        </is>
      </c>
      <c r="C38" s="35" t="inlineStr">
        <is>
          <t>42 months of corporate debt service and fixed overhead pre-funded</t>
        </is>
      </c>
    </row>
  </sheetData>
  <mergeCells count="26">
    <mergeCell ref="C36:I36"/>
    <mergeCell ref="C23:I23"/>
    <mergeCell ref="F9:I9"/>
    <mergeCell ref="C17:I17"/>
    <mergeCell ref="B3:I3"/>
    <mergeCell ref="C38:I38"/>
    <mergeCell ref="C19:I19"/>
    <mergeCell ref="C37:I37"/>
    <mergeCell ref="C28:I28"/>
    <mergeCell ref="C18:I18"/>
    <mergeCell ref="B2:I2"/>
    <mergeCell ref="F11:I11"/>
    <mergeCell ref="C34:I34"/>
    <mergeCell ref="C24:I24"/>
    <mergeCell ref="C30:I30"/>
    <mergeCell ref="C15:I15"/>
    <mergeCell ref="F10:I10"/>
    <mergeCell ref="C14:I14"/>
    <mergeCell ref="F7:I7"/>
    <mergeCell ref="C35:I35"/>
    <mergeCell ref="C29:I29"/>
    <mergeCell ref="C16:I16"/>
    <mergeCell ref="C25:I25"/>
    <mergeCell ref="C31:I31"/>
    <mergeCell ref="C22:I22"/>
    <mergeCell ref="F8:I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2026-09-19T21:10:54Z</dcterms:created>
  <dcterms:modified xmlns:dcterms="http://purl.org/dc/terms/" xmlns:xsi="http://www.w3.org/2001/XMLSchema-instance" xsi:type="dcterms:W3CDTF">2026-09-19T21:10:54Z</dcterms:modified>
</cp:coreProperties>
</file>