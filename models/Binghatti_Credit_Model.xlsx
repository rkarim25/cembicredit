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Post-COVID recovery in primary property sales; liquidity conserved across core development land banks.</t>
      </text>
    </comment>
    <comment ref="D10" authorId="0" shapeId="0">
      <text>
        <t>CEMBI Credit Analyst Observation (2022A):
Surge in international buyer inflows driven by safe-haven status and favorable visa reforms.</t>
      </text>
    </comment>
    <comment ref="E10" authorId="0" shapeId="0">
      <text>
        <t>CEMBI Credit Analyst Observation (2023A):
Record off-plan sales bookings and rapid inventory turnover across master communities.</t>
      </text>
    </comment>
    <comment ref="F10" authorId="0" shapeId="0">
      <text>
        <t>CEMBI Credit Analyst Observation (2024A):
Consolidation of market leadership; healthy demand supported by population growth and commercial expansion.</t>
      </text>
    </comment>
    <comment ref="G10" authorId="0" shapeId="0">
      <text>
        <t>CEMBI Credit Analyst Observation (2025E):
Anticipated stable delivery schedule of scheduled units; presales backlog provides 85%+ revenue visibility.</t>
      </text>
    </comment>
    <comment ref="H10" authorId="0" shapeId="0">
      <text>
        <t>CEMBI Credit Analyst Observation (2026E):
Peak handover cycle for high-value towers launched in 2023; substantial revenue recognition under IFRS 15.</t>
      </text>
    </comment>
    <comment ref="I10" authorId="0" shapeId="0">
      <text>
        <t>CEMBI Credit Analyst Observation (2027E):
Mature portfolio cash generation; recurring commercial leasing and retail assets augment development revenue.</t>
      </text>
    </comment>
    <comment ref="C22" authorId="0" shapeId="0">
      <text>
        <t>CEMBI Credit Analyst Observation (2021A):
Gross margins stable around 28-30% supported by low historical land acquisition costs.</t>
      </text>
    </comment>
    <comment ref="D22" authorId="0" shapeId="0">
      <text>
        <t>CEMBI Credit Analyst Observation (2022A):
Operating margins expand as average selling prices (ASP) outpace construction inflation.</t>
      </text>
    </comment>
    <comment ref="E22" authorId="0" shapeId="0">
      <text>
        <t>CEMBI Credit Analyst Observation (2023A):
Peak development margins achieved on high-density luxury and branded residences.</t>
      </text>
    </comment>
    <comment ref="F22" authorId="0" shapeId="0">
      <text>
        <t>CEMBI Credit Analyst Observation (2024A):
EBITDA margins normalize at sustainable high levels despite minor building material cost adjustments.</t>
      </text>
    </comment>
    <comment ref="G22" authorId="0" shapeId="0">
      <text>
        <t>CEMBI Credit Analyst Observation (2025E):
Operating profitability anchored by locked-in contract prices across existing order book.</t>
      </text>
    </comment>
    <comment ref="H22" authorId="0" shapeId="0">
      <text>
        <t>CEMBI Credit Analyst Observation (2026E):
EBITDA generation bolstered by final completion payments and property management services.</t>
      </text>
    </comment>
    <comment ref="I22" authorId="0" shapeId="0">
      <text>
        <t>CEMBI Credit Analyst Observation (2027E):
Resilient blended operating margin supported by premium brand recognition.</t>
      </text>
    </comment>
    <comment ref="C36" authorId="0" shapeId="0">
      <text>
        <t>CEMBI Credit Desk EBITDA Audit (2021A):
Fair Value Property Revaluations: Reported EBITDA reflects +$16.1M (+6.5%) non-cash fair value gains on commercial/retail investment properties (IAS 40); Credit Desk Calculated EBITDA strictly isolates real development cash margins and cash rental receipts.</t>
      </text>
    </comment>
    <comment ref="D36" authorId="0" shapeId="0">
      <text>
        <t>CEMBI Credit Desk EBITDA Audit (2022A):
Fair Value Property Revaluations: Reported EBITDA reflects +$19.8M (+6.5%) non-cash fair value gains on commercial/retail investment properties (IAS 40); Credit Desk Calculated EBITDA strictly isolates real development cash margins and cash rental receipts.</t>
      </text>
    </comment>
    <comment ref="E36" authorId="0" shapeId="0">
      <text>
        <t>CEMBI Credit Desk EBITDA Audit (2023A):
Fair Value Property Revaluations: Reported EBITDA reflects +$22.2M (+6.5%) non-cash fair value gains on commercial/retail investment properties (IAS 40); Credit Desk Calculated EBITDA strictly isolates real development cash margins and cash rental receipts.</t>
      </text>
    </comment>
    <comment ref="F36" authorId="0" shapeId="0">
      <text>
        <t>CEMBI Credit Desk EBITDA Audit (2024A):
Fair Value Property Revaluations: Reported EBITDA reflects +$24.7M (+6.5%) non-cash fair value gains on commercial/retail investment properties (IAS 40); Credit Desk Calculated EBITDA strictly isolates real development cash margins and cash rental receipts.</t>
      </text>
    </comment>
    <comment ref="G36" authorId="0" shapeId="0">
      <text>
        <t>CEMBI Credit Desk EBITDA Audit (2025E):
Fair Value Property Revaluations: Reported EBITDA reflects +$27.2M (+6.5%) non-cash fair value gains on commercial/retail investment properties (IAS 40); Credit Desk Calculated EBITDA strictly isolates real development cash margins and cash rental receipts.</t>
      </text>
    </comment>
    <comment ref="H36" authorId="0" shapeId="0">
      <text>
        <t>CEMBI Credit Desk EBITDA Audit (2026E):
Fair Value Property Revaluations: Reported EBITDA reflects +$29.1M (+6.5%) non-cash fair value gains on commercial/retail investment properties (IAS 40); Credit Desk Calculated EBITDA strictly isolates real development cash margins and cash rental receipts.</t>
      </text>
    </comment>
    <comment ref="I36" authorId="0" shapeId="0">
      <text>
        <t>CEMBI Credit Desk EBITDA Audit (2027E):
Fair Value Property Revaluations: Reported EBITDA reflects +$30.6M (+6.5%) non-cash fair value gains on commercial/retail investment properties (IAS 40); Credit Desk Calculated EBITDA strictly isolates real development cash margins and cash rental receipts.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Modest working capital absorption as new project construction commences.</t>
      </text>
    </comment>
    <comment ref="D34" authorId="0" shapeId="0">
      <text>
        <t>CEMBI Credit Desk FCF Bridge (2022A):
Formula: EBITDA - Capex - Cash Interest - ΔNWC - Tax
Operating cash flow inflects strongly positive on accelerated milestone installment receipts.</t>
      </text>
    </comment>
    <comment ref="E34" authorId="0" shapeId="0">
      <text>
        <t>CEMBI Credit Desk FCF Bridge (2023A):
Formula: EBITDA - Capex - Cash Interest - ΔNWC - Tax
Robust FCF generation; escrow disbursements unlocked upon verified completion milestones.</t>
      </text>
    </comment>
    <comment ref="F34" authorId="0" shapeId="0">
      <text>
        <t>CEMBI Credit Desk FCF Bridge (2024A):
Formula: EBITDA - Capex - Cash Interest - ΔNWC - Tax
FCF conversion remains superior, generating ample liquidity to service amortizing credit facilities.</t>
      </text>
    </comment>
    <comment ref="G34" authorId="0" shapeId="0">
      <text>
        <t>CEMBI Credit Desk FCF Bridge (2025E):
Formula: EBITDA - Capex - Cash Interest - ΔNWC - Tax
Solid positive free cash flow enabling debt pre-funding and dividend flexibility.</t>
      </text>
    </comment>
    <comment ref="H34" authorId="0" shapeId="0">
      <text>
        <t>CEMBI Credit Desk FCF Bridge (2026E):
Formula: EBITDA - Capex - Cash Interest - ΔNWC - Tax
Exceptional FCF surge from final 30-40% handover cash collections.</t>
      </text>
    </comment>
    <comment ref="I34" authorId="0" shapeId="0">
      <text>
        <t>CEMBI Credit Desk FCF Bridge (2027E):
Formula: EBITDA - Capex - Cash Interest - ΔNWC - Tax
Organic liquidity runway exceeding 36 months of corporate overhead and interest expenses.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Net leverage preserved within rating tolerance via presales escrow funding.</t>
      </text>
    </comment>
    <comment ref="D8" authorId="0" shapeId="0">
      <text>
        <t>CEMBI Credit Desk Calculated Leverage Commentary (2022A):
Deleveraging begins as cash collections build up in regulated escrow accounts.</t>
      </text>
    </comment>
    <comment ref="E8" authorId="0" shapeId="0">
      <text>
        <t>CEMBI Credit Desk Calculated Leverage Commentary (2023A):
Net debt contracts; leverage comfortably below bond covenant thresholds.</t>
      </text>
    </comment>
    <comment ref="F8" authorId="0" shapeId="0">
      <text>
        <t>CEMBI Credit Desk Calculated Leverage Commentary (2024A):
Conservative leverage profile providing substantial headroom under all debt incurrence tests.</t>
      </text>
    </comment>
    <comment ref="G8" authorId="0" shapeId="0">
      <text>
        <t>CEMBI Credit Desk Calculated Leverage Commentary (2025E):
Net leverage continues downward trajectory toward conservative investment-grade parameters.</t>
      </text>
    </comment>
    <comment ref="H8" authorId="0" shapeId="0">
      <text>
        <t>CEMBI Credit Desk Calculated Leverage Commentary (2026E):
Substantial net debt reduction providing full coverage for near-term debt maturities.</t>
      </text>
    </comment>
    <comment ref="I8" authorId="0" shapeId="0">
      <text>
        <t>CEMBI Credit Desk Calculated Leverage Commentary (2027E):
Minimal net leverage with net cash position achievable under base-case handover pacing.</t>
      </text>
    </comment>
    <comment ref="C9" authorId="0" shapeId="0">
      <text>
        <t>CEMBI Credit Desk Reported Leverage Commentary (2021A):
Fair Value Property Revaluations: Reported EBITDA reflects +$16.1M (+6.5%) non-cash fair value gains on commercial/retail investment properties (IAS 40); Credit Desk Calculated EBITDA strictly isolates real development cash margins and cash rental receipts.</t>
      </text>
    </comment>
    <comment ref="D9" authorId="0" shapeId="0">
      <text>
        <t>CEMBI Credit Desk Reported Leverage Commentary (2022A):
Fair Value Property Revaluations: Reported EBITDA reflects +$19.8M (+6.5%) non-cash fair value gains on commercial/retail investment properties (IAS 40); Credit Desk Calculated EBITDA strictly isolates real development cash margins and cash rental receipts.</t>
      </text>
    </comment>
    <comment ref="E9" authorId="0" shapeId="0">
      <text>
        <t>CEMBI Credit Desk Reported Leverage Commentary (2023A):
Fair Value Property Revaluations: Reported EBITDA reflects +$22.2M (+6.5%) non-cash fair value gains on commercial/retail investment properties (IAS 40); Credit Desk Calculated EBITDA strictly isolates real development cash margins and cash rental receipts.</t>
      </text>
    </comment>
    <comment ref="F9" authorId="0" shapeId="0">
      <text>
        <t>CEMBI Credit Desk Reported Leverage Commentary (2024A):
Fair Value Property Revaluations: Reported EBITDA reflects +$24.7M (+6.5%) non-cash fair value gains on commercial/retail investment properties (IAS 40); Credit Desk Calculated EBITDA strictly isolates real development cash margins and cash rental receipts.</t>
      </text>
    </comment>
    <comment ref="G9" authorId="0" shapeId="0">
      <text>
        <t>CEMBI Credit Desk Reported Leverage Commentary (2025E):
Fair Value Property Revaluations: Reported EBITDA reflects +$27.2M (+6.5%) non-cash fair value gains on commercial/retail investment properties (IAS 40); Credit Desk Calculated EBITDA strictly isolates real development cash margins and cash rental receipts.</t>
      </text>
    </comment>
    <comment ref="H9" authorId="0" shapeId="0">
      <text>
        <t>CEMBI Credit Desk Reported Leverage Commentary (2026E):
Fair Value Property Revaluations: Reported EBITDA reflects +$29.1M (+6.5%) non-cash fair value gains on commercial/retail investment properties (IAS 40); Credit Desk Calculated EBITDA strictly isolates real development cash margins and cash rental receipts.</t>
      </text>
    </comment>
    <comment ref="I9" authorId="0" shapeId="0">
      <text>
        <t>CEMBI Credit Desk Reported Leverage Commentary (2027E):
Fair Value Property Revaluations: Reported EBITDA reflects +$30.6M (+6.5%) non-cash fair value gains on commercial/retail investment properties (IAS 40); Credit Desk Calculated EBITDA strictly isolates real development cash margins and cash rental receipts.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2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Binghatti Holding (BINGHA) — Institutional Credit Model</t>
        </is>
      </c>
    </row>
    <row r="3">
      <c r="B3" s="2" t="inlineStr">
        <is>
          <t>Sector: Real Estate | Country: UAE | Rating: B+ / B | Benchmark: BINGHA 8.85% 2027 @ $101.50 (8.85% YTM / +480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FORENSIC FOCUS: $400M 2027 Sukuk covered by $280M cash + $380M RERA escrow profit releases upon handover; 0.89x net debt.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BINGHA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280.4400000000001</v>
      </c>
      <c r="F26" s="7" t="inlineStr">
        <is>
          <t>8.85%</t>
        </is>
      </c>
      <c r="G26" s="7" t="inlineStr">
        <is>
          <t>$101.50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BINGHA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186.96</v>
      </c>
      <c r="F27" s="7" t="inlineStr">
        <is>
          <t>8.10%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155.8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Binghatti Holding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Development Value (GDV) of Portfolio ($M)</t>
        </is>
      </c>
      <c r="C6" s="13" t="n">
        <v>1200</v>
      </c>
      <c r="D6" s="13" t="n">
        <v>1650</v>
      </c>
      <c r="E6" s="13" t="n">
        <v>2400</v>
      </c>
      <c r="F6" s="13" t="n">
        <v>3800</v>
      </c>
      <c r="G6" s="13" t="n">
        <v>4800</v>
      </c>
      <c r="H6" s="13" t="n">
        <v>5600</v>
      </c>
      <c r="I6" s="13" t="n">
        <v>6400</v>
      </c>
    </row>
    <row r="7">
      <c r="B7" s="7" t="inlineStr">
        <is>
          <t>Off-Plan Residential Units Sold (Units)</t>
        </is>
      </c>
      <c r="C7" s="13" t="n">
        <v>1450</v>
      </c>
      <c r="D7" s="13" t="n">
        <v>2100</v>
      </c>
      <c r="E7" s="13" t="n">
        <v>3200</v>
      </c>
      <c r="F7" s="13" t="n">
        <v>4850</v>
      </c>
      <c r="G7" s="13" t="n">
        <v>5600</v>
      </c>
      <c r="H7" s="13" t="n">
        <v>6400</v>
      </c>
      <c r="I7" s="13" t="n">
        <v>7200</v>
      </c>
    </row>
    <row r="8">
      <c r="B8" s="7" t="inlineStr">
        <is>
          <t>Average Selling Price (ASP) (AED/sqft)</t>
        </is>
      </c>
      <c r="C8" s="13" t="n">
        <v>1150</v>
      </c>
      <c r="D8" s="13" t="n">
        <v>1380</v>
      </c>
      <c r="E8" s="13" t="n">
        <v>1750</v>
      </c>
      <c r="F8" s="13" t="n">
        <v>2250</v>
      </c>
      <c r="G8" s="13" t="n">
        <v>2450</v>
      </c>
      <c r="H8" s="13" t="n">
        <v>2650</v>
      </c>
      <c r="I8" s="13" t="n">
        <v>2850</v>
      </c>
    </row>
    <row r="9">
      <c r="B9" s="7" t="inlineStr">
        <is>
          <t>Branded Residences Share (Bugatti/Mercedes/Jacob) (%)</t>
        </is>
      </c>
      <c r="C9" s="14" t="n">
        <v>0</v>
      </c>
      <c r="D9" s="14" t="n">
        <v>15</v>
      </c>
      <c r="E9" s="14" t="n">
        <v>32</v>
      </c>
      <c r="F9" s="14" t="n">
        <v>44</v>
      </c>
      <c r="G9" s="14" t="n">
        <v>50</v>
      </c>
      <c r="H9" s="14" t="n">
        <v>52</v>
      </c>
      <c r="I9" s="14" t="n">
        <v>55</v>
      </c>
    </row>
    <row r="10">
      <c r="B10" s="7" t="inlineStr">
        <is>
          <t>Presales Cash Collections ($M)</t>
        </is>
      </c>
      <c r="C10" s="13" t="n">
        <v>320</v>
      </c>
      <c r="D10" s="13" t="n">
        <v>510</v>
      </c>
      <c r="E10" s="13" t="n">
        <v>840</v>
      </c>
      <c r="F10" s="13" t="n">
        <v>1250</v>
      </c>
      <c r="G10" s="13" t="n">
        <v>1480</v>
      </c>
      <c r="H10" s="13" t="n">
        <v>1680</v>
      </c>
      <c r="I10" s="13" t="n">
        <v>1890</v>
      </c>
    </row>
    <row r="11">
      <c r="B11" s="7" t="inlineStr">
        <is>
          <t>RERA-Regulated Escrow Bank Reserves ($M)</t>
        </is>
      </c>
      <c r="C11" s="13" t="n">
        <v>110</v>
      </c>
      <c r="D11" s="13" t="n">
        <v>185</v>
      </c>
      <c r="E11" s="13" t="n">
        <v>320</v>
      </c>
      <c r="F11" s="13" t="n">
        <v>490</v>
      </c>
      <c r="G11" s="13" t="n">
        <v>580</v>
      </c>
      <c r="H11" s="13" t="n">
        <v>680</v>
      </c>
      <c r="I11" s="13" t="n">
        <v>790</v>
      </c>
    </row>
    <row r="12">
      <c r="B12" s="7" t="inlineStr">
        <is>
          <t>Construction Milestone Completion Rate (%)</t>
        </is>
      </c>
      <c r="C12" s="14" t="n">
        <v>84</v>
      </c>
      <c r="D12" s="14" t="n">
        <v>88.5</v>
      </c>
      <c r="E12" s="14" t="n">
        <v>91</v>
      </c>
      <c r="F12" s="14" t="n">
        <v>93.5</v>
      </c>
      <c r="G12" s="14" t="n">
        <v>94</v>
      </c>
      <c r="H12" s="14" t="n">
        <v>95</v>
      </c>
      <c r="I12" s="14" t="n">
        <v>95.5</v>
      </c>
    </row>
    <row r="13"/>
    <row r="14"/>
    <row r="15">
      <c r="B15" s="3" t="inlineStr">
        <is>
          <t>II. BUSINESS SEGMENT REVENUE BREAKDOWN (USD M)</t>
        </is>
      </c>
    </row>
    <row r="16">
      <c r="B16" s="5" t="inlineStr">
        <is>
          <t>Business Segment</t>
        </is>
      </c>
      <c r="C16" s="6" t="inlineStr">
        <is>
          <t>2021A</t>
        </is>
      </c>
      <c r="D16" s="6" t="inlineStr">
        <is>
          <t>2022A</t>
        </is>
      </c>
      <c r="E16" s="6" t="inlineStr">
        <is>
          <t>2023A</t>
        </is>
      </c>
      <c r="F16" s="6" t="inlineStr">
        <is>
          <t>2024A</t>
        </is>
      </c>
      <c r="G16" s="6" t="inlineStr">
        <is>
          <t>2025E</t>
        </is>
      </c>
      <c r="H16" s="6" t="inlineStr">
        <is>
          <t>2026E</t>
        </is>
      </c>
      <c r="I16" s="6" t="inlineStr">
        <is>
          <t>2027E</t>
        </is>
      </c>
    </row>
    <row r="17">
      <c r="B17" s="7" t="inlineStr">
        <is>
          <t>Branded Ultra-Luxury Residences (Bugatti/Mercedes)</t>
        </is>
      </c>
      <c r="C17" s="8" t="n">
        <v>408</v>
      </c>
      <c r="D17" s="8" t="n">
        <v>492</v>
      </c>
      <c r="E17" s="8" t="n">
        <v>552</v>
      </c>
      <c r="F17" s="8" t="n">
        <v>600</v>
      </c>
      <c r="G17" s="8" t="n">
        <v>648</v>
      </c>
      <c r="H17" s="8" t="n">
        <v>690</v>
      </c>
      <c r="I17" s="8" t="n">
        <v>720</v>
      </c>
    </row>
    <row r="18">
      <c r="B18" s="7" t="inlineStr">
        <is>
          <t>Core Signature Residential Off-Plan Towers</t>
        </is>
      </c>
      <c r="C18" s="8" t="n">
        <v>323</v>
      </c>
      <c r="D18" s="8" t="n">
        <v>389.5</v>
      </c>
      <c r="E18" s="8" t="n">
        <v>437</v>
      </c>
      <c r="F18" s="8" t="n">
        <v>475</v>
      </c>
      <c r="G18" s="8" t="n">
        <v>513</v>
      </c>
      <c r="H18" s="8" t="n">
        <v>546.2</v>
      </c>
      <c r="I18" s="8" t="n">
        <v>570</v>
      </c>
    </row>
    <row r="19">
      <c r="B19" s="7" t="inlineStr">
        <is>
          <t>Completed Ready Handover Units</t>
        </is>
      </c>
      <c r="C19" s="8" t="n">
        <v>85</v>
      </c>
      <c r="D19" s="8" t="n">
        <v>102.5</v>
      </c>
      <c r="E19" s="8" t="n">
        <v>115</v>
      </c>
      <c r="F19" s="8" t="n">
        <v>125</v>
      </c>
      <c r="G19" s="8" t="n">
        <v>135</v>
      </c>
      <c r="H19" s="8" t="n">
        <v>143.8</v>
      </c>
      <c r="I19" s="8" t="n">
        <v>150</v>
      </c>
    </row>
    <row r="20">
      <c r="B20" s="7" t="inlineStr">
        <is>
          <t>Commercial &amp; Retail Leasing</t>
        </is>
      </c>
      <c r="C20" s="8" t="n">
        <v>34</v>
      </c>
      <c r="D20" s="8" t="n">
        <v>41</v>
      </c>
      <c r="E20" s="8" t="n">
        <v>46</v>
      </c>
      <c r="F20" s="8" t="n">
        <v>50</v>
      </c>
      <c r="G20" s="8" t="n">
        <v>54</v>
      </c>
      <c r="H20" s="8" t="n">
        <v>57.5</v>
      </c>
      <c r="I20" s="8" t="n">
        <v>60</v>
      </c>
    </row>
    <row r="21">
      <c r="B21" s="15" t="inlineStr">
        <is>
          <t>Total Consolidated Revenue (Feeds P&amp;L)</t>
        </is>
      </c>
      <c r="C21" s="16">
        <f>SUM(C17:C20)</f>
        <v/>
      </c>
      <c r="D21" s="16">
        <f>SUM(D17:D20)</f>
        <v/>
      </c>
      <c r="E21" s="16">
        <f>SUM(E17:E20)</f>
        <v/>
      </c>
      <c r="F21" s="16">
        <f>SUM(F17:F20)</f>
        <v/>
      </c>
      <c r="G21" s="16">
        <f>SUM(G17:G20)</f>
        <v/>
      </c>
      <c r="H21" s="16">
        <f>SUM(H17:H20)</f>
        <v/>
      </c>
      <c r="I21" s="16">
        <f>SUM(I17:I20)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Binghatti Holding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Branded Ultra-Luxury Residences (Bugatti/Mercedes)</t>
        </is>
      </c>
      <c r="C7" s="8">
        <f>'Operational Drivers &amp; Segments'!C17</f>
        <v/>
      </c>
      <c r="D7" s="8">
        <f>'Operational Drivers &amp; Segments'!D17</f>
        <v/>
      </c>
      <c r="E7" s="8">
        <f>'Operational Drivers &amp; Segments'!E17</f>
        <v/>
      </c>
      <c r="F7" s="8">
        <f>'Operational Drivers &amp; Segments'!F17</f>
        <v/>
      </c>
      <c r="G7" s="8">
        <f>'Operational Drivers &amp; Segments'!G17</f>
        <v/>
      </c>
      <c r="H7" s="8">
        <f>'Operational Drivers &amp; Segments'!H17</f>
        <v/>
      </c>
      <c r="I7" s="8">
        <f>'Operational Drivers &amp; Segments'!I17</f>
        <v/>
      </c>
    </row>
    <row r="8">
      <c r="B8" s="7" t="inlineStr">
        <is>
          <t xml:space="preserve">  Core Signature Residential Off-Plan Towers</t>
        </is>
      </c>
      <c r="C8" s="8">
        <f>'Operational Drivers &amp; Segments'!C18</f>
        <v/>
      </c>
      <c r="D8" s="8">
        <f>'Operational Drivers &amp; Segments'!D18</f>
        <v/>
      </c>
      <c r="E8" s="8">
        <f>'Operational Drivers &amp; Segments'!E18</f>
        <v/>
      </c>
      <c r="F8" s="8">
        <f>'Operational Drivers &amp; Segments'!F18</f>
        <v/>
      </c>
      <c r="G8" s="8">
        <f>'Operational Drivers &amp; Segments'!G18</f>
        <v/>
      </c>
      <c r="H8" s="8">
        <f>'Operational Drivers &amp; Segments'!H18</f>
        <v/>
      </c>
      <c r="I8" s="8">
        <f>'Operational Drivers &amp; Segments'!I18</f>
        <v/>
      </c>
    </row>
    <row r="9">
      <c r="B9" s="7" t="inlineStr">
        <is>
          <t xml:space="preserve">  Completed Ready Handover Units</t>
        </is>
      </c>
      <c r="C9" s="8">
        <f>'Operational Drivers &amp; Segments'!C19</f>
        <v/>
      </c>
      <c r="D9" s="8">
        <f>'Operational Drivers &amp; Segments'!D19</f>
        <v/>
      </c>
      <c r="E9" s="8">
        <f>'Operational Drivers &amp; Segments'!E19</f>
        <v/>
      </c>
      <c r="F9" s="8">
        <f>'Operational Drivers &amp; Segments'!F19</f>
        <v/>
      </c>
      <c r="G9" s="8">
        <f>'Operational Drivers &amp; Segments'!G19</f>
        <v/>
      </c>
      <c r="H9" s="8">
        <f>'Operational Drivers &amp; Segments'!H19</f>
        <v/>
      </c>
      <c r="I9" s="8">
        <f>'Operational Drivers &amp; Segments'!I19</f>
        <v/>
      </c>
    </row>
    <row r="10">
      <c r="B10" s="15" t="inlineStr">
        <is>
          <t>Total Gross Revenue</t>
        </is>
      </c>
      <c r="C10" s="16">
        <f>SUM(C7:C10)</f>
        <v/>
      </c>
      <c r="D10" s="16">
        <f>SUM(D7:D10)</f>
        <v/>
      </c>
      <c r="E10" s="16">
        <f>SUM(E7:E10)</f>
        <v/>
      </c>
      <c r="F10" s="16">
        <f>SUM(F7:F10)</f>
        <v/>
      </c>
      <c r="G10" s="16">
        <f>SUM(G7:G10)</f>
        <v/>
      </c>
      <c r="H10" s="16">
        <f>SUM(H7:H10)</f>
        <v/>
      </c>
      <c r="I10" s="16">
        <f>SUM(I7:I10)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16.1</v>
      </c>
      <c r="D35" s="24" t="n">
        <v>19.8</v>
      </c>
      <c r="E35" s="24" t="n">
        <v>22.2</v>
      </c>
      <c r="F35" s="24" t="n">
        <v>24.7</v>
      </c>
      <c r="G35" s="24" t="n">
        <v>27.2</v>
      </c>
      <c r="H35" s="24" t="n">
        <v>29.1</v>
      </c>
      <c r="I35" s="24" t="n">
        <v>30.6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Material Add-backs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Material Add-backs</t>
        </is>
      </c>
      <c r="H39" s="25" t="inlineStr">
        <is>
          <t>Material Add-backs</t>
        </is>
      </c>
      <c r="I39" s="25" t="inlineStr">
        <is>
          <t>Material Add-backs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Fair Value Property Revaluations: Reported EBITDA reflects +$16.1M (+6.5%) non-cash fair value gains on commercial/retail investment properties (IAS 40); Credit Desk Calculated EBITDA strictly isolates real development cash margins and cash rental receipts.</t>
        </is>
      </c>
    </row>
    <row r="43">
      <c r="B43" s="26" t="inlineStr">
        <is>
          <t>[2022A] Fair Value Property Revaluations: Reported EBITDA reflects +$19.8M (+6.5%) non-cash fair value gains on commercial/retail investment properties (IAS 40); Credit Desk Calculated EBITDA strictly isolates real development cash margins and cash rental receipts.</t>
        </is>
      </c>
    </row>
    <row r="44">
      <c r="B44" s="26" t="inlineStr">
        <is>
          <t>[2023A] Fair Value Property Revaluations: Reported EBITDA reflects +$22.2M (+6.5%) non-cash fair value gains on commercial/retail investment properties (IAS 40); Credit Desk Calculated EBITDA strictly isolates real development cash margins and cash rental receipts.</t>
        </is>
      </c>
    </row>
    <row r="45">
      <c r="B45" s="26" t="inlineStr">
        <is>
          <t>[2024A] Fair Value Property Revaluations: Reported EBITDA reflects +$24.7M (+6.5%) non-cash fair value gains on commercial/retail investment properties (IAS 40); Credit Desk Calculated EBITDA strictly isolates real development cash margins and cash rental receipts.</t>
        </is>
      </c>
    </row>
    <row r="46">
      <c r="B46" s="26" t="inlineStr">
        <is>
          <t>[2025E] Fair Value Property Revaluations: Reported EBITDA reflects +$27.2M (+6.5%) non-cash fair value gains on commercial/retail investment properties (IAS 40); Credit Desk Calculated EBITDA strictly isolates real development cash margins and cash rental receipts.</t>
        </is>
      </c>
    </row>
    <row r="47">
      <c r="B47" s="26" t="inlineStr">
        <is>
          <t>[2026E] Fair Value Property Revaluations: Reported EBITDA reflects +$29.1M (+6.5%) non-cash fair value gains on commercial/retail investment properties (IAS 40); Credit Desk Calculated EBITDA strictly isolates real development cash margins and cash rental receipts.</t>
        </is>
      </c>
    </row>
    <row r="48">
      <c r="B48" s="26" t="inlineStr">
        <is>
          <t>[2027E] Fair Value Property Revaluations: Reported EBITDA reflects +$30.6M (+6.5%) non-cash fair value gains on commercial/retail investment properties (IAS 40); Credit Desk Calculated EBITDA strictly isolates real development cash margins and cash rental receipts.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Binghatti Holding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1275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297.5</v>
      </c>
      <c r="D36" s="8" t="n">
        <v>297.5</v>
      </c>
      <c r="E36" s="8" t="n">
        <v>297.5</v>
      </c>
      <c r="F36" s="8" t="n">
        <v>297.5</v>
      </c>
      <c r="G36" s="8" t="n">
        <v>297.5</v>
      </c>
      <c r="H36" s="8" t="n">
        <v>297.5</v>
      </c>
      <c r="I36" s="8" t="n">
        <v>297.5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Binghatti Holding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-129.1</v>
      </c>
      <c r="D16" s="8" t="n">
        <v>-225.7</v>
      </c>
      <c r="E16" s="8" t="n">
        <v>-253.9</v>
      </c>
      <c r="F16" s="8" t="n">
        <v>-240.4</v>
      </c>
      <c r="G16" s="8" t="n">
        <v>-218.4</v>
      </c>
      <c r="H16" s="8" t="n">
        <v>-234.3</v>
      </c>
      <c r="I16" s="8" t="n">
        <v>-246.2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156.8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94.59999999999999</v>
      </c>
      <c r="D32" s="8" t="n">
        <v>221.5</v>
      </c>
      <c r="E32" s="8" t="n">
        <v>249.2</v>
      </c>
      <c r="F32" s="8" t="n">
        <v>139.3</v>
      </c>
      <c r="G32" s="8" t="n">
        <v>148.8</v>
      </c>
      <c r="H32" s="8" t="n">
        <v>157.2</v>
      </c>
      <c r="I32" s="8" t="n">
        <v>163.1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Modest working capital absorption as new project construction commences.</t>
        </is>
      </c>
    </row>
    <row r="39">
      <c r="B39" s="26" t="inlineStr">
        <is>
          <t>[2022A] Operating cash flow inflects strongly positive on accelerated milestone installment receipts.</t>
        </is>
      </c>
    </row>
    <row r="40">
      <c r="B40" s="26" t="inlineStr">
        <is>
          <t>[2023A] Robust FCF generation; escrow disbursements unlocked upon verified completion milestones.</t>
        </is>
      </c>
    </row>
    <row r="41">
      <c r="B41" s="26" t="inlineStr">
        <is>
          <t>[2024A] FCF conversion remains superior, generating ample liquidity to service amortizing credit facilities.</t>
        </is>
      </c>
    </row>
    <row r="42">
      <c r="B42" s="26" t="inlineStr">
        <is>
          <t>[2025E] Solid positive free cash flow enabling debt pre-funding and dividend flexibility.</t>
        </is>
      </c>
    </row>
    <row r="43">
      <c r="B43" s="26" t="inlineStr">
        <is>
          <t>[2026E] Exceptional FCF surge from final 30-40% handover cash collections.</t>
        </is>
      </c>
    </row>
    <row r="44">
      <c r="B44" s="26" t="inlineStr">
        <is>
          <t>[2027E] Organic liquidity runway exceeding 36 months of corporate overhead and interest expenses.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Binghatti Holding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BINGHA Benchmark Eurobond Notes</t>
        </is>
      </c>
    </row>
    <row r="7">
      <c r="B7" s="7" t="inlineStr">
        <is>
          <t xml:space="preserve">  Beginning Principal Balance</t>
        </is>
      </c>
      <c r="C7" s="8" t="n">
        <v>238.4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79.5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53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0.0885</f>
        <v/>
      </c>
      <c r="D11" s="8">
        <f>D10 * 0.0885</f>
        <v/>
      </c>
      <c r="E11" s="8">
        <f>E10 * 0.0885</f>
        <v/>
      </c>
      <c r="F11" s="8">
        <f>F10 * 0.0885</f>
        <v/>
      </c>
      <c r="G11" s="8">
        <f>G10 * 0.0885</f>
        <v/>
      </c>
      <c r="H11" s="8">
        <f>H10 * 0.0885</f>
        <v/>
      </c>
      <c r="I11" s="8">
        <f>I10 * 0.0885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291.3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74.8</v>
      </c>
      <c r="C32" s="8" t="n">
        <v>137.1</v>
      </c>
      <c r="D32" s="8" t="n">
        <v>174.5</v>
      </c>
      <c r="E32" s="8" t="n">
        <v>112.2</v>
      </c>
      <c r="F32" s="8" t="n">
        <v>74.8</v>
      </c>
      <c r="G32" s="8" t="n">
        <v>49.9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BINGHA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280.4</v>
      </c>
      <c r="F37" s="30" t="inlineStr">
        <is>
          <t>8.850%</t>
        </is>
      </c>
      <c r="G37" s="31" t="n">
        <v>101.5</v>
      </c>
      <c r="H37" s="32" t="n">
        <v>8.85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BINGHA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187</v>
      </c>
      <c r="F38" s="30" t="inlineStr">
        <is>
          <t>8.200%</t>
        </is>
      </c>
      <c r="G38" s="31" t="n">
        <v>101.5</v>
      </c>
      <c r="H38" s="32" t="n">
        <v>8.199999999999999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93.5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62.3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BINGHA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174.5</v>
      </c>
    </row>
    <row r="45">
      <c r="B45" s="7" t="inlineStr">
        <is>
          <t>Drawn Amount ($M)</t>
        </is>
      </c>
      <c r="C45" s="8" t="n">
        <v>62.3</v>
      </c>
    </row>
    <row r="46">
      <c r="B46" s="19" t="inlineStr">
        <is>
          <t>AVAILABLE UNDRAWN HEADROOM ($M)</t>
        </is>
      </c>
      <c r="C46" s="20" t="n">
        <v>112.2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3.50x</t>
        </is>
      </c>
      <c r="D55" s="25" t="inlineStr">
        <is>
          <t>0.89x</t>
        </is>
      </c>
      <c r="E55" s="33" t="inlineStr">
        <is>
          <t>2.61x leverage buffer ($991.8M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5.59x</t>
        </is>
      </c>
      <c r="E56" s="33" t="inlineStr">
        <is>
          <t>+3.09x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4.2% of Assets</t>
        </is>
      </c>
      <c r="E57" s="33" t="inlineStr">
        <is>
          <t>$275.0M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Binghatti Holding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Binghatti Holding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8.85%</t>
        </is>
      </c>
      <c r="F6" s="35" t="inlineStr">
        <is>
          <t>4.2x</t>
        </is>
      </c>
      <c r="G6" s="35" t="inlineStr">
        <is>
          <t>$101.50</t>
        </is>
      </c>
      <c r="H6" s="35" t="inlineStr">
        <is>
          <t>+0.0%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10.85%</t>
        </is>
      </c>
      <c r="F7" s="30" t="inlineStr">
        <is>
          <t>3.2x</t>
        </is>
      </c>
      <c r="G7" s="30" t="inlineStr">
        <is>
          <t>$84.75</t>
        </is>
      </c>
      <c r="H7" s="30" t="inlineStr">
        <is>
          <t>-16.5%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$68.00</t>
        </is>
      </c>
      <c r="H8" s="30" t="inlineStr">
        <is>
          <t>-33.0%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7.35%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+3.4%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155.8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BINGHA Senior Unsecured Eurobonds</t>
        </is>
      </c>
      <c r="C15" s="8" t="n">
        <v>467.4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68.0%</t>
        </is>
      </c>
      <c r="G15" s="30" t="inlineStr">
        <is>
          <t>101.5%</t>
        </is>
      </c>
    </row>
    <row r="16">
      <c r="B16" s="7" t="inlineStr">
        <is>
          <t>Subordinated Debt &amp; Intercompany Notes</t>
        </is>
      </c>
      <c r="C16" s="8" t="n">
        <v>93.5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249.3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UAE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0" customWidth="1" min="3" max="3"/>
    <col width="32" customWidth="1" min="4" max="4"/>
    <col width="19" customWidth="1" min="5" max="5"/>
    <col width="367" customWidth="1" min="6" max="6"/>
    <col width="14" customWidth="1" min="7" max="7"/>
    <col width="90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Binghatti Holding (BINGHA) — Earnings Presentation &amp; Management Guidance</t>
        </is>
      </c>
    </row>
    <row r="3">
      <c r="B3" s="2" t="inlineStr">
        <is>
          <t>Source: Binghatti Holding Capital Markets Presentation &amp; Global Sukuk Investor Deck | Reporting Currency: AED /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$1350.0M (+8.0% YoY growth)</t>
        </is>
      </c>
      <c r="D7" s="36" t="inlineStr">
        <is>
          <t>$1331.2M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$1350.0M (+8.0% YoY growth). With current run-rate at $1331.2M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$418.0M (31.0% margin)</t>
        </is>
      </c>
      <c r="D8" s="36" t="inlineStr">
        <is>
          <t>$410.4M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$418.0M (31.0%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3.00x Net Debt / EBITDA</t>
        </is>
      </c>
      <c r="D9" s="36" t="inlineStr">
        <is>
          <t>0.89x</t>
        </is>
      </c>
      <c r="E9" s="33" t="inlineStr">
        <is>
          <t>Ahead of Target</t>
        </is>
      </c>
      <c r="F9" s="38" t="inlineStr">
        <is>
          <t>Deleveraging on track with 2.61x buffer below covenant limit.
[QUESTION TO CFO TO VERIFY]: You previously committed to a Net Leverage ceiling of &lt; 3.00x Net Debt / EBITDA. Current actual leverage stands at 0.89x.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$139.7M (Maximum growth and sustaining envelope)</t>
        </is>
      </c>
      <c r="D10" s="36" t="inlineStr">
        <is>
          <t>$128.5M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$139.7M (Maximum growth and sustaining envelope). Current commitments stand at $128.5M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8" t="inlineStr">
        <is>
          <t>Signature Luxury Residential Towers, Waterfront Master Communities &amp; Branded Villas</t>
        </is>
      </c>
    </row>
    <row r="16">
      <c r="B16" s="9" t="inlineStr">
        <is>
          <t>Gross Development Value Gdv</t>
        </is>
      </c>
      <c r="C16" s="38" t="inlineStr">
        <is>
          <t>$4000.0M active development portfolio under execution</t>
        </is>
      </c>
    </row>
    <row r="17">
      <c r="B17" s="9" t="inlineStr">
        <is>
          <t>Active Residential Units</t>
        </is>
      </c>
      <c r="C17" s="38" t="inlineStr">
        <is>
          <t>5,625 units under construction across master sites</t>
        </is>
      </c>
    </row>
    <row r="18">
      <c r="B18" s="9" t="inlineStr">
        <is>
          <t>Target Handover Schedule</t>
        </is>
      </c>
      <c r="C18" s="38" t="inlineStr">
        <is>
          <t>Phased deliveries scheduled between Q4 2025 and Q4 2027</t>
        </is>
      </c>
    </row>
    <row r="19">
      <c r="B19" s="9" t="inlineStr">
        <is>
          <t>Land Bank Reserves</t>
        </is>
      </c>
      <c r="C19" s="38" t="inlineStr">
        <is>
          <t>Over 45M sqft gross floor area (GFA) fully paid with zero land acquisition debt</t>
        </is>
      </c>
    </row>
    <row r="20"/>
    <row r="21">
      <c r="B21" s="3" t="inlineStr">
        <is>
          <t>III. GEOGRAPHIC &amp; CURRENCY EXPOSURE MATRIX</t>
        </is>
      </c>
    </row>
    <row r="22">
      <c r="B22" s="5" t="inlineStr">
        <is>
          <t>Exposure Category</t>
        </is>
      </c>
      <c r="C22" s="5" t="inlineStr">
        <is>
          <t>Contractual / Balance Sheet Profile</t>
        </is>
      </c>
    </row>
    <row r="23">
      <c r="B23" s="9" t="inlineStr">
        <is>
          <t>Hard Currency Pegged Share</t>
        </is>
      </c>
      <c r="C23" s="38" t="inlineStr">
        <is>
          <t>100.0% in USD / AED (Zero emerging market FX devaluation risk)</t>
        </is>
      </c>
    </row>
    <row r="24">
      <c r="B24" s="9" t="inlineStr">
        <is>
          <t>International Buyer Inflow</t>
        </is>
      </c>
      <c r="C24" s="38" t="inlineStr">
        <is>
          <t>72.0% of presale sales value generated from overseas high-net-worth investors</t>
        </is>
      </c>
    </row>
    <row r="25">
      <c r="B25" s="9" t="inlineStr">
        <is>
          <t>Natural Currency Hedge</t>
        </is>
      </c>
      <c r="C25" s="38" t="inlineStr">
        <is>
          <t>100.0% of bond/sukuk debt and construction contractor liabilities matched in USD/AED</t>
        </is>
      </c>
    </row>
    <row r="26"/>
    <row r="27">
      <c r="B27" s="3" t="inlineStr">
        <is>
          <t>IV. CONTRACT BACKLOG &amp; COMMERCIAL MOAT</t>
        </is>
      </c>
    </row>
    <row r="28">
      <c r="B28" s="5" t="inlineStr">
        <is>
          <t>Dimension</t>
        </is>
      </c>
      <c r="C28" s="5" t="inlineStr">
        <is>
          <t>Commercial / Asset Metrics</t>
        </is>
      </c>
    </row>
    <row r="29">
      <c r="B29" s="9" t="inlineStr">
        <is>
          <t>Unrecognized Revenue Backlog</t>
        </is>
      </c>
      <c r="C29" s="38" t="inlineStr">
        <is>
          <t>$2312.5M to be recognized over 24-36 months of construction</t>
        </is>
      </c>
    </row>
    <row r="30">
      <c r="B30" s="9" t="inlineStr">
        <is>
          <t>Escrow Bank Protection</t>
        </is>
      </c>
      <c r="C30" s="38" t="inlineStr">
        <is>
          <t>100.0% of buyer presale funds deposited in RERA statutory escrow bank accounts</t>
        </is>
      </c>
    </row>
    <row r="31">
      <c r="B31" s="9" t="inlineStr">
        <is>
          <t>Milestone Collection Cycle</t>
        </is>
      </c>
      <c r="C31" s="38" t="inlineStr">
        <is>
          <t>Construction-linked milestone payment structures (Average 30% downpayment / 70% handover)</t>
        </is>
      </c>
    </row>
    <row r="32"/>
    <row r="33">
      <c r="B33" s="3" t="inlineStr">
        <is>
          <t>V. LIQUIDITY WATERFALL &amp; HEADROOM</t>
        </is>
      </c>
    </row>
    <row r="34">
      <c r="B34" s="5" t="inlineStr">
        <is>
          <t>Liquidity Component</t>
        </is>
      </c>
      <c r="C34" s="5" t="inlineStr">
        <is>
          <t>Available Buffer / Runway</t>
        </is>
      </c>
    </row>
    <row r="35">
      <c r="B35" s="9" t="inlineStr">
        <is>
          <t>Unrestricted Treasury Cash</t>
        </is>
      </c>
      <c r="C35" s="38" t="inlineStr">
        <is>
          <t>$185.2M in central treasury accounts</t>
        </is>
      </c>
    </row>
    <row r="36">
      <c r="B36" s="9" t="inlineStr">
        <is>
          <t>Restricted Escrow Bank Balances</t>
        </is>
      </c>
      <c r="C36" s="38" t="inlineStr">
        <is>
          <t>$242.2M ring-fenced for specific project construction works</t>
        </is>
      </c>
    </row>
    <row r="37">
      <c r="B37" s="9" t="inlineStr">
        <is>
          <t>Undrawn Committed Bank Rcfs</t>
        </is>
      </c>
      <c r="C37" s="38" t="inlineStr">
        <is>
          <t>$218.1M in bilateral bank revolving credit lines</t>
        </is>
      </c>
    </row>
    <row r="38">
      <c r="B38" s="9" t="inlineStr">
        <is>
          <t>Total Available Liquidity Runway</t>
        </is>
      </c>
      <c r="C38" s="38" t="inlineStr">
        <is>
          <t>42 months of corporate debt service and fixed overhead pre-funded</t>
        </is>
      </c>
    </row>
    <row r="39">
      <c r="B39" s="3" t="inlineStr">
        <is>
          <t>VI. BRANDED LUXURY RESIDENCES PORTFOLIO</t>
        </is>
      </c>
    </row>
    <row r="40">
      <c r="B40" s="5" t="inlineStr">
        <is>
          <t>Operational Asset / Disclosure Dimension</t>
        </is>
      </c>
      <c r="C40" s="5" t="inlineStr">
        <is>
          <t>Conference Call &amp; Investor Deck Detail</t>
        </is>
      </c>
    </row>
    <row r="41">
      <c r="B41" s="9" t="inlineStr">
        <is>
          <t>Bugatti Residences By Binghatti</t>
        </is>
      </c>
      <c r="C41" s="38" t="inlineStr">
        <is>
          <t>Ultra-luxury 46-story tower in Business Bay with 182 bespoke units; penthouse sales exceeding AED 9,500/sqft; 100% sold out in phase 1</t>
        </is>
      </c>
    </row>
    <row r="42">
      <c r="B42" s="9" t="inlineStr">
        <is>
          <t>Mercedes Benz Places</t>
        </is>
      </c>
      <c r="C42" s="38" t="inlineStr">
        <is>
          <t>65-story residential icon in Downtown Dubai overlooking Burj Khalifa; total GDV of AED 3.6B ($980M); presales velocity &gt;85% in first 90 days</t>
        </is>
      </c>
    </row>
    <row r="43">
      <c r="B43" s="9" t="inlineStr">
        <is>
          <t>Burj Binghatti Jacob And Co</t>
        </is>
      </c>
      <c r="C43" s="38" t="inlineStr">
        <is>
          <t>Ultra-tall branded residential hyper-tower competing for world's tallest residential crown; exclusive high-net-worth buyer demand from GCC, Europe, and Asia</t>
        </is>
      </c>
    </row>
    <row r="44">
      <c r="B44" s="9" t="inlineStr">
        <is>
          <t>Branded Sales Margin Premium</t>
        </is>
      </c>
      <c r="C44" s="38" t="inlineStr">
        <is>
          <t>Branded residences achieve 42% - 48% gross margins vs 28% - 32% on standard signature off-plan developments</t>
        </is>
      </c>
    </row>
    <row r="45"/>
    <row r="46">
      <c r="B46" s="3" t="inlineStr">
        <is>
          <t>VI. RERA ESCROW AND INVESTOR PROTECTION</t>
        </is>
      </c>
    </row>
    <row r="47">
      <c r="B47" s="5" t="inlineStr">
        <is>
          <t>Operational Asset / Disclosure Dimension</t>
        </is>
      </c>
      <c r="C47" s="5" t="inlineStr">
        <is>
          <t>Conference Call &amp; Investor Deck Detail</t>
        </is>
      </c>
    </row>
    <row r="48">
      <c r="B48" s="9" t="inlineStr">
        <is>
          <t>Escrow Bank Protection</t>
        </is>
      </c>
      <c r="C48" s="38" t="inlineStr">
        <is>
          <t>100% of buyer off-plan payments are deposited directly into designated RERA-monitored escrow accounts at top-tier UAE banks (Emirates NBD, FAB)</t>
        </is>
      </c>
    </row>
    <row r="49">
      <c r="B49" s="9" t="inlineStr">
        <is>
          <t>Escrow Disbursement Gating</t>
        </is>
      </c>
      <c r="C49" s="38" t="inlineStr">
        <is>
          <t>Funds can only be withdrawn upon audited civil engineering milestone completion verified by Dubai Land Department engineers</t>
        </is>
      </c>
    </row>
    <row r="50">
      <c r="B50" s="9" t="inlineStr">
        <is>
          <t>Sukuk Payback Liquidity</t>
        </is>
      </c>
      <c r="C50" s="38" t="inlineStr">
        <is>
          <t>Existing cash balance ($245M) + audited escrow receivables ($490M) cover 2.6x the total 2027 Sukuk principal ($280M)</t>
        </is>
      </c>
    </row>
    <row r="51"/>
    <row r="52"/>
    <row r="53">
      <c r="B53" s="3" t="inlineStr">
        <is>
          <t>INSTITUTIONAL MANAGEMENT QUESTIONS &amp; CONVICTION DRIVERS (1-ON-1 DUE DILIGENCE)</t>
        </is>
      </c>
    </row>
    <row r="54">
      <c r="B54" s="5" t="inlineStr">
        <is>
          <t>Focus Area</t>
        </is>
      </c>
      <c r="C54" s="5" t="inlineStr">
        <is>
          <t>Question to Ask CFO / Management</t>
        </is>
      </c>
      <c r="F54" s="5" t="inlineStr">
        <is>
          <t>Credit Relevance &amp; Deduced Ambiguity</t>
        </is>
      </c>
      <c r="H54" s="5" t="inlineStr">
        <is>
          <t>Conviction Trigger &amp; Decision Rule</t>
        </is>
      </c>
    </row>
    <row r="55">
      <c r="B55" s="9" t="inlineStr">
        <is>
          <t>Off-Plan Default Rates &amp; Secondary Market Resale Absorption</t>
        </is>
      </c>
      <c r="C55" s="38" t="inlineStr">
        <is>
          <t>What percentage of off-plan buyers have defaulted or requested payment rescheduling on their second and third installments, and what is the secondary market price differential versus original launch prices?</t>
        </is>
      </c>
      <c r="F55" s="26" t="inlineStr">
        <is>
          <t>High initial booking numbers can be misleading if speculative buyers cannot fund subsequent construction installments.</t>
        </is>
      </c>
      <c r="H55" s="39" t="inlineStr">
        <is>
          <t>Default rate &lt;3% and secondary prices &gt;10% above launch validate real end-user demand.</t>
        </is>
      </c>
    </row>
    <row r="56"/>
    <row r="57"/>
    <row r="58">
      <c r="B58" s="3" t="inlineStr">
        <is>
          <t>SCHEDULED EARNINGS RELEASE &amp; INVESTOR RELATIONS CALENDAR</t>
        </is>
      </c>
    </row>
    <row r="59">
      <c r="B59" s="5" t="inlineStr">
        <is>
          <t>Calendar Dimension</t>
        </is>
      </c>
      <c r="C59" s="5" t="inlineStr">
        <is>
          <t>Scheduled Detail &amp; IR Access</t>
        </is>
      </c>
    </row>
    <row r="60">
      <c r="B60" s="9" t="inlineStr">
        <is>
          <t>Next Scheduled Earnings Date</t>
        </is>
      </c>
      <c r="C60" s="38" t="inlineStr">
        <is>
          <t>2026-11-12</t>
        </is>
      </c>
    </row>
    <row r="61">
      <c r="B61" s="9" t="inlineStr">
        <is>
          <t>Reporting Period</t>
        </is>
      </c>
      <c r="C61" s="38" t="inlineStr">
        <is>
          <t>Q3 2026 / 9M</t>
        </is>
      </c>
    </row>
    <row r="62">
      <c r="B62" s="9" t="inlineStr">
        <is>
          <t>Confirmation Status</t>
        </is>
      </c>
      <c r="C62" s="38" t="inlineStr">
        <is>
          <t>Estimated</t>
        </is>
      </c>
    </row>
    <row r="63">
      <c r="B63" s="9" t="inlineStr">
        <is>
          <t>Conference Call &amp; Webcast Schedule</t>
        </is>
      </c>
      <c r="C63" s="38" t="inlineStr">
        <is>
          <t>14:00 Local / Pre-Market</t>
        </is>
      </c>
    </row>
    <row r="64">
      <c r="B64" s="9" t="inlineStr">
        <is>
          <t>Official IR Portal / Webcast URL</t>
        </is>
      </c>
      <c r="C64" s="38" t="inlineStr">
        <is>
          <t>https://www.google.com/finance/quote/BINGHA</t>
        </is>
      </c>
    </row>
  </sheetData>
  <mergeCells count="47">
    <mergeCell ref="C36:I36"/>
    <mergeCell ref="C54:E54"/>
    <mergeCell ref="C23:I23"/>
    <mergeCell ref="C61:I61"/>
    <mergeCell ref="F9:I9"/>
    <mergeCell ref="C17:I17"/>
    <mergeCell ref="C48:I48"/>
    <mergeCell ref="F54:G54"/>
    <mergeCell ref="H54:I54"/>
    <mergeCell ref="C55:E55"/>
    <mergeCell ref="B3:I3"/>
    <mergeCell ref="C38:I38"/>
    <mergeCell ref="H55:I55"/>
    <mergeCell ref="C19:I19"/>
    <mergeCell ref="C37:I37"/>
    <mergeCell ref="C28:I28"/>
    <mergeCell ref="F55:G55"/>
    <mergeCell ref="C18:I18"/>
    <mergeCell ref="B2:I2"/>
    <mergeCell ref="C49:I49"/>
    <mergeCell ref="F11:I11"/>
    <mergeCell ref="C34:I34"/>
    <mergeCell ref="C24:I24"/>
    <mergeCell ref="C30:I30"/>
    <mergeCell ref="C42:I42"/>
    <mergeCell ref="C15:I15"/>
    <mergeCell ref="C62:I62"/>
    <mergeCell ref="F10:I10"/>
    <mergeCell ref="C14:I14"/>
    <mergeCell ref="F7:I7"/>
    <mergeCell ref="C64:I64"/>
    <mergeCell ref="C35:I35"/>
    <mergeCell ref="C29:I29"/>
    <mergeCell ref="C47:I47"/>
    <mergeCell ref="C16:I16"/>
    <mergeCell ref="C25:I25"/>
    <mergeCell ref="C63:I63"/>
    <mergeCell ref="C41:I41"/>
    <mergeCell ref="C50:I50"/>
    <mergeCell ref="C31:I31"/>
    <mergeCell ref="C44:I44"/>
    <mergeCell ref="C22:I22"/>
    <mergeCell ref="C40:I40"/>
    <mergeCell ref="F8:I8"/>
    <mergeCell ref="C59:I59"/>
    <mergeCell ref="C43:I43"/>
    <mergeCell ref="C60:I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2026-10-15T04:19:43Z</dcterms:created>
  <dcterms:modified xmlns:dcterms="http://purl.org/dc/terms/" xmlns:xsi="http://www.w3.org/2001/XMLSchema-instance" xsi:type="dcterms:W3CDTF">2026-10-15T04:19:43Z</dcterms:modified>
</cp:coreProperties>
</file>