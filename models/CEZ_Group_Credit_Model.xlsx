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ČEZ Group</t>
        </is>
      </c>
    </row>
    <row r="3">
      <c r="B3" s="2" t="inlineStr">
        <is>
          <t>CEMBI CEEMEA Institutional Credit Assessment | Country: Czech Republic (CEE) | Sector: Utilities | Benchmark: CEZ 4.875%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CEZ 4.875% 2028</t>
        </is>
      </c>
      <c r="C6" s="5" t="inlineStr">
        <is>
          <t>4.95% (+90 bp)</t>
        </is>
      </c>
      <c r="D6" s="4" t="inlineStr">
        <is>
          <t>A- / A3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$88.00</t>
        </is>
      </c>
      <c r="D7" s="4" t="inlineStr">
        <is>
          <t>Base Case Fair Value</t>
        </is>
      </c>
      <c r="E7" s="5" t="inlineStr">
        <is>
          <t>$100.50</t>
        </is>
      </c>
    </row>
    <row r="9">
      <c r="B9" s="6" t="inlineStr">
        <is>
          <t>INSTITUTIONAL INVESTMENT THESIS</t>
        </is>
      </c>
    </row>
    <row r="10">
      <c r="B10" s="7" t="inlineStr">
        <is>
          <t>Czech integrated utility powerhouse; Temelín and Dukovany nuclear generation guarantees low-cost baseload.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ČEZ Group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10336</v>
      </c>
      <c r="D7" s="13" t="n">
        <v>12464</v>
      </c>
      <c r="E7" s="13" t="n">
        <v>13984</v>
      </c>
      <c r="F7" s="13" t="n">
        <v>15200</v>
      </c>
      <c r="G7" s="14" t="n">
        <v>16416</v>
      </c>
      <c r="H7" s="14" t="n">
        <v>17480</v>
      </c>
      <c r="I7" s="14" t="n">
        <v>18240</v>
      </c>
    </row>
    <row r="8">
      <c r="B8" s="12" t="inlineStr">
        <is>
          <t>EBITDA</t>
        </is>
      </c>
      <c r="C8" s="13" t="n">
        <v>2730</v>
      </c>
      <c r="D8" s="13" t="n">
        <v>3360</v>
      </c>
      <c r="E8" s="13" t="n">
        <v>3780</v>
      </c>
      <c r="F8" s="13" t="n">
        <v>4200</v>
      </c>
      <c r="G8" s="14" t="n">
        <v>4620</v>
      </c>
      <c r="H8" s="14" t="n">
        <v>4956</v>
      </c>
      <c r="I8" s="14" t="n">
        <v>5208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286.4</v>
      </c>
      <c r="D10" s="17" t="n">
        <v>358</v>
      </c>
      <c r="E10" s="17" t="n">
        <v>429.5</v>
      </c>
      <c r="F10" s="17" t="n">
        <v>477.3</v>
      </c>
      <c r="G10" s="18" t="n">
        <v>458.2</v>
      </c>
      <c r="H10" s="18" t="n">
        <v>439.1</v>
      </c>
      <c r="I10" s="18" t="n">
        <v>420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2213.4</v>
      </c>
      <c r="D12" s="13" t="n">
        <v>2784.6</v>
      </c>
      <c r="E12" s="13" t="n">
        <v>3141.6</v>
      </c>
      <c r="F12" s="13" t="n">
        <v>3570</v>
      </c>
      <c r="G12" s="14" t="n">
        <v>3927</v>
      </c>
      <c r="H12" s="14" t="n">
        <v>4212.6</v>
      </c>
      <c r="I12" s="14" t="n">
        <v>4462.5</v>
      </c>
    </row>
    <row r="13">
      <c r="B13" s="5" t="inlineStr">
        <is>
          <t>Capital Expenditures (Capex)</t>
        </is>
      </c>
      <c r="C13" s="17" t="n">
        <v>1029</v>
      </c>
      <c r="D13" s="17" t="n">
        <v>1249.5</v>
      </c>
      <c r="E13" s="17" t="n">
        <v>1396.5</v>
      </c>
      <c r="F13" s="17" t="n">
        <v>1470</v>
      </c>
      <c r="G13" s="18" t="n">
        <v>1543.5</v>
      </c>
      <c r="H13" s="18" t="n">
        <v>1499.4</v>
      </c>
      <c r="I13" s="18" t="n">
        <v>1440.6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1732.5</v>
      </c>
      <c r="D16" s="13" t="n">
        <v>2205</v>
      </c>
      <c r="E16" s="13" t="n">
        <v>2677.5</v>
      </c>
      <c r="F16" s="13" t="n">
        <v>3150</v>
      </c>
      <c r="G16" s="14" t="n">
        <v>3717</v>
      </c>
      <c r="H16" s="14" t="n">
        <v>4252.5</v>
      </c>
      <c r="I16" s="14" t="n">
        <v>4725</v>
      </c>
    </row>
    <row r="17">
      <c r="B17" s="12" t="inlineStr">
        <is>
          <t>Gross Total Debt</t>
        </is>
      </c>
      <c r="C17" s="13" t="n">
        <v>7675.5</v>
      </c>
      <c r="D17" s="13" t="n">
        <v>8307.6</v>
      </c>
      <c r="E17" s="13" t="n">
        <v>8849.4</v>
      </c>
      <c r="F17" s="13" t="n">
        <v>9030</v>
      </c>
      <c r="G17" s="14" t="n">
        <v>8849.4</v>
      </c>
      <c r="H17" s="14" t="n">
        <v>8578.5</v>
      </c>
      <c r="I17" s="14" t="n">
        <v>8127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ČEZ Group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4.95%</t>
        </is>
      </c>
      <c r="F6" s="21" t="inlineStr">
        <is>
          <t>2028 / 2029</t>
        </is>
      </c>
      <c r="G6" s="17" t="n">
        <v>4063.5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2257.5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1354.5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903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451.5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2677.5</v>
      </c>
    </row>
    <row r="15">
      <c r="B15" t="inlineStr">
        <is>
          <t>Committed Undrawn RCF Capacity</t>
        </is>
      </c>
      <c r="C15" s="22" t="n">
        <v>1680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1560.9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ČEZ Group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4200</v>
      </c>
      <c r="D6" s="17" t="n">
        <v>3570</v>
      </c>
      <c r="E6" s="25" t="n">
        <v>2730</v>
      </c>
    </row>
    <row r="7">
      <c r="B7" s="5" t="inlineStr">
        <is>
          <t>Free Cash Flow ($M)</t>
        </is>
      </c>
      <c r="C7" s="17" t="n">
        <v>2100</v>
      </c>
      <c r="D7" s="17" t="n">
        <v>1260</v>
      </c>
      <c r="E7" s="25" t="n">
        <v>315</v>
      </c>
    </row>
    <row r="8">
      <c r="B8" s="12" t="inlineStr">
        <is>
          <t>Net Leverage Ratio (x)</t>
        </is>
      </c>
      <c r="C8" s="26" t="n">
        <v>1.4</v>
      </c>
      <c r="D8" s="26" t="n">
        <v>1.75</v>
      </c>
      <c r="E8" s="27" t="n">
        <v>2.59</v>
      </c>
    </row>
    <row r="9">
      <c r="B9" s="5" t="inlineStr">
        <is>
          <t>Interest Coverage Ratio (x)</t>
        </is>
      </c>
      <c r="C9" s="26" t="n">
        <v>8.800000000000001</v>
      </c>
      <c r="D9" s="26" t="n">
        <v>6.86</v>
      </c>
      <c r="E9" s="27" t="n">
        <v>3.96</v>
      </c>
    </row>
    <row r="10">
      <c r="B10" s="12" t="inlineStr">
        <is>
          <t>Implied Senior Paper Trading / Recovery ($)</t>
        </is>
      </c>
      <c r="C10" s="12" t="inlineStr">
        <is>
          <t>$100.50</t>
        </is>
      </c>
      <c r="D10" s="12" t="inlineStr">
        <is>
          <t>$100.00</t>
        </is>
      </c>
      <c r="E10" s="28" t="inlineStr">
        <is>
          <t>$88.00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