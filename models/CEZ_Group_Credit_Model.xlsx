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(+$40.9M)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(+$50.4M)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(+$56.7M)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(+$63.0M)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(+$69.3M)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(+$74.3M)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(+$78.1M)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(+$40.9M)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(+$50.4M)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(+$56.7M)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(+$63.0M)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(+$69.3M)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(+$74.3M)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(+$78.1M)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(CEZ) — Institutional Credit Model</t>
        </is>
      </c>
    </row>
    <row r="3">
      <c r="B3" s="2" t="inlineStr">
        <is>
          <t>Sector: Utilities | Country: Czech Republic | Rating: A- / A3 | Benchmark: CEZ 4.875% 2028 @ $99.80 (4.95% YTM / +90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Czech integrated utility powerhouse; Temelín and Dukovany nuclear generation guarantees low-cost baseload.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CEZ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4063.5</v>
      </c>
      <c r="F26" s="7" t="inlineStr">
        <is>
          <t>4.95%</t>
        </is>
      </c>
      <c r="G26" s="7" t="inlineStr">
        <is>
          <t>$99.80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CEZ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2709</v>
      </c>
      <c r="F27" s="7" t="inlineStr">
        <is>
          <t>4.20%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2257.5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7028.5</v>
      </c>
      <c r="D15" s="8" t="n">
        <v>8475.5</v>
      </c>
      <c r="E15" s="8" t="n">
        <v>9509.1</v>
      </c>
      <c r="F15" s="8" t="n">
        <v>10336</v>
      </c>
      <c r="G15" s="8" t="n">
        <v>11162.9</v>
      </c>
      <c r="H15" s="8" t="n">
        <v>11886.4</v>
      </c>
      <c r="I15" s="8" t="n">
        <v>12403.2</v>
      </c>
    </row>
    <row r="16">
      <c r="B16" s="7" t="inlineStr">
        <is>
          <t>Regulated Power Distribution &amp; Grid</t>
        </is>
      </c>
      <c r="C16" s="8" t="n">
        <v>2273.9</v>
      </c>
      <c r="D16" s="8" t="n">
        <v>2742.1</v>
      </c>
      <c r="E16" s="8" t="n">
        <v>3076.5</v>
      </c>
      <c r="F16" s="8" t="n">
        <v>3344</v>
      </c>
      <c r="G16" s="8" t="n">
        <v>3611.5</v>
      </c>
      <c r="H16" s="8" t="n">
        <v>3845.6</v>
      </c>
      <c r="I16" s="8" t="n">
        <v>4012.8</v>
      </c>
    </row>
    <row r="17">
      <c r="B17" s="7" t="inlineStr">
        <is>
          <t>Merchant &amp; Capacity Balancing Services</t>
        </is>
      </c>
      <c r="C17" s="8" t="n">
        <v>1033.6</v>
      </c>
      <c r="D17" s="8" t="n">
        <v>1246.4</v>
      </c>
      <c r="E17" s="8" t="n">
        <v>1398.4</v>
      </c>
      <c r="F17" s="8" t="n">
        <v>1520</v>
      </c>
      <c r="G17" s="8" t="n">
        <v>1641.6</v>
      </c>
      <c r="H17" s="8" t="n">
        <v>1748</v>
      </c>
      <c r="I17" s="8" t="n">
        <v>1824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40.9</v>
      </c>
      <c r="D35" s="24" t="n">
        <v>50.4</v>
      </c>
      <c r="E35" s="24" t="n">
        <v>56.7</v>
      </c>
      <c r="F35" s="24" t="n">
        <v>63</v>
      </c>
      <c r="G35" s="24" t="n">
        <v>69.3</v>
      </c>
      <c r="H35" s="24" t="n">
        <v>74.3</v>
      </c>
      <c r="I35" s="24" t="n">
        <v>78.09999999999999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(+$40.9M)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(+$50.4M)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(+$56.7M)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(+$63.0M)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(+$69.3M)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(+$74.3M)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(+$78.1M)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15504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3617.6</v>
      </c>
      <c r="D36" s="8" t="n">
        <v>3617.6</v>
      </c>
      <c r="E36" s="8" t="n">
        <v>3617.6</v>
      </c>
      <c r="F36" s="8" t="n">
        <v>3617.6</v>
      </c>
      <c r="G36" s="8" t="n">
        <v>3617.6</v>
      </c>
      <c r="H36" s="8" t="n">
        <v>3617.6</v>
      </c>
      <c r="I36" s="8" t="n">
        <v>3617.6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-2204.5</v>
      </c>
      <c r="D16" s="8" t="n">
        <v>-3855.6</v>
      </c>
      <c r="E16" s="8" t="n">
        <v>-4337.6</v>
      </c>
      <c r="F16" s="8" t="n">
        <v>-4105.5</v>
      </c>
      <c r="G16" s="8" t="n">
        <v>-3730.6</v>
      </c>
      <c r="H16" s="8" t="n">
        <v>-4002</v>
      </c>
      <c r="I16" s="8" t="n">
        <v>-4205.5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1732.5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222.8</v>
      </c>
      <c r="D32" s="8" t="n">
        <v>530.6</v>
      </c>
      <c r="E32" s="8" t="n">
        <v>599.2</v>
      </c>
      <c r="F32" s="8" t="n">
        <v>331.4</v>
      </c>
      <c r="G32" s="8" t="n">
        <v>347.2</v>
      </c>
      <c r="H32" s="8" t="n">
        <v>361.5</v>
      </c>
      <c r="I32" s="8" t="n">
        <v>370.6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CEZ Benchmark Eurobond Notes</t>
        </is>
      </c>
    </row>
    <row r="7">
      <c r="B7" s="7" t="inlineStr">
        <is>
          <t xml:space="preserve">  Beginning Principal Balance</t>
        </is>
      </c>
      <c r="C7" s="8" t="n">
        <v>3454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1151.3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767.6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0.0495</f>
        <v/>
      </c>
      <c r="D11" s="8">
        <f>D10 * 0.0495</f>
        <v/>
      </c>
      <c r="E11" s="8">
        <f>E10 * 0.0495</f>
        <v/>
      </c>
      <c r="F11" s="8">
        <f>F10 * 0.0495</f>
        <v/>
      </c>
      <c r="G11" s="8">
        <f>G10 * 0.0495</f>
        <v/>
      </c>
      <c r="H11" s="8">
        <f>H10 * 0.0495</f>
        <v/>
      </c>
      <c r="I11" s="8">
        <f>I10 * 0.0495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4221.5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1083.6</v>
      </c>
      <c r="C32" s="8" t="n">
        <v>1986.6</v>
      </c>
      <c r="D32" s="8" t="n">
        <v>2528.4</v>
      </c>
      <c r="E32" s="8" t="n">
        <v>1625.4</v>
      </c>
      <c r="F32" s="8" t="n">
        <v>1083.6</v>
      </c>
      <c r="G32" s="8" t="n">
        <v>722.4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CEZ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4063.5</v>
      </c>
      <c r="F37" s="30" t="inlineStr">
        <is>
          <t>4.950%</t>
        </is>
      </c>
      <c r="G37" s="31" t="n">
        <v>99.8</v>
      </c>
      <c r="H37" s="32" t="n">
        <v>4.95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CEZ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2709</v>
      </c>
      <c r="F38" s="30" t="inlineStr">
        <is>
          <t>4.300%</t>
        </is>
      </c>
      <c r="G38" s="31" t="n">
        <v>101.5</v>
      </c>
      <c r="H38" s="32" t="n">
        <v>4.3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1354.5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903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CEZ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2528.4</v>
      </c>
    </row>
    <row r="45">
      <c r="B45" s="7" t="inlineStr">
        <is>
          <t>Drawn Amount ($M)</t>
        </is>
      </c>
      <c r="C45" s="8" t="n">
        <v>903</v>
      </c>
    </row>
    <row r="46">
      <c r="B46" s="19" t="inlineStr">
        <is>
          <t>AVAILABLE UNDRAWN HEADROOM ($M)</t>
        </is>
      </c>
      <c r="C46" s="20" t="n">
        <v>1625.4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1.40x</t>
        </is>
      </c>
      <c r="E55" s="33" t="inlineStr">
        <is>
          <t>3.10x leverage buffer ($13020.0M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8.80x</t>
        </is>
      </c>
      <c r="E56" s="33" t="inlineStr">
        <is>
          <t>+6.30x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5.0% of Assets</t>
        </is>
      </c>
      <c r="E57" s="33" t="inlineStr">
        <is>
          <t>$3344.0M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4.95%</t>
        </is>
      </c>
      <c r="F6" s="35" t="inlineStr">
        <is>
          <t>4.2x</t>
        </is>
      </c>
      <c r="G6" s="35" t="inlineStr">
        <is>
          <t>$100.50</t>
        </is>
      </c>
      <c r="H6" s="35" t="inlineStr">
        <is>
          <t>+0.7%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6.95%</t>
        </is>
      </c>
      <c r="F7" s="30" t="inlineStr">
        <is>
          <t>3.2x</t>
        </is>
      </c>
      <c r="G7" s="30" t="inlineStr">
        <is>
          <t>$94.25</t>
        </is>
      </c>
      <c r="H7" s="30" t="inlineStr">
        <is>
          <t>-5.6%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$88.00</t>
        </is>
      </c>
      <c r="H8" s="30" t="inlineStr">
        <is>
          <t>-11.8%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3.50%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+5.2%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2257.5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CEZ Senior Unsecured Eurobonds</t>
        </is>
      </c>
      <c r="C15" s="8" t="n">
        <v>6772.5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88.0%</t>
        </is>
      </c>
      <c r="G15" s="30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1354.5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3612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Czech Republic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ČEZ Group (CEZ) — Earnings Presentation &amp; Management Guidance</t>
        </is>
      </c>
    </row>
    <row r="3">
      <c r="B3" s="2" t="inlineStr">
        <is>
          <t>Source: ČEZ Group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$16416.0M (+8.0% YoY growth)</t>
        </is>
      </c>
      <c r="D7" s="36" t="inlineStr">
        <is>
          <t>$16188.0M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$16416.0M (+8.0% YoY growth). With current run-rate at $16188.0M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$4620.0M (28.1% margin)</t>
        </is>
      </c>
      <c r="D8" s="36" t="inlineStr">
        <is>
          <t>$4536.0M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$4620.0M (28.1%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1.40x</t>
        </is>
      </c>
      <c r="E9" s="33" t="inlineStr">
        <is>
          <t>Ahead of Target</t>
        </is>
      </c>
      <c r="F9" s="38" t="inlineStr">
        <is>
          <t>Deleveraging on track with 3.10x buffer below covenant limit.
[QUESTION TO CFO TO VERIFY]: You previously committed to a Net Leverage ceiling of &lt; 4.00x Net Debt / EBITDA. Current actual leverage stands at 1.40x.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$1543.5M (Maximum growth and sustaining envelope)</t>
        </is>
      </c>
      <c r="D10" s="36" t="inlineStr">
        <is>
          <t>$1420.0M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$1543.5M (Maximum growth and sustaining envelope). Current commitments stand at $1420.0M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$5145.0M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$273600.0M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$3150.0M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$3612.0M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2026-11-10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10:00 Prague / 09:00 UK</t>
        </is>
      </c>
    </row>
    <row r="50">
      <c r="B50" s="9" t="inlineStr">
        <is>
          <t>Official IR Portal / Webcast URL</t>
        </is>
      </c>
      <c r="C50" s="38" t="inlineStr">
        <is>
          <t>https://www.cez.cz/en/investors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2026-10-23T04:16:25Z</dcterms:created>
  <dcterms:modified xmlns:dcterms="http://purl.org/dc/terms/" xmlns:xsi="http://www.w3.org/2001/XMLSchema-instance" xsi:type="dcterms:W3CDTF">2026-10-23T04:16:25Z</dcterms:modified>
</cp:coreProperties>
</file>