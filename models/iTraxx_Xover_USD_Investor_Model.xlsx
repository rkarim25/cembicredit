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over_USD_Investor_Model" sheetId="1" state="visible" r:id="rId1"/>
    <sheet xmlns:r="http://schemas.openxmlformats.org/officeDocument/2006/relationships" name="Historical_Data" sheetId="2" state="visible" r:id="rId2"/>
    <sheet xmlns:r="http://schemas.openxmlformats.org/officeDocument/2006/relationships" name="Attribution_Formu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7">
    <numFmt numFmtId="164" formatCode="0.00&quot; yrs&quot;"/>
    <numFmt numFmtId="165" formatCode="0.0%"/>
    <numFmt numFmtId="166" formatCode="+0.0%;-0.0%;0.0%"/>
    <numFmt numFmtId="167" formatCode="$#,##0"/>
    <numFmt numFmtId="168" formatCode="0.00&quot; bps/bp&quot;"/>
    <numFmt numFmtId="169" formatCode="€#,##0"/>
    <numFmt numFmtId="170" formatCode="yyyy-mm-dd h:mm:ss"/>
    <numFmt numFmtId="171" formatCode="YYYY-MM-DD"/>
    <numFmt numFmtId="172" formatCode="0.0&quot; bps&quot;"/>
    <numFmt numFmtId="173" formatCode="0.0000"/>
    <numFmt numFmtId="174" formatCode="0&quot; days&quot;"/>
    <numFmt numFmtId="175" formatCode="+0.0&quot; bps&quot;;-0.0&quot; bps&quot;;0.0&quot; bps&quot;"/>
    <numFmt numFmtId="176" formatCode="+0.00%;-0.00%;0.00%"/>
    <numFmt numFmtId="177" formatCode="$#,##0;($#,##0);$0"/>
    <numFmt numFmtId="178" formatCode="+0&quot; bps&quot;;-0&quot; bps&quot;;0&quot; bps&quot;"/>
    <numFmt numFmtId="179" formatCode="+0.0;-0.0;0.0"/>
    <numFmt numFmtId="180" formatCode="0.0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DDE4EE"/>
      <sz val="10"/>
    </font>
    <font>
      <name val="Segoe UI"/>
      <b val="1"/>
      <color rgb="000F2B5C"/>
      <sz val="11"/>
    </font>
    <font>
      <name val="Segoe UI"/>
      <b val="1"/>
      <color rgb="001D1D1F"/>
      <sz val="10"/>
    </font>
    <font>
      <name val="Segoe UI"/>
      <b val="1"/>
      <color rgb="00004085"/>
      <sz val="10"/>
    </font>
    <font>
      <name val="Segoe UI"/>
      <i val="1"/>
      <color rgb="006E6E73"/>
      <sz val="9"/>
    </font>
    <font>
      <name val="Segoe UI"/>
      <b val="1"/>
      <color rgb="006E6E73"/>
      <sz val="9"/>
    </font>
    <font>
      <name val="Segoe UI"/>
      <color rgb="001D1D1F"/>
      <sz val="10"/>
    </font>
    <font>
      <name val="Segoe UI"/>
      <b val="1"/>
      <color rgb="000F2B5C"/>
      <sz val="9"/>
    </font>
    <font>
      <name val="Segoe UI"/>
      <sz val="10"/>
    </font>
    <font>
      <name val="Segoe UI"/>
      <b val="1"/>
      <color rgb="000F2B5C"/>
      <sz val="10"/>
    </font>
    <font>
      <name val="Segoe UI"/>
      <b val="1"/>
      <color rgb="000071E3"/>
      <sz val="11"/>
    </font>
    <font>
      <name val="Segoe UI"/>
      <b val="1"/>
      <sz val="10"/>
    </font>
    <font>
      <name val="Segoe UI"/>
      <b val="1"/>
      <color rgb="000071E3"/>
      <sz val="10"/>
    </font>
    <font>
      <name val="Segoe UI"/>
      <b val="1"/>
      <sz val="9"/>
    </font>
    <font>
      <name val="Segoe UI"/>
      <b val="1"/>
      <color rgb="00FFFFFF"/>
      <sz val="10"/>
    </font>
    <font>
      <name val="Consolas"/>
      <b val="1"/>
      <color rgb="000F2B5C"/>
      <sz val="9"/>
    </font>
  </fonts>
  <fills count="7">
    <fill>
      <patternFill/>
    </fill>
    <fill>
      <patternFill patternType="gray125"/>
    </fill>
    <fill>
      <patternFill patternType="solid">
        <fgColor rgb="000F2B5C"/>
        <bgColor rgb="000F2B5C"/>
      </patternFill>
    </fill>
    <fill>
      <patternFill patternType="solid">
        <fgColor rgb="00E8EDF5"/>
        <bgColor rgb="00E8EDF5"/>
      </patternFill>
    </fill>
    <fill>
      <patternFill patternType="solid">
        <fgColor rgb="00F0F4FA"/>
        <bgColor rgb="00F0F4FA"/>
      </patternFill>
    </fill>
    <fill>
      <patternFill patternType="solid">
        <fgColor rgb="00F2F7FF"/>
        <bgColor rgb="00F2F7FF"/>
      </patternFill>
    </fill>
    <fill>
      <patternFill patternType="solid">
        <fgColor rgb="00D6E4F0"/>
        <bgColor rgb="00D6E4F0"/>
      </patternFill>
    </fill>
  </fills>
  <borders count="4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medium">
        <color rgb="000F2B5C"/>
      </top>
      <bottom style="medium">
        <color rgb="000F2B5C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double">
        <color rgb="000F2B5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2" pivotButton="0" quotePrefix="0" xfId="0"/>
    <xf numFmtId="164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0" fillId="0" borderId="2" pivotButton="0" quotePrefix="0" xfId="0"/>
    <xf numFmtId="49" fontId="5" fillId="4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7" fontId="5" fillId="4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8" fillId="0" borderId="2" pivotButton="0" quotePrefix="0" xfId="0"/>
    <xf numFmtId="168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9" fontId="4" fillId="0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right" vertical="center"/>
    </xf>
    <xf numFmtId="171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pivotButton="0" quotePrefix="0" xfId="0"/>
    <xf numFmtId="172" fontId="4" fillId="0" borderId="2" applyAlignment="1" pivotButton="0" quotePrefix="0" xfId="0">
      <alignment horizontal="right" vertical="center"/>
    </xf>
    <xf numFmtId="172" fontId="0" fillId="0" borderId="2" applyAlignment="1" pivotButton="0" quotePrefix="0" xfId="0">
      <alignment horizontal="right" vertical="center"/>
    </xf>
    <xf numFmtId="172" fontId="5" fillId="4" borderId="2" applyAlignment="1" pivotButton="0" quotePrefix="0" xfId="0">
      <alignment horizontal="right" vertical="center"/>
    </xf>
    <xf numFmtId="173" fontId="4" fillId="0" borderId="2" applyAlignment="1" pivotButton="0" quotePrefix="0" xfId="0">
      <alignment horizontal="right" vertical="center"/>
    </xf>
    <xf numFmtId="173" fontId="0" fillId="0" borderId="2" applyAlignment="1" pivotButton="0" quotePrefix="0" xfId="0">
      <alignment horizontal="right" vertical="center"/>
    </xf>
    <xf numFmtId="173" fontId="5" fillId="4" borderId="2" applyAlignment="1" pivotButton="0" quotePrefix="0" xfId="0">
      <alignment horizontal="right" vertical="center"/>
    </xf>
    <xf numFmtId="174" fontId="4" fillId="0" borderId="2" applyAlignment="1" pivotButton="0" quotePrefix="0" xfId="0">
      <alignment horizontal="right" vertical="center"/>
    </xf>
    <xf numFmtId="174" fontId="0" fillId="0" borderId="2" applyAlignment="1" pivotButton="0" quotePrefix="0" xfId="0">
      <alignment horizontal="right" vertical="center"/>
    </xf>
    <xf numFmtId="174" fontId="5" fillId="4" borderId="2" applyAlignment="1" pivotButton="0" quotePrefix="0" xfId="0">
      <alignment horizontal="right" vertical="center"/>
    </xf>
    <xf numFmtId="175" fontId="4" fillId="0" borderId="2" applyAlignment="1" pivotButton="0" quotePrefix="0" xfId="0">
      <alignment horizontal="right" vertical="center"/>
    </xf>
    <xf numFmtId="176" fontId="10" fillId="0" borderId="2" applyAlignment="1" pivotButton="0" quotePrefix="0" xfId="0">
      <alignment horizontal="right" vertical="center"/>
    </xf>
    <xf numFmtId="175" fontId="10" fillId="0" borderId="2" applyAlignment="1" pivotButton="0" quotePrefix="0" xfId="0">
      <alignment horizontal="right" vertical="center"/>
    </xf>
    <xf numFmtId="177" fontId="10" fillId="0" borderId="2" applyAlignment="1" pivotButton="0" quotePrefix="0" xfId="0">
      <alignment horizontal="right" vertical="center"/>
    </xf>
    <xf numFmtId="49" fontId="10" fillId="0" borderId="2" applyAlignment="1" pivotButton="0" quotePrefix="0" xfId="0">
      <alignment horizontal="center" vertical="center"/>
    </xf>
    <xf numFmtId="0" fontId="11" fillId="5" borderId="3" pivotButton="0" quotePrefix="0" xfId="0"/>
    <xf numFmtId="175" fontId="12" fillId="5" borderId="3" applyAlignment="1" pivotButton="0" quotePrefix="0" xfId="0">
      <alignment horizontal="right" vertical="center"/>
    </xf>
    <xf numFmtId="176" fontId="13" fillId="5" borderId="3" applyAlignment="1" pivotButton="0" quotePrefix="0" xfId="0">
      <alignment horizontal="right" vertical="center"/>
    </xf>
    <xf numFmtId="175" fontId="13" fillId="5" borderId="3" applyAlignment="1" pivotButton="0" quotePrefix="0" xfId="0">
      <alignment horizontal="right" vertical="center"/>
    </xf>
    <xf numFmtId="177" fontId="13" fillId="5" borderId="3" applyAlignment="1" pivotButton="0" quotePrefix="0" xfId="0">
      <alignment horizontal="right" vertical="center"/>
    </xf>
    <xf numFmtId="0" fontId="6" fillId="5" borderId="3" pivotButton="0" quotePrefix="0" xfId="0"/>
    <xf numFmtId="176" fontId="4" fillId="0" borderId="2" applyAlignment="1" pivotButton="0" quotePrefix="0" xfId="0">
      <alignment horizontal="right" vertical="center"/>
    </xf>
    <xf numFmtId="175" fontId="0" fillId="0" borderId="2" applyAlignment="1" pivotButton="0" quotePrefix="0" xfId="0">
      <alignment horizontal="right" vertical="center"/>
    </xf>
    <xf numFmtId="177" fontId="4" fillId="0" borderId="2" applyAlignment="1" pivotButton="0" quotePrefix="0" xfId="0">
      <alignment horizontal="right" vertical="center"/>
    </xf>
    <xf numFmtId="49" fontId="0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17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175" fontId="8" fillId="0" borderId="2" applyAlignment="1" pivotButton="0" quotePrefix="0" xfId="0">
      <alignment horizontal="right" vertical="center"/>
    </xf>
    <xf numFmtId="175" fontId="6" fillId="0" borderId="2" applyAlignment="1" pivotButton="0" quotePrefix="0" xfId="0">
      <alignment horizontal="right" vertical="center"/>
    </xf>
    <xf numFmtId="175" fontId="14" fillId="0" borderId="2" applyAlignment="1" pivotButton="0" quotePrefix="0" xfId="0">
      <alignment horizontal="right" vertical="center"/>
    </xf>
    <xf numFmtId="177" fontId="8" fillId="0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166" fontId="9" fillId="3" borderId="2" applyAlignment="1" pivotButton="0" quotePrefix="0" xfId="0">
      <alignment horizontal="center" vertical="center"/>
    </xf>
    <xf numFmtId="178" fontId="9" fillId="3" borderId="2" applyAlignment="1" pivotButton="0" quotePrefix="0" xfId="0">
      <alignment horizontal="left" vertical="center"/>
    </xf>
    <xf numFmtId="179" fontId="15" fillId="0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171" fontId="0" fillId="0" borderId="2" applyAlignment="1" pivotButton="0" quotePrefix="0" xfId="0">
      <alignment horizontal="center" vertical="center"/>
    </xf>
    <xf numFmtId="180" fontId="0" fillId="0" borderId="2" applyAlignment="1" pivotButton="0" quotePrefix="0" xfId="0">
      <alignment horizontal="right" vertical="center"/>
    </xf>
    <xf numFmtId="0" fontId="1" fillId="2" borderId="0" pivotButton="0" quotePrefix="0" xfId="0"/>
    <xf numFmtId="0" fontId="3" fillId="3" borderId="1" pivotButton="0" quotePrefix="0" xfId="0"/>
    <xf numFmtId="0" fontId="1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7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16" customWidth="1" min="4" max="4"/>
    <col width="18" customWidth="1" min="5" max="5"/>
    <col width="18" customWidth="1" min="6" max="6"/>
    <col width="30" customWidth="1" min="7" max="7"/>
    <col width="20" customWidth="1" min="8" max="8"/>
    <col width="20" customWidth="1" min="9" max="9"/>
    <col width="16" customWidth="1" min="10" max="10"/>
    <col width="18" customWidth="1" min="11" max="11"/>
    <col width="20" customWidth="1" min="12" max="12"/>
    <col width="18" customWidth="1" min="13" max="13"/>
    <col width="18" customWidth="1" min="14" max="14"/>
  </cols>
  <sheetData>
    <row r="2" ht="25" customHeight="1">
      <c r="B2" s="1" t="inlineStr">
        <is>
          <t>iTraxx Europe Crossover (5Y): USD Investor P&amp;L and Currency Risk Model</t>
        </is>
      </c>
    </row>
    <row r="3" ht="18" customHeight="1">
      <c r="B3" s="2" t="inlineStr">
        <is>
          <t>Pure Spread Duration Sizing · % Portfolio Allocation · Net Portfolio bps Impact · FX Overlay Forward Hedge</t>
        </is>
      </c>
    </row>
    <row r="5" ht="22" customHeight="1">
      <c r="B5" s="3" t="inlineStr">
        <is>
          <t>1. PORTFOLIO &amp; POSITION SIZING PARAMETERS (SPREAD DURATION &amp; % SIZING)</t>
        </is>
      </c>
      <c r="C5" s="4" t="n"/>
      <c r="D5" s="4" t="n"/>
      <c r="E5" s="4" t="n"/>
      <c r="F5" s="4" t="n"/>
      <c r="G5" s="4" t="n"/>
    </row>
    <row r="6">
      <c r="B6" s="5" t="inlineStr">
        <is>
          <t>Target Spread Duration Contribution</t>
        </is>
      </c>
      <c r="C6" s="6" t="n">
        <v>0.5</v>
      </c>
      <c r="D6" s="7" t="inlineStr">
        <is>
          <t>Target portfolio spread duration contribution (years)</t>
        </is>
      </c>
      <c r="E6" s="8" t="n"/>
      <c r="F6" s="8" t="n"/>
      <c r="G6" s="8" t="n"/>
    </row>
    <row r="7">
      <c r="B7" s="5" t="inlineStr">
        <is>
          <t>Position Stance (Underlying CDS)</t>
        </is>
      </c>
      <c r="C7" s="9" t="inlineStr">
        <is>
          <t>SELL</t>
        </is>
      </c>
      <c r="D7" s="7" t="inlineStr">
        <is>
          <t>SELL = Long Risk [LONG EUR / SHORT USD]. BUY = Short Risk [SHORT EUR / LONG USD]</t>
        </is>
      </c>
      <c r="E7" s="8" t="n"/>
      <c r="F7" s="8" t="n"/>
      <c r="G7" s="8" t="n"/>
    </row>
    <row r="8">
      <c r="B8" s="5" t="inlineStr">
        <is>
          <t>Benchmark Xover Spread Duration</t>
        </is>
      </c>
      <c r="C8" s="6" t="n">
        <v>4.3</v>
      </c>
      <c r="D8" s="7" t="inlineStr">
        <is>
          <t>Standard 5-year iTraxx Crossover spread duration</t>
        </is>
      </c>
      <c r="E8" s="8" t="n"/>
      <c r="F8" s="8" t="n"/>
      <c r="G8" s="8" t="n"/>
    </row>
    <row r="9">
      <c r="B9" s="5" t="inlineStr">
        <is>
          <t>Implied CDS Weight (% of Portfolio)</t>
        </is>
      </c>
      <c r="C9" s="10">
        <f>C6/C8</f>
        <v/>
      </c>
      <c r="D9" s="7">
        <f> Target_SD / Benchmark_SD (Portfolio sizing %)</f>
        <v/>
      </c>
      <c r="E9" s="8" t="n"/>
      <c r="F9" s="8" t="n"/>
      <c r="G9" s="8" t="n"/>
    </row>
    <row r="10">
      <c r="B10" s="5" t="inlineStr">
        <is>
          <t>FX Hedge Ratio (% of Portfolio)</t>
        </is>
      </c>
      <c r="C10" s="11" t="n">
        <v>0.1</v>
      </c>
      <c r="D10" s="7" t="inlineStr">
        <is>
          <t>Overlay currency forward hedge sized as % of portfolio</t>
        </is>
      </c>
      <c r="E10" s="8" t="n"/>
      <c r="F10" s="8" t="n"/>
      <c r="G10" s="8" t="n"/>
    </row>
    <row r="11">
      <c r="B11" s="5" t="inlineStr">
        <is>
          <t>FX Hedge Stance (Overlay Forward)</t>
        </is>
      </c>
      <c r="C11" s="9" t="inlineStr">
        <is>
          <t>SHORT EUR</t>
        </is>
      </c>
      <c r="D11" s="7" t="inlineStr">
        <is>
          <t>SHORT EUR = Sell EUR / Buy USD [SHORT EUR, LONG USD]. LONG EUR = Buy EUR / Sell USD [LONG EUR, SHORT USD]</t>
        </is>
      </c>
      <c r="E11" s="8" t="n"/>
      <c r="F11" s="8" t="n"/>
      <c r="G11" s="8" t="n"/>
    </row>
    <row r="12">
      <c r="B12" s="5" t="inlineStr">
        <is>
          <t>Net EUR Currency Exposure (% of Portfolio)</t>
        </is>
      </c>
      <c r="C12" s="12">
        <f>IF(C7="SELL", C9, -C9) + IF(C11="SHORT EUR", -C10, IF(C11="LONG EUR", C10, 0))</f>
        <v/>
      </c>
      <c r="D12" s="7">
        <f> Net EUR Exposure (% Portfolio). Positive = Net Long EUR; Negative = Net Short EUR</f>
        <v/>
      </c>
      <c r="E12" s="8" t="n"/>
      <c r="F12" s="8" t="n"/>
      <c r="G12" s="8" t="n"/>
    </row>
    <row r="13">
      <c r="B13" s="5" t="inlineStr">
        <is>
          <t>Optional Illustrative Portfolio NAV (USD)</t>
        </is>
      </c>
      <c r="C13" s="13" t="n">
        <v>100000000</v>
      </c>
      <c r="D13" s="7" t="inlineStr">
        <is>
          <t>Optional reference NAV for illustrative nominal dollar reporting (default $100M)</t>
        </is>
      </c>
      <c r="E13" s="8" t="n"/>
      <c r="F13" s="8" t="n"/>
      <c r="G13" s="8" t="n"/>
    </row>
    <row r="14">
      <c r="B14" s="14" t="inlineStr">
        <is>
          <t>Implied Sizing &amp; Illustrative Nominal Metrics (Formulas)</t>
        </is>
      </c>
      <c r="C14" s="8" t="n"/>
      <c r="D14" s="8" t="n"/>
      <c r="E14" s="8" t="n"/>
      <c r="F14" s="8" t="n"/>
      <c r="G14" s="8" t="n"/>
    </row>
    <row r="15">
      <c r="B15" s="15" t="inlineStr">
        <is>
          <t>Portfolio Spread Sensitivity (DV01)</t>
        </is>
      </c>
      <c r="C15" s="16">
        <f>C6</f>
        <v/>
      </c>
      <c r="D15" s="7">
        <f> Target Spread Duration (Portfolio bps return per 1 bp spread move)</f>
        <v/>
      </c>
      <c r="E15" s="8" t="n"/>
      <c r="F15" s="8" t="n"/>
      <c r="G15" s="8" t="n"/>
    </row>
    <row r="16">
      <c r="B16" s="15" t="inlineStr">
        <is>
          <t>Illustrative USD CDS Exposure</t>
        </is>
      </c>
      <c r="C16" s="17">
        <f>C13*C9</f>
        <v/>
      </c>
      <c r="D16" s="7">
        <f> Optional_NAV * Implied_CDS_Weight</f>
        <v/>
      </c>
      <c r="E16" s="8" t="n"/>
      <c r="F16" s="8" t="n"/>
      <c r="G16" s="8" t="n"/>
    </row>
    <row r="17">
      <c r="B17" s="15" t="inlineStr">
        <is>
          <t>Illustrative EUR CDS Notional [EUR ASSET]</t>
        </is>
      </c>
      <c r="C17" s="18">
        <f>C16/C27</f>
        <v/>
      </c>
      <c r="D17" s="7">
        <f> Illustrative_USD / Entry_EURUSD (Asset risk held in EUR: Long EUR when Selling)</f>
        <v/>
      </c>
      <c r="E17" s="8" t="n"/>
      <c r="F17" s="8" t="n"/>
      <c r="G17" s="8" t="n"/>
    </row>
    <row r="18">
      <c r="B18" s="15" t="inlineStr">
        <is>
          <t>Position DV01 (EUR)</t>
        </is>
      </c>
      <c r="C18" s="18">
        <f>C17*C8*0.0001</f>
        <v/>
      </c>
      <c r="D18" s="7">
        <f> EUR_Notional * Benchmark_SD * 1bp</f>
        <v/>
      </c>
      <c r="E18" s="8" t="n"/>
      <c r="F18" s="8" t="n"/>
      <c r="G18" s="8" t="n"/>
    </row>
    <row r="19">
      <c r="B19" s="15" t="inlineStr">
        <is>
          <t>Illustrative FX Hedge Notional (USD)</t>
        </is>
      </c>
      <c r="C19" s="17">
        <f>C13*C10</f>
        <v/>
      </c>
      <c r="D19" s="7">
        <f> Optional_NAV * FX_Hedge_Pct</f>
        <v/>
      </c>
      <c r="E19" s="8" t="n"/>
      <c r="F19" s="8" t="n"/>
      <c r="G19" s="8" t="n"/>
    </row>
    <row r="20">
      <c r="B20" s="15" t="inlineStr">
        <is>
          <t>Illustrative FX Hedge Notional (EUR) [FORWARD OVERLAY]</t>
        </is>
      </c>
      <c r="C20" s="18">
        <f>C19/C27</f>
        <v/>
      </c>
      <c r="D20" s="7">
        <f> Hedge_USD / Entry_EURUSD (Forward hedge selling EUR when SHORT EUR)</f>
        <v/>
      </c>
      <c r="E20" s="8" t="n"/>
      <c r="F20" s="8" t="n"/>
      <c r="G20" s="8" t="n"/>
    </row>
    <row r="21" ht="22" customHeight="1">
      <c r="B21" s="3" t="inlineStr">
        <is>
          <t>2. TRADE TIMING &amp; HISTORICAL INDICATIVE LEVELS</t>
        </is>
      </c>
      <c r="C21" s="4" t="n"/>
      <c r="D21" s="4" t="n"/>
      <c r="E21" s="4" t="n"/>
      <c r="F21" s="4" t="n"/>
      <c r="G21" s="4" t="n"/>
    </row>
    <row r="22">
      <c r="B22" s="19" t="inlineStr">
        <is>
          <t>Metric / Parameter</t>
        </is>
      </c>
      <c r="C22" s="20" t="inlineStr">
        <is>
          <t>Active Value</t>
        </is>
      </c>
      <c r="D22" s="20" t="inlineStr">
        <is>
          <t>Historical Lookup</t>
        </is>
      </c>
      <c r="E22" s="20" t="inlineStr">
        <is>
          <t>Manual Override</t>
        </is>
      </c>
      <c r="F22" s="19" t="inlineStr">
        <is>
          <t>Formula / Lookup Rule</t>
        </is>
      </c>
      <c r="G22" s="8" t="n"/>
    </row>
    <row r="23">
      <c r="B23" s="5" t="inlineStr">
        <is>
          <t>Trade Entry Date</t>
        </is>
      </c>
      <c r="C23" s="21" t="n">
        <v>46027</v>
      </c>
      <c r="D23" s="22" t="inlineStr">
        <is>
          <t>—</t>
        </is>
      </c>
      <c r="E23" s="22" t="inlineStr">
        <is>
          <t>—</t>
        </is>
      </c>
      <c r="F23" s="23" t="inlineStr">
        <is>
          <t>Select historical entry calibration date</t>
        </is>
      </c>
      <c r="G23" s="8" t="n"/>
    </row>
    <row r="24">
      <c r="B24" s="5" t="inlineStr">
        <is>
          <t>Trade Exit Date</t>
        </is>
      </c>
      <c r="C24" s="21" t="n">
        <v>46289</v>
      </c>
      <c r="D24" s="22" t="inlineStr">
        <is>
          <t>—</t>
        </is>
      </c>
      <c r="E24" s="22" t="inlineStr">
        <is>
          <t>—</t>
        </is>
      </c>
      <c r="F24" s="23" t="inlineStr">
        <is>
          <t>Select historical exit / live evaluation date</t>
        </is>
      </c>
      <c r="G24" s="8" t="n"/>
    </row>
    <row r="25">
      <c r="B25" s="5" t="inlineStr">
        <is>
          <t>Entry Spread (bps)</t>
        </is>
      </c>
      <c r="C25" s="24">
        <f>IF(ISBLANK(E25), D25, E25)</f>
        <v/>
      </c>
      <c r="D25" s="25">
        <f>IFERROR(INDEX(Historical_Data!$B$2:$B$600, MATCH(C23, Historical_Data!$A$2:$A$600, 0)), 252.0)</f>
        <v/>
      </c>
      <c r="E25" s="26" t="n"/>
      <c r="F25" s="23">
        <f> IF(ISBLANK(Override), Historical_Lookup, Override)</f>
        <v/>
      </c>
      <c r="G25" s="8" t="n"/>
    </row>
    <row r="26">
      <c r="B26" s="5" t="inlineStr">
        <is>
          <t>Exit Spread (bps)</t>
        </is>
      </c>
      <c r="C26" s="24">
        <f>IF(ISBLANK(E26), D26, E26)</f>
        <v/>
      </c>
      <c r="D26" s="25">
        <f>IFERROR(INDEX(Historical_Data!$B$2:$B$600, MATCH(C24, Historical_Data!$A$2:$A$600, 0)), 296.0)</f>
        <v/>
      </c>
      <c r="E26" s="26" t="n"/>
      <c r="F26" s="23">
        <f> IF(ISBLANK(Override), Historical_Lookup, Override)</f>
        <v/>
      </c>
      <c r="G26" s="8" t="n"/>
    </row>
    <row r="27">
      <c r="B27" s="5" t="inlineStr">
        <is>
          <t>Entry EUR/USD Rate</t>
        </is>
      </c>
      <c r="C27" s="27">
        <f>IF(ISBLANK(E27), D27, E27)</f>
        <v/>
      </c>
      <c r="D27" s="28">
        <f>IFERROR(INDEX(Historical_Data!$C$2:$C$600, MATCH(C23, Historical_Data!$A$2:$A$600, 0)), 1.1705)</f>
        <v/>
      </c>
      <c r="E27" s="29" t="n"/>
      <c r="F27" s="23">
        <f> IF(ISBLANK(Override), Historical_Lookup, Override)</f>
        <v/>
      </c>
      <c r="G27" s="8" t="n"/>
    </row>
    <row r="28">
      <c r="B28" s="5" t="inlineStr">
        <is>
          <t>Exit EUR/USD Rate</t>
        </is>
      </c>
      <c r="C28" s="27">
        <f>IF(ISBLANK(E28), D28, E28)</f>
        <v/>
      </c>
      <c r="D28" s="28">
        <f>IFERROR(INDEX(Historical_Data!$C$2:$C$600, MATCH(C24, Historical_Data!$A$2:$A$600, 0)), 1.1392)</f>
        <v/>
      </c>
      <c r="E28" s="29" t="n"/>
      <c r="F28" s="23">
        <f> IF(ISBLANK(Override), Historical_Lookup, Override)</f>
        <v/>
      </c>
      <c r="G28" s="8" t="n"/>
    </row>
    <row r="29">
      <c r="B29" s="5" t="inlineStr">
        <is>
          <t>Annual Coupon Carry (bps)</t>
        </is>
      </c>
      <c r="C29" s="24">
        <f>IF(ISBLANK(E29), D29, E29)</f>
        <v/>
      </c>
      <c r="D29" s="25">
        <f>C25</f>
        <v/>
      </c>
      <c r="E29" s="26" t="n"/>
      <c r="F29" s="23" t="inlineStr">
        <is>
          <t>Defaults to Entry Spread (can override with fixed 500 bps)</t>
        </is>
      </c>
      <c r="G29" s="8" t="n"/>
    </row>
    <row r="30">
      <c r="B30" s="5" t="inlineStr">
        <is>
          <t>Holding Period (Days)</t>
        </is>
      </c>
      <c r="C30" s="30">
        <f>IF(ISBLANK(E30), D30, E30)</f>
        <v/>
      </c>
      <c r="D30" s="31">
        <f>MAX(1, C24-C23)</f>
        <v/>
      </c>
      <c r="E30" s="32" t="n"/>
      <c r="F30" s="23">
        <f> Exit_Date - Entry_Date (calendar days)</f>
        <v/>
      </c>
      <c r="G30" s="8" t="n"/>
    </row>
    <row r="32" ht="22" customHeight="1">
      <c r="B32" s="3" t="inlineStr">
        <is>
          <t>3. CROSS-CURRENCY P&amp;L ATTRIBUTION &amp; PORTFOLIO IMPACT (BPS)</t>
        </is>
      </c>
      <c r="C32" s="4" t="n"/>
      <c r="D32" s="4" t="n"/>
      <c r="E32" s="4" t="n"/>
      <c r="F32" s="4" t="n"/>
      <c r="G32" s="4" t="n"/>
    </row>
    <row r="33">
      <c r="B33" s="19" t="inlineStr">
        <is>
          <t>P&amp;L Attribution Component Driver</t>
        </is>
      </c>
      <c r="C33" s="20" t="inlineStr">
        <is>
          <t>Portfolio Impact (bps)</t>
        </is>
      </c>
      <c r="D33" s="20" t="inlineStr">
        <is>
          <t>Return (%)</t>
        </is>
      </c>
      <c r="E33" s="20" t="inlineStr">
        <is>
          <t>EUR Local Return</t>
        </is>
      </c>
      <c r="F33" s="20" t="inlineStr">
        <is>
          <t>Illustrative USD ($)</t>
        </is>
      </c>
      <c r="G33" s="19" t="inlineStr">
        <is>
          <t>Attribution Formula Bridge</t>
        </is>
      </c>
    </row>
    <row r="34">
      <c r="B34" s="15" t="inlineStr">
        <is>
          <t>Credit Capital Spread Return [EUR ASSET]</t>
        </is>
      </c>
      <c r="C34" s="33">
        <f>IF(C7="SELL", -(C26-C25)*C6*(C28/C27), (C26-C25)*C6*(C28/C27))</f>
        <v/>
      </c>
      <c r="D34" s="34">
        <f>C34/10000</f>
        <v/>
      </c>
      <c r="E34" s="35">
        <f>IF(C7="SELL", -(C26-C25)*C6, (C26-C25)*C6)</f>
        <v/>
      </c>
      <c r="F34" s="36">
        <f>(C34/10000)*C13</f>
        <v/>
      </c>
      <c r="G34" s="23">
        <f> -ΔS * Target_SD * (Exit_FX / Entry_FX) [bps]</f>
        <v/>
      </c>
    </row>
    <row r="35">
      <c r="B35" s="15" t="inlineStr">
        <is>
          <t>CDS Running Coupon Carry [EUR CASH FLOW]</t>
        </is>
      </c>
      <c r="C35" s="33">
        <f>IF(C7="SELL", C9*C29*(C30/360)*(C28/C27), -C9*C29*(C30/360)*(C28/C27))</f>
        <v/>
      </c>
      <c r="D35" s="34">
        <f>C35/10000</f>
        <v/>
      </c>
      <c r="E35" s="35">
        <f>IF(C7="SELL", C9*C29*(C30/360), -C9*C29*(C30/360))</f>
        <v/>
      </c>
      <c r="F35" s="36">
        <f>(C35/10000)*C13</f>
        <v/>
      </c>
      <c r="G35" s="23">
        <f> CDS_Weight * Carry * (Days/360) * (Exit_FX / Entry_FX) [bps]</f>
        <v/>
      </c>
    </row>
    <row r="36">
      <c r="B36" s="15" t="inlineStr">
        <is>
          <t>Subtotal: EUR CDS Position Return [EUR ASSET]</t>
        </is>
      </c>
      <c r="C36" s="33">
        <f>C34+C35</f>
        <v/>
      </c>
      <c r="D36" s="34">
        <f>C36/10000</f>
        <v/>
      </c>
      <c r="E36" s="35">
        <f>E34+E35</f>
        <v/>
      </c>
      <c r="F36" s="36">
        <f>(C36/10000)*C13</f>
        <v/>
      </c>
      <c r="G36" s="23">
        <f> Spread_Return_bps + Carry_Return_bps</f>
        <v/>
      </c>
    </row>
    <row r="37">
      <c r="B37" s="15" t="inlineStr">
        <is>
          <t>FX Translation Drag / Boost on CDS MTM [LONG EUR / SHORT USD]</t>
        </is>
      </c>
      <c r="C37" s="33">
        <f>E36*((C28-C27)/C27)</f>
        <v/>
      </c>
      <c r="D37" s="34">
        <f>C37/10000</f>
        <v/>
      </c>
      <c r="E37" s="37" t="inlineStr">
        <is>
          <t>"—"</t>
        </is>
      </c>
      <c r="F37" s="36">
        <f>(C37/10000)*C13</f>
        <v/>
      </c>
      <c r="G37" s="23">
        <f> Local_EUR_bps * (Exit_FX - Entry_FX) / Entry_FX</f>
        <v/>
      </c>
    </row>
    <row r="38">
      <c r="B38" s="15" t="inlineStr">
        <is>
          <t>FX Overlay Hedge Return [SHORT EUR / LONG USD]</t>
        </is>
      </c>
      <c r="C38" s="33">
        <f>IF(C11="SHORT EUR", -C10*((C28-C27)/C27)*10000, IF(C11="LONG EUR", C10*((C28-C27)/C27)*10000, 0))</f>
        <v/>
      </c>
      <c r="D38" s="34">
        <f>C38/10000</f>
        <v/>
      </c>
      <c r="E38" s="37" t="inlineStr">
        <is>
          <t>"—"</t>
        </is>
      </c>
      <c r="F38" s="36">
        <f>(C38/10000)*C13</f>
        <v/>
      </c>
      <c r="G38" s="23">
        <f> -Hedge_Pct * (ΔFX / Entry_FX) * 10,000 [Short EUR profits if EUR weakens]</f>
        <v/>
      </c>
    </row>
    <row r="39">
      <c r="B39" s="38" t="inlineStr">
        <is>
          <t>NET COMBINED PORTFOLIO IMPACT [USD BASE]</t>
        </is>
      </c>
      <c r="C39" s="39">
        <f>C36+C38</f>
        <v/>
      </c>
      <c r="D39" s="40">
        <f>C39/10000</f>
        <v/>
      </c>
      <c r="E39" s="41">
        <f>E36</f>
        <v/>
      </c>
      <c r="F39" s="42">
        <f>(C39/10000)*C13</f>
        <v/>
      </c>
      <c r="G39" s="43">
        <f> Net Combined Return across Credit Spread, Carry, &amp; FX Hedge [bps]</f>
        <v/>
      </c>
    </row>
    <row r="41">
      <c r="B41" s="5" t="inlineStr">
        <is>
          <t>Unhedged Portfolio Return (100% Unhedged FX Exposure)</t>
        </is>
      </c>
      <c r="C41" s="33">
        <f>C36</f>
        <v/>
      </c>
      <c r="D41" s="44">
        <f>C41/10000</f>
        <v/>
      </c>
      <c r="E41" s="45">
        <f>E36</f>
        <v/>
      </c>
      <c r="F41" s="46">
        <f>(C41/10000)*C13</f>
        <v/>
      </c>
      <c r="G41" s="23" t="inlineStr">
        <is>
          <t>Performance if 100% unhedged to currency volatility</t>
        </is>
      </c>
    </row>
    <row r="42">
      <c r="B42" s="5" t="inlineStr">
        <is>
          <t>FX Overlay Hedge Alpha Contribution (Short EUR Forward Protection)</t>
        </is>
      </c>
      <c r="C42" s="33">
        <f>C38</f>
        <v/>
      </c>
      <c r="D42" s="44">
        <f>C42/10000</f>
        <v/>
      </c>
      <c r="E42" s="47" t="inlineStr">
        <is>
          <t>"—"</t>
        </is>
      </c>
      <c r="F42" s="46">
        <f>(C42/10000)*C13</f>
        <v/>
      </c>
      <c r="G42" s="23" t="inlineStr">
        <is>
          <t>Net protection / alpha delivered by currency forward overlay</t>
        </is>
      </c>
    </row>
    <row r="44" ht="22" customHeight="1">
      <c r="B44" s="3" t="inlineStr">
        <is>
          <t>4. FORWARD SCENARIO SIZING &amp; BASELINE INPUTS</t>
        </is>
      </c>
      <c r="C44" s="4" t="n"/>
      <c r="D44" s="4" t="n"/>
      <c r="E44" s="4" t="n"/>
      <c r="F44" s="4" t="n"/>
      <c r="G44" s="4" t="n"/>
    </row>
    <row r="45">
      <c r="B45" s="5" t="inlineStr">
        <is>
          <t>Scenario Target Spread Duration (yrs)</t>
        </is>
      </c>
      <c r="C45" s="6">
        <f>C6</f>
        <v/>
      </c>
      <c r="D45" s="7" t="inlineStr">
        <is>
          <t>Portfolio spread duration target (defaults to C6, overridable)</t>
        </is>
      </c>
      <c r="E45" s="8" t="n"/>
      <c r="F45" s="8" t="n"/>
      <c r="G45" s="8" t="n"/>
    </row>
    <row r="46">
      <c r="B46" s="5" t="inlineStr">
        <is>
          <t>Scenario Benchmark Spread Duration (yrs)</t>
        </is>
      </c>
      <c r="C46" s="48">
        <f>C8</f>
        <v/>
      </c>
      <c r="D46" s="7" t="inlineStr">
        <is>
          <t>Benchmark iTraxx Xover 5Y spread duration</t>
        </is>
      </c>
      <c r="E46" s="8" t="n"/>
      <c r="F46" s="8" t="n"/>
      <c r="G46" s="8" t="n"/>
    </row>
    <row r="47">
      <c r="B47" s="5" t="inlineStr">
        <is>
          <t>Scenario Entry Spread Level (bps)</t>
        </is>
      </c>
      <c r="C47" s="26">
        <f>C26</f>
        <v/>
      </c>
      <c r="D47" s="7" t="inlineStr">
        <is>
          <t>Starting Xover spread level (defaults to exit spread C26, overridable)</t>
        </is>
      </c>
      <c r="E47" s="8" t="n"/>
      <c r="F47" s="8" t="n"/>
      <c r="G47" s="8" t="n"/>
    </row>
    <row r="48">
      <c r="B48" s="5" t="inlineStr">
        <is>
          <t>Scenario Base EUR/USD Exchange Rate</t>
        </is>
      </c>
      <c r="C48" s="29">
        <f>C28</f>
        <v/>
      </c>
      <c r="D48" s="7" t="inlineStr">
        <is>
          <t>Starting EUR/USD exchange rate (defaults to exit FX C28, overridable)</t>
        </is>
      </c>
      <c r="E48" s="8" t="n"/>
      <c r="F48" s="8" t="n"/>
      <c r="G48" s="8" t="n"/>
    </row>
    <row r="49">
      <c r="B49" s="5" t="inlineStr">
        <is>
          <t>Scenario Default Time Horizon (Days)</t>
        </is>
      </c>
      <c r="C49" s="32" t="n">
        <v>90</v>
      </c>
      <c r="D49" s="7" t="inlineStr">
        <is>
          <t>Scenario evaluation holding horizon in calendar days</t>
        </is>
      </c>
      <c r="E49" s="8" t="n"/>
      <c r="F49" s="8" t="n"/>
      <c r="G49" s="8" t="n"/>
    </row>
    <row r="50">
      <c r="B50" s="5" t="inlineStr">
        <is>
          <t>Scenario Implied CDS Weight (% of Portfolio)</t>
        </is>
      </c>
      <c r="C50" s="10">
        <f>C45/C46</f>
        <v/>
      </c>
      <c r="D50" s="7">
        <f> Scenario_SD / Benchmark_SD (Portfolio sizing %)</f>
        <v/>
      </c>
      <c r="E50" s="8" t="n"/>
      <c r="F50" s="8" t="n"/>
      <c r="G50" s="8" t="n"/>
    </row>
    <row r="51">
      <c r="B51" s="5" t="inlineStr">
        <is>
          <t>Scenario Portfolio Spread Sensitivity</t>
        </is>
      </c>
      <c r="C51" s="16">
        <f>C45</f>
        <v/>
      </c>
      <c r="D51" s="7">
        <f> Target Spread Duration (Portfolio bps return per 1 bp spread move)</f>
        <v/>
      </c>
      <c r="E51" s="8" t="n"/>
      <c r="F51" s="8" t="n"/>
      <c r="G51" s="8" t="n"/>
    </row>
    <row r="52">
      <c r="B52" s="5" t="inlineStr">
        <is>
          <t>Scenario Optional Reference Portfolio NAV</t>
        </is>
      </c>
      <c r="C52" s="13">
        <f>C13</f>
        <v/>
      </c>
      <c r="D52" s="7" t="inlineStr">
        <is>
          <t>Optional reference NAV for illustrative nominal dollar reporting</t>
        </is>
      </c>
      <c r="E52" s="8" t="n"/>
      <c r="F52" s="8" t="n"/>
      <c r="G52" s="8" t="n"/>
    </row>
    <row r="54" ht="22" customHeight="1">
      <c r="B54" s="3" t="inlineStr">
        <is>
          <t>5. MULTI-SCENARIO ANALYSIS: SENSIBLE REGIMES &amp; DIRECT OVERRIDES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B55" s="7" t="inlineStr">
        <is>
          <t>Simulate joint portfolio return across spread moves, currency shifts, and time horizons. Sized by Target Duration ($C$45) and % Sizing ($C$50). Directly edit Spread Move (Col C), EUR Move (Col E), or Horizon (Col G) in any row.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B56" s="19" t="inlineStr">
        <is>
          <t>Scenario Regime &amp; Thesis</t>
        </is>
      </c>
      <c r="C56" s="20" t="inlineStr">
        <is>
          <t>Spread Move (bps)</t>
        </is>
      </c>
      <c r="D56" s="20" t="inlineStr">
        <is>
          <t>Exit Spread</t>
        </is>
      </c>
      <c r="E56" s="20" t="inlineStr">
        <is>
          <t>EUR Move (%)</t>
        </is>
      </c>
      <c r="F56" s="20" t="inlineStr">
        <is>
          <t>Exit EUR/USD</t>
        </is>
      </c>
      <c r="G56" s="20" t="inlineStr">
        <is>
          <t>Horizon (Days)</t>
        </is>
      </c>
      <c r="H56" s="20" t="inlineStr">
        <is>
          <t>Spread Return (bps)</t>
        </is>
      </c>
      <c r="I56" s="20" t="inlineStr">
        <is>
          <t>Carry Yield (bps)</t>
        </is>
      </c>
      <c r="J56" s="20" t="inlineStr">
        <is>
          <t>FX Trans (bps)</t>
        </is>
      </c>
      <c r="K56" s="20" t="inlineStr">
        <is>
          <t>FX Hedge (bps)</t>
        </is>
      </c>
      <c r="L56" s="20" t="inlineStr">
        <is>
          <t>Total Return (bps)</t>
        </is>
      </c>
      <c r="M56" s="20" t="inlineStr">
        <is>
          <t>Unhedged (bps)</t>
        </is>
      </c>
      <c r="N56" s="20" t="inlineStr">
        <is>
          <t>Illustrative USD ($)</t>
        </is>
      </c>
    </row>
    <row r="57">
      <c r="B57" s="5" t="inlineStr">
        <is>
          <t>Status Quo (Pure Carry Harvest)</t>
        </is>
      </c>
      <c r="C57" s="49" t="n">
        <v>0</v>
      </c>
      <c r="D57" s="24">
        <f>$C$47+C57</f>
        <v/>
      </c>
      <c r="E57" s="50" t="n">
        <v>0</v>
      </c>
      <c r="F57" s="27">
        <f>$C$48*(1+E57)</f>
        <v/>
      </c>
      <c r="G57" s="32" t="n">
        <v>90</v>
      </c>
      <c r="H57" s="51">
        <f>IF($C$7="SELL", -$C$45*C57*(F57/$C$48), $C$45*C57*(F57/$C$48))</f>
        <v/>
      </c>
      <c r="I57" s="51">
        <f>IF($C$7="SELL", $C$50*$C$47*(G57/360)*(F57/$C$48), -$C$50*$C$47*(G57/360)*(F57/$C$48))</f>
        <v/>
      </c>
      <c r="J57" s="52">
        <f>(IF($C$7="SELL", -$C$45*C57+$C$50*$C$47*(G57/360), $C$45*C57-$C$50*$C$47*(G57/360)))*E57</f>
        <v/>
      </c>
      <c r="K57" s="51">
        <f>IF($C$11="SHORT EUR", -$C$10*E57*10000, IF($C$11="LONG EUR", $C$10*E57*10000, 0))</f>
        <v/>
      </c>
      <c r="L57" s="53">
        <f>H57+I57+K57</f>
        <v/>
      </c>
      <c r="M57" s="52">
        <f>H57+I57</f>
        <v/>
      </c>
      <c r="N57" s="54">
        <f>(L57/10000)*$C$52</f>
        <v/>
      </c>
    </row>
    <row r="58">
      <c r="B58" s="5" t="inlineStr">
        <is>
          <t>Soft Landing (Mild Compression)</t>
        </is>
      </c>
      <c r="C58" s="49" t="n">
        <v>-25</v>
      </c>
      <c r="D58" s="24">
        <f>$C$47+C58</f>
        <v/>
      </c>
      <c r="E58" s="50" t="n">
        <v>0.015</v>
      </c>
      <c r="F58" s="27">
        <f>$C$48*(1+E58)</f>
        <v/>
      </c>
      <c r="G58" s="32" t="n">
        <v>90</v>
      </c>
      <c r="H58" s="51">
        <f>IF($C$7="SELL", -$C$45*C58*(F58/$C$48), $C$45*C58*(F58/$C$48))</f>
        <v/>
      </c>
      <c r="I58" s="51">
        <f>IF($C$7="SELL", $C$50*$C$47*(G58/360)*(F58/$C$48), -$C$50*$C$47*(G58/360)*(F58/$C$48))</f>
        <v/>
      </c>
      <c r="J58" s="52">
        <f>(IF($C$7="SELL", -$C$45*C58+$C$50*$C$47*(G58/360), $C$45*C58-$C$50*$C$47*(G58/360)))*E58</f>
        <v/>
      </c>
      <c r="K58" s="51">
        <f>IF($C$11="SHORT EUR", -$C$10*E58*10000, IF($C$11="LONG EUR", $C$10*E58*10000, 0))</f>
        <v/>
      </c>
      <c r="L58" s="53">
        <f>H58+I58+K58</f>
        <v/>
      </c>
      <c r="M58" s="52">
        <f>H58+I58</f>
        <v/>
      </c>
      <c r="N58" s="54">
        <f>(L58/10000)*$C$52</f>
        <v/>
      </c>
    </row>
    <row r="59">
      <c r="B59" s="5" t="inlineStr">
        <is>
          <t>Aggressive Risk-On Rally</t>
        </is>
      </c>
      <c r="C59" s="49" t="n">
        <v>-50</v>
      </c>
      <c r="D59" s="24">
        <f>$C$47+C59</f>
        <v/>
      </c>
      <c r="E59" s="50" t="n">
        <v>0.035</v>
      </c>
      <c r="F59" s="27">
        <f>$C$48*(1+E59)</f>
        <v/>
      </c>
      <c r="G59" s="32" t="n">
        <v>180</v>
      </c>
      <c r="H59" s="51">
        <f>IF($C$7="SELL", -$C$45*C59*(F59/$C$48), $C$45*C59*(F59/$C$48))</f>
        <v/>
      </c>
      <c r="I59" s="51">
        <f>IF($C$7="SELL", $C$50*$C$47*(G59/360)*(F59/$C$48), -$C$50*$C$47*(G59/360)*(F59/$C$48))</f>
        <v/>
      </c>
      <c r="J59" s="52">
        <f>(IF($C$7="SELL", -$C$45*C59+$C$50*$C$47*(G59/360), $C$45*C59-$C$50*$C$47*(G59/360)))*E59</f>
        <v/>
      </c>
      <c r="K59" s="51">
        <f>IF($C$11="SHORT EUR", -$C$10*E59*10000, IF($C$11="LONG EUR", $C$10*E59*10000, 0))</f>
        <v/>
      </c>
      <c r="L59" s="53">
        <f>H59+I59+K59</f>
        <v/>
      </c>
      <c r="M59" s="52">
        <f>H59+I59</f>
        <v/>
      </c>
      <c r="N59" s="54">
        <f>(L59/10000)*$C$52</f>
        <v/>
      </c>
    </row>
    <row r="60">
      <c r="B60" s="5" t="inlineStr">
        <is>
          <t>Mild European Decompression</t>
        </is>
      </c>
      <c r="C60" s="49" t="n">
        <v>35</v>
      </c>
      <c r="D60" s="24">
        <f>$C$47+C60</f>
        <v/>
      </c>
      <c r="E60" s="50" t="n">
        <v>-0.025</v>
      </c>
      <c r="F60" s="27">
        <f>$C$48*(1+E60)</f>
        <v/>
      </c>
      <c r="G60" s="32" t="n">
        <v>90</v>
      </c>
      <c r="H60" s="51">
        <f>IF($C$7="SELL", -$C$45*C60*(F60/$C$48), $C$45*C60*(F60/$C$48))</f>
        <v/>
      </c>
      <c r="I60" s="51">
        <f>IF($C$7="SELL", $C$50*$C$47*(G60/360)*(F60/$C$48), -$C$50*$C$47*(G60/360)*(F60/$C$48))</f>
        <v/>
      </c>
      <c r="J60" s="52">
        <f>(IF($C$7="SELL", -$C$45*C60+$C$50*$C$47*(G60/360), $C$45*C60-$C$50*$C$47*(G60/360)))*E60</f>
        <v/>
      </c>
      <c r="K60" s="51">
        <f>IF($C$11="SHORT EUR", -$C$10*E60*10000, IF($C$11="LONG EUR", $C$10*E60*10000, 0))</f>
        <v/>
      </c>
      <c r="L60" s="53">
        <f>H60+I60+K60</f>
        <v/>
      </c>
      <c r="M60" s="52">
        <f>H60+I60</f>
        <v/>
      </c>
      <c r="N60" s="54">
        <f>(L60/10000)*$C$52</f>
        <v/>
      </c>
    </row>
    <row r="61">
      <c r="B61" s="5" t="inlineStr">
        <is>
          <t>European Stagflation / Widening</t>
        </is>
      </c>
      <c r="C61" s="49" t="n">
        <v>75</v>
      </c>
      <c r="D61" s="24">
        <f>$C$47+C61</f>
        <v/>
      </c>
      <c r="E61" s="50" t="n">
        <v>-0.05</v>
      </c>
      <c r="F61" s="27">
        <f>$C$48*(1+E61)</f>
        <v/>
      </c>
      <c r="G61" s="32" t="n">
        <v>90</v>
      </c>
      <c r="H61" s="51">
        <f>IF($C$7="SELL", -$C$45*C61*(F61/$C$48), $C$45*C61*(F61/$C$48))</f>
        <v/>
      </c>
      <c r="I61" s="51">
        <f>IF($C$7="SELL", $C$50*$C$47*(G61/360)*(F61/$C$48), -$C$50*$C$47*(G61/360)*(F61/$C$48))</f>
        <v/>
      </c>
      <c r="J61" s="52">
        <f>(IF($C$7="SELL", -$C$45*C61+$C$50*$C$47*(G61/360), $C$45*C61-$C$50*$C$47*(G61/360)))*E61</f>
        <v/>
      </c>
      <c r="K61" s="51">
        <f>IF($C$11="SHORT EUR", -$C$10*E61*10000, IF($C$11="LONG EUR", $C$10*E61*10000, 0))</f>
        <v/>
      </c>
      <c r="L61" s="53">
        <f>H61+I61+K61</f>
        <v/>
      </c>
      <c r="M61" s="52">
        <f>H61+I61</f>
        <v/>
      </c>
      <c r="N61" s="54">
        <f>(L61/10000)*$C$52</f>
        <v/>
      </c>
    </row>
    <row r="62">
      <c r="B62" s="5" t="inlineStr">
        <is>
          <t>Severe Crisis / Blowout Shock</t>
        </is>
      </c>
      <c r="C62" s="49" t="n">
        <v>130</v>
      </c>
      <c r="D62" s="24">
        <f>$C$47+C62</f>
        <v/>
      </c>
      <c r="E62" s="50" t="n">
        <v>-0.08</v>
      </c>
      <c r="F62" s="27">
        <f>$C$48*(1+E62)</f>
        <v/>
      </c>
      <c r="G62" s="32" t="n">
        <v>60</v>
      </c>
      <c r="H62" s="51">
        <f>IF($C$7="SELL", -$C$45*C62*(F62/$C$48), $C$45*C62*(F62/$C$48))</f>
        <v/>
      </c>
      <c r="I62" s="51">
        <f>IF($C$7="SELL", $C$50*$C$47*(G62/360)*(F62/$C$48), -$C$50*$C$47*(G62/360)*(F62/$C$48))</f>
        <v/>
      </c>
      <c r="J62" s="52">
        <f>(IF($C$7="SELL", -$C$45*C62+$C$50*$C$47*(G62/360), $C$45*C62-$C$50*$C$47*(G62/360)))*E62</f>
        <v/>
      </c>
      <c r="K62" s="51">
        <f>IF($C$11="SHORT EUR", -$C$10*E62*10000, IF($C$11="LONG EUR", $C$10*E62*10000, 0))</f>
        <v/>
      </c>
      <c r="L62" s="53">
        <f>H62+I62+K62</f>
        <v/>
      </c>
      <c r="M62" s="52">
        <f>H62+I62</f>
        <v/>
      </c>
      <c r="N62" s="54">
        <f>(L62/10000)*$C$52</f>
        <v/>
      </c>
    </row>
    <row r="63">
      <c r="B63" s="5" t="inlineStr">
        <is>
          <t>Isolated FX Shock (Dollar Spike)</t>
        </is>
      </c>
      <c r="C63" s="49" t="n">
        <v>0</v>
      </c>
      <c r="D63" s="24">
        <f>$C$47+C63</f>
        <v/>
      </c>
      <c r="E63" s="50" t="n">
        <v>-0.05</v>
      </c>
      <c r="F63" s="27">
        <f>$C$48*(1+E63)</f>
        <v/>
      </c>
      <c r="G63" s="32" t="n">
        <v>90</v>
      </c>
      <c r="H63" s="51">
        <f>IF($C$7="SELL", -$C$45*C63*(F63/$C$48), $C$45*C63*(F63/$C$48))</f>
        <v/>
      </c>
      <c r="I63" s="51">
        <f>IF($C$7="SELL", $C$50*$C$47*(G63/360)*(F63/$C$48), -$C$50*$C$47*(G63/360)*(F63/$C$48))</f>
        <v/>
      </c>
      <c r="J63" s="52">
        <f>(IF($C$7="SELL", -$C$45*C63+$C$50*$C$47*(G63/360), $C$45*C63-$C$50*$C$47*(G63/360)))*E63</f>
        <v/>
      </c>
      <c r="K63" s="51">
        <f>IF($C$11="SHORT EUR", -$C$10*E63*10000, IF($C$11="LONG EUR", $C$10*E63*10000, 0))</f>
        <v/>
      </c>
      <c r="L63" s="53">
        <f>H63+I63+K63</f>
        <v/>
      </c>
      <c r="M63" s="52">
        <f>H63+I63</f>
        <v/>
      </c>
      <c r="N63" s="54">
        <f>(L63/10000)*$C$52</f>
        <v/>
      </c>
    </row>
    <row r="64">
      <c r="B64" s="5" t="inlineStr">
        <is>
          <t>Custom Scenario A</t>
        </is>
      </c>
      <c r="C64" s="49" t="n">
        <v>-35</v>
      </c>
      <c r="D64" s="24">
        <f>$C$47+C64</f>
        <v/>
      </c>
      <c r="E64" s="50" t="n">
        <v>-0.02</v>
      </c>
      <c r="F64" s="27">
        <f>$C$48*(1+E64)</f>
        <v/>
      </c>
      <c r="G64" s="32" t="n">
        <v>90</v>
      </c>
      <c r="H64" s="51">
        <f>IF($C$7="SELL", -$C$45*C64*(F64/$C$48), $C$45*C64*(F64/$C$48))</f>
        <v/>
      </c>
      <c r="I64" s="51">
        <f>IF($C$7="SELL", $C$50*$C$47*(G64/360)*(F64/$C$48), -$C$50*$C$47*(G64/360)*(F64/$C$48))</f>
        <v/>
      </c>
      <c r="J64" s="52">
        <f>(IF($C$7="SELL", -$C$45*C64+$C$50*$C$47*(G64/360), $C$45*C64-$C$50*$C$47*(G64/360)))*E64</f>
        <v/>
      </c>
      <c r="K64" s="51">
        <f>IF($C$11="SHORT EUR", -$C$10*E64*10000, IF($C$11="LONG EUR", $C$10*E64*10000, 0))</f>
        <v/>
      </c>
      <c r="L64" s="53">
        <f>H64+I64+K64</f>
        <v/>
      </c>
      <c r="M64" s="52">
        <f>H64+I64</f>
        <v/>
      </c>
      <c r="N64" s="54">
        <f>(L64/10000)*$C$52</f>
        <v/>
      </c>
    </row>
    <row r="65">
      <c r="B65" s="5" t="inlineStr">
        <is>
          <t>Custom Scenario B</t>
        </is>
      </c>
      <c r="C65" s="49" t="n">
        <v>50</v>
      </c>
      <c r="D65" s="24">
        <f>$C$47+C65</f>
        <v/>
      </c>
      <c r="E65" s="50" t="n">
        <v>0</v>
      </c>
      <c r="F65" s="27">
        <f>$C$48*(1+E65)</f>
        <v/>
      </c>
      <c r="G65" s="32" t="n">
        <v>120</v>
      </c>
      <c r="H65" s="51">
        <f>IF($C$7="SELL", -$C$45*C65*(F65/$C$48), $C$45*C65*(F65/$C$48))</f>
        <v/>
      </c>
      <c r="I65" s="51">
        <f>IF($C$7="SELL", $C$50*$C$47*(G65/360)*(F65/$C$48), -$C$50*$C$47*(G65/360)*(F65/$C$48))</f>
        <v/>
      </c>
      <c r="J65" s="52">
        <f>(IF($C$7="SELL", -$C$45*C65+$C$50*$C$47*(G65/360), $C$45*C65-$C$50*$C$47*(G65/360)))*E65</f>
        <v/>
      </c>
      <c r="K65" s="51">
        <f>IF($C$11="SHORT EUR", -$C$10*E65*10000, IF($C$11="LONG EUR", $C$10*E65*10000, 0))</f>
        <v/>
      </c>
      <c r="L65" s="53">
        <f>H65+I65+K65</f>
        <v/>
      </c>
      <c r="M65" s="52">
        <f>H65+I65</f>
        <v/>
      </c>
      <c r="N65" s="54">
        <f>(L65/10000)*$C$52</f>
        <v/>
      </c>
    </row>
    <row r="68" ht="22" customHeight="1">
      <c r="B68" s="3" t="inlineStr">
        <is>
          <t>6. 2D SCENARIO SENSITIVITY MATRIX (PORTFOLIO IMPACT IN BPS)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B69" s="7" t="inlineStr">
        <is>
          <t>Rows = Spread Shift (bps) · Columns = EUR/USD Move (%) · Holding Horizon = $C$49 days · Cell Values = Total Return in basis points (bps) sized on $C$45 Target SD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B70" s="55" t="inlineStr">
        <is>
          <t>Spread \ EUR</t>
        </is>
      </c>
      <c r="C70" s="56" t="n">
        <v>-0.1</v>
      </c>
      <c r="D70" s="56" t="n">
        <v>-0.075</v>
      </c>
      <c r="E70" s="56" t="n">
        <v>-0.05</v>
      </c>
      <c r="F70" s="56" t="n">
        <v>-0.025</v>
      </c>
      <c r="G70" s="56" t="n">
        <v>0</v>
      </c>
      <c r="H70" s="56" t="n">
        <v>0.025</v>
      </c>
      <c r="I70" s="56" t="n">
        <v>0.05</v>
      </c>
      <c r="J70" s="56" t="n">
        <v>0.075</v>
      </c>
      <c r="K70" s="56" t="n">
        <v>0.1</v>
      </c>
    </row>
    <row r="71">
      <c r="B71" s="57" t="n">
        <v>-100</v>
      </c>
      <c r="C71" s="58">
        <f>((IF($C$7="SELL", -$C$45*$B71, $C$45*$B71) + IF($C$7="SELL", $C$50*$C$47*($C$49/360), -$C$50*$C$47*($C$49/360))) * (1+C$70) + IF($C$11="SHORT EUR", -$C$10*C$70*10000, IF($C$11="LONG EUR", $C$10*C$70*10000, 0)))</f>
        <v/>
      </c>
      <c r="D71" s="58">
        <f>((IF($C$7="SELL", -$C$45*$B71, $C$45*$B71) + IF($C$7="SELL", $C$50*$C$47*($C$49/360), -$C$50*$C$47*($C$49/360))) * (1+D$70) + IF($C$11="SHORT EUR", -$C$10*D$70*10000, IF($C$11="LONG EUR", $C$10*D$70*10000, 0)))</f>
        <v/>
      </c>
      <c r="E71" s="58">
        <f>((IF($C$7="SELL", -$C$45*$B71, $C$45*$B71) + IF($C$7="SELL", $C$50*$C$47*($C$49/360), -$C$50*$C$47*($C$49/360))) * (1+E$70) + IF($C$11="SHORT EUR", -$C$10*E$70*10000, IF($C$11="LONG EUR", $C$10*E$70*10000, 0)))</f>
        <v/>
      </c>
      <c r="F71" s="58">
        <f>((IF($C$7="SELL", -$C$45*$B71, $C$45*$B71) + IF($C$7="SELL", $C$50*$C$47*($C$49/360), -$C$50*$C$47*($C$49/360))) * (1+F$70) + IF($C$11="SHORT EUR", -$C$10*F$70*10000, IF($C$11="LONG EUR", $C$10*F$70*10000, 0)))</f>
        <v/>
      </c>
      <c r="G71" s="58">
        <f>((IF($C$7="SELL", -$C$45*$B71, $C$45*$B71) + IF($C$7="SELL", $C$50*$C$47*($C$49/360), -$C$50*$C$47*($C$49/360))) * (1+G$70) + IF($C$11="SHORT EUR", -$C$10*G$70*10000, IF($C$11="LONG EUR", $C$10*G$70*10000, 0)))</f>
        <v/>
      </c>
      <c r="H71" s="58">
        <f>((IF($C$7="SELL", -$C$45*$B71, $C$45*$B71) + IF($C$7="SELL", $C$50*$C$47*($C$49/360), -$C$50*$C$47*($C$49/360))) * (1+H$70) + IF($C$11="SHORT EUR", -$C$10*H$70*10000, IF($C$11="LONG EUR", $C$10*H$70*10000, 0)))</f>
        <v/>
      </c>
      <c r="I71" s="58">
        <f>((IF($C$7="SELL", -$C$45*$B71, $C$45*$B71) + IF($C$7="SELL", $C$50*$C$47*($C$49/360), -$C$50*$C$47*($C$49/360))) * (1+I$70) + IF($C$11="SHORT EUR", -$C$10*I$70*10000, IF($C$11="LONG EUR", $C$10*I$70*10000, 0)))</f>
        <v/>
      </c>
      <c r="J71" s="58">
        <f>((IF($C$7="SELL", -$C$45*$B71, $C$45*$B71) + IF($C$7="SELL", $C$50*$C$47*($C$49/360), -$C$50*$C$47*($C$49/360))) * (1+J$70) + IF($C$11="SHORT EUR", -$C$10*J$70*10000, IF($C$11="LONG EUR", $C$10*J$70*10000, 0)))</f>
        <v/>
      </c>
      <c r="K71" s="58">
        <f>((IF($C$7="SELL", -$C$45*$B71, $C$45*$B71) + IF($C$7="SELL", $C$50*$C$47*($C$49/360), -$C$50*$C$47*($C$49/360))) * (1+K$70) + IF($C$11="SHORT EUR", -$C$10*K$70*10000, IF($C$11="LONG EUR", $C$10*K$70*10000, 0)))</f>
        <v/>
      </c>
    </row>
    <row r="72">
      <c r="B72" s="57" t="n">
        <v>-75</v>
      </c>
      <c r="C72" s="58">
        <f>((IF($C$7="SELL", -$C$45*$B72, $C$45*$B72) + IF($C$7="SELL", $C$50*$C$47*($C$49/360), -$C$50*$C$47*($C$49/360))) * (1+C$70) + IF($C$11="SHORT EUR", -$C$10*C$70*10000, IF($C$11="LONG EUR", $C$10*C$70*10000, 0)))</f>
        <v/>
      </c>
      <c r="D72" s="58">
        <f>((IF($C$7="SELL", -$C$45*$B72, $C$45*$B72) + IF($C$7="SELL", $C$50*$C$47*($C$49/360), -$C$50*$C$47*($C$49/360))) * (1+D$70) + IF($C$11="SHORT EUR", -$C$10*D$70*10000, IF($C$11="LONG EUR", $C$10*D$70*10000, 0)))</f>
        <v/>
      </c>
      <c r="E72" s="58">
        <f>((IF($C$7="SELL", -$C$45*$B72, $C$45*$B72) + IF($C$7="SELL", $C$50*$C$47*($C$49/360), -$C$50*$C$47*($C$49/360))) * (1+E$70) + IF($C$11="SHORT EUR", -$C$10*E$70*10000, IF($C$11="LONG EUR", $C$10*E$70*10000, 0)))</f>
        <v/>
      </c>
      <c r="F72" s="58">
        <f>((IF($C$7="SELL", -$C$45*$B72, $C$45*$B72) + IF($C$7="SELL", $C$50*$C$47*($C$49/360), -$C$50*$C$47*($C$49/360))) * (1+F$70) + IF($C$11="SHORT EUR", -$C$10*F$70*10000, IF($C$11="LONG EUR", $C$10*F$70*10000, 0)))</f>
        <v/>
      </c>
      <c r="G72" s="58">
        <f>((IF($C$7="SELL", -$C$45*$B72, $C$45*$B72) + IF($C$7="SELL", $C$50*$C$47*($C$49/360), -$C$50*$C$47*($C$49/360))) * (1+G$70) + IF($C$11="SHORT EUR", -$C$10*G$70*10000, IF($C$11="LONG EUR", $C$10*G$70*10000, 0)))</f>
        <v/>
      </c>
      <c r="H72" s="58">
        <f>((IF($C$7="SELL", -$C$45*$B72, $C$45*$B72) + IF($C$7="SELL", $C$50*$C$47*($C$49/360), -$C$50*$C$47*($C$49/360))) * (1+H$70) + IF($C$11="SHORT EUR", -$C$10*H$70*10000, IF($C$11="LONG EUR", $C$10*H$70*10000, 0)))</f>
        <v/>
      </c>
      <c r="I72" s="58">
        <f>((IF($C$7="SELL", -$C$45*$B72, $C$45*$B72) + IF($C$7="SELL", $C$50*$C$47*($C$49/360), -$C$50*$C$47*($C$49/360))) * (1+I$70) + IF($C$11="SHORT EUR", -$C$10*I$70*10000, IF($C$11="LONG EUR", $C$10*I$70*10000, 0)))</f>
        <v/>
      </c>
      <c r="J72" s="58">
        <f>((IF($C$7="SELL", -$C$45*$B72, $C$45*$B72) + IF($C$7="SELL", $C$50*$C$47*($C$49/360), -$C$50*$C$47*($C$49/360))) * (1+J$70) + IF($C$11="SHORT EUR", -$C$10*J$70*10000, IF($C$11="LONG EUR", $C$10*J$70*10000, 0)))</f>
        <v/>
      </c>
      <c r="K72" s="58">
        <f>((IF($C$7="SELL", -$C$45*$B72, $C$45*$B72) + IF($C$7="SELL", $C$50*$C$47*($C$49/360), -$C$50*$C$47*($C$49/360))) * (1+K$70) + IF($C$11="SHORT EUR", -$C$10*K$70*10000, IF($C$11="LONG EUR", $C$10*K$70*10000, 0)))</f>
        <v/>
      </c>
    </row>
    <row r="73">
      <c r="B73" s="57" t="n">
        <v>-50</v>
      </c>
      <c r="C73" s="58">
        <f>((IF($C$7="SELL", -$C$45*$B73, $C$45*$B73) + IF($C$7="SELL", $C$50*$C$47*($C$49/360), -$C$50*$C$47*($C$49/360))) * (1+C$70) + IF($C$11="SHORT EUR", -$C$10*C$70*10000, IF($C$11="LONG EUR", $C$10*C$70*10000, 0)))</f>
        <v/>
      </c>
      <c r="D73" s="58">
        <f>((IF($C$7="SELL", -$C$45*$B73, $C$45*$B73) + IF($C$7="SELL", $C$50*$C$47*($C$49/360), -$C$50*$C$47*($C$49/360))) * (1+D$70) + IF($C$11="SHORT EUR", -$C$10*D$70*10000, IF($C$11="LONG EUR", $C$10*D$70*10000, 0)))</f>
        <v/>
      </c>
      <c r="E73" s="58">
        <f>((IF($C$7="SELL", -$C$45*$B73, $C$45*$B73) + IF($C$7="SELL", $C$50*$C$47*($C$49/360), -$C$50*$C$47*($C$49/360))) * (1+E$70) + IF($C$11="SHORT EUR", -$C$10*E$70*10000, IF($C$11="LONG EUR", $C$10*E$70*10000, 0)))</f>
        <v/>
      </c>
      <c r="F73" s="58">
        <f>((IF($C$7="SELL", -$C$45*$B73, $C$45*$B73) + IF($C$7="SELL", $C$50*$C$47*($C$49/360), -$C$50*$C$47*($C$49/360))) * (1+F$70) + IF($C$11="SHORT EUR", -$C$10*F$70*10000, IF($C$11="LONG EUR", $C$10*F$70*10000, 0)))</f>
        <v/>
      </c>
      <c r="G73" s="58">
        <f>((IF($C$7="SELL", -$C$45*$B73, $C$45*$B73) + IF($C$7="SELL", $C$50*$C$47*($C$49/360), -$C$50*$C$47*($C$49/360))) * (1+G$70) + IF($C$11="SHORT EUR", -$C$10*G$70*10000, IF($C$11="LONG EUR", $C$10*G$70*10000, 0)))</f>
        <v/>
      </c>
      <c r="H73" s="58">
        <f>((IF($C$7="SELL", -$C$45*$B73, $C$45*$B73) + IF($C$7="SELL", $C$50*$C$47*($C$49/360), -$C$50*$C$47*($C$49/360))) * (1+H$70) + IF($C$11="SHORT EUR", -$C$10*H$70*10000, IF($C$11="LONG EUR", $C$10*H$70*10000, 0)))</f>
        <v/>
      </c>
      <c r="I73" s="58">
        <f>((IF($C$7="SELL", -$C$45*$B73, $C$45*$B73) + IF($C$7="SELL", $C$50*$C$47*($C$49/360), -$C$50*$C$47*($C$49/360))) * (1+I$70) + IF($C$11="SHORT EUR", -$C$10*I$70*10000, IF($C$11="LONG EUR", $C$10*I$70*10000, 0)))</f>
        <v/>
      </c>
      <c r="J73" s="58">
        <f>((IF($C$7="SELL", -$C$45*$B73, $C$45*$B73) + IF($C$7="SELL", $C$50*$C$47*($C$49/360), -$C$50*$C$47*($C$49/360))) * (1+J$70) + IF($C$11="SHORT EUR", -$C$10*J$70*10000, IF($C$11="LONG EUR", $C$10*J$70*10000, 0)))</f>
        <v/>
      </c>
      <c r="K73" s="58">
        <f>((IF($C$7="SELL", -$C$45*$B73, $C$45*$B73) + IF($C$7="SELL", $C$50*$C$47*($C$49/360), -$C$50*$C$47*($C$49/360))) * (1+K$70) + IF($C$11="SHORT EUR", -$C$10*K$70*10000, IF($C$11="LONG EUR", $C$10*K$70*10000, 0)))</f>
        <v/>
      </c>
    </row>
    <row r="74">
      <c r="B74" s="57" t="n">
        <v>-25</v>
      </c>
      <c r="C74" s="58">
        <f>((IF($C$7="SELL", -$C$45*$B74, $C$45*$B74) + IF($C$7="SELL", $C$50*$C$47*($C$49/360), -$C$50*$C$47*($C$49/360))) * (1+C$70) + IF($C$11="SHORT EUR", -$C$10*C$70*10000, IF($C$11="LONG EUR", $C$10*C$70*10000, 0)))</f>
        <v/>
      </c>
      <c r="D74" s="58">
        <f>((IF($C$7="SELL", -$C$45*$B74, $C$45*$B74) + IF($C$7="SELL", $C$50*$C$47*($C$49/360), -$C$50*$C$47*($C$49/360))) * (1+D$70) + IF($C$11="SHORT EUR", -$C$10*D$70*10000, IF($C$11="LONG EUR", $C$10*D$70*10000, 0)))</f>
        <v/>
      </c>
      <c r="E74" s="58">
        <f>((IF($C$7="SELL", -$C$45*$B74, $C$45*$B74) + IF($C$7="SELL", $C$50*$C$47*($C$49/360), -$C$50*$C$47*($C$49/360))) * (1+E$70) + IF($C$11="SHORT EUR", -$C$10*E$70*10000, IF($C$11="LONG EUR", $C$10*E$70*10000, 0)))</f>
        <v/>
      </c>
      <c r="F74" s="58">
        <f>((IF($C$7="SELL", -$C$45*$B74, $C$45*$B74) + IF($C$7="SELL", $C$50*$C$47*($C$49/360), -$C$50*$C$47*($C$49/360))) * (1+F$70) + IF($C$11="SHORT EUR", -$C$10*F$70*10000, IF($C$11="LONG EUR", $C$10*F$70*10000, 0)))</f>
        <v/>
      </c>
      <c r="G74" s="58">
        <f>((IF($C$7="SELL", -$C$45*$B74, $C$45*$B74) + IF($C$7="SELL", $C$50*$C$47*($C$49/360), -$C$50*$C$47*($C$49/360))) * (1+G$70) + IF($C$11="SHORT EUR", -$C$10*G$70*10000, IF($C$11="LONG EUR", $C$10*G$70*10000, 0)))</f>
        <v/>
      </c>
      <c r="H74" s="58">
        <f>((IF($C$7="SELL", -$C$45*$B74, $C$45*$B74) + IF($C$7="SELL", $C$50*$C$47*($C$49/360), -$C$50*$C$47*($C$49/360))) * (1+H$70) + IF($C$11="SHORT EUR", -$C$10*H$70*10000, IF($C$11="LONG EUR", $C$10*H$70*10000, 0)))</f>
        <v/>
      </c>
      <c r="I74" s="58">
        <f>((IF($C$7="SELL", -$C$45*$B74, $C$45*$B74) + IF($C$7="SELL", $C$50*$C$47*($C$49/360), -$C$50*$C$47*($C$49/360))) * (1+I$70) + IF($C$11="SHORT EUR", -$C$10*I$70*10000, IF($C$11="LONG EUR", $C$10*I$70*10000, 0)))</f>
        <v/>
      </c>
      <c r="J74" s="58">
        <f>((IF($C$7="SELL", -$C$45*$B74, $C$45*$B74) + IF($C$7="SELL", $C$50*$C$47*($C$49/360), -$C$50*$C$47*($C$49/360))) * (1+J$70) + IF($C$11="SHORT EUR", -$C$10*J$70*10000, IF($C$11="LONG EUR", $C$10*J$70*10000, 0)))</f>
        <v/>
      </c>
      <c r="K74" s="58">
        <f>((IF($C$7="SELL", -$C$45*$B74, $C$45*$B74) + IF($C$7="SELL", $C$50*$C$47*($C$49/360), -$C$50*$C$47*($C$49/360))) * (1+K$70) + IF($C$11="SHORT EUR", -$C$10*K$70*10000, IF($C$11="LONG EUR", $C$10*K$70*10000, 0)))</f>
        <v/>
      </c>
    </row>
    <row r="75">
      <c r="B75" s="57" t="n">
        <v>0</v>
      </c>
      <c r="C75" s="58">
        <f>((IF($C$7="SELL", -$C$45*$B75, $C$45*$B75) + IF($C$7="SELL", $C$50*$C$47*($C$49/360), -$C$50*$C$47*($C$49/360))) * (1+C$70) + IF($C$11="SHORT EUR", -$C$10*C$70*10000, IF($C$11="LONG EUR", $C$10*C$70*10000, 0)))</f>
        <v/>
      </c>
      <c r="D75" s="58">
        <f>((IF($C$7="SELL", -$C$45*$B75, $C$45*$B75) + IF($C$7="SELL", $C$50*$C$47*($C$49/360), -$C$50*$C$47*($C$49/360))) * (1+D$70) + IF($C$11="SHORT EUR", -$C$10*D$70*10000, IF($C$11="LONG EUR", $C$10*D$70*10000, 0)))</f>
        <v/>
      </c>
      <c r="E75" s="58">
        <f>((IF($C$7="SELL", -$C$45*$B75, $C$45*$B75) + IF($C$7="SELL", $C$50*$C$47*($C$49/360), -$C$50*$C$47*($C$49/360))) * (1+E$70) + IF($C$11="SHORT EUR", -$C$10*E$70*10000, IF($C$11="LONG EUR", $C$10*E$70*10000, 0)))</f>
        <v/>
      </c>
      <c r="F75" s="58">
        <f>((IF($C$7="SELL", -$C$45*$B75, $C$45*$B75) + IF($C$7="SELL", $C$50*$C$47*($C$49/360), -$C$50*$C$47*($C$49/360))) * (1+F$70) + IF($C$11="SHORT EUR", -$C$10*F$70*10000, IF($C$11="LONG EUR", $C$10*F$70*10000, 0)))</f>
        <v/>
      </c>
      <c r="G75" s="58">
        <f>((IF($C$7="SELL", -$C$45*$B75, $C$45*$B75) + IF($C$7="SELL", $C$50*$C$47*($C$49/360), -$C$50*$C$47*($C$49/360))) * (1+G$70) + IF($C$11="SHORT EUR", -$C$10*G$70*10000, IF($C$11="LONG EUR", $C$10*G$70*10000, 0)))</f>
        <v/>
      </c>
      <c r="H75" s="58">
        <f>((IF($C$7="SELL", -$C$45*$B75, $C$45*$B75) + IF($C$7="SELL", $C$50*$C$47*($C$49/360), -$C$50*$C$47*($C$49/360))) * (1+H$70) + IF($C$11="SHORT EUR", -$C$10*H$70*10000, IF($C$11="LONG EUR", $C$10*H$70*10000, 0)))</f>
        <v/>
      </c>
      <c r="I75" s="58">
        <f>((IF($C$7="SELL", -$C$45*$B75, $C$45*$B75) + IF($C$7="SELL", $C$50*$C$47*($C$49/360), -$C$50*$C$47*($C$49/360))) * (1+I$70) + IF($C$11="SHORT EUR", -$C$10*I$70*10000, IF($C$11="LONG EUR", $C$10*I$70*10000, 0)))</f>
        <v/>
      </c>
      <c r="J75" s="58">
        <f>((IF($C$7="SELL", -$C$45*$B75, $C$45*$B75) + IF($C$7="SELL", $C$50*$C$47*($C$49/360), -$C$50*$C$47*($C$49/360))) * (1+J$70) + IF($C$11="SHORT EUR", -$C$10*J$70*10000, IF($C$11="LONG EUR", $C$10*J$70*10000, 0)))</f>
        <v/>
      </c>
      <c r="K75" s="58">
        <f>((IF($C$7="SELL", -$C$45*$B75, $C$45*$B75) + IF($C$7="SELL", $C$50*$C$47*($C$49/360), -$C$50*$C$47*($C$49/360))) * (1+K$70) + IF($C$11="SHORT EUR", -$C$10*K$70*10000, IF($C$11="LONG EUR", $C$10*K$70*10000, 0)))</f>
        <v/>
      </c>
    </row>
    <row r="76">
      <c r="B76" s="57" t="n">
        <v>25</v>
      </c>
      <c r="C76" s="58">
        <f>((IF($C$7="SELL", -$C$45*$B76, $C$45*$B76) + IF($C$7="SELL", $C$50*$C$47*($C$49/360), -$C$50*$C$47*($C$49/360))) * (1+C$70) + IF($C$11="SHORT EUR", -$C$10*C$70*10000, IF($C$11="LONG EUR", $C$10*C$70*10000, 0)))</f>
        <v/>
      </c>
      <c r="D76" s="58">
        <f>((IF($C$7="SELL", -$C$45*$B76, $C$45*$B76) + IF($C$7="SELL", $C$50*$C$47*($C$49/360), -$C$50*$C$47*($C$49/360))) * (1+D$70) + IF($C$11="SHORT EUR", -$C$10*D$70*10000, IF($C$11="LONG EUR", $C$10*D$70*10000, 0)))</f>
        <v/>
      </c>
      <c r="E76" s="58">
        <f>((IF($C$7="SELL", -$C$45*$B76, $C$45*$B76) + IF($C$7="SELL", $C$50*$C$47*($C$49/360), -$C$50*$C$47*($C$49/360))) * (1+E$70) + IF($C$11="SHORT EUR", -$C$10*E$70*10000, IF($C$11="LONG EUR", $C$10*E$70*10000, 0)))</f>
        <v/>
      </c>
      <c r="F76" s="58">
        <f>((IF($C$7="SELL", -$C$45*$B76, $C$45*$B76) + IF($C$7="SELL", $C$50*$C$47*($C$49/360), -$C$50*$C$47*($C$49/360))) * (1+F$70) + IF($C$11="SHORT EUR", -$C$10*F$70*10000, IF($C$11="LONG EUR", $C$10*F$70*10000, 0)))</f>
        <v/>
      </c>
      <c r="G76" s="58">
        <f>((IF($C$7="SELL", -$C$45*$B76, $C$45*$B76) + IF($C$7="SELL", $C$50*$C$47*($C$49/360), -$C$50*$C$47*($C$49/360))) * (1+G$70) + IF($C$11="SHORT EUR", -$C$10*G$70*10000, IF($C$11="LONG EUR", $C$10*G$70*10000, 0)))</f>
        <v/>
      </c>
      <c r="H76" s="58">
        <f>((IF($C$7="SELL", -$C$45*$B76, $C$45*$B76) + IF($C$7="SELL", $C$50*$C$47*($C$49/360), -$C$50*$C$47*($C$49/360))) * (1+H$70) + IF($C$11="SHORT EUR", -$C$10*H$70*10000, IF($C$11="LONG EUR", $C$10*H$70*10000, 0)))</f>
        <v/>
      </c>
      <c r="I76" s="58">
        <f>((IF($C$7="SELL", -$C$45*$B76, $C$45*$B76) + IF($C$7="SELL", $C$50*$C$47*($C$49/360), -$C$50*$C$47*($C$49/360))) * (1+I$70) + IF($C$11="SHORT EUR", -$C$10*I$70*10000, IF($C$11="LONG EUR", $C$10*I$70*10000, 0)))</f>
        <v/>
      </c>
      <c r="J76" s="58">
        <f>((IF($C$7="SELL", -$C$45*$B76, $C$45*$B76) + IF($C$7="SELL", $C$50*$C$47*($C$49/360), -$C$50*$C$47*($C$49/360))) * (1+J$70) + IF($C$11="SHORT EUR", -$C$10*J$70*10000, IF($C$11="LONG EUR", $C$10*J$70*10000, 0)))</f>
        <v/>
      </c>
      <c r="K76" s="58">
        <f>((IF($C$7="SELL", -$C$45*$B76, $C$45*$B76) + IF($C$7="SELL", $C$50*$C$47*($C$49/360), -$C$50*$C$47*($C$49/360))) * (1+K$70) + IF($C$11="SHORT EUR", -$C$10*K$70*10000, IF($C$11="LONG EUR", $C$10*K$70*10000, 0)))</f>
        <v/>
      </c>
    </row>
    <row r="77">
      <c r="B77" s="57" t="n">
        <v>50</v>
      </c>
      <c r="C77" s="58">
        <f>((IF($C$7="SELL", -$C$45*$B77, $C$45*$B77) + IF($C$7="SELL", $C$50*$C$47*($C$49/360), -$C$50*$C$47*($C$49/360))) * (1+C$70) + IF($C$11="SHORT EUR", -$C$10*C$70*10000, IF($C$11="LONG EUR", $C$10*C$70*10000, 0)))</f>
        <v/>
      </c>
      <c r="D77" s="58">
        <f>((IF($C$7="SELL", -$C$45*$B77, $C$45*$B77) + IF($C$7="SELL", $C$50*$C$47*($C$49/360), -$C$50*$C$47*($C$49/360))) * (1+D$70) + IF($C$11="SHORT EUR", -$C$10*D$70*10000, IF($C$11="LONG EUR", $C$10*D$70*10000, 0)))</f>
        <v/>
      </c>
      <c r="E77" s="58">
        <f>((IF($C$7="SELL", -$C$45*$B77, $C$45*$B77) + IF($C$7="SELL", $C$50*$C$47*($C$49/360), -$C$50*$C$47*($C$49/360))) * (1+E$70) + IF($C$11="SHORT EUR", -$C$10*E$70*10000, IF($C$11="LONG EUR", $C$10*E$70*10000, 0)))</f>
        <v/>
      </c>
      <c r="F77" s="58">
        <f>((IF($C$7="SELL", -$C$45*$B77, $C$45*$B77) + IF($C$7="SELL", $C$50*$C$47*($C$49/360), -$C$50*$C$47*($C$49/360))) * (1+F$70) + IF($C$11="SHORT EUR", -$C$10*F$70*10000, IF($C$11="LONG EUR", $C$10*F$70*10000, 0)))</f>
        <v/>
      </c>
      <c r="G77" s="58">
        <f>((IF($C$7="SELL", -$C$45*$B77, $C$45*$B77) + IF($C$7="SELL", $C$50*$C$47*($C$49/360), -$C$50*$C$47*($C$49/360))) * (1+G$70) + IF($C$11="SHORT EUR", -$C$10*G$70*10000, IF($C$11="LONG EUR", $C$10*G$70*10000, 0)))</f>
        <v/>
      </c>
      <c r="H77" s="58">
        <f>((IF($C$7="SELL", -$C$45*$B77, $C$45*$B77) + IF($C$7="SELL", $C$50*$C$47*($C$49/360), -$C$50*$C$47*($C$49/360))) * (1+H$70) + IF($C$11="SHORT EUR", -$C$10*H$70*10000, IF($C$11="LONG EUR", $C$10*H$70*10000, 0)))</f>
        <v/>
      </c>
      <c r="I77" s="58">
        <f>((IF($C$7="SELL", -$C$45*$B77, $C$45*$B77) + IF($C$7="SELL", $C$50*$C$47*($C$49/360), -$C$50*$C$47*($C$49/360))) * (1+I$70) + IF($C$11="SHORT EUR", -$C$10*I$70*10000, IF($C$11="LONG EUR", $C$10*I$70*10000, 0)))</f>
        <v/>
      </c>
      <c r="J77" s="58">
        <f>((IF($C$7="SELL", -$C$45*$B77, $C$45*$B77) + IF($C$7="SELL", $C$50*$C$47*($C$49/360), -$C$50*$C$47*($C$49/360))) * (1+J$70) + IF($C$11="SHORT EUR", -$C$10*J$70*10000, IF($C$11="LONG EUR", $C$10*J$70*10000, 0)))</f>
        <v/>
      </c>
      <c r="K77" s="58">
        <f>((IF($C$7="SELL", -$C$45*$B77, $C$45*$B77) + IF($C$7="SELL", $C$50*$C$47*($C$49/360), -$C$50*$C$47*($C$49/360))) * (1+K$70) + IF($C$11="SHORT EUR", -$C$10*K$70*10000, IF($C$11="LONG EUR", $C$10*K$70*10000, 0)))</f>
        <v/>
      </c>
    </row>
    <row r="78">
      <c r="B78" s="57" t="n">
        <v>75</v>
      </c>
      <c r="C78" s="58">
        <f>((IF($C$7="SELL", -$C$45*$B78, $C$45*$B78) + IF($C$7="SELL", $C$50*$C$47*($C$49/360), -$C$50*$C$47*($C$49/360))) * (1+C$70) + IF($C$11="SHORT EUR", -$C$10*C$70*10000, IF($C$11="LONG EUR", $C$10*C$70*10000, 0)))</f>
        <v/>
      </c>
      <c r="D78" s="58">
        <f>((IF($C$7="SELL", -$C$45*$B78, $C$45*$B78) + IF($C$7="SELL", $C$50*$C$47*($C$49/360), -$C$50*$C$47*($C$49/360))) * (1+D$70) + IF($C$11="SHORT EUR", -$C$10*D$70*10000, IF($C$11="LONG EUR", $C$10*D$70*10000, 0)))</f>
        <v/>
      </c>
      <c r="E78" s="58">
        <f>((IF($C$7="SELL", -$C$45*$B78, $C$45*$B78) + IF($C$7="SELL", $C$50*$C$47*($C$49/360), -$C$50*$C$47*($C$49/360))) * (1+E$70) + IF($C$11="SHORT EUR", -$C$10*E$70*10000, IF($C$11="LONG EUR", $C$10*E$70*10000, 0)))</f>
        <v/>
      </c>
      <c r="F78" s="58">
        <f>((IF($C$7="SELL", -$C$45*$B78, $C$45*$B78) + IF($C$7="SELL", $C$50*$C$47*($C$49/360), -$C$50*$C$47*($C$49/360))) * (1+F$70) + IF($C$11="SHORT EUR", -$C$10*F$70*10000, IF($C$11="LONG EUR", $C$10*F$70*10000, 0)))</f>
        <v/>
      </c>
      <c r="G78" s="58">
        <f>((IF($C$7="SELL", -$C$45*$B78, $C$45*$B78) + IF($C$7="SELL", $C$50*$C$47*($C$49/360), -$C$50*$C$47*($C$49/360))) * (1+G$70) + IF($C$11="SHORT EUR", -$C$10*G$70*10000, IF($C$11="LONG EUR", $C$10*G$70*10000, 0)))</f>
        <v/>
      </c>
      <c r="H78" s="58">
        <f>((IF($C$7="SELL", -$C$45*$B78, $C$45*$B78) + IF($C$7="SELL", $C$50*$C$47*($C$49/360), -$C$50*$C$47*($C$49/360))) * (1+H$70) + IF($C$11="SHORT EUR", -$C$10*H$70*10000, IF($C$11="LONG EUR", $C$10*H$70*10000, 0)))</f>
        <v/>
      </c>
      <c r="I78" s="58">
        <f>((IF($C$7="SELL", -$C$45*$B78, $C$45*$B78) + IF($C$7="SELL", $C$50*$C$47*($C$49/360), -$C$50*$C$47*($C$49/360))) * (1+I$70) + IF($C$11="SHORT EUR", -$C$10*I$70*10000, IF($C$11="LONG EUR", $C$10*I$70*10000, 0)))</f>
        <v/>
      </c>
      <c r="J78" s="58">
        <f>((IF($C$7="SELL", -$C$45*$B78, $C$45*$B78) + IF($C$7="SELL", $C$50*$C$47*($C$49/360), -$C$50*$C$47*($C$49/360))) * (1+J$70) + IF($C$11="SHORT EUR", -$C$10*J$70*10000, IF($C$11="LONG EUR", $C$10*J$70*10000, 0)))</f>
        <v/>
      </c>
      <c r="K78" s="58">
        <f>((IF($C$7="SELL", -$C$45*$B78, $C$45*$B78) + IF($C$7="SELL", $C$50*$C$47*($C$49/360), -$C$50*$C$47*($C$49/360))) * (1+K$70) + IF($C$11="SHORT EUR", -$C$10*K$70*10000, IF($C$11="LONG EUR", $C$10*K$70*10000, 0)))</f>
        <v/>
      </c>
    </row>
    <row r="79">
      <c r="B79" s="57" t="n">
        <v>100</v>
      </c>
      <c r="C79" s="58">
        <f>((IF($C$7="SELL", -$C$45*$B79, $C$45*$B79) + IF($C$7="SELL", $C$50*$C$47*($C$49/360), -$C$50*$C$47*($C$49/360))) * (1+C$70) + IF($C$11="SHORT EUR", -$C$10*C$70*10000, IF($C$11="LONG EUR", $C$10*C$70*10000, 0)))</f>
        <v/>
      </c>
      <c r="D79" s="58">
        <f>((IF($C$7="SELL", -$C$45*$B79, $C$45*$B79) + IF($C$7="SELL", $C$50*$C$47*($C$49/360), -$C$50*$C$47*($C$49/360))) * (1+D$70) + IF($C$11="SHORT EUR", -$C$10*D$70*10000, IF($C$11="LONG EUR", $C$10*D$70*10000, 0)))</f>
        <v/>
      </c>
      <c r="E79" s="58">
        <f>((IF($C$7="SELL", -$C$45*$B79, $C$45*$B79) + IF($C$7="SELL", $C$50*$C$47*($C$49/360), -$C$50*$C$47*($C$49/360))) * (1+E$70) + IF($C$11="SHORT EUR", -$C$10*E$70*10000, IF($C$11="LONG EUR", $C$10*E$70*10000, 0)))</f>
        <v/>
      </c>
      <c r="F79" s="58">
        <f>((IF($C$7="SELL", -$C$45*$B79, $C$45*$B79) + IF($C$7="SELL", $C$50*$C$47*($C$49/360), -$C$50*$C$47*($C$49/360))) * (1+F$70) + IF($C$11="SHORT EUR", -$C$10*F$70*10000, IF($C$11="LONG EUR", $C$10*F$70*10000, 0)))</f>
        <v/>
      </c>
      <c r="G79" s="58">
        <f>((IF($C$7="SELL", -$C$45*$B79, $C$45*$B79) + IF($C$7="SELL", $C$50*$C$47*($C$49/360), -$C$50*$C$47*($C$49/360))) * (1+G$70) + IF($C$11="SHORT EUR", -$C$10*G$70*10000, IF($C$11="LONG EUR", $C$10*G$70*10000, 0)))</f>
        <v/>
      </c>
      <c r="H79" s="58">
        <f>((IF($C$7="SELL", -$C$45*$B79, $C$45*$B79) + IF($C$7="SELL", $C$50*$C$47*($C$49/360), -$C$50*$C$47*($C$49/360))) * (1+H$70) + IF($C$11="SHORT EUR", -$C$10*H$70*10000, IF($C$11="LONG EUR", $C$10*H$70*10000, 0)))</f>
        <v/>
      </c>
      <c r="I79" s="58">
        <f>((IF($C$7="SELL", -$C$45*$B79, $C$45*$B79) + IF($C$7="SELL", $C$50*$C$47*($C$49/360), -$C$50*$C$47*($C$49/360))) * (1+I$70) + IF($C$11="SHORT EUR", -$C$10*I$70*10000, IF($C$11="LONG EUR", $C$10*I$70*10000, 0)))</f>
        <v/>
      </c>
      <c r="J79" s="58">
        <f>((IF($C$7="SELL", -$C$45*$B79, $C$45*$B79) + IF($C$7="SELL", $C$50*$C$47*($C$49/360), -$C$50*$C$47*($C$49/360))) * (1+J$70) + IF($C$11="SHORT EUR", -$C$10*J$70*10000, IF($C$11="LONG EUR", $C$10*J$70*10000, 0)))</f>
        <v/>
      </c>
      <c r="K79" s="58">
        <f>((IF($C$7="SELL", -$C$45*$B79, $C$45*$B79) + IF($C$7="SELL", $C$50*$C$47*($C$49/360), -$C$50*$C$47*($C$49/360))) * (1+K$70) + IF($C$11="SHORT EUR", -$C$10*K$70*10000, IF($C$11="LONG EUR", $C$10*K$70*10000, 0)))</f>
        <v/>
      </c>
    </row>
  </sheetData>
  <mergeCells count="42">
    <mergeCell ref="D18:G18"/>
    <mergeCell ref="D9:G9"/>
    <mergeCell ref="F29:G29"/>
    <mergeCell ref="D12:G12"/>
    <mergeCell ref="B14:G14"/>
    <mergeCell ref="D8:G8"/>
    <mergeCell ref="F25:G25"/>
    <mergeCell ref="B68:K68"/>
    <mergeCell ref="D15:G15"/>
    <mergeCell ref="B55:N55"/>
    <mergeCell ref="B44:G44"/>
    <mergeCell ref="D51:G51"/>
    <mergeCell ref="F24:G24"/>
    <mergeCell ref="F30:G30"/>
    <mergeCell ref="D50:G50"/>
    <mergeCell ref="D20:G20"/>
    <mergeCell ref="D19:G19"/>
    <mergeCell ref="D10:G10"/>
    <mergeCell ref="F26:G26"/>
    <mergeCell ref="B3:N3"/>
    <mergeCell ref="B54:N54"/>
    <mergeCell ref="D46:G46"/>
    <mergeCell ref="D45:G45"/>
    <mergeCell ref="B5:G5"/>
    <mergeCell ref="D6:G6"/>
    <mergeCell ref="F23:G23"/>
    <mergeCell ref="D52:G52"/>
    <mergeCell ref="B32:G32"/>
    <mergeCell ref="F22:G22"/>
    <mergeCell ref="F28:G28"/>
    <mergeCell ref="D11:G11"/>
    <mergeCell ref="D13:G13"/>
    <mergeCell ref="D49:G49"/>
    <mergeCell ref="F27:G27"/>
    <mergeCell ref="B2:N2"/>
    <mergeCell ref="D48:G48"/>
    <mergeCell ref="D17:G17"/>
    <mergeCell ref="D47:G47"/>
    <mergeCell ref="D16:G16"/>
    <mergeCell ref="D7:G7"/>
    <mergeCell ref="B69:K69"/>
    <mergeCell ref="B21:G21"/>
  </mergeCells>
  <conditionalFormatting sqref="C71:K79">
    <cfRule type="colorScale" priority="1">
      <colorScale>
        <cfvo type="num" val="-60"/>
        <cfvo type="num" val="0"/>
        <cfvo type="num" val="60"/>
        <color rgb="00FADBD8"/>
        <color rgb="00FFFFFF"/>
        <color rgb="00D4EFD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22" customWidth="1" min="4" max="4"/>
    <col width="20" customWidth="1" min="5" max="5"/>
    <col width="24" customWidth="1" min="6" max="6"/>
  </cols>
  <sheetData>
    <row r="1" ht="24" customHeight="1">
      <c r="A1" s="59" t="inlineStr">
        <is>
          <t>Date</t>
        </is>
      </c>
      <c r="B1" s="59" t="inlineStr">
        <is>
          <t>iTraxx_Europe_Xover_5Y_bps</t>
        </is>
      </c>
      <c r="C1" s="59" t="inlineStr">
        <is>
          <t>EUR_USD_Exchange_Rate</t>
        </is>
      </c>
      <c r="D1" s="59" t="inlineStr">
        <is>
          <t>CDX_NA_HY_5Y_bps</t>
        </is>
      </c>
      <c r="E1" s="59" t="inlineStr">
        <is>
          <t>CDX_EM_5Y_bps</t>
        </is>
      </c>
      <c r="F1" s="59" t="inlineStr">
        <is>
          <t>Transatlantic_Basis_bps</t>
        </is>
      </c>
    </row>
    <row r="2">
      <c r="A2" s="60" t="n">
        <v>45559</v>
      </c>
      <c r="B2" s="61" t="n">
        <v>320</v>
      </c>
      <c r="C2" s="28" t="n">
        <v>1.1112</v>
      </c>
      <c r="D2" s="61" t="n">
        <v>355</v>
      </c>
      <c r="E2" s="61" t="n">
        <v>208</v>
      </c>
      <c r="F2" s="61" t="n">
        <v>35</v>
      </c>
    </row>
    <row r="3">
      <c r="A3" s="60" t="n">
        <v>45560</v>
      </c>
      <c r="B3" s="61" t="n">
        <v>319.8</v>
      </c>
      <c r="C3" s="28" t="n">
        <v>1.1191</v>
      </c>
      <c r="D3" s="61" t="n">
        <v>354.8</v>
      </c>
      <c r="E3" s="61" t="n">
        <v>207.9</v>
      </c>
      <c r="F3" s="61" t="n">
        <v>35</v>
      </c>
    </row>
    <row r="4">
      <c r="A4" s="60" t="n">
        <v>45561</v>
      </c>
      <c r="B4" s="61" t="n">
        <v>319.7</v>
      </c>
      <c r="C4" s="28" t="n">
        <v>1.1131</v>
      </c>
      <c r="D4" s="61" t="n">
        <v>355.6</v>
      </c>
      <c r="E4" s="61" t="n">
        <v>207</v>
      </c>
      <c r="F4" s="61" t="n">
        <v>35.9</v>
      </c>
    </row>
    <row r="5">
      <c r="A5" s="60" t="n">
        <v>45562</v>
      </c>
      <c r="B5" s="61" t="n">
        <v>319.5</v>
      </c>
      <c r="C5" s="28" t="n">
        <v>1.1177</v>
      </c>
      <c r="D5" s="61" t="n">
        <v>355.9</v>
      </c>
      <c r="E5" s="61" t="n">
        <v>207</v>
      </c>
      <c r="F5" s="61" t="n">
        <v>36.4</v>
      </c>
    </row>
    <row r="6">
      <c r="A6" s="60" t="n">
        <v>45565</v>
      </c>
      <c r="B6" s="61" t="n">
        <v>319.7</v>
      </c>
      <c r="C6" s="28" t="n">
        <v>1.117</v>
      </c>
      <c r="D6" s="61" t="n">
        <v>355.8</v>
      </c>
      <c r="E6" s="61" t="n">
        <v>207.8</v>
      </c>
      <c r="F6" s="61" t="n">
        <v>36.1</v>
      </c>
    </row>
    <row r="7">
      <c r="A7" s="60" t="n">
        <v>45566</v>
      </c>
      <c r="B7" s="61" t="n">
        <v>319.8</v>
      </c>
      <c r="C7" s="28" t="n">
        <v>1.1137</v>
      </c>
      <c r="D7" s="61" t="n">
        <v>356.3</v>
      </c>
      <c r="E7" s="61" t="n">
        <v>207.3</v>
      </c>
      <c r="F7" s="61" t="n">
        <v>36.5</v>
      </c>
    </row>
    <row r="8">
      <c r="A8" s="60" t="n">
        <v>45567</v>
      </c>
      <c r="B8" s="61" t="n">
        <v>319.9</v>
      </c>
      <c r="C8" s="28" t="n">
        <v>1.1064</v>
      </c>
      <c r="D8" s="61" t="n">
        <v>354.9</v>
      </c>
      <c r="E8" s="61" t="n">
        <v>208.1</v>
      </c>
      <c r="F8" s="61" t="n">
        <v>35</v>
      </c>
    </row>
    <row r="9">
      <c r="A9" s="60" t="n">
        <v>45568</v>
      </c>
      <c r="B9" s="61" t="n">
        <v>319.6</v>
      </c>
      <c r="C9" s="28" t="n">
        <v>1.1049</v>
      </c>
      <c r="D9" s="61" t="n">
        <v>354.7</v>
      </c>
      <c r="E9" s="61" t="n">
        <v>208.3</v>
      </c>
      <c r="F9" s="61" t="n">
        <v>35.1</v>
      </c>
    </row>
    <row r="10">
      <c r="A10" s="60" t="n">
        <v>45569</v>
      </c>
      <c r="B10" s="61" t="n">
        <v>319.1</v>
      </c>
      <c r="C10" s="28" t="n">
        <v>1.1036</v>
      </c>
      <c r="D10" s="61" t="n">
        <v>352.9</v>
      </c>
      <c r="E10" s="61" t="n">
        <v>208.4</v>
      </c>
      <c r="F10" s="61" t="n">
        <v>33.8</v>
      </c>
    </row>
    <row r="11">
      <c r="A11" s="60" t="n">
        <v>45572</v>
      </c>
      <c r="B11" s="61" t="n">
        <v>318.7</v>
      </c>
      <c r="C11" s="28" t="n">
        <v>1.0975</v>
      </c>
      <c r="D11" s="61" t="n">
        <v>353.7</v>
      </c>
      <c r="E11" s="61" t="n">
        <v>208.3</v>
      </c>
      <c r="F11" s="61" t="n">
        <v>35</v>
      </c>
    </row>
    <row r="12">
      <c r="A12" s="60" t="n">
        <v>45573</v>
      </c>
      <c r="B12" s="61" t="n">
        <v>319.3</v>
      </c>
      <c r="C12" s="28" t="n">
        <v>1.0976</v>
      </c>
      <c r="D12" s="61" t="n">
        <v>353.6</v>
      </c>
      <c r="E12" s="61" t="n">
        <v>207.3</v>
      </c>
      <c r="F12" s="61" t="n">
        <v>34.3</v>
      </c>
    </row>
    <row r="13">
      <c r="A13" s="60" t="n">
        <v>45574</v>
      </c>
      <c r="B13" s="61" t="n">
        <v>317.5</v>
      </c>
      <c r="C13" s="28" t="n">
        <v>1.0976</v>
      </c>
      <c r="D13" s="61" t="n">
        <v>353.8</v>
      </c>
      <c r="E13" s="61" t="n">
        <v>205.5</v>
      </c>
      <c r="F13" s="61" t="n">
        <v>36.3</v>
      </c>
    </row>
    <row r="14">
      <c r="A14" s="60" t="n">
        <v>45575</v>
      </c>
      <c r="B14" s="61" t="n">
        <v>316.4</v>
      </c>
      <c r="C14" s="28" t="n">
        <v>1.0943</v>
      </c>
      <c r="D14" s="61" t="n">
        <v>352.6</v>
      </c>
      <c r="E14" s="61" t="n">
        <v>205.9</v>
      </c>
      <c r="F14" s="61" t="n">
        <v>36.2</v>
      </c>
    </row>
    <row r="15">
      <c r="A15" s="60" t="n">
        <v>45576</v>
      </c>
      <c r="B15" s="61" t="n">
        <v>315.1</v>
      </c>
      <c r="C15" s="28" t="n">
        <v>1.0934</v>
      </c>
      <c r="D15" s="61" t="n">
        <v>352.9</v>
      </c>
      <c r="E15" s="61" t="n">
        <v>206.2</v>
      </c>
      <c r="F15" s="61" t="n">
        <v>37.8</v>
      </c>
    </row>
    <row r="16">
      <c r="A16" s="60" t="n">
        <v>45579</v>
      </c>
      <c r="B16" s="61" t="n">
        <v>314.9</v>
      </c>
      <c r="C16" s="28" t="n">
        <v>1.0925</v>
      </c>
      <c r="D16" s="61" t="n">
        <v>351.1</v>
      </c>
      <c r="E16" s="61" t="n">
        <v>205.7</v>
      </c>
      <c r="F16" s="61" t="n">
        <v>36.2</v>
      </c>
    </row>
    <row r="17">
      <c r="A17" s="60" t="n">
        <v>45580</v>
      </c>
      <c r="B17" s="61" t="n">
        <v>315.6</v>
      </c>
      <c r="C17" s="28" t="n">
        <v>1.0909</v>
      </c>
      <c r="D17" s="61" t="n">
        <v>350.7</v>
      </c>
      <c r="E17" s="61" t="n">
        <v>205.8</v>
      </c>
      <c r="F17" s="61" t="n">
        <v>35.1</v>
      </c>
    </row>
    <row r="18">
      <c r="A18" s="60" t="n">
        <v>45581</v>
      </c>
      <c r="B18" s="61" t="n">
        <v>316</v>
      </c>
      <c r="C18" s="28" t="n">
        <v>1.0884</v>
      </c>
      <c r="D18" s="61" t="n">
        <v>350.5</v>
      </c>
      <c r="E18" s="61" t="n">
        <v>205.7</v>
      </c>
      <c r="F18" s="61" t="n">
        <v>34.5</v>
      </c>
    </row>
    <row r="19">
      <c r="A19" s="60" t="n">
        <v>45582</v>
      </c>
      <c r="B19" s="61" t="n">
        <v>314.9</v>
      </c>
      <c r="C19" s="28" t="n">
        <v>1.0862</v>
      </c>
      <c r="D19" s="61" t="n">
        <v>349.2</v>
      </c>
      <c r="E19" s="61" t="n">
        <v>205</v>
      </c>
      <c r="F19" s="61" t="n">
        <v>34.3</v>
      </c>
    </row>
    <row r="20">
      <c r="A20" s="60" t="n">
        <v>45583</v>
      </c>
      <c r="B20" s="61" t="n">
        <v>314.4</v>
      </c>
      <c r="C20" s="28" t="n">
        <v>1.083</v>
      </c>
      <c r="D20" s="61" t="n">
        <v>349.2</v>
      </c>
      <c r="E20" s="61" t="n">
        <v>206</v>
      </c>
      <c r="F20" s="61" t="n">
        <v>34.8</v>
      </c>
    </row>
    <row r="21">
      <c r="A21" s="60" t="n">
        <v>45586</v>
      </c>
      <c r="B21" s="61" t="n">
        <v>312.9</v>
      </c>
      <c r="C21" s="28" t="n">
        <v>1.0869</v>
      </c>
      <c r="D21" s="61" t="n">
        <v>347.5</v>
      </c>
      <c r="E21" s="61" t="n">
        <v>205.8</v>
      </c>
      <c r="F21" s="61" t="n">
        <v>34.6</v>
      </c>
    </row>
    <row r="22">
      <c r="A22" s="60" t="n">
        <v>45587</v>
      </c>
      <c r="B22" s="61" t="n">
        <v>313.2</v>
      </c>
      <c r="C22" s="28" t="n">
        <v>1.0818</v>
      </c>
      <c r="D22" s="61" t="n">
        <v>348.4</v>
      </c>
      <c r="E22" s="61" t="n">
        <v>205.7</v>
      </c>
      <c r="F22" s="61" t="n">
        <v>35.2</v>
      </c>
    </row>
    <row r="23">
      <c r="A23" s="60" t="n">
        <v>45588</v>
      </c>
      <c r="B23" s="61" t="n">
        <v>312.8</v>
      </c>
      <c r="C23" s="28" t="n">
        <v>1.0797</v>
      </c>
      <c r="D23" s="61" t="n">
        <v>349.2</v>
      </c>
      <c r="E23" s="61" t="n">
        <v>204.2</v>
      </c>
      <c r="F23" s="61" t="n">
        <v>36.4</v>
      </c>
    </row>
    <row r="24">
      <c r="A24" s="60" t="n">
        <v>45589</v>
      </c>
      <c r="B24" s="61" t="n">
        <v>313.4</v>
      </c>
      <c r="C24" s="28" t="n">
        <v>1.0781</v>
      </c>
      <c r="D24" s="61" t="n">
        <v>347.7</v>
      </c>
      <c r="E24" s="61" t="n">
        <v>202.8</v>
      </c>
      <c r="F24" s="61" t="n">
        <v>34.3</v>
      </c>
    </row>
    <row r="25">
      <c r="A25" s="60" t="n">
        <v>45590</v>
      </c>
      <c r="B25" s="61" t="n">
        <v>313.2</v>
      </c>
      <c r="C25" s="28" t="n">
        <v>1.0824</v>
      </c>
      <c r="D25" s="61" t="n">
        <v>346.9</v>
      </c>
      <c r="E25" s="61" t="n">
        <v>202.2</v>
      </c>
      <c r="F25" s="61" t="n">
        <v>33.7</v>
      </c>
    </row>
    <row r="26">
      <c r="A26" s="60" t="n">
        <v>45593</v>
      </c>
      <c r="B26" s="61" t="n">
        <v>313.3</v>
      </c>
      <c r="C26" s="28" t="n">
        <v>1.0797</v>
      </c>
      <c r="D26" s="61" t="n">
        <v>346.8</v>
      </c>
      <c r="E26" s="61" t="n">
        <v>203.2</v>
      </c>
      <c r="F26" s="61" t="n">
        <v>33.5</v>
      </c>
    </row>
    <row r="27">
      <c r="A27" s="60" t="n">
        <v>45594</v>
      </c>
      <c r="B27" s="61" t="n">
        <v>312.2</v>
      </c>
      <c r="C27" s="28" t="n">
        <v>1.0817</v>
      </c>
      <c r="D27" s="61" t="n">
        <v>346.6</v>
      </c>
      <c r="E27" s="61" t="n">
        <v>202.3</v>
      </c>
      <c r="F27" s="61" t="n">
        <v>34.4</v>
      </c>
    </row>
    <row r="28">
      <c r="A28" s="60" t="n">
        <v>45595</v>
      </c>
      <c r="B28" s="61" t="n">
        <v>312.7</v>
      </c>
      <c r="C28" s="28" t="n">
        <v>1.0821</v>
      </c>
      <c r="D28" s="61" t="n">
        <v>344.8</v>
      </c>
      <c r="E28" s="61" t="n">
        <v>201.5</v>
      </c>
      <c r="F28" s="61" t="n">
        <v>32.1</v>
      </c>
    </row>
    <row r="29">
      <c r="A29" s="60" t="n">
        <v>45596</v>
      </c>
      <c r="B29" s="61" t="n">
        <v>312.9</v>
      </c>
      <c r="C29" s="28" t="n">
        <v>1.0859</v>
      </c>
      <c r="D29" s="61" t="n">
        <v>344</v>
      </c>
      <c r="E29" s="61" t="n">
        <v>200.7</v>
      </c>
      <c r="F29" s="61" t="n">
        <v>31.1</v>
      </c>
    </row>
    <row r="30">
      <c r="A30" s="60" t="n">
        <v>45597</v>
      </c>
      <c r="B30" s="61" t="n">
        <v>310.5</v>
      </c>
      <c r="C30" s="28" t="n">
        <v>1.0886</v>
      </c>
      <c r="D30" s="61" t="n">
        <v>343</v>
      </c>
      <c r="E30" s="61" t="n">
        <v>199.8</v>
      </c>
      <c r="F30" s="61" t="n">
        <v>32.5</v>
      </c>
    </row>
    <row r="31">
      <c r="A31" s="60" t="n">
        <v>45600</v>
      </c>
      <c r="B31" s="61" t="n">
        <v>310.6</v>
      </c>
      <c r="C31" s="28" t="n">
        <v>1.0875</v>
      </c>
      <c r="D31" s="61" t="n">
        <v>341.8</v>
      </c>
      <c r="E31" s="61" t="n">
        <v>200.3</v>
      </c>
      <c r="F31" s="61" t="n">
        <v>31.2</v>
      </c>
    </row>
    <row r="32">
      <c r="A32" s="60" t="n">
        <v>45601</v>
      </c>
      <c r="B32" s="61" t="n">
        <v>308</v>
      </c>
      <c r="C32" s="28" t="n">
        <v>1.0874</v>
      </c>
      <c r="D32" s="61" t="n">
        <v>338</v>
      </c>
      <c r="E32" s="61" t="n">
        <v>198</v>
      </c>
      <c r="F32" s="61" t="n">
        <v>30</v>
      </c>
    </row>
    <row r="33">
      <c r="A33" s="60" t="n">
        <v>45602</v>
      </c>
      <c r="B33" s="61" t="n">
        <v>308.3</v>
      </c>
      <c r="C33" s="28" t="n">
        <v>1.0934</v>
      </c>
      <c r="D33" s="61" t="n">
        <v>338</v>
      </c>
      <c r="E33" s="61" t="n">
        <v>198.1</v>
      </c>
      <c r="F33" s="61" t="n">
        <v>29.7</v>
      </c>
    </row>
    <row r="34">
      <c r="A34" s="60" t="n">
        <v>45603</v>
      </c>
      <c r="B34" s="61" t="n">
        <v>309.2</v>
      </c>
      <c r="C34" s="28" t="n">
        <v>1.0733</v>
      </c>
      <c r="D34" s="61" t="n">
        <v>339.2</v>
      </c>
      <c r="E34" s="61" t="n">
        <v>198.3</v>
      </c>
      <c r="F34" s="61" t="n">
        <v>30</v>
      </c>
    </row>
    <row r="35">
      <c r="A35" s="60" t="n">
        <v>45604</v>
      </c>
      <c r="B35" s="61" t="n">
        <v>310</v>
      </c>
      <c r="C35" s="28" t="n">
        <v>1.0795</v>
      </c>
      <c r="D35" s="61" t="n">
        <v>337.9</v>
      </c>
      <c r="E35" s="61" t="n">
        <v>198.5</v>
      </c>
      <c r="F35" s="61" t="n">
        <v>27.9</v>
      </c>
    </row>
    <row r="36">
      <c r="A36" s="60" t="n">
        <v>45607</v>
      </c>
      <c r="B36" s="61" t="n">
        <v>309.7</v>
      </c>
      <c r="C36" s="28" t="n">
        <v>1.0715</v>
      </c>
      <c r="D36" s="61" t="n">
        <v>339.3</v>
      </c>
      <c r="E36" s="61" t="n">
        <v>199.6</v>
      </c>
      <c r="F36" s="61" t="n">
        <v>29.6</v>
      </c>
    </row>
    <row r="37">
      <c r="A37" s="60" t="n">
        <v>45608</v>
      </c>
      <c r="B37" s="61" t="n">
        <v>311.1</v>
      </c>
      <c r="C37" s="28" t="n">
        <v>1.0664</v>
      </c>
      <c r="D37" s="61" t="n">
        <v>338.8</v>
      </c>
      <c r="E37" s="61" t="n">
        <v>199.5</v>
      </c>
      <c r="F37" s="61" t="n">
        <v>27.7</v>
      </c>
    </row>
    <row r="38">
      <c r="A38" s="60" t="n">
        <v>45609</v>
      </c>
      <c r="B38" s="61" t="n">
        <v>309.6</v>
      </c>
      <c r="C38" s="28" t="n">
        <v>1.0617</v>
      </c>
      <c r="D38" s="61" t="n">
        <v>338.2</v>
      </c>
      <c r="E38" s="61" t="n">
        <v>199.3</v>
      </c>
      <c r="F38" s="61" t="n">
        <v>28.6</v>
      </c>
    </row>
    <row r="39">
      <c r="A39" s="60" t="n">
        <v>45610</v>
      </c>
      <c r="B39" s="61" t="n">
        <v>310.3</v>
      </c>
      <c r="C39" s="28" t="n">
        <v>1.0564</v>
      </c>
      <c r="D39" s="61" t="n">
        <v>339.8</v>
      </c>
      <c r="E39" s="61" t="n">
        <v>199.6</v>
      </c>
      <c r="F39" s="61" t="n">
        <v>29.5</v>
      </c>
    </row>
    <row r="40">
      <c r="A40" s="60" t="n">
        <v>45611</v>
      </c>
      <c r="B40" s="61" t="n">
        <v>310.8</v>
      </c>
      <c r="C40" s="28" t="n">
        <v>1.053</v>
      </c>
      <c r="D40" s="61" t="n">
        <v>337</v>
      </c>
      <c r="E40" s="61" t="n">
        <v>199.8</v>
      </c>
      <c r="F40" s="61" t="n">
        <v>26.2</v>
      </c>
    </row>
    <row r="41">
      <c r="A41" s="60" t="n">
        <v>45614</v>
      </c>
      <c r="B41" s="61" t="n">
        <v>309.9</v>
      </c>
      <c r="C41" s="28" t="n">
        <v>1.0534</v>
      </c>
      <c r="D41" s="61" t="n">
        <v>336.6</v>
      </c>
      <c r="E41" s="61" t="n">
        <v>199.6</v>
      </c>
      <c r="F41" s="61" t="n">
        <v>26.7</v>
      </c>
    </row>
    <row r="42">
      <c r="A42" s="60" t="n">
        <v>45615</v>
      </c>
      <c r="B42" s="61" t="n">
        <v>308.7</v>
      </c>
      <c r="C42" s="28" t="n">
        <v>1.0595</v>
      </c>
      <c r="D42" s="61" t="n">
        <v>338.7</v>
      </c>
      <c r="E42" s="61" t="n">
        <v>199.2</v>
      </c>
      <c r="F42" s="61" t="n">
        <v>30</v>
      </c>
    </row>
    <row r="43">
      <c r="A43" s="60" t="n">
        <v>45616</v>
      </c>
      <c r="B43" s="61" t="n">
        <v>308.2</v>
      </c>
      <c r="C43" s="28" t="n">
        <v>1.0608</v>
      </c>
      <c r="D43" s="61" t="n">
        <v>340.2</v>
      </c>
      <c r="E43" s="61" t="n">
        <v>198.9</v>
      </c>
      <c r="F43" s="61" t="n">
        <v>32</v>
      </c>
    </row>
    <row r="44">
      <c r="A44" s="60" t="n">
        <v>45617</v>
      </c>
      <c r="B44" s="61" t="n">
        <v>307</v>
      </c>
      <c r="C44" s="28" t="n">
        <v>1.0546</v>
      </c>
      <c r="D44" s="61" t="n">
        <v>340.1</v>
      </c>
      <c r="E44" s="61" t="n">
        <v>199</v>
      </c>
      <c r="F44" s="61" t="n">
        <v>33.1</v>
      </c>
    </row>
    <row r="45">
      <c r="A45" s="60" t="n">
        <v>45618</v>
      </c>
      <c r="B45" s="61" t="n">
        <v>308.1</v>
      </c>
      <c r="C45" s="28" t="n">
        <v>1.0469</v>
      </c>
      <c r="D45" s="61" t="n">
        <v>338.6</v>
      </c>
      <c r="E45" s="61" t="n">
        <v>199</v>
      </c>
      <c r="F45" s="61" t="n">
        <v>30.5</v>
      </c>
    </row>
    <row r="46">
      <c r="A46" s="60" t="n">
        <v>45621</v>
      </c>
      <c r="B46" s="61" t="n">
        <v>308.5</v>
      </c>
      <c r="C46" s="28" t="n">
        <v>1.048</v>
      </c>
      <c r="D46" s="61" t="n">
        <v>341.2</v>
      </c>
      <c r="E46" s="61" t="n">
        <v>199.8</v>
      </c>
      <c r="F46" s="61" t="n">
        <v>32.7</v>
      </c>
    </row>
    <row r="47">
      <c r="A47" s="60" t="n">
        <v>45622</v>
      </c>
      <c r="B47" s="61" t="n">
        <v>308.5</v>
      </c>
      <c r="C47" s="28" t="n">
        <v>1.0444</v>
      </c>
      <c r="D47" s="61" t="n">
        <v>339.5</v>
      </c>
      <c r="E47" s="61" t="n">
        <v>199.9</v>
      </c>
      <c r="F47" s="61" t="n">
        <v>31</v>
      </c>
    </row>
    <row r="48">
      <c r="A48" s="60" t="n">
        <v>45623</v>
      </c>
      <c r="B48" s="61" t="n">
        <v>306.9</v>
      </c>
      <c r="C48" s="28" t="n">
        <v>1.0491</v>
      </c>
      <c r="D48" s="61" t="n">
        <v>341.4</v>
      </c>
      <c r="E48" s="61" t="n">
        <v>200.4</v>
      </c>
      <c r="F48" s="61" t="n">
        <v>34.5</v>
      </c>
    </row>
    <row r="49">
      <c r="A49" s="60" t="n">
        <v>45624</v>
      </c>
      <c r="B49" s="61" t="n">
        <v>308.7</v>
      </c>
      <c r="C49" s="28" t="n">
        <v>1.0562</v>
      </c>
      <c r="D49" s="61" t="n">
        <v>341.8</v>
      </c>
      <c r="E49" s="61" t="n">
        <v>200.7</v>
      </c>
      <c r="F49" s="61" t="n">
        <v>33.1</v>
      </c>
    </row>
    <row r="50">
      <c r="A50" s="60" t="n">
        <v>45625</v>
      </c>
      <c r="B50" s="61" t="n">
        <v>308.3</v>
      </c>
      <c r="C50" s="28" t="n">
        <v>1.0563</v>
      </c>
      <c r="D50" s="61" t="n">
        <v>341.6</v>
      </c>
      <c r="E50" s="61" t="n">
        <v>199.8</v>
      </c>
      <c r="F50" s="61" t="n">
        <v>33.3</v>
      </c>
    </row>
    <row r="51">
      <c r="A51" s="60" t="n">
        <v>45628</v>
      </c>
      <c r="B51" s="61" t="n">
        <v>308.3</v>
      </c>
      <c r="C51" s="28" t="n">
        <v>1.0545</v>
      </c>
      <c r="D51" s="61" t="n">
        <v>341.6</v>
      </c>
      <c r="E51" s="61" t="n">
        <v>201</v>
      </c>
      <c r="F51" s="61" t="n">
        <v>33.3</v>
      </c>
    </row>
    <row r="52">
      <c r="A52" s="60" t="n">
        <v>45629</v>
      </c>
      <c r="B52" s="61" t="n">
        <v>308.8</v>
      </c>
      <c r="C52" s="28" t="n">
        <v>1.0501</v>
      </c>
      <c r="D52" s="61" t="n">
        <v>340.7</v>
      </c>
      <c r="E52" s="61" t="n">
        <v>199.9</v>
      </c>
      <c r="F52" s="61" t="n">
        <v>31.9</v>
      </c>
    </row>
    <row r="53">
      <c r="A53" s="60" t="n">
        <v>45630</v>
      </c>
      <c r="B53" s="61" t="n">
        <v>309.2</v>
      </c>
      <c r="C53" s="28" t="n">
        <v>1.0511</v>
      </c>
      <c r="D53" s="61" t="n">
        <v>340.2</v>
      </c>
      <c r="E53" s="61" t="n">
        <v>200.4</v>
      </c>
      <c r="F53" s="61" t="n">
        <v>31</v>
      </c>
    </row>
    <row r="54">
      <c r="A54" s="60" t="n">
        <v>45631</v>
      </c>
      <c r="B54" s="61" t="n">
        <v>309.3</v>
      </c>
      <c r="C54" s="28" t="n">
        <v>1.0514</v>
      </c>
      <c r="D54" s="61" t="n">
        <v>341.8</v>
      </c>
      <c r="E54" s="61" t="n">
        <v>199.7</v>
      </c>
      <c r="F54" s="61" t="n">
        <v>32.5</v>
      </c>
    </row>
    <row r="55">
      <c r="A55" s="60" t="n">
        <v>45632</v>
      </c>
      <c r="B55" s="61" t="n">
        <v>309.9</v>
      </c>
      <c r="C55" s="28" t="n">
        <v>1.0586</v>
      </c>
      <c r="D55" s="61" t="n">
        <v>342.1</v>
      </c>
      <c r="E55" s="61" t="n">
        <v>200.1</v>
      </c>
      <c r="F55" s="61" t="n">
        <v>32.2</v>
      </c>
    </row>
    <row r="56">
      <c r="A56" s="60" t="n">
        <v>45635</v>
      </c>
      <c r="B56" s="61" t="n">
        <v>311.1</v>
      </c>
      <c r="C56" s="28" t="n">
        <v>1.0565</v>
      </c>
      <c r="D56" s="61" t="n">
        <v>341.2</v>
      </c>
      <c r="E56" s="61" t="n">
        <v>200.2</v>
      </c>
      <c r="F56" s="61" t="n">
        <v>30.1</v>
      </c>
    </row>
    <row r="57">
      <c r="A57" s="60" t="n">
        <v>45636</v>
      </c>
      <c r="B57" s="61" t="n">
        <v>312.3</v>
      </c>
      <c r="C57" s="28" t="n">
        <v>1.0555</v>
      </c>
      <c r="D57" s="61" t="n">
        <v>341.9</v>
      </c>
      <c r="E57" s="61" t="n">
        <v>200.6</v>
      </c>
      <c r="F57" s="61" t="n">
        <v>29.6</v>
      </c>
    </row>
    <row r="58">
      <c r="A58" s="60" t="n">
        <v>45637</v>
      </c>
      <c r="B58" s="61" t="n">
        <v>314.3</v>
      </c>
      <c r="C58" s="28" t="n">
        <v>1.0533</v>
      </c>
      <c r="D58" s="61" t="n">
        <v>342.1</v>
      </c>
      <c r="E58" s="61" t="n">
        <v>200.8</v>
      </c>
      <c r="F58" s="61" t="n">
        <v>27.8</v>
      </c>
    </row>
    <row r="59">
      <c r="A59" s="60" t="n">
        <v>45638</v>
      </c>
      <c r="B59" s="61" t="n">
        <v>314</v>
      </c>
      <c r="C59" s="28" t="n">
        <v>1.0507</v>
      </c>
      <c r="D59" s="61" t="n">
        <v>341.6</v>
      </c>
      <c r="E59" s="61" t="n">
        <v>201.7</v>
      </c>
      <c r="F59" s="61" t="n">
        <v>27.6</v>
      </c>
    </row>
    <row r="60">
      <c r="A60" s="60" t="n">
        <v>45639</v>
      </c>
      <c r="B60" s="61" t="n">
        <v>314.2</v>
      </c>
      <c r="C60" s="28" t="n">
        <v>1.0474</v>
      </c>
      <c r="D60" s="61" t="n">
        <v>341.7</v>
      </c>
      <c r="E60" s="61" t="n">
        <v>202.3</v>
      </c>
      <c r="F60" s="61" t="n">
        <v>27.5</v>
      </c>
    </row>
    <row r="61">
      <c r="A61" s="60" t="n">
        <v>45642</v>
      </c>
      <c r="B61" s="61" t="n">
        <v>312.1</v>
      </c>
      <c r="C61" s="28" t="n">
        <v>1.051</v>
      </c>
      <c r="D61" s="61" t="n">
        <v>341.1</v>
      </c>
      <c r="E61" s="61" t="n">
        <v>202.4</v>
      </c>
      <c r="F61" s="61" t="n">
        <v>29</v>
      </c>
    </row>
    <row r="62">
      <c r="A62" s="60" t="n">
        <v>45643</v>
      </c>
      <c r="B62" s="61" t="n">
        <v>311.4</v>
      </c>
      <c r="C62" s="28" t="n">
        <v>1.0517</v>
      </c>
      <c r="D62" s="61" t="n">
        <v>341.4</v>
      </c>
      <c r="E62" s="61" t="n">
        <v>202.8</v>
      </c>
      <c r="F62" s="61" t="n">
        <v>30</v>
      </c>
    </row>
    <row r="63">
      <c r="A63" s="60" t="n">
        <v>45644</v>
      </c>
      <c r="B63" s="61" t="n">
        <v>310.4</v>
      </c>
      <c r="C63" s="28" t="n">
        <v>1.0495</v>
      </c>
      <c r="D63" s="61" t="n">
        <v>342.1</v>
      </c>
      <c r="E63" s="61" t="n">
        <v>203</v>
      </c>
      <c r="F63" s="61" t="n">
        <v>31.7</v>
      </c>
    </row>
    <row r="64">
      <c r="A64" s="60" t="n">
        <v>45645</v>
      </c>
      <c r="B64" s="61" t="n">
        <v>309.1</v>
      </c>
      <c r="C64" s="28" t="n">
        <v>1.035</v>
      </c>
      <c r="D64" s="61" t="n">
        <v>341.8</v>
      </c>
      <c r="E64" s="61" t="n">
        <v>203.1</v>
      </c>
      <c r="F64" s="61" t="n">
        <v>32.7</v>
      </c>
    </row>
    <row r="65">
      <c r="A65" s="60" t="n">
        <v>45646</v>
      </c>
      <c r="B65" s="61" t="n">
        <v>308.7</v>
      </c>
      <c r="C65" s="28" t="n">
        <v>1.0365</v>
      </c>
      <c r="D65" s="61" t="n">
        <v>341.7</v>
      </c>
      <c r="E65" s="61" t="n">
        <v>203.2</v>
      </c>
      <c r="F65" s="61" t="n">
        <v>33</v>
      </c>
    </row>
    <row r="66">
      <c r="A66" s="60" t="n">
        <v>45649</v>
      </c>
      <c r="B66" s="61" t="n">
        <v>308.5</v>
      </c>
      <c r="C66" s="28" t="n">
        <v>1.0433</v>
      </c>
      <c r="D66" s="61" t="n">
        <v>342.2</v>
      </c>
      <c r="E66" s="61" t="n">
        <v>203.3</v>
      </c>
      <c r="F66" s="61" t="n">
        <v>33.7</v>
      </c>
    </row>
    <row r="67">
      <c r="A67" s="60" t="n">
        <v>45650</v>
      </c>
      <c r="B67" s="61" t="n">
        <v>308.2</v>
      </c>
      <c r="C67" s="28" t="n">
        <v>1.0406</v>
      </c>
      <c r="D67" s="61" t="n">
        <v>343.3</v>
      </c>
      <c r="E67" s="61" t="n">
        <v>203.4</v>
      </c>
      <c r="F67" s="61" t="n">
        <v>35.1</v>
      </c>
    </row>
    <row r="68">
      <c r="A68" s="60" t="n">
        <v>45651</v>
      </c>
      <c r="B68" s="61" t="n">
        <v>310.9</v>
      </c>
      <c r="C68" s="28" t="n">
        <v>1.0403</v>
      </c>
      <c r="D68" s="61" t="n">
        <v>343.1</v>
      </c>
      <c r="E68" s="61" t="n">
        <v>202.1</v>
      </c>
      <c r="F68" s="61" t="n">
        <v>32.2</v>
      </c>
    </row>
    <row r="69">
      <c r="A69" s="60" t="n">
        <v>45652</v>
      </c>
      <c r="B69" s="61" t="n">
        <v>310.7</v>
      </c>
      <c r="C69" s="28" t="n">
        <v>1.04</v>
      </c>
      <c r="D69" s="61" t="n">
        <v>343.7</v>
      </c>
      <c r="E69" s="61" t="n">
        <v>202</v>
      </c>
      <c r="F69" s="61" t="n">
        <v>33</v>
      </c>
    </row>
    <row r="70">
      <c r="A70" s="60" t="n">
        <v>45653</v>
      </c>
      <c r="B70" s="61" t="n">
        <v>310.8</v>
      </c>
      <c r="C70" s="28" t="n">
        <v>1.0423</v>
      </c>
      <c r="D70" s="61" t="n">
        <v>345.6</v>
      </c>
      <c r="E70" s="61" t="n">
        <v>203.3</v>
      </c>
      <c r="F70" s="61" t="n">
        <v>34.8</v>
      </c>
    </row>
    <row r="71">
      <c r="A71" s="60" t="n">
        <v>45656</v>
      </c>
      <c r="B71" s="61" t="n">
        <v>311.3</v>
      </c>
      <c r="C71" s="28" t="n">
        <v>1.0429</v>
      </c>
      <c r="D71" s="61" t="n">
        <v>344.7</v>
      </c>
      <c r="E71" s="61" t="n">
        <v>202.8</v>
      </c>
      <c r="F71" s="61" t="n">
        <v>33.4</v>
      </c>
    </row>
    <row r="72">
      <c r="A72" s="60" t="n">
        <v>45657</v>
      </c>
      <c r="B72" s="61" t="n">
        <v>312</v>
      </c>
      <c r="C72" s="28" t="n">
        <v>1.0406</v>
      </c>
      <c r="D72" s="61" t="n">
        <v>342</v>
      </c>
      <c r="E72" s="61" t="n">
        <v>202</v>
      </c>
      <c r="F72" s="61" t="n">
        <v>30</v>
      </c>
    </row>
    <row r="73">
      <c r="A73" s="60" t="n">
        <v>45659</v>
      </c>
      <c r="B73" s="61" t="n">
        <v>312.1</v>
      </c>
      <c r="C73" s="28" t="n">
        <v>1.0352</v>
      </c>
      <c r="D73" s="61" t="n">
        <v>341.3</v>
      </c>
      <c r="E73" s="61" t="n">
        <v>201.8</v>
      </c>
      <c r="F73" s="61" t="n">
        <v>29.2</v>
      </c>
    </row>
    <row r="74">
      <c r="A74" s="60" t="n">
        <v>45660</v>
      </c>
      <c r="B74" s="61" t="n">
        <v>310</v>
      </c>
      <c r="C74" s="28" t="n">
        <v>1.0268</v>
      </c>
      <c r="D74" s="61" t="n">
        <v>341.7</v>
      </c>
      <c r="E74" s="61" t="n">
        <v>203.1</v>
      </c>
      <c r="F74" s="61" t="n">
        <v>31.7</v>
      </c>
    </row>
    <row r="75">
      <c r="A75" s="60" t="n">
        <v>45663</v>
      </c>
      <c r="B75" s="61" t="n">
        <v>312.2</v>
      </c>
      <c r="C75" s="28" t="n">
        <v>1.0305</v>
      </c>
      <c r="D75" s="61" t="n">
        <v>341.7</v>
      </c>
      <c r="E75" s="61" t="n">
        <v>202.5</v>
      </c>
      <c r="F75" s="61" t="n">
        <v>29.5</v>
      </c>
    </row>
    <row r="76">
      <c r="A76" s="60" t="n">
        <v>45664</v>
      </c>
      <c r="B76" s="61" t="n">
        <v>315.6</v>
      </c>
      <c r="C76" s="28" t="n">
        <v>1.0386</v>
      </c>
      <c r="D76" s="61" t="n">
        <v>342.3</v>
      </c>
      <c r="E76" s="61" t="n">
        <v>202.1</v>
      </c>
      <c r="F76" s="61" t="n">
        <v>26.7</v>
      </c>
    </row>
    <row r="77">
      <c r="A77" s="60" t="n">
        <v>45665</v>
      </c>
      <c r="B77" s="61" t="n">
        <v>314.9</v>
      </c>
      <c r="C77" s="28" t="n">
        <v>1.0346</v>
      </c>
      <c r="D77" s="61" t="n">
        <v>341</v>
      </c>
      <c r="E77" s="61" t="n">
        <v>202.6</v>
      </c>
      <c r="F77" s="61" t="n">
        <v>26.1</v>
      </c>
    </row>
    <row r="78">
      <c r="A78" s="60" t="n">
        <v>45666</v>
      </c>
      <c r="B78" s="61" t="n">
        <v>316.3</v>
      </c>
      <c r="C78" s="28" t="n">
        <v>1.0315</v>
      </c>
      <c r="D78" s="61" t="n">
        <v>342.3</v>
      </c>
      <c r="E78" s="61" t="n">
        <v>202.6</v>
      </c>
      <c r="F78" s="61" t="n">
        <v>26</v>
      </c>
    </row>
    <row r="79">
      <c r="A79" s="60" t="n">
        <v>45667</v>
      </c>
      <c r="B79" s="61" t="n">
        <v>315.9</v>
      </c>
      <c r="C79" s="28" t="n">
        <v>1.0298</v>
      </c>
      <c r="D79" s="61" t="n">
        <v>341</v>
      </c>
      <c r="E79" s="61" t="n">
        <v>203.6</v>
      </c>
      <c r="F79" s="61" t="n">
        <v>25.1</v>
      </c>
    </row>
    <row r="80">
      <c r="A80" s="60" t="n">
        <v>45670</v>
      </c>
      <c r="B80" s="61" t="n">
        <v>314.3</v>
      </c>
      <c r="C80" s="28" t="n">
        <v>1.0244</v>
      </c>
      <c r="D80" s="61" t="n">
        <v>342.5</v>
      </c>
      <c r="E80" s="61" t="n">
        <v>203.9</v>
      </c>
      <c r="F80" s="61" t="n">
        <v>28.2</v>
      </c>
    </row>
    <row r="81">
      <c r="A81" s="60" t="n">
        <v>45671</v>
      </c>
      <c r="B81" s="61" t="n">
        <v>317.1</v>
      </c>
      <c r="C81" s="28" t="n">
        <v>1.0265</v>
      </c>
      <c r="D81" s="61" t="n">
        <v>345</v>
      </c>
      <c r="E81" s="61" t="n">
        <v>204.6</v>
      </c>
      <c r="F81" s="61" t="n">
        <v>27.9</v>
      </c>
    </row>
    <row r="82">
      <c r="A82" s="60" t="n">
        <v>45672</v>
      </c>
      <c r="B82" s="61" t="n">
        <v>316.3</v>
      </c>
      <c r="C82" s="28" t="n">
        <v>1.0307</v>
      </c>
      <c r="D82" s="61" t="n">
        <v>346.1</v>
      </c>
      <c r="E82" s="61" t="n">
        <v>204.4</v>
      </c>
      <c r="F82" s="61" t="n">
        <v>29.8</v>
      </c>
    </row>
    <row r="83">
      <c r="A83" s="60" t="n">
        <v>45673</v>
      </c>
      <c r="B83" s="61" t="n">
        <v>317.5</v>
      </c>
      <c r="C83" s="28" t="n">
        <v>1.0295</v>
      </c>
      <c r="D83" s="61" t="n">
        <v>346.9</v>
      </c>
      <c r="E83" s="61" t="n">
        <v>205.2</v>
      </c>
      <c r="F83" s="61" t="n">
        <v>29.4</v>
      </c>
    </row>
    <row r="84">
      <c r="A84" s="60" t="n">
        <v>45674</v>
      </c>
      <c r="B84" s="61" t="n">
        <v>317.1</v>
      </c>
      <c r="C84" s="28" t="n">
        <v>1.0302</v>
      </c>
      <c r="D84" s="61" t="n">
        <v>347.2</v>
      </c>
      <c r="E84" s="61" t="n">
        <v>205.1</v>
      </c>
      <c r="F84" s="61" t="n">
        <v>30.1</v>
      </c>
    </row>
    <row r="85">
      <c r="A85" s="60" t="n">
        <v>45677</v>
      </c>
      <c r="B85" s="61" t="n">
        <v>319</v>
      </c>
      <c r="C85" s="28" t="n">
        <v>1.0277</v>
      </c>
      <c r="D85" s="61" t="n">
        <v>347.2</v>
      </c>
      <c r="E85" s="61" t="n">
        <v>204.4</v>
      </c>
      <c r="F85" s="61" t="n">
        <v>28.2</v>
      </c>
    </row>
    <row r="86">
      <c r="A86" s="60" t="n">
        <v>45678</v>
      </c>
      <c r="B86" s="61" t="n">
        <v>320.6</v>
      </c>
      <c r="C86" s="28" t="n">
        <v>1.0421</v>
      </c>
      <c r="D86" s="61" t="n">
        <v>348.3</v>
      </c>
      <c r="E86" s="61" t="n">
        <v>206.2</v>
      </c>
      <c r="F86" s="61" t="n">
        <v>27.7</v>
      </c>
    </row>
    <row r="87">
      <c r="A87" s="60" t="n">
        <v>45679</v>
      </c>
      <c r="B87" s="61" t="n">
        <v>322.7</v>
      </c>
      <c r="C87" s="28" t="n">
        <v>1.0406</v>
      </c>
      <c r="D87" s="61" t="n">
        <v>349.9</v>
      </c>
      <c r="E87" s="61" t="n">
        <v>206.7</v>
      </c>
      <c r="F87" s="61" t="n">
        <v>27.2</v>
      </c>
    </row>
    <row r="88">
      <c r="A88" s="60" t="n">
        <v>45680</v>
      </c>
      <c r="B88" s="61" t="n">
        <v>323.1</v>
      </c>
      <c r="C88" s="28" t="n">
        <v>1.041</v>
      </c>
      <c r="D88" s="61" t="n">
        <v>350.6</v>
      </c>
      <c r="E88" s="61" t="n">
        <v>208.4</v>
      </c>
      <c r="F88" s="61" t="n">
        <v>27.5</v>
      </c>
    </row>
    <row r="89">
      <c r="A89" s="60" t="n">
        <v>45681</v>
      </c>
      <c r="B89" s="61" t="n">
        <v>324.8</v>
      </c>
      <c r="C89" s="28" t="n">
        <v>1.0416</v>
      </c>
      <c r="D89" s="61" t="n">
        <v>353.3</v>
      </c>
      <c r="E89" s="61" t="n">
        <v>211</v>
      </c>
      <c r="F89" s="61" t="n">
        <v>28.5</v>
      </c>
    </row>
    <row r="90">
      <c r="A90" s="60" t="n">
        <v>45684</v>
      </c>
      <c r="B90" s="61" t="n">
        <v>326.9</v>
      </c>
      <c r="C90" s="28" t="n">
        <v>1.0468</v>
      </c>
      <c r="D90" s="61" t="n">
        <v>355.1</v>
      </c>
      <c r="E90" s="61" t="n">
        <v>211.8</v>
      </c>
      <c r="F90" s="61" t="n">
        <v>28.2</v>
      </c>
    </row>
    <row r="91">
      <c r="A91" s="60" t="n">
        <v>45685</v>
      </c>
      <c r="B91" s="61" t="n">
        <v>330.6</v>
      </c>
      <c r="C91" s="28" t="n">
        <v>1.0445</v>
      </c>
      <c r="D91" s="61" t="n">
        <v>356.6</v>
      </c>
      <c r="E91" s="61" t="n">
        <v>213.3</v>
      </c>
      <c r="F91" s="61" t="n">
        <v>26</v>
      </c>
    </row>
    <row r="92">
      <c r="A92" s="60" t="n">
        <v>45686</v>
      </c>
      <c r="B92" s="61" t="n">
        <v>331.3</v>
      </c>
      <c r="C92" s="28" t="n">
        <v>1.0429</v>
      </c>
      <c r="D92" s="61" t="n">
        <v>356.8</v>
      </c>
      <c r="E92" s="61" t="n">
        <v>214.1</v>
      </c>
      <c r="F92" s="61" t="n">
        <v>25.5</v>
      </c>
    </row>
    <row r="93">
      <c r="A93" s="60" t="n">
        <v>45687</v>
      </c>
      <c r="B93" s="61" t="n">
        <v>331.2</v>
      </c>
      <c r="C93" s="28" t="n">
        <v>1.0425</v>
      </c>
      <c r="D93" s="61" t="n">
        <v>359.6</v>
      </c>
      <c r="E93" s="61" t="n">
        <v>213.3</v>
      </c>
      <c r="F93" s="61" t="n">
        <v>28.4</v>
      </c>
    </row>
    <row r="94">
      <c r="A94" s="60" t="n">
        <v>45688</v>
      </c>
      <c r="B94" s="61" t="n">
        <v>332.5</v>
      </c>
      <c r="C94" s="28" t="n">
        <v>1.0397</v>
      </c>
      <c r="D94" s="61" t="n">
        <v>359.2</v>
      </c>
      <c r="E94" s="61" t="n">
        <v>214</v>
      </c>
      <c r="F94" s="61" t="n">
        <v>26.7</v>
      </c>
    </row>
    <row r="95">
      <c r="A95" s="60" t="n">
        <v>45691</v>
      </c>
      <c r="B95" s="61" t="n">
        <v>333.4</v>
      </c>
      <c r="C95" s="28" t="n">
        <v>1.0248</v>
      </c>
      <c r="D95" s="61" t="n">
        <v>361.8</v>
      </c>
      <c r="E95" s="61" t="n">
        <v>214.2</v>
      </c>
      <c r="F95" s="61" t="n">
        <v>28.4</v>
      </c>
    </row>
    <row r="96">
      <c r="A96" s="60" t="n">
        <v>45692</v>
      </c>
      <c r="B96" s="61" t="n">
        <v>335.4</v>
      </c>
      <c r="C96" s="28" t="n">
        <v>1.0327</v>
      </c>
      <c r="D96" s="61" t="n">
        <v>361.7</v>
      </c>
      <c r="E96" s="61" t="n">
        <v>215.4</v>
      </c>
      <c r="F96" s="61" t="n">
        <v>26.3</v>
      </c>
    </row>
    <row r="97">
      <c r="A97" s="60" t="n">
        <v>45693</v>
      </c>
      <c r="B97" s="61" t="n">
        <v>337.8</v>
      </c>
      <c r="C97" s="28" t="n">
        <v>1.0373</v>
      </c>
      <c r="D97" s="61" t="n">
        <v>365</v>
      </c>
      <c r="E97" s="61" t="n">
        <v>216.2</v>
      </c>
      <c r="F97" s="61" t="n">
        <v>27.2</v>
      </c>
    </row>
    <row r="98">
      <c r="A98" s="60" t="n">
        <v>45694</v>
      </c>
      <c r="B98" s="61" t="n">
        <v>339.1</v>
      </c>
      <c r="C98" s="28" t="n">
        <v>1.0401</v>
      </c>
      <c r="D98" s="61" t="n">
        <v>368.5</v>
      </c>
      <c r="E98" s="61" t="n">
        <v>216.7</v>
      </c>
      <c r="F98" s="61" t="n">
        <v>29.4</v>
      </c>
    </row>
    <row r="99">
      <c r="A99" s="60" t="n">
        <v>45695</v>
      </c>
      <c r="B99" s="61" t="n">
        <v>339.9</v>
      </c>
      <c r="C99" s="28" t="n">
        <v>1.0386</v>
      </c>
      <c r="D99" s="61" t="n">
        <v>369.6</v>
      </c>
      <c r="E99" s="61" t="n">
        <v>216.3</v>
      </c>
      <c r="F99" s="61" t="n">
        <v>29.7</v>
      </c>
    </row>
    <row r="100">
      <c r="A100" s="60" t="n">
        <v>45698</v>
      </c>
      <c r="B100" s="61" t="n">
        <v>341.8</v>
      </c>
      <c r="C100" s="28" t="n">
        <v>1.0312</v>
      </c>
      <c r="D100" s="61" t="n">
        <v>371.7</v>
      </c>
      <c r="E100" s="61" t="n">
        <v>217.2</v>
      </c>
      <c r="F100" s="61" t="n">
        <v>29.9</v>
      </c>
    </row>
    <row r="101">
      <c r="A101" s="60" t="n">
        <v>45699</v>
      </c>
      <c r="B101" s="61" t="n">
        <v>343.7</v>
      </c>
      <c r="C101" s="28" t="n">
        <v>1.0302</v>
      </c>
      <c r="D101" s="61" t="n">
        <v>372.7</v>
      </c>
      <c r="E101" s="61" t="n">
        <v>219.3</v>
      </c>
      <c r="F101" s="61" t="n">
        <v>29</v>
      </c>
    </row>
    <row r="102">
      <c r="A102" s="60" t="n">
        <v>45700</v>
      </c>
      <c r="B102" s="61" t="n">
        <v>344.6</v>
      </c>
      <c r="C102" s="28" t="n">
        <v>1.0365</v>
      </c>
      <c r="D102" s="61" t="n">
        <v>374.5</v>
      </c>
      <c r="E102" s="61" t="n">
        <v>219.8</v>
      </c>
      <c r="F102" s="61" t="n">
        <v>29.9</v>
      </c>
    </row>
    <row r="103">
      <c r="A103" s="60" t="n">
        <v>45701</v>
      </c>
      <c r="B103" s="61" t="n">
        <v>344.7</v>
      </c>
      <c r="C103" s="28" t="n">
        <v>1.0392</v>
      </c>
      <c r="D103" s="61" t="n">
        <v>376</v>
      </c>
      <c r="E103" s="61" t="n">
        <v>220.6</v>
      </c>
      <c r="F103" s="61" t="n">
        <v>31.3</v>
      </c>
    </row>
    <row r="104">
      <c r="A104" s="60" t="n">
        <v>45702</v>
      </c>
      <c r="B104" s="61" t="n">
        <v>348</v>
      </c>
      <c r="C104" s="28" t="n">
        <v>1.0462</v>
      </c>
      <c r="D104" s="61" t="n">
        <v>377.6</v>
      </c>
      <c r="E104" s="61" t="n">
        <v>221.9</v>
      </c>
      <c r="F104" s="61" t="n">
        <v>29.6</v>
      </c>
    </row>
    <row r="105">
      <c r="A105" s="60" t="n">
        <v>45705</v>
      </c>
      <c r="B105" s="61" t="n">
        <v>348.4</v>
      </c>
      <c r="C105" s="28" t="n">
        <v>1.0489</v>
      </c>
      <c r="D105" s="61" t="n">
        <v>380.2</v>
      </c>
      <c r="E105" s="61" t="n">
        <v>223</v>
      </c>
      <c r="F105" s="61" t="n">
        <v>31.8</v>
      </c>
    </row>
    <row r="106">
      <c r="A106" s="60" t="n">
        <v>45706</v>
      </c>
      <c r="B106" s="61" t="n">
        <v>349.8</v>
      </c>
      <c r="C106" s="28" t="n">
        <v>1.0485</v>
      </c>
      <c r="D106" s="61" t="n">
        <v>380.1</v>
      </c>
      <c r="E106" s="61" t="n">
        <v>223.8</v>
      </c>
      <c r="F106" s="61" t="n">
        <v>30.3</v>
      </c>
    </row>
    <row r="107">
      <c r="A107" s="60" t="n">
        <v>45707</v>
      </c>
      <c r="B107" s="61" t="n">
        <v>352.8</v>
      </c>
      <c r="C107" s="28" t="n">
        <v>1.0448</v>
      </c>
      <c r="D107" s="61" t="n">
        <v>380.4</v>
      </c>
      <c r="E107" s="61" t="n">
        <v>224.6</v>
      </c>
      <c r="F107" s="61" t="n">
        <v>27.6</v>
      </c>
    </row>
    <row r="108">
      <c r="A108" s="60" t="n">
        <v>45708</v>
      </c>
      <c r="B108" s="61" t="n">
        <v>358</v>
      </c>
      <c r="C108" s="28" t="n">
        <v>1.0421</v>
      </c>
      <c r="D108" s="61" t="n">
        <v>390</v>
      </c>
      <c r="E108" s="61" t="n">
        <v>228</v>
      </c>
      <c r="F108" s="61" t="n">
        <v>32</v>
      </c>
    </row>
    <row r="109">
      <c r="A109" s="60" t="n">
        <v>45709</v>
      </c>
      <c r="B109" s="61" t="n">
        <v>358.6</v>
      </c>
      <c r="C109" s="28" t="n">
        <v>1.0501</v>
      </c>
      <c r="D109" s="61" t="n">
        <v>387.9</v>
      </c>
      <c r="E109" s="61" t="n">
        <v>227.8</v>
      </c>
      <c r="F109" s="61" t="n">
        <v>29.3</v>
      </c>
    </row>
    <row r="110">
      <c r="A110" s="60" t="n">
        <v>45712</v>
      </c>
      <c r="B110" s="61" t="n">
        <v>359.1</v>
      </c>
      <c r="C110" s="28" t="n">
        <v>1.0475</v>
      </c>
      <c r="D110" s="61" t="n">
        <v>388.3</v>
      </c>
      <c r="E110" s="61" t="n">
        <v>228.1</v>
      </c>
      <c r="F110" s="61" t="n">
        <v>29.2</v>
      </c>
    </row>
    <row r="111">
      <c r="A111" s="60" t="n">
        <v>45713</v>
      </c>
      <c r="B111" s="61" t="n">
        <v>358</v>
      </c>
      <c r="C111" s="28" t="n">
        <v>1.0461</v>
      </c>
      <c r="D111" s="61" t="n">
        <v>386.5</v>
      </c>
      <c r="E111" s="61" t="n">
        <v>228.7</v>
      </c>
      <c r="F111" s="61" t="n">
        <v>28.5</v>
      </c>
    </row>
    <row r="112">
      <c r="A112" s="60" t="n">
        <v>45714</v>
      </c>
      <c r="B112" s="61" t="n">
        <v>360.2</v>
      </c>
      <c r="C112" s="28" t="n">
        <v>1.0524</v>
      </c>
      <c r="D112" s="61" t="n">
        <v>388.7</v>
      </c>
      <c r="E112" s="61" t="n">
        <v>229.9</v>
      </c>
      <c r="F112" s="61" t="n">
        <v>28.5</v>
      </c>
    </row>
    <row r="113">
      <c r="A113" s="60" t="n">
        <v>45715</v>
      </c>
      <c r="B113" s="61" t="n">
        <v>361.1</v>
      </c>
      <c r="C113" s="28" t="n">
        <v>1.0489</v>
      </c>
      <c r="D113" s="61" t="n">
        <v>387.1</v>
      </c>
      <c r="E113" s="61" t="n">
        <v>228.8</v>
      </c>
      <c r="F113" s="61" t="n">
        <v>26</v>
      </c>
    </row>
    <row r="114">
      <c r="A114" s="60" t="n">
        <v>45716</v>
      </c>
      <c r="B114" s="61" t="n">
        <v>361.5</v>
      </c>
      <c r="C114" s="28" t="n">
        <v>1.0395</v>
      </c>
      <c r="D114" s="61" t="n">
        <v>389.9</v>
      </c>
      <c r="E114" s="61" t="n">
        <v>228.3</v>
      </c>
      <c r="F114" s="61" t="n">
        <v>28.4</v>
      </c>
    </row>
    <row r="115">
      <c r="A115" s="60" t="n">
        <v>45719</v>
      </c>
      <c r="B115" s="61" t="n">
        <v>362.8</v>
      </c>
      <c r="C115" s="28" t="n">
        <v>1.0414</v>
      </c>
      <c r="D115" s="61" t="n">
        <v>393.3</v>
      </c>
      <c r="E115" s="61" t="n">
        <v>227.7</v>
      </c>
      <c r="F115" s="61" t="n">
        <v>30.5</v>
      </c>
    </row>
    <row r="116">
      <c r="A116" s="60" t="n">
        <v>45720</v>
      </c>
      <c r="B116" s="61" t="n">
        <v>362.7</v>
      </c>
      <c r="C116" s="28" t="n">
        <v>1.0485</v>
      </c>
      <c r="D116" s="61" t="n">
        <v>394.6</v>
      </c>
      <c r="E116" s="61" t="n">
        <v>228.5</v>
      </c>
      <c r="F116" s="61" t="n">
        <v>31.9</v>
      </c>
    </row>
    <row r="117">
      <c r="A117" s="60" t="n">
        <v>45721</v>
      </c>
      <c r="B117" s="61" t="n">
        <v>364.9</v>
      </c>
      <c r="C117" s="28" t="n">
        <v>1.0627</v>
      </c>
      <c r="D117" s="61" t="n">
        <v>395.1</v>
      </c>
      <c r="E117" s="61" t="n">
        <v>228.3</v>
      </c>
      <c r="F117" s="61" t="n">
        <v>30.2</v>
      </c>
    </row>
    <row r="118">
      <c r="A118" s="60" t="n">
        <v>45722</v>
      </c>
      <c r="B118" s="61" t="n">
        <v>367.5</v>
      </c>
      <c r="C118" s="28" t="n">
        <v>1.0795</v>
      </c>
      <c r="D118" s="61" t="n">
        <v>396.7</v>
      </c>
      <c r="E118" s="61" t="n">
        <v>228.6</v>
      </c>
      <c r="F118" s="61" t="n">
        <v>29.2</v>
      </c>
    </row>
    <row r="119">
      <c r="A119" s="60" t="n">
        <v>45723</v>
      </c>
      <c r="B119" s="61" t="n">
        <v>368.4</v>
      </c>
      <c r="C119" s="28" t="n">
        <v>1.0788</v>
      </c>
      <c r="D119" s="61" t="n">
        <v>398.2</v>
      </c>
      <c r="E119" s="61" t="n">
        <v>229.1</v>
      </c>
      <c r="F119" s="61" t="n">
        <v>29.8</v>
      </c>
    </row>
    <row r="120">
      <c r="A120" s="60" t="n">
        <v>45726</v>
      </c>
      <c r="B120" s="61" t="n">
        <v>369.8</v>
      </c>
      <c r="C120" s="28" t="n">
        <v>1.0861</v>
      </c>
      <c r="D120" s="61" t="n">
        <v>400.8</v>
      </c>
      <c r="E120" s="61" t="n">
        <v>229.8</v>
      </c>
      <c r="F120" s="61" t="n">
        <v>31</v>
      </c>
    </row>
    <row r="121">
      <c r="A121" s="60" t="n">
        <v>45727</v>
      </c>
      <c r="B121" s="61" t="n">
        <v>372</v>
      </c>
      <c r="C121" s="28" t="n">
        <v>1.0839</v>
      </c>
      <c r="D121" s="61" t="n">
        <v>404.6</v>
      </c>
      <c r="E121" s="61" t="n">
        <v>231</v>
      </c>
      <c r="F121" s="61" t="n">
        <v>32.6</v>
      </c>
    </row>
    <row r="122">
      <c r="A122" s="60" t="n">
        <v>45728</v>
      </c>
      <c r="B122" s="61" t="n">
        <v>372.6</v>
      </c>
      <c r="C122" s="28" t="n">
        <v>1.0914</v>
      </c>
      <c r="D122" s="61" t="n">
        <v>405.6</v>
      </c>
      <c r="E122" s="61" t="n">
        <v>233</v>
      </c>
      <c r="F122" s="61" t="n">
        <v>33</v>
      </c>
    </row>
    <row r="123">
      <c r="A123" s="60" t="n">
        <v>45729</v>
      </c>
      <c r="B123" s="61" t="n">
        <v>374.6</v>
      </c>
      <c r="C123" s="28" t="n">
        <v>1.0886</v>
      </c>
      <c r="D123" s="61" t="n">
        <v>407.4</v>
      </c>
      <c r="E123" s="61" t="n">
        <v>234.1</v>
      </c>
      <c r="F123" s="61" t="n">
        <v>32.8</v>
      </c>
    </row>
    <row r="124">
      <c r="A124" s="60" t="n">
        <v>45730</v>
      </c>
      <c r="B124" s="61" t="n">
        <v>376.1</v>
      </c>
      <c r="C124" s="28" t="n">
        <v>1.0856</v>
      </c>
      <c r="D124" s="61" t="n">
        <v>410.1</v>
      </c>
      <c r="E124" s="61" t="n">
        <v>235.8</v>
      </c>
      <c r="F124" s="61" t="n">
        <v>34</v>
      </c>
    </row>
    <row r="125">
      <c r="A125" s="60" t="n">
        <v>45733</v>
      </c>
      <c r="B125" s="61" t="n">
        <v>379.2</v>
      </c>
      <c r="C125" s="28" t="n">
        <v>1.0881</v>
      </c>
      <c r="D125" s="61" t="n">
        <v>412.5</v>
      </c>
      <c r="E125" s="61" t="n">
        <v>237.6</v>
      </c>
      <c r="F125" s="61" t="n">
        <v>33.3</v>
      </c>
    </row>
    <row r="126">
      <c r="A126" s="60" t="n">
        <v>45734</v>
      </c>
      <c r="B126" s="61" t="n">
        <v>380.5</v>
      </c>
      <c r="C126" s="28" t="n">
        <v>1.0919</v>
      </c>
      <c r="D126" s="61" t="n">
        <v>415</v>
      </c>
      <c r="E126" s="61" t="n">
        <v>238.4</v>
      </c>
      <c r="F126" s="61" t="n">
        <v>34.5</v>
      </c>
    </row>
    <row r="127">
      <c r="A127" s="60" t="n">
        <v>45735</v>
      </c>
      <c r="B127" s="61" t="n">
        <v>381.8</v>
      </c>
      <c r="C127" s="28" t="n">
        <v>1.0939</v>
      </c>
      <c r="D127" s="61" t="n">
        <v>416.8</v>
      </c>
      <c r="E127" s="61" t="n">
        <v>240.3</v>
      </c>
      <c r="F127" s="61" t="n">
        <v>35</v>
      </c>
    </row>
    <row r="128">
      <c r="A128" s="60" t="n">
        <v>45736</v>
      </c>
      <c r="B128" s="61" t="n">
        <v>385.7</v>
      </c>
      <c r="C128" s="28" t="n">
        <v>1.0912</v>
      </c>
      <c r="D128" s="61" t="n">
        <v>419.5</v>
      </c>
      <c r="E128" s="61" t="n">
        <v>243</v>
      </c>
      <c r="F128" s="61" t="n">
        <v>33.8</v>
      </c>
    </row>
    <row r="129">
      <c r="A129" s="60" t="n">
        <v>45737</v>
      </c>
      <c r="B129" s="61" t="n">
        <v>386.3</v>
      </c>
      <c r="C129" s="28" t="n">
        <v>1.0857</v>
      </c>
      <c r="D129" s="61" t="n">
        <v>422.2</v>
      </c>
      <c r="E129" s="61" t="n">
        <v>243.9</v>
      </c>
      <c r="F129" s="61" t="n">
        <v>35.9</v>
      </c>
    </row>
    <row r="130">
      <c r="A130" s="60" t="n">
        <v>45740</v>
      </c>
      <c r="B130" s="61" t="n">
        <v>387.6</v>
      </c>
      <c r="C130" s="28" t="n">
        <v>1.0836</v>
      </c>
      <c r="D130" s="61" t="n">
        <v>425.3</v>
      </c>
      <c r="E130" s="61" t="n">
        <v>245.2</v>
      </c>
      <c r="F130" s="61" t="n">
        <v>37.7</v>
      </c>
    </row>
    <row r="131">
      <c r="A131" s="60" t="n">
        <v>45741</v>
      </c>
      <c r="B131" s="61" t="n">
        <v>390</v>
      </c>
      <c r="C131" s="28" t="n">
        <v>1.0804</v>
      </c>
      <c r="D131" s="61" t="n">
        <v>428.7</v>
      </c>
      <c r="E131" s="61" t="n">
        <v>246.1</v>
      </c>
      <c r="F131" s="61" t="n">
        <v>38.7</v>
      </c>
    </row>
    <row r="132">
      <c r="A132" s="60" t="n">
        <v>45742</v>
      </c>
      <c r="B132" s="61" t="n">
        <v>394.6</v>
      </c>
      <c r="C132" s="28" t="n">
        <v>1.0787</v>
      </c>
      <c r="D132" s="61" t="n">
        <v>430.8</v>
      </c>
      <c r="E132" s="61" t="n">
        <v>247.4</v>
      </c>
      <c r="F132" s="61" t="n">
        <v>36.2</v>
      </c>
    </row>
    <row r="133">
      <c r="A133" s="60" t="n">
        <v>45743</v>
      </c>
      <c r="B133" s="61" t="n">
        <v>396.7</v>
      </c>
      <c r="C133" s="28" t="n">
        <v>1.0742</v>
      </c>
      <c r="D133" s="61" t="n">
        <v>432.8</v>
      </c>
      <c r="E133" s="61" t="n">
        <v>249.3</v>
      </c>
      <c r="F133" s="61" t="n">
        <v>36.1</v>
      </c>
    </row>
    <row r="134">
      <c r="A134" s="60" t="n">
        <v>45744</v>
      </c>
      <c r="B134" s="61" t="n">
        <v>399.6</v>
      </c>
      <c r="C134" s="28" t="n">
        <v>1.0801</v>
      </c>
      <c r="D134" s="61" t="n">
        <v>435</v>
      </c>
      <c r="E134" s="61" t="n">
        <v>251</v>
      </c>
      <c r="F134" s="61" t="n">
        <v>35.4</v>
      </c>
    </row>
    <row r="135">
      <c r="A135" s="60" t="n">
        <v>45747</v>
      </c>
      <c r="B135" s="61" t="n">
        <v>403.6</v>
      </c>
      <c r="C135" s="28" t="n">
        <v>1.0824</v>
      </c>
      <c r="D135" s="61" t="n">
        <v>439.1</v>
      </c>
      <c r="E135" s="61" t="n">
        <v>252</v>
      </c>
      <c r="F135" s="61" t="n">
        <v>35.5</v>
      </c>
    </row>
    <row r="136">
      <c r="A136" s="60" t="n">
        <v>45748</v>
      </c>
      <c r="B136" s="61" t="n">
        <v>405.1</v>
      </c>
      <c r="C136" s="28" t="n">
        <v>1.0819</v>
      </c>
      <c r="D136" s="61" t="n">
        <v>443.2</v>
      </c>
      <c r="E136" s="61" t="n">
        <v>253</v>
      </c>
      <c r="F136" s="61" t="n">
        <v>38.1</v>
      </c>
    </row>
    <row r="137">
      <c r="A137" s="60" t="n">
        <v>45749</v>
      </c>
      <c r="B137" s="61" t="n">
        <v>408.1</v>
      </c>
      <c r="C137" s="28" t="n">
        <v>1.0796</v>
      </c>
      <c r="D137" s="61" t="n">
        <v>447.1</v>
      </c>
      <c r="E137" s="61" t="n">
        <v>254.2</v>
      </c>
      <c r="F137" s="61" t="n">
        <v>39</v>
      </c>
    </row>
    <row r="138">
      <c r="A138" s="60" t="n">
        <v>45750</v>
      </c>
      <c r="B138" s="61" t="n">
        <v>410.6</v>
      </c>
      <c r="C138" s="28" t="n">
        <v>1.0909</v>
      </c>
      <c r="D138" s="61" t="n">
        <v>448</v>
      </c>
      <c r="E138" s="61" t="n">
        <v>254.9</v>
      </c>
      <c r="F138" s="61" t="n">
        <v>37.4</v>
      </c>
    </row>
    <row r="139">
      <c r="A139" s="60" t="n">
        <v>45751</v>
      </c>
      <c r="B139" s="61" t="n">
        <v>411.7</v>
      </c>
      <c r="C139" s="28" t="n">
        <v>1.1044</v>
      </c>
      <c r="D139" s="61" t="n">
        <v>449.2</v>
      </c>
      <c r="E139" s="61" t="n">
        <v>256.1</v>
      </c>
      <c r="F139" s="61" t="n">
        <v>37.5</v>
      </c>
    </row>
    <row r="140">
      <c r="A140" s="60" t="n">
        <v>45754</v>
      </c>
      <c r="B140" s="61" t="n">
        <v>413.9</v>
      </c>
      <c r="C140" s="28" t="n">
        <v>1.0985</v>
      </c>
      <c r="D140" s="61" t="n">
        <v>449.1</v>
      </c>
      <c r="E140" s="61" t="n">
        <v>257.3</v>
      </c>
      <c r="F140" s="61" t="n">
        <v>35.2</v>
      </c>
    </row>
    <row r="141">
      <c r="A141" s="60" t="n">
        <v>45755</v>
      </c>
      <c r="B141" s="61" t="n">
        <v>416.5</v>
      </c>
      <c r="C141" s="28" t="n">
        <v>1.0915</v>
      </c>
      <c r="D141" s="61" t="n">
        <v>450.8</v>
      </c>
      <c r="E141" s="61" t="n">
        <v>258.6</v>
      </c>
      <c r="F141" s="61" t="n">
        <v>34.3</v>
      </c>
    </row>
    <row r="142">
      <c r="A142" s="60" t="n">
        <v>45756</v>
      </c>
      <c r="B142" s="61" t="n">
        <v>427</v>
      </c>
      <c r="C142" s="28" t="n">
        <v>1.098</v>
      </c>
      <c r="D142" s="61" t="n">
        <v>468.5</v>
      </c>
      <c r="E142" s="61" t="n">
        <v>265</v>
      </c>
      <c r="F142" s="61" t="n">
        <v>41.5</v>
      </c>
    </row>
    <row r="143">
      <c r="A143" s="60" t="n">
        <v>45757</v>
      </c>
      <c r="B143" s="61" t="n">
        <v>426.3</v>
      </c>
      <c r="C143" s="28" t="n">
        <v>1.0952</v>
      </c>
      <c r="D143" s="61" t="n">
        <v>467.8</v>
      </c>
      <c r="E143" s="61" t="n">
        <v>265.4</v>
      </c>
      <c r="F143" s="61" t="n">
        <v>41.5</v>
      </c>
    </row>
    <row r="144">
      <c r="A144" s="60" t="n">
        <v>45758</v>
      </c>
      <c r="B144" s="61" t="n">
        <v>426</v>
      </c>
      <c r="C144" s="28" t="n">
        <v>1.1258</v>
      </c>
      <c r="D144" s="61" t="n">
        <v>466.2</v>
      </c>
      <c r="E144" s="61" t="n">
        <v>265</v>
      </c>
      <c r="F144" s="61" t="n">
        <v>40.2</v>
      </c>
    </row>
    <row r="145">
      <c r="A145" s="60" t="n">
        <v>45761</v>
      </c>
      <c r="B145" s="61" t="n">
        <v>426.2</v>
      </c>
      <c r="C145" s="28" t="n">
        <v>1.1343</v>
      </c>
      <c r="D145" s="61" t="n">
        <v>466.4</v>
      </c>
      <c r="E145" s="61" t="n">
        <v>265</v>
      </c>
      <c r="F145" s="61" t="n">
        <v>40.2</v>
      </c>
    </row>
    <row r="146">
      <c r="A146" s="60" t="n">
        <v>45762</v>
      </c>
      <c r="B146" s="61" t="n">
        <v>426.4</v>
      </c>
      <c r="C146" s="28" t="n">
        <v>1.134</v>
      </c>
      <c r="D146" s="61" t="n">
        <v>467.8</v>
      </c>
      <c r="E146" s="61" t="n">
        <v>264.7</v>
      </c>
      <c r="F146" s="61" t="n">
        <v>41.4</v>
      </c>
    </row>
    <row r="147">
      <c r="A147" s="60" t="n">
        <v>45763</v>
      </c>
      <c r="B147" s="61" t="n">
        <v>427</v>
      </c>
      <c r="C147" s="28" t="n">
        <v>1.1293</v>
      </c>
      <c r="D147" s="61" t="n">
        <v>466.3</v>
      </c>
      <c r="E147" s="61" t="n">
        <v>264.9</v>
      </c>
      <c r="F147" s="61" t="n">
        <v>39.3</v>
      </c>
    </row>
    <row r="148">
      <c r="A148" s="60" t="n">
        <v>45764</v>
      </c>
      <c r="B148" s="61" t="n">
        <v>426</v>
      </c>
      <c r="C148" s="28" t="n">
        <v>1.1397</v>
      </c>
      <c r="D148" s="61" t="n">
        <v>467.9</v>
      </c>
      <c r="E148" s="61" t="n">
        <v>264.8</v>
      </c>
      <c r="F148" s="61" t="n">
        <v>41.9</v>
      </c>
    </row>
    <row r="149">
      <c r="A149" s="60" t="n">
        <v>45769</v>
      </c>
      <c r="B149" s="61" t="n">
        <v>425.3</v>
      </c>
      <c r="C149" s="28" t="n">
        <v>1.1513</v>
      </c>
      <c r="D149" s="61" t="n">
        <v>467.2</v>
      </c>
      <c r="E149" s="61" t="n">
        <v>264.4</v>
      </c>
      <c r="F149" s="61" t="n">
        <v>41.9</v>
      </c>
    </row>
    <row r="150">
      <c r="A150" s="60" t="n">
        <v>45770</v>
      </c>
      <c r="B150" s="61" t="n">
        <v>425.5</v>
      </c>
      <c r="C150" s="28" t="n">
        <v>1.1351</v>
      </c>
      <c r="D150" s="61" t="n">
        <v>464.7</v>
      </c>
      <c r="E150" s="61" t="n">
        <v>264.4</v>
      </c>
      <c r="F150" s="61" t="n">
        <v>39.2</v>
      </c>
    </row>
    <row r="151">
      <c r="A151" s="60" t="n">
        <v>45771</v>
      </c>
      <c r="B151" s="61" t="n">
        <v>427</v>
      </c>
      <c r="C151" s="28" t="n">
        <v>1.1327</v>
      </c>
      <c r="D151" s="61" t="n">
        <v>465.5</v>
      </c>
      <c r="E151" s="61" t="n">
        <v>263.7</v>
      </c>
      <c r="F151" s="61" t="n">
        <v>38.5</v>
      </c>
    </row>
    <row r="152">
      <c r="A152" s="60" t="n">
        <v>45772</v>
      </c>
      <c r="B152" s="61" t="n">
        <v>425.9</v>
      </c>
      <c r="C152" s="28" t="n">
        <v>1.1372</v>
      </c>
      <c r="D152" s="61" t="n">
        <v>464.8</v>
      </c>
      <c r="E152" s="61" t="n">
        <v>264.4</v>
      </c>
      <c r="F152" s="61" t="n">
        <v>38.9</v>
      </c>
    </row>
    <row r="153">
      <c r="A153" s="60" t="n">
        <v>45775</v>
      </c>
      <c r="B153" s="61" t="n">
        <v>425</v>
      </c>
      <c r="C153" s="28" t="n">
        <v>1.1343</v>
      </c>
      <c r="D153" s="61" t="n">
        <v>461.9</v>
      </c>
      <c r="E153" s="61" t="n">
        <v>262.7</v>
      </c>
      <c r="F153" s="61" t="n">
        <v>36.9</v>
      </c>
    </row>
    <row r="154">
      <c r="A154" s="60" t="n">
        <v>45776</v>
      </c>
      <c r="B154" s="61" t="n">
        <v>421.5</v>
      </c>
      <c r="C154" s="28" t="n">
        <v>1.1409</v>
      </c>
      <c r="D154" s="61" t="n">
        <v>458.3</v>
      </c>
      <c r="E154" s="61" t="n">
        <v>261.1</v>
      </c>
      <c r="F154" s="61" t="n">
        <v>36.8</v>
      </c>
    </row>
    <row r="155">
      <c r="A155" s="60" t="n">
        <v>45777</v>
      </c>
      <c r="B155" s="61" t="n">
        <v>419.4</v>
      </c>
      <c r="C155" s="28" t="n">
        <v>1.1389</v>
      </c>
      <c r="D155" s="61" t="n">
        <v>459</v>
      </c>
      <c r="E155" s="61" t="n">
        <v>260.3</v>
      </c>
      <c r="F155" s="61" t="n">
        <v>39.6</v>
      </c>
    </row>
    <row r="156">
      <c r="A156" s="60" t="n">
        <v>45778</v>
      </c>
      <c r="B156" s="61" t="n">
        <v>418.9</v>
      </c>
      <c r="C156" s="28" t="n">
        <v>1.1325</v>
      </c>
      <c r="D156" s="61" t="n">
        <v>457</v>
      </c>
      <c r="E156" s="61" t="n">
        <v>259</v>
      </c>
      <c r="F156" s="61" t="n">
        <v>38.1</v>
      </c>
    </row>
    <row r="157">
      <c r="A157" s="60" t="n">
        <v>45779</v>
      </c>
      <c r="B157" s="61" t="n">
        <v>416.7</v>
      </c>
      <c r="C157" s="28" t="n">
        <v>1.1296</v>
      </c>
      <c r="D157" s="61" t="n">
        <v>457.8</v>
      </c>
      <c r="E157" s="61" t="n">
        <v>258</v>
      </c>
      <c r="F157" s="61" t="n">
        <v>41.1</v>
      </c>
    </row>
    <row r="158">
      <c r="A158" s="60" t="n">
        <v>45782</v>
      </c>
      <c r="B158" s="61" t="n">
        <v>415.2</v>
      </c>
      <c r="C158" s="28" t="n">
        <v>1.1323</v>
      </c>
      <c r="D158" s="61" t="n">
        <v>456.7</v>
      </c>
      <c r="E158" s="61" t="n">
        <v>258.1</v>
      </c>
      <c r="F158" s="61" t="n">
        <v>41.5</v>
      </c>
    </row>
    <row r="159">
      <c r="A159" s="60" t="n">
        <v>45783</v>
      </c>
      <c r="B159" s="61" t="n">
        <v>412.5</v>
      </c>
      <c r="C159" s="28" t="n">
        <v>1.1313</v>
      </c>
      <c r="D159" s="61" t="n">
        <v>455.5</v>
      </c>
      <c r="E159" s="61" t="n">
        <v>256.9</v>
      </c>
      <c r="F159" s="61" t="n">
        <v>43</v>
      </c>
    </row>
    <row r="160">
      <c r="A160" s="60" t="n">
        <v>45784</v>
      </c>
      <c r="B160" s="61" t="n">
        <v>411.8</v>
      </c>
      <c r="C160" s="28" t="n">
        <v>1.1343</v>
      </c>
      <c r="D160" s="61" t="n">
        <v>453.5</v>
      </c>
      <c r="E160" s="61" t="n">
        <v>256.2</v>
      </c>
      <c r="F160" s="61" t="n">
        <v>41.7</v>
      </c>
    </row>
    <row r="161">
      <c r="A161" s="60" t="n">
        <v>45785</v>
      </c>
      <c r="B161" s="61" t="n">
        <v>411.2</v>
      </c>
      <c r="C161" s="28" t="n">
        <v>1.1306</v>
      </c>
      <c r="D161" s="61" t="n">
        <v>452.1</v>
      </c>
      <c r="E161" s="61" t="n">
        <v>255</v>
      </c>
      <c r="F161" s="61" t="n">
        <v>40.9</v>
      </c>
    </row>
    <row r="162">
      <c r="A162" s="60" t="n">
        <v>45786</v>
      </c>
      <c r="B162" s="61" t="n">
        <v>409.8</v>
      </c>
      <c r="C162" s="28" t="n">
        <v>1.1224</v>
      </c>
      <c r="D162" s="61" t="n">
        <v>450.6</v>
      </c>
      <c r="E162" s="61" t="n">
        <v>255</v>
      </c>
      <c r="F162" s="61" t="n">
        <v>40.8</v>
      </c>
    </row>
    <row r="163">
      <c r="A163" s="60" t="n">
        <v>45789</v>
      </c>
      <c r="B163" s="61" t="n">
        <v>407.4</v>
      </c>
      <c r="C163" s="28" t="n">
        <v>1.123</v>
      </c>
      <c r="D163" s="61" t="n">
        <v>448.8</v>
      </c>
      <c r="E163" s="61" t="n">
        <v>253.1</v>
      </c>
      <c r="F163" s="61" t="n">
        <v>41.4</v>
      </c>
    </row>
    <row r="164">
      <c r="A164" s="60" t="n">
        <v>45790</v>
      </c>
      <c r="B164" s="61" t="n">
        <v>404.8</v>
      </c>
      <c r="C164" s="28" t="n">
        <v>1.1096</v>
      </c>
      <c r="D164" s="61" t="n">
        <v>447.9</v>
      </c>
      <c r="E164" s="61" t="n">
        <v>252.2</v>
      </c>
      <c r="F164" s="61" t="n">
        <v>43.1</v>
      </c>
    </row>
    <row r="165">
      <c r="A165" s="60" t="n">
        <v>45791</v>
      </c>
      <c r="B165" s="61" t="n">
        <v>404</v>
      </c>
      <c r="C165" s="28" t="n">
        <v>1.1186</v>
      </c>
      <c r="D165" s="61" t="n">
        <v>444.1</v>
      </c>
      <c r="E165" s="61" t="n">
        <v>250.2</v>
      </c>
      <c r="F165" s="61" t="n">
        <v>40.1</v>
      </c>
    </row>
    <row r="166">
      <c r="A166" s="60" t="n">
        <v>45792</v>
      </c>
      <c r="B166" s="61" t="n">
        <v>403.1</v>
      </c>
      <c r="C166" s="28" t="n">
        <v>1.1182</v>
      </c>
      <c r="D166" s="61" t="n">
        <v>441.8</v>
      </c>
      <c r="E166" s="61" t="n">
        <v>248.4</v>
      </c>
      <c r="F166" s="61" t="n">
        <v>38.7</v>
      </c>
    </row>
    <row r="167">
      <c r="A167" s="60" t="n">
        <v>45793</v>
      </c>
      <c r="B167" s="61" t="n">
        <v>401.1</v>
      </c>
      <c r="C167" s="28" t="n">
        <v>1.1193</v>
      </c>
      <c r="D167" s="61" t="n">
        <v>440.3</v>
      </c>
      <c r="E167" s="61" t="n">
        <v>246.8</v>
      </c>
      <c r="F167" s="61" t="n">
        <v>39.2</v>
      </c>
    </row>
    <row r="168">
      <c r="A168" s="60" t="n">
        <v>45796</v>
      </c>
      <c r="B168" s="61" t="n">
        <v>400.1</v>
      </c>
      <c r="C168" s="28" t="n">
        <v>1.1188</v>
      </c>
      <c r="D168" s="61" t="n">
        <v>440</v>
      </c>
      <c r="E168" s="61" t="n">
        <v>244.5</v>
      </c>
      <c r="F168" s="61" t="n">
        <v>39.9</v>
      </c>
    </row>
    <row r="169">
      <c r="A169" s="60" t="n">
        <v>45797</v>
      </c>
      <c r="B169" s="61" t="n">
        <v>398.4</v>
      </c>
      <c r="C169" s="28" t="n">
        <v>1.1233</v>
      </c>
      <c r="D169" s="61" t="n">
        <v>436.5</v>
      </c>
      <c r="E169" s="61" t="n">
        <v>242.7</v>
      </c>
      <c r="F169" s="61" t="n">
        <v>38.1</v>
      </c>
    </row>
    <row r="170">
      <c r="A170" s="60" t="n">
        <v>45798</v>
      </c>
      <c r="B170" s="61" t="n">
        <v>396</v>
      </c>
      <c r="C170" s="28" t="n">
        <v>1.1288</v>
      </c>
      <c r="D170" s="61" t="n">
        <v>434.4</v>
      </c>
      <c r="E170" s="61" t="n">
        <v>242.2</v>
      </c>
      <c r="F170" s="61" t="n">
        <v>38.4</v>
      </c>
    </row>
    <row r="171">
      <c r="A171" s="60" t="n">
        <v>45799</v>
      </c>
      <c r="B171" s="61" t="n">
        <v>393.6</v>
      </c>
      <c r="C171" s="28" t="n">
        <v>1.1331</v>
      </c>
      <c r="D171" s="61" t="n">
        <v>432.5</v>
      </c>
      <c r="E171" s="61" t="n">
        <v>240.8</v>
      </c>
      <c r="F171" s="61" t="n">
        <v>38.9</v>
      </c>
    </row>
    <row r="172">
      <c r="A172" s="60" t="n">
        <v>45800</v>
      </c>
      <c r="B172" s="61" t="n">
        <v>390.8</v>
      </c>
      <c r="C172" s="28" t="n">
        <v>1.1282</v>
      </c>
      <c r="D172" s="61" t="n">
        <v>432.3</v>
      </c>
      <c r="E172" s="61" t="n">
        <v>240.1</v>
      </c>
      <c r="F172" s="61" t="n">
        <v>41.5</v>
      </c>
    </row>
    <row r="173">
      <c r="A173" s="60" t="n">
        <v>45803</v>
      </c>
      <c r="B173" s="61" t="n">
        <v>388.3</v>
      </c>
      <c r="C173" s="28" t="n">
        <v>1.1373</v>
      </c>
      <c r="D173" s="61" t="n">
        <v>429.6</v>
      </c>
      <c r="E173" s="61" t="n">
        <v>238.9</v>
      </c>
      <c r="F173" s="61" t="n">
        <v>41.3</v>
      </c>
    </row>
    <row r="174">
      <c r="A174" s="60" t="n">
        <v>45804</v>
      </c>
      <c r="B174" s="61" t="n">
        <v>384.8</v>
      </c>
      <c r="C174" s="28" t="n">
        <v>1.1388</v>
      </c>
      <c r="D174" s="61" t="n">
        <v>427.5</v>
      </c>
      <c r="E174" s="61" t="n">
        <v>238.3</v>
      </c>
      <c r="F174" s="61" t="n">
        <v>42.7</v>
      </c>
    </row>
    <row r="175">
      <c r="A175" s="60" t="n">
        <v>45805</v>
      </c>
      <c r="B175" s="61" t="n">
        <v>382.8</v>
      </c>
      <c r="C175" s="28" t="n">
        <v>1.1337</v>
      </c>
      <c r="D175" s="61" t="n">
        <v>427.2</v>
      </c>
      <c r="E175" s="61" t="n">
        <v>237.6</v>
      </c>
      <c r="F175" s="61" t="n">
        <v>44.4</v>
      </c>
    </row>
    <row r="176">
      <c r="A176" s="60" t="n">
        <v>45806</v>
      </c>
      <c r="B176" s="61" t="n">
        <v>381.6</v>
      </c>
      <c r="C176" s="28" t="n">
        <v>1.1234</v>
      </c>
      <c r="D176" s="61" t="n">
        <v>426.1</v>
      </c>
      <c r="E176" s="61" t="n">
        <v>236.6</v>
      </c>
      <c r="F176" s="61" t="n">
        <v>44.5</v>
      </c>
    </row>
    <row r="177">
      <c r="A177" s="60" t="n">
        <v>45807</v>
      </c>
      <c r="B177" s="61" t="n">
        <v>380.3</v>
      </c>
      <c r="C177" s="28" t="n">
        <v>1.1378</v>
      </c>
      <c r="D177" s="61" t="n">
        <v>424.3</v>
      </c>
      <c r="E177" s="61" t="n">
        <v>235.5</v>
      </c>
      <c r="F177" s="61" t="n">
        <v>44</v>
      </c>
    </row>
    <row r="178">
      <c r="A178" s="60" t="n">
        <v>45810</v>
      </c>
      <c r="B178" s="61" t="n">
        <v>377.8</v>
      </c>
      <c r="C178" s="28" t="n">
        <v>1.1353</v>
      </c>
      <c r="D178" s="61" t="n">
        <v>421</v>
      </c>
      <c r="E178" s="61" t="n">
        <v>233.1</v>
      </c>
      <c r="F178" s="61" t="n">
        <v>43.2</v>
      </c>
    </row>
    <row r="179">
      <c r="A179" s="60" t="n">
        <v>45811</v>
      </c>
      <c r="B179" s="61" t="n">
        <v>375.9</v>
      </c>
      <c r="C179" s="28" t="n">
        <v>1.1453</v>
      </c>
      <c r="D179" s="61" t="n">
        <v>419</v>
      </c>
      <c r="E179" s="61" t="n">
        <v>232.8</v>
      </c>
      <c r="F179" s="61" t="n">
        <v>43.1</v>
      </c>
    </row>
    <row r="180">
      <c r="A180" s="60" t="n">
        <v>45812</v>
      </c>
      <c r="B180" s="61" t="n">
        <v>374.6</v>
      </c>
      <c r="C180" s="28" t="n">
        <v>1.1384</v>
      </c>
      <c r="D180" s="61" t="n">
        <v>417.3</v>
      </c>
      <c r="E180" s="61" t="n">
        <v>231.7</v>
      </c>
      <c r="F180" s="61" t="n">
        <v>42.7</v>
      </c>
    </row>
    <row r="181">
      <c r="A181" s="60" t="n">
        <v>45813</v>
      </c>
      <c r="B181" s="61" t="n">
        <v>371</v>
      </c>
      <c r="C181" s="28" t="n">
        <v>1.1422</v>
      </c>
      <c r="D181" s="61" t="n">
        <v>414.4</v>
      </c>
      <c r="E181" s="61" t="n">
        <v>230.1</v>
      </c>
      <c r="F181" s="61" t="n">
        <v>43.4</v>
      </c>
    </row>
    <row r="182">
      <c r="A182" s="60" t="n">
        <v>45814</v>
      </c>
      <c r="B182" s="61" t="n">
        <v>369.7</v>
      </c>
      <c r="C182" s="28" t="n">
        <v>1.1454</v>
      </c>
      <c r="D182" s="61" t="n">
        <v>411.4</v>
      </c>
      <c r="E182" s="61" t="n">
        <v>229</v>
      </c>
      <c r="F182" s="61" t="n">
        <v>41.7</v>
      </c>
    </row>
    <row r="183">
      <c r="A183" s="60" t="n">
        <v>45817</v>
      </c>
      <c r="B183" s="61" t="n">
        <v>367.7</v>
      </c>
      <c r="C183" s="28" t="n">
        <v>1.1408</v>
      </c>
      <c r="D183" s="61" t="n">
        <v>410.6</v>
      </c>
      <c r="E183" s="61" t="n">
        <v>228.6</v>
      </c>
      <c r="F183" s="61" t="n">
        <v>42.9</v>
      </c>
    </row>
    <row r="184">
      <c r="A184" s="60" t="n">
        <v>45818</v>
      </c>
      <c r="B184" s="61" t="n">
        <v>365.1</v>
      </c>
      <c r="C184" s="28" t="n">
        <v>1.1428</v>
      </c>
      <c r="D184" s="61" t="n">
        <v>410.3</v>
      </c>
      <c r="E184" s="61" t="n">
        <v>227.4</v>
      </c>
      <c r="F184" s="61" t="n">
        <v>45.2</v>
      </c>
    </row>
    <row r="185">
      <c r="A185" s="60" t="n">
        <v>45819</v>
      </c>
      <c r="B185" s="61" t="n">
        <v>361.8</v>
      </c>
      <c r="C185" s="28" t="n">
        <v>1.1437</v>
      </c>
      <c r="D185" s="61" t="n">
        <v>408.2</v>
      </c>
      <c r="E185" s="61" t="n">
        <v>226.9</v>
      </c>
      <c r="F185" s="61" t="n">
        <v>46.4</v>
      </c>
    </row>
    <row r="186">
      <c r="A186" s="60" t="n">
        <v>45820</v>
      </c>
      <c r="B186" s="61" t="n">
        <v>360.4</v>
      </c>
      <c r="C186" s="28" t="n">
        <v>1.1509</v>
      </c>
      <c r="D186" s="61" t="n">
        <v>408.2</v>
      </c>
      <c r="E186" s="61" t="n">
        <v>225.7</v>
      </c>
      <c r="F186" s="61" t="n">
        <v>47.8</v>
      </c>
    </row>
    <row r="187">
      <c r="A187" s="60" t="n">
        <v>45821</v>
      </c>
      <c r="B187" s="61" t="n">
        <v>356.8</v>
      </c>
      <c r="C187" s="28" t="n">
        <v>1.16</v>
      </c>
      <c r="D187" s="61" t="n">
        <v>408</v>
      </c>
      <c r="E187" s="61" t="n">
        <v>225</v>
      </c>
      <c r="F187" s="61" t="n">
        <v>51.2</v>
      </c>
    </row>
    <row r="188">
      <c r="A188" s="60" t="n">
        <v>45824</v>
      </c>
      <c r="B188" s="61" t="n">
        <v>355.2</v>
      </c>
      <c r="C188" s="28" t="n">
        <v>1.1557</v>
      </c>
      <c r="D188" s="61" t="n">
        <v>406.7</v>
      </c>
      <c r="E188" s="61" t="n">
        <v>225</v>
      </c>
      <c r="F188" s="61" t="n">
        <v>51.5</v>
      </c>
    </row>
    <row r="189">
      <c r="A189" s="60" t="n">
        <v>45825</v>
      </c>
      <c r="B189" s="61" t="n">
        <v>354.1</v>
      </c>
      <c r="C189" s="28" t="n">
        <v>1.1551</v>
      </c>
      <c r="D189" s="61" t="n">
        <v>406.4</v>
      </c>
      <c r="E189" s="61" t="n">
        <v>224.1</v>
      </c>
      <c r="F189" s="61" t="n">
        <v>52.3</v>
      </c>
    </row>
    <row r="190">
      <c r="A190" s="60" t="n">
        <v>45826</v>
      </c>
      <c r="B190" s="61" t="n">
        <v>352.9</v>
      </c>
      <c r="C190" s="28" t="n">
        <v>1.1483</v>
      </c>
      <c r="D190" s="61" t="n">
        <v>404.6</v>
      </c>
      <c r="E190" s="61" t="n">
        <v>222.6</v>
      </c>
      <c r="F190" s="61" t="n">
        <v>51.7</v>
      </c>
    </row>
    <row r="191">
      <c r="A191" s="60" t="n">
        <v>45827</v>
      </c>
      <c r="B191" s="61" t="n">
        <v>353.3</v>
      </c>
      <c r="C191" s="28" t="n">
        <v>1.1477</v>
      </c>
      <c r="D191" s="61" t="n">
        <v>405</v>
      </c>
      <c r="E191" s="61" t="n">
        <v>222.5</v>
      </c>
      <c r="F191" s="61" t="n">
        <v>51.7</v>
      </c>
    </row>
    <row r="192">
      <c r="A192" s="60" t="n">
        <v>45828</v>
      </c>
      <c r="B192" s="61" t="n">
        <v>348</v>
      </c>
      <c r="C192" s="28" t="n">
        <v>1.1513</v>
      </c>
      <c r="D192" s="61" t="n">
        <v>395</v>
      </c>
      <c r="E192" s="61" t="n">
        <v>218</v>
      </c>
      <c r="F192" s="61" t="n">
        <v>47</v>
      </c>
    </row>
    <row r="193">
      <c r="A193" s="60" t="n">
        <v>45831</v>
      </c>
      <c r="B193" s="61" t="n">
        <v>350.1</v>
      </c>
      <c r="C193" s="28" t="n">
        <v>1.1501</v>
      </c>
      <c r="D193" s="61" t="n">
        <v>393.8</v>
      </c>
      <c r="E193" s="61" t="n">
        <v>219.2</v>
      </c>
      <c r="F193" s="61" t="n">
        <v>43.7</v>
      </c>
    </row>
    <row r="194">
      <c r="A194" s="60" t="n">
        <v>45832</v>
      </c>
      <c r="B194" s="61" t="n">
        <v>348.9</v>
      </c>
      <c r="C194" s="28" t="n">
        <v>1.1599</v>
      </c>
      <c r="D194" s="61" t="n">
        <v>394.1</v>
      </c>
      <c r="E194" s="61" t="n">
        <v>218.5</v>
      </c>
      <c r="F194" s="61" t="n">
        <v>45.2</v>
      </c>
    </row>
    <row r="195">
      <c r="A195" s="60" t="n">
        <v>45833</v>
      </c>
      <c r="B195" s="61" t="n">
        <v>347.8</v>
      </c>
      <c r="C195" s="28" t="n">
        <v>1.1612</v>
      </c>
      <c r="D195" s="61" t="n">
        <v>394.6</v>
      </c>
      <c r="E195" s="61" t="n">
        <v>218.4</v>
      </c>
      <c r="F195" s="61" t="n">
        <v>46.8</v>
      </c>
    </row>
    <row r="196">
      <c r="A196" s="60" t="n">
        <v>45834</v>
      </c>
      <c r="B196" s="61" t="n">
        <v>346.2</v>
      </c>
      <c r="C196" s="28" t="n">
        <v>1.1684</v>
      </c>
      <c r="D196" s="61" t="n">
        <v>395.8</v>
      </c>
      <c r="E196" s="61" t="n">
        <v>219.5</v>
      </c>
      <c r="F196" s="61" t="n">
        <v>49.6</v>
      </c>
    </row>
    <row r="197">
      <c r="A197" s="60" t="n">
        <v>45835</v>
      </c>
      <c r="B197" s="61" t="n">
        <v>345.1</v>
      </c>
      <c r="C197" s="28" t="n">
        <v>1.1692</v>
      </c>
      <c r="D197" s="61" t="n">
        <v>397.3</v>
      </c>
      <c r="E197" s="61" t="n">
        <v>218.4</v>
      </c>
      <c r="F197" s="61" t="n">
        <v>52.2</v>
      </c>
    </row>
    <row r="198">
      <c r="A198" s="60" t="n">
        <v>45838</v>
      </c>
      <c r="B198" s="61" t="n">
        <v>344.2</v>
      </c>
      <c r="C198" s="28" t="n">
        <v>1.1727</v>
      </c>
      <c r="D198" s="61" t="n">
        <v>396.5</v>
      </c>
      <c r="E198" s="61" t="n">
        <v>218.1</v>
      </c>
      <c r="F198" s="61" t="n">
        <v>52.3</v>
      </c>
    </row>
    <row r="199">
      <c r="A199" s="60" t="n">
        <v>45839</v>
      </c>
      <c r="B199" s="61" t="n">
        <v>344.2</v>
      </c>
      <c r="C199" s="28" t="n">
        <v>1.1787</v>
      </c>
      <c r="D199" s="61" t="n">
        <v>393.3</v>
      </c>
      <c r="E199" s="61" t="n">
        <v>219.1</v>
      </c>
      <c r="F199" s="61" t="n">
        <v>49.1</v>
      </c>
    </row>
    <row r="200">
      <c r="A200" s="60" t="n">
        <v>45840</v>
      </c>
      <c r="B200" s="61" t="n">
        <v>344.1</v>
      </c>
      <c r="C200" s="28" t="n">
        <v>1.1806</v>
      </c>
      <c r="D200" s="61" t="n">
        <v>392</v>
      </c>
      <c r="E200" s="61" t="n">
        <v>217.9</v>
      </c>
      <c r="F200" s="61" t="n">
        <v>47.9</v>
      </c>
    </row>
    <row r="201">
      <c r="A201" s="60" t="n">
        <v>45841</v>
      </c>
      <c r="B201" s="61" t="n">
        <v>344</v>
      </c>
      <c r="C201" s="28" t="n">
        <v>1.18</v>
      </c>
      <c r="D201" s="61" t="n">
        <v>392.8</v>
      </c>
      <c r="E201" s="61" t="n">
        <v>218.9</v>
      </c>
      <c r="F201" s="61" t="n">
        <v>48.8</v>
      </c>
    </row>
    <row r="202">
      <c r="A202" s="60" t="n">
        <v>45842</v>
      </c>
      <c r="B202" s="61" t="n">
        <v>343.7</v>
      </c>
      <c r="C202" s="28" t="n">
        <v>1.1771</v>
      </c>
      <c r="D202" s="61" t="n">
        <v>392.9</v>
      </c>
      <c r="E202" s="61" t="n">
        <v>218.9</v>
      </c>
      <c r="F202" s="61" t="n">
        <v>49.2</v>
      </c>
    </row>
    <row r="203">
      <c r="A203" s="60" t="n">
        <v>45845</v>
      </c>
      <c r="B203" s="61" t="n">
        <v>342.3</v>
      </c>
      <c r="C203" s="28" t="n">
        <v>1.1781</v>
      </c>
      <c r="D203" s="61" t="n">
        <v>392.1</v>
      </c>
      <c r="E203" s="61" t="n">
        <v>218.7</v>
      </c>
      <c r="F203" s="61" t="n">
        <v>49.8</v>
      </c>
    </row>
    <row r="204">
      <c r="A204" s="60" t="n">
        <v>45846</v>
      </c>
      <c r="B204" s="61" t="n">
        <v>342.5</v>
      </c>
      <c r="C204" s="28" t="n">
        <v>1.1737</v>
      </c>
      <c r="D204" s="61" t="n">
        <v>391.7</v>
      </c>
      <c r="E204" s="61" t="n">
        <v>218.5</v>
      </c>
      <c r="F204" s="61" t="n">
        <v>49.2</v>
      </c>
    </row>
    <row r="205">
      <c r="A205" s="60" t="n">
        <v>45847</v>
      </c>
      <c r="B205" s="61" t="n">
        <v>342.9</v>
      </c>
      <c r="C205" s="28" t="n">
        <v>1.1725</v>
      </c>
      <c r="D205" s="61" t="n">
        <v>390.9</v>
      </c>
      <c r="E205" s="61" t="n">
        <v>219.2</v>
      </c>
      <c r="F205" s="61" t="n">
        <v>48</v>
      </c>
    </row>
    <row r="206">
      <c r="A206" s="60" t="n">
        <v>45848</v>
      </c>
      <c r="B206" s="61" t="n">
        <v>344.5</v>
      </c>
      <c r="C206" s="28" t="n">
        <v>1.1731</v>
      </c>
      <c r="D206" s="61" t="n">
        <v>389.5</v>
      </c>
      <c r="E206" s="61" t="n">
        <v>218.6</v>
      </c>
      <c r="F206" s="61" t="n">
        <v>45</v>
      </c>
    </row>
    <row r="207">
      <c r="A207" s="60" t="n">
        <v>45849</v>
      </c>
      <c r="B207" s="61" t="n">
        <v>346.5</v>
      </c>
      <c r="C207" s="28" t="n">
        <v>1.1703</v>
      </c>
      <c r="D207" s="61" t="n">
        <v>388.5</v>
      </c>
      <c r="E207" s="61" t="n">
        <v>218.2</v>
      </c>
      <c r="F207" s="61" t="n">
        <v>42</v>
      </c>
    </row>
    <row r="208">
      <c r="A208" s="60" t="n">
        <v>45852</v>
      </c>
      <c r="B208" s="61" t="n">
        <v>346.4</v>
      </c>
      <c r="C208" s="28" t="n">
        <v>1.1682</v>
      </c>
      <c r="D208" s="61" t="n">
        <v>389.8</v>
      </c>
      <c r="E208" s="61" t="n">
        <v>216.7</v>
      </c>
      <c r="F208" s="61" t="n">
        <v>43.4</v>
      </c>
    </row>
    <row r="209">
      <c r="A209" s="60" t="n">
        <v>45853</v>
      </c>
      <c r="B209" s="61" t="n">
        <v>344.9</v>
      </c>
      <c r="C209" s="28" t="n">
        <v>1.1666</v>
      </c>
      <c r="D209" s="61" t="n">
        <v>389.5</v>
      </c>
      <c r="E209" s="61" t="n">
        <v>215.5</v>
      </c>
      <c r="F209" s="61" t="n">
        <v>44.6</v>
      </c>
    </row>
    <row r="210">
      <c r="A210" s="60" t="n">
        <v>45854</v>
      </c>
      <c r="B210" s="61" t="n">
        <v>344.1</v>
      </c>
      <c r="C210" s="28" t="n">
        <v>1.1607</v>
      </c>
      <c r="D210" s="61" t="n">
        <v>387.1</v>
      </c>
      <c r="E210" s="61" t="n">
        <v>215.6</v>
      </c>
      <c r="F210" s="61" t="n">
        <v>43</v>
      </c>
    </row>
    <row r="211">
      <c r="A211" s="60" t="n">
        <v>45855</v>
      </c>
      <c r="B211" s="61" t="n">
        <v>342.9</v>
      </c>
      <c r="C211" s="28" t="n">
        <v>1.1636</v>
      </c>
      <c r="D211" s="61" t="n">
        <v>387.2</v>
      </c>
      <c r="E211" s="61" t="n">
        <v>214.8</v>
      </c>
      <c r="F211" s="61" t="n">
        <v>44.3</v>
      </c>
    </row>
    <row r="212">
      <c r="A212" s="60" t="n">
        <v>45856</v>
      </c>
      <c r="B212" s="61" t="n">
        <v>341.5</v>
      </c>
      <c r="C212" s="28" t="n">
        <v>1.1615</v>
      </c>
      <c r="D212" s="61" t="n">
        <v>385.7</v>
      </c>
      <c r="E212" s="61" t="n">
        <v>213.9</v>
      </c>
      <c r="F212" s="61" t="n">
        <v>44.2</v>
      </c>
    </row>
    <row r="213">
      <c r="A213" s="60" t="n">
        <v>45859</v>
      </c>
      <c r="B213" s="61" t="n">
        <v>340.6</v>
      </c>
      <c r="C213" s="28" t="n">
        <v>1.1631</v>
      </c>
      <c r="D213" s="61" t="n">
        <v>385</v>
      </c>
      <c r="E213" s="61" t="n">
        <v>213</v>
      </c>
      <c r="F213" s="61" t="n">
        <v>44.4</v>
      </c>
    </row>
    <row r="214">
      <c r="A214" s="60" t="n">
        <v>45860</v>
      </c>
      <c r="B214" s="61" t="n">
        <v>338.9</v>
      </c>
      <c r="C214" s="28" t="n">
        <v>1.1695</v>
      </c>
      <c r="D214" s="61" t="n">
        <v>384.3</v>
      </c>
      <c r="E214" s="61" t="n">
        <v>212.7</v>
      </c>
      <c r="F214" s="61" t="n">
        <v>45.4</v>
      </c>
    </row>
    <row r="215">
      <c r="A215" s="60" t="n">
        <v>45861</v>
      </c>
      <c r="B215" s="61" t="n">
        <v>338.3</v>
      </c>
      <c r="C215" s="28" t="n">
        <v>1.1739</v>
      </c>
      <c r="D215" s="61" t="n">
        <v>384.4</v>
      </c>
      <c r="E215" s="61" t="n">
        <v>212.7</v>
      </c>
      <c r="F215" s="61" t="n">
        <v>46.1</v>
      </c>
    </row>
    <row r="216">
      <c r="A216" s="60" t="n">
        <v>45862</v>
      </c>
      <c r="B216" s="61" t="n">
        <v>337.1</v>
      </c>
      <c r="C216" s="28" t="n">
        <v>1.1774</v>
      </c>
      <c r="D216" s="61" t="n">
        <v>382</v>
      </c>
      <c r="E216" s="61" t="n">
        <v>212.5</v>
      </c>
      <c r="F216" s="61" t="n">
        <v>44.9</v>
      </c>
    </row>
    <row r="217">
      <c r="A217" s="60" t="n">
        <v>45863</v>
      </c>
      <c r="B217" s="61" t="n">
        <v>334.7</v>
      </c>
      <c r="C217" s="28" t="n">
        <v>1.1756</v>
      </c>
      <c r="D217" s="61" t="n">
        <v>382.3</v>
      </c>
      <c r="E217" s="61" t="n">
        <v>212.3</v>
      </c>
      <c r="F217" s="61" t="n">
        <v>47.6</v>
      </c>
    </row>
    <row r="218">
      <c r="A218" s="60" t="n">
        <v>45866</v>
      </c>
      <c r="B218" s="61" t="n">
        <v>333.7</v>
      </c>
      <c r="C218" s="28" t="n">
        <v>1.1757</v>
      </c>
      <c r="D218" s="61" t="n">
        <v>382.9</v>
      </c>
      <c r="E218" s="61" t="n">
        <v>211.8</v>
      </c>
      <c r="F218" s="61" t="n">
        <v>49.2</v>
      </c>
    </row>
    <row r="219">
      <c r="A219" s="60" t="n">
        <v>45867</v>
      </c>
      <c r="B219" s="61" t="n">
        <v>333.1</v>
      </c>
      <c r="C219" s="28" t="n">
        <v>1.1597</v>
      </c>
      <c r="D219" s="61" t="n">
        <v>382.5</v>
      </c>
      <c r="E219" s="61" t="n">
        <v>211.7</v>
      </c>
      <c r="F219" s="61" t="n">
        <v>49.4</v>
      </c>
    </row>
    <row r="220">
      <c r="A220" s="60" t="n">
        <v>45868</v>
      </c>
      <c r="B220" s="61" t="n">
        <v>332.4</v>
      </c>
      <c r="C220" s="28" t="n">
        <v>1.1551</v>
      </c>
      <c r="D220" s="61" t="n">
        <v>381.6</v>
      </c>
      <c r="E220" s="61" t="n">
        <v>210.7</v>
      </c>
      <c r="F220" s="61" t="n">
        <v>49.2</v>
      </c>
    </row>
    <row r="221">
      <c r="A221" s="60" t="n">
        <v>45869</v>
      </c>
      <c r="B221" s="61" t="n">
        <v>332.8</v>
      </c>
      <c r="C221" s="28" t="n">
        <v>1.1429</v>
      </c>
      <c r="D221" s="61" t="n">
        <v>380.5</v>
      </c>
      <c r="E221" s="61" t="n">
        <v>210.1</v>
      </c>
      <c r="F221" s="61" t="n">
        <v>47.7</v>
      </c>
    </row>
    <row r="222">
      <c r="A222" s="60" t="n">
        <v>45870</v>
      </c>
      <c r="B222" s="61" t="n">
        <v>331.3</v>
      </c>
      <c r="C222" s="28" t="n">
        <v>1.1424</v>
      </c>
      <c r="D222" s="61" t="n">
        <v>379.4</v>
      </c>
      <c r="E222" s="61" t="n">
        <v>210.2</v>
      </c>
      <c r="F222" s="61" t="n">
        <v>48.1</v>
      </c>
    </row>
    <row r="223">
      <c r="A223" s="60" t="n">
        <v>45873</v>
      </c>
      <c r="B223" s="61" t="n">
        <v>331.1</v>
      </c>
      <c r="C223" s="28" t="n">
        <v>1.1587</v>
      </c>
      <c r="D223" s="61" t="n">
        <v>377.4</v>
      </c>
      <c r="E223" s="61" t="n">
        <v>209.1</v>
      </c>
      <c r="F223" s="61" t="n">
        <v>46.3</v>
      </c>
    </row>
    <row r="224">
      <c r="A224" s="60" t="n">
        <v>45874</v>
      </c>
      <c r="B224" s="61" t="n">
        <v>330.1</v>
      </c>
      <c r="C224" s="28" t="n">
        <v>1.1584</v>
      </c>
      <c r="D224" s="61" t="n">
        <v>375.3</v>
      </c>
      <c r="E224" s="61" t="n">
        <v>208.7</v>
      </c>
      <c r="F224" s="61" t="n">
        <v>45.2</v>
      </c>
    </row>
    <row r="225">
      <c r="A225" s="60" t="n">
        <v>45875</v>
      </c>
      <c r="B225" s="61" t="n">
        <v>329.9</v>
      </c>
      <c r="C225" s="28" t="n">
        <v>1.1579</v>
      </c>
      <c r="D225" s="61" t="n">
        <v>374.8</v>
      </c>
      <c r="E225" s="61" t="n">
        <v>207.9</v>
      </c>
      <c r="F225" s="61" t="n">
        <v>44.9</v>
      </c>
    </row>
    <row r="226">
      <c r="A226" s="60" t="n">
        <v>45876</v>
      </c>
      <c r="B226" s="61" t="n">
        <v>327.7</v>
      </c>
      <c r="C226" s="28" t="n">
        <v>1.1663</v>
      </c>
      <c r="D226" s="61" t="n">
        <v>374.4</v>
      </c>
      <c r="E226" s="61" t="n">
        <v>208.2</v>
      </c>
      <c r="F226" s="61" t="n">
        <v>46.7</v>
      </c>
    </row>
    <row r="227">
      <c r="A227" s="60" t="n">
        <v>45877</v>
      </c>
      <c r="B227" s="61" t="n">
        <v>327.1</v>
      </c>
      <c r="C227" s="28" t="n">
        <v>1.1677</v>
      </c>
      <c r="D227" s="61" t="n">
        <v>374.2</v>
      </c>
      <c r="E227" s="61" t="n">
        <v>207.8</v>
      </c>
      <c r="F227" s="61" t="n">
        <v>47.1</v>
      </c>
    </row>
    <row r="228">
      <c r="A228" s="60" t="n">
        <v>45880</v>
      </c>
      <c r="B228" s="61" t="n">
        <v>325.4</v>
      </c>
      <c r="C228" s="28" t="n">
        <v>1.1648</v>
      </c>
      <c r="D228" s="61" t="n">
        <v>372.2</v>
      </c>
      <c r="E228" s="61" t="n">
        <v>207.4</v>
      </c>
      <c r="F228" s="61" t="n">
        <v>46.8</v>
      </c>
    </row>
    <row r="229">
      <c r="A229" s="60" t="n">
        <v>45881</v>
      </c>
      <c r="B229" s="61" t="n">
        <v>324.2</v>
      </c>
      <c r="C229" s="28" t="n">
        <v>1.1618</v>
      </c>
      <c r="D229" s="61" t="n">
        <v>371.1</v>
      </c>
      <c r="E229" s="61" t="n">
        <v>205.9</v>
      </c>
      <c r="F229" s="61" t="n">
        <v>46.9</v>
      </c>
    </row>
    <row r="230">
      <c r="A230" s="60" t="n">
        <v>45882</v>
      </c>
      <c r="B230" s="61" t="n">
        <v>322.3</v>
      </c>
      <c r="C230" s="28" t="n">
        <v>1.1677</v>
      </c>
      <c r="D230" s="61" t="n">
        <v>370.3</v>
      </c>
      <c r="E230" s="61" t="n">
        <v>204.7</v>
      </c>
      <c r="F230" s="61" t="n">
        <v>48</v>
      </c>
    </row>
    <row r="231">
      <c r="A231" s="60" t="n">
        <v>45883</v>
      </c>
      <c r="B231" s="61" t="n">
        <v>319.3</v>
      </c>
      <c r="C231" s="28" t="n">
        <v>1.1713</v>
      </c>
      <c r="D231" s="61" t="n">
        <v>369.1</v>
      </c>
      <c r="E231" s="61" t="n">
        <v>204.7</v>
      </c>
      <c r="F231" s="61" t="n">
        <v>49.8</v>
      </c>
    </row>
    <row r="232">
      <c r="A232" s="60" t="n">
        <v>45884</v>
      </c>
      <c r="B232" s="61" t="n">
        <v>318.4</v>
      </c>
      <c r="C232" s="28" t="n">
        <v>1.1651</v>
      </c>
      <c r="D232" s="61" t="n">
        <v>369.1</v>
      </c>
      <c r="E232" s="61" t="n">
        <v>203.6</v>
      </c>
      <c r="F232" s="61" t="n">
        <v>50.7</v>
      </c>
    </row>
    <row r="233">
      <c r="A233" s="60" t="n">
        <v>45887</v>
      </c>
      <c r="B233" s="61" t="n">
        <v>317.2</v>
      </c>
      <c r="C233" s="28" t="n">
        <v>1.1707</v>
      </c>
      <c r="D233" s="61" t="n">
        <v>366.9</v>
      </c>
      <c r="E233" s="61" t="n">
        <v>201.7</v>
      </c>
      <c r="F233" s="61" t="n">
        <v>49.7</v>
      </c>
    </row>
    <row r="234">
      <c r="A234" s="60" t="n">
        <v>45888</v>
      </c>
      <c r="B234" s="61" t="n">
        <v>316.9</v>
      </c>
      <c r="C234" s="28" t="n">
        <v>1.1668</v>
      </c>
      <c r="D234" s="61" t="n">
        <v>366.1</v>
      </c>
      <c r="E234" s="61" t="n">
        <v>201.2</v>
      </c>
      <c r="F234" s="61" t="n">
        <v>49.2</v>
      </c>
    </row>
    <row r="235">
      <c r="A235" s="60" t="n">
        <v>45889</v>
      </c>
      <c r="B235" s="61" t="n">
        <v>316</v>
      </c>
      <c r="C235" s="28" t="n">
        <v>1.1643</v>
      </c>
      <c r="D235" s="61" t="n">
        <v>364.5</v>
      </c>
      <c r="E235" s="61" t="n">
        <v>201.1</v>
      </c>
      <c r="F235" s="61" t="n">
        <v>48.5</v>
      </c>
    </row>
    <row r="236">
      <c r="A236" s="60" t="n">
        <v>45890</v>
      </c>
      <c r="B236" s="61" t="n">
        <v>315</v>
      </c>
      <c r="C236" s="28" t="n">
        <v>1.1652</v>
      </c>
      <c r="D236" s="61" t="n">
        <v>364.8</v>
      </c>
      <c r="E236" s="61" t="n">
        <v>200.4</v>
      </c>
      <c r="F236" s="61" t="n">
        <v>49.8</v>
      </c>
    </row>
    <row r="237">
      <c r="A237" s="60" t="n">
        <v>45891</v>
      </c>
      <c r="B237" s="61" t="n">
        <v>314.2</v>
      </c>
      <c r="C237" s="28" t="n">
        <v>1.1613</v>
      </c>
      <c r="D237" s="61" t="n">
        <v>363.3</v>
      </c>
      <c r="E237" s="61" t="n">
        <v>201.1</v>
      </c>
      <c r="F237" s="61" t="n">
        <v>49.1</v>
      </c>
    </row>
    <row r="238">
      <c r="A238" s="60" t="n">
        <v>45894</v>
      </c>
      <c r="B238" s="61" t="n">
        <v>312</v>
      </c>
      <c r="C238" s="28" t="n">
        <v>1.171</v>
      </c>
      <c r="D238" s="61" t="n">
        <v>361.9</v>
      </c>
      <c r="E238" s="61" t="n">
        <v>200.1</v>
      </c>
      <c r="F238" s="61" t="n">
        <v>49.9</v>
      </c>
    </row>
    <row r="239">
      <c r="A239" s="60" t="n">
        <v>45895</v>
      </c>
      <c r="B239" s="61" t="n">
        <v>311.4</v>
      </c>
      <c r="C239" s="28" t="n">
        <v>1.1618</v>
      </c>
      <c r="D239" s="61" t="n">
        <v>358.6</v>
      </c>
      <c r="E239" s="61" t="n">
        <v>198.9</v>
      </c>
      <c r="F239" s="61" t="n">
        <v>47.2</v>
      </c>
    </row>
    <row r="240">
      <c r="A240" s="60" t="n">
        <v>45896</v>
      </c>
      <c r="B240" s="61" t="n">
        <v>308.5</v>
      </c>
      <c r="C240" s="28" t="n">
        <v>1.1639</v>
      </c>
      <c r="D240" s="61" t="n">
        <v>356.6</v>
      </c>
      <c r="E240" s="61" t="n">
        <v>198</v>
      </c>
      <c r="F240" s="61" t="n">
        <v>48.1</v>
      </c>
    </row>
    <row r="241">
      <c r="A241" s="60" t="n">
        <v>45897</v>
      </c>
      <c r="B241" s="61" t="n">
        <v>306.5</v>
      </c>
      <c r="C241" s="28" t="n">
        <v>1.1648</v>
      </c>
      <c r="D241" s="61" t="n">
        <v>356.8</v>
      </c>
      <c r="E241" s="61" t="n">
        <v>196.8</v>
      </c>
      <c r="F241" s="61" t="n">
        <v>50.3</v>
      </c>
    </row>
    <row r="242">
      <c r="A242" s="60" t="n">
        <v>45898</v>
      </c>
      <c r="B242" s="61" t="n">
        <v>305.7</v>
      </c>
      <c r="C242" s="28" t="n">
        <v>1.1682</v>
      </c>
      <c r="D242" s="61" t="n">
        <v>356.5</v>
      </c>
      <c r="E242" s="61" t="n">
        <v>197</v>
      </c>
      <c r="F242" s="61" t="n">
        <v>50.8</v>
      </c>
    </row>
    <row r="243">
      <c r="A243" s="60" t="n">
        <v>45901</v>
      </c>
      <c r="B243" s="61" t="n">
        <v>305.1</v>
      </c>
      <c r="C243" s="28" t="n">
        <v>1.1692</v>
      </c>
      <c r="D243" s="61" t="n">
        <v>356.6</v>
      </c>
      <c r="E243" s="61" t="n">
        <v>196</v>
      </c>
      <c r="F243" s="61" t="n">
        <v>51.5</v>
      </c>
    </row>
    <row r="244">
      <c r="A244" s="60" t="n">
        <v>45902</v>
      </c>
      <c r="B244" s="61" t="n">
        <v>305.1</v>
      </c>
      <c r="C244" s="28" t="n">
        <v>1.1716</v>
      </c>
      <c r="D244" s="61" t="n">
        <v>355.7</v>
      </c>
      <c r="E244" s="61" t="n">
        <v>195.6</v>
      </c>
      <c r="F244" s="61" t="n">
        <v>50.6</v>
      </c>
    </row>
    <row r="245">
      <c r="A245" s="60" t="n">
        <v>45903</v>
      </c>
      <c r="B245" s="61" t="n">
        <v>305.6</v>
      </c>
      <c r="C245" s="28" t="n">
        <v>1.1636</v>
      </c>
      <c r="D245" s="61" t="n">
        <v>353.5</v>
      </c>
      <c r="E245" s="61" t="n">
        <v>195.3</v>
      </c>
      <c r="F245" s="61" t="n">
        <v>47.9</v>
      </c>
    </row>
    <row r="246">
      <c r="A246" s="60" t="n">
        <v>45904</v>
      </c>
      <c r="B246" s="61" t="n">
        <v>304.9</v>
      </c>
      <c r="C246" s="28" t="n">
        <v>1.166</v>
      </c>
      <c r="D246" s="61" t="n">
        <v>352.6</v>
      </c>
      <c r="E246" s="61" t="n">
        <v>195.9</v>
      </c>
      <c r="F246" s="61" t="n">
        <v>47.7</v>
      </c>
    </row>
    <row r="247">
      <c r="A247" s="60" t="n">
        <v>45905</v>
      </c>
      <c r="B247" s="61" t="n">
        <v>303.9</v>
      </c>
      <c r="C247" s="28" t="n">
        <v>1.1657</v>
      </c>
      <c r="D247" s="61" t="n">
        <v>352.5</v>
      </c>
      <c r="E247" s="61" t="n">
        <v>196.2</v>
      </c>
      <c r="F247" s="61" t="n">
        <v>48.6</v>
      </c>
    </row>
    <row r="248">
      <c r="A248" s="60" t="n">
        <v>45908</v>
      </c>
      <c r="B248" s="61" t="n">
        <v>304.7</v>
      </c>
      <c r="C248" s="28" t="n">
        <v>1.1713</v>
      </c>
      <c r="D248" s="61" t="n">
        <v>354.4</v>
      </c>
      <c r="E248" s="61" t="n">
        <v>196.4</v>
      </c>
      <c r="F248" s="61" t="n">
        <v>49.7</v>
      </c>
    </row>
    <row r="249">
      <c r="A249" s="60" t="n">
        <v>45909</v>
      </c>
      <c r="B249" s="61" t="n">
        <v>307.7</v>
      </c>
      <c r="C249" s="28" t="n">
        <v>1.1769</v>
      </c>
      <c r="D249" s="61" t="n">
        <v>352.5</v>
      </c>
      <c r="E249" s="61" t="n">
        <v>195.4</v>
      </c>
      <c r="F249" s="61" t="n">
        <v>44.8</v>
      </c>
    </row>
    <row r="250">
      <c r="A250" s="60" t="n">
        <v>45910</v>
      </c>
      <c r="B250" s="61" t="n">
        <v>305.9</v>
      </c>
      <c r="C250" s="28" t="n">
        <v>1.1703</v>
      </c>
      <c r="D250" s="61" t="n">
        <v>351.6</v>
      </c>
      <c r="E250" s="61" t="n">
        <v>196.2</v>
      </c>
      <c r="F250" s="61" t="n">
        <v>45.7</v>
      </c>
    </row>
    <row r="251">
      <c r="A251" s="60" t="n">
        <v>45911</v>
      </c>
      <c r="B251" s="61" t="n">
        <v>303.6</v>
      </c>
      <c r="C251" s="28" t="n">
        <v>1.1703</v>
      </c>
      <c r="D251" s="61" t="n">
        <v>351.7</v>
      </c>
      <c r="E251" s="61" t="n">
        <v>196.1</v>
      </c>
      <c r="F251" s="61" t="n">
        <v>48.1</v>
      </c>
    </row>
    <row r="252">
      <c r="A252" s="60" t="n">
        <v>45912</v>
      </c>
      <c r="B252" s="61" t="n">
        <v>302.6</v>
      </c>
      <c r="C252" s="28" t="n">
        <v>1.1735</v>
      </c>
      <c r="D252" s="61" t="n">
        <v>351.9</v>
      </c>
      <c r="E252" s="61" t="n">
        <v>195.1</v>
      </c>
      <c r="F252" s="61" t="n">
        <v>49.3</v>
      </c>
    </row>
    <row r="253">
      <c r="A253" s="60" t="n">
        <v>45915</v>
      </c>
      <c r="B253" s="61" t="n">
        <v>298</v>
      </c>
      <c r="C253" s="28" t="n">
        <v>1.1726</v>
      </c>
      <c r="D253" s="61" t="n">
        <v>348</v>
      </c>
      <c r="E253" s="61" t="n">
        <v>194</v>
      </c>
      <c r="F253" s="61" t="n">
        <v>50</v>
      </c>
    </row>
    <row r="254">
      <c r="A254" s="60" t="n">
        <v>45916</v>
      </c>
      <c r="B254" s="61" t="n">
        <v>297.6</v>
      </c>
      <c r="C254" s="28" t="n">
        <v>1.1764</v>
      </c>
      <c r="D254" s="61" t="n">
        <v>347.2</v>
      </c>
      <c r="E254" s="61" t="n">
        <v>194</v>
      </c>
      <c r="F254" s="61" t="n">
        <v>49.6</v>
      </c>
    </row>
    <row r="255">
      <c r="A255" s="60" t="n">
        <v>45917</v>
      </c>
      <c r="B255" s="61" t="n">
        <v>298.4</v>
      </c>
      <c r="C255" s="28" t="n">
        <v>1.1871</v>
      </c>
      <c r="D255" s="61" t="n">
        <v>346.7</v>
      </c>
      <c r="E255" s="61" t="n">
        <v>193.4</v>
      </c>
      <c r="F255" s="61" t="n">
        <v>48.3</v>
      </c>
    </row>
    <row r="256">
      <c r="A256" s="60" t="n">
        <v>45918</v>
      </c>
      <c r="B256" s="61" t="n">
        <v>297.6</v>
      </c>
      <c r="C256" s="28" t="n">
        <v>1.1826</v>
      </c>
      <c r="D256" s="61" t="n">
        <v>344.9</v>
      </c>
      <c r="E256" s="61" t="n">
        <v>194.3</v>
      </c>
      <c r="F256" s="61" t="n">
        <v>47.3</v>
      </c>
    </row>
    <row r="257">
      <c r="A257" s="60" t="n">
        <v>45919</v>
      </c>
      <c r="B257" s="61" t="n">
        <v>299.9</v>
      </c>
      <c r="C257" s="28" t="n">
        <v>1.1791</v>
      </c>
      <c r="D257" s="61" t="n">
        <v>344.6</v>
      </c>
      <c r="E257" s="61" t="n">
        <v>194.5</v>
      </c>
      <c r="F257" s="61" t="n">
        <v>44.7</v>
      </c>
    </row>
    <row r="258">
      <c r="A258" s="60" t="n">
        <v>45922</v>
      </c>
      <c r="B258" s="61" t="n">
        <v>298.7</v>
      </c>
      <c r="C258" s="28" t="n">
        <v>1.1737</v>
      </c>
      <c r="D258" s="61" t="n">
        <v>343.6</v>
      </c>
      <c r="E258" s="61" t="n">
        <v>194.5</v>
      </c>
      <c r="F258" s="61" t="n">
        <v>44.9</v>
      </c>
    </row>
    <row r="259">
      <c r="A259" s="60" t="n">
        <v>45923</v>
      </c>
      <c r="B259" s="61" t="n">
        <v>300.8</v>
      </c>
      <c r="C259" s="28" t="n">
        <v>1.1801</v>
      </c>
      <c r="D259" s="61" t="n">
        <v>342.6</v>
      </c>
      <c r="E259" s="61" t="n">
        <v>193.7</v>
      </c>
      <c r="F259" s="61" t="n">
        <v>41.8</v>
      </c>
    </row>
    <row r="260">
      <c r="A260" s="60" t="n">
        <v>45924</v>
      </c>
      <c r="B260" s="61" t="n">
        <v>301.6</v>
      </c>
      <c r="C260" s="28" t="n">
        <v>1.1814</v>
      </c>
      <c r="D260" s="61" t="n">
        <v>343.7</v>
      </c>
      <c r="E260" s="61" t="n">
        <v>193.5</v>
      </c>
      <c r="F260" s="61" t="n">
        <v>42.1</v>
      </c>
    </row>
    <row r="261">
      <c r="A261" s="60" t="n">
        <v>45925</v>
      </c>
      <c r="B261" s="61" t="n">
        <v>300.5</v>
      </c>
      <c r="C261" s="28" t="n">
        <v>1.1745</v>
      </c>
      <c r="D261" s="61" t="n">
        <v>342.8</v>
      </c>
      <c r="E261" s="61" t="n">
        <v>193.6</v>
      </c>
      <c r="F261" s="61" t="n">
        <v>42.3</v>
      </c>
    </row>
    <row r="262">
      <c r="A262" s="60" t="n">
        <v>45926</v>
      </c>
      <c r="B262" s="61" t="n">
        <v>299.8</v>
      </c>
      <c r="C262" s="28" t="n">
        <v>1.1663</v>
      </c>
      <c r="D262" s="61" t="n">
        <v>344</v>
      </c>
      <c r="E262" s="61" t="n">
        <v>192.6</v>
      </c>
      <c r="F262" s="61" t="n">
        <v>44.2</v>
      </c>
    </row>
    <row r="263">
      <c r="A263" s="60" t="n">
        <v>45929</v>
      </c>
      <c r="B263" s="61" t="n">
        <v>298.3</v>
      </c>
      <c r="C263" s="28" t="n">
        <v>1.1708</v>
      </c>
      <c r="D263" s="61" t="n">
        <v>343.9</v>
      </c>
      <c r="E263" s="61" t="n">
        <v>191.1</v>
      </c>
      <c r="F263" s="61" t="n">
        <v>45.6</v>
      </c>
    </row>
    <row r="264">
      <c r="A264" s="60" t="n">
        <v>45930</v>
      </c>
      <c r="B264" s="61" t="n">
        <v>296.1</v>
      </c>
      <c r="C264" s="28" t="n">
        <v>1.1731</v>
      </c>
      <c r="D264" s="61" t="n">
        <v>342.9</v>
      </c>
      <c r="E264" s="61" t="n">
        <v>191.4</v>
      </c>
      <c r="F264" s="61" t="n">
        <v>46.8</v>
      </c>
    </row>
    <row r="265">
      <c r="A265" s="60" t="n">
        <v>45931</v>
      </c>
      <c r="B265" s="61" t="n">
        <v>297.3</v>
      </c>
      <c r="C265" s="28" t="n">
        <v>1.1736</v>
      </c>
      <c r="D265" s="61" t="n">
        <v>344.9</v>
      </c>
      <c r="E265" s="61" t="n">
        <v>190.9</v>
      </c>
      <c r="F265" s="61" t="n">
        <v>47.6</v>
      </c>
    </row>
    <row r="266">
      <c r="A266" s="60" t="n">
        <v>45932</v>
      </c>
      <c r="B266" s="61" t="n">
        <v>297.1</v>
      </c>
      <c r="C266" s="28" t="n">
        <v>1.1734</v>
      </c>
      <c r="D266" s="61" t="n">
        <v>343.9</v>
      </c>
      <c r="E266" s="61" t="n">
        <v>191.4</v>
      </c>
      <c r="F266" s="61" t="n">
        <v>46.8</v>
      </c>
    </row>
    <row r="267">
      <c r="A267" s="60" t="n">
        <v>45933</v>
      </c>
      <c r="B267" s="61" t="n">
        <v>296</v>
      </c>
      <c r="C267" s="28" t="n">
        <v>1.1725</v>
      </c>
      <c r="D267" s="61" t="n">
        <v>343</v>
      </c>
      <c r="E267" s="61" t="n">
        <v>192.5</v>
      </c>
      <c r="F267" s="61" t="n">
        <v>47</v>
      </c>
    </row>
    <row r="268">
      <c r="A268" s="60" t="n">
        <v>45936</v>
      </c>
      <c r="B268" s="61" t="n">
        <v>294.4</v>
      </c>
      <c r="C268" s="28" t="n">
        <v>1.1712</v>
      </c>
      <c r="D268" s="61" t="n">
        <v>342.2</v>
      </c>
      <c r="E268" s="61" t="n">
        <v>192</v>
      </c>
      <c r="F268" s="61" t="n">
        <v>47.8</v>
      </c>
    </row>
    <row r="269">
      <c r="A269" s="60" t="n">
        <v>45937</v>
      </c>
      <c r="B269" s="61" t="n">
        <v>292.4</v>
      </c>
      <c r="C269" s="28" t="n">
        <v>1.171</v>
      </c>
      <c r="D269" s="61" t="n">
        <v>342.2</v>
      </c>
      <c r="E269" s="61" t="n">
        <v>191.3</v>
      </c>
      <c r="F269" s="61" t="n">
        <v>49.8</v>
      </c>
    </row>
    <row r="270">
      <c r="A270" s="60" t="n">
        <v>45938</v>
      </c>
      <c r="B270" s="61" t="n">
        <v>291.2</v>
      </c>
      <c r="C270" s="28" t="n">
        <v>1.1655</v>
      </c>
      <c r="D270" s="61" t="n">
        <v>340.2</v>
      </c>
      <c r="E270" s="61" t="n">
        <v>191.9</v>
      </c>
      <c r="F270" s="61" t="n">
        <v>49</v>
      </c>
    </row>
    <row r="271">
      <c r="A271" s="60" t="n">
        <v>45939</v>
      </c>
      <c r="B271" s="61" t="n">
        <v>290.3</v>
      </c>
      <c r="C271" s="28" t="n">
        <v>1.1632</v>
      </c>
      <c r="D271" s="61" t="n">
        <v>340.4</v>
      </c>
      <c r="E271" s="61" t="n">
        <v>190.7</v>
      </c>
      <c r="F271" s="61" t="n">
        <v>50.1</v>
      </c>
    </row>
    <row r="272">
      <c r="A272" s="60" t="n">
        <v>45940</v>
      </c>
      <c r="B272" s="61" t="n">
        <v>290.5</v>
      </c>
      <c r="C272" s="28" t="n">
        <v>1.1566</v>
      </c>
      <c r="D272" s="61" t="n">
        <v>339.3</v>
      </c>
      <c r="E272" s="61" t="n">
        <v>189.8</v>
      </c>
      <c r="F272" s="61" t="n">
        <v>48.8</v>
      </c>
    </row>
    <row r="273">
      <c r="A273" s="60" t="n">
        <v>45943</v>
      </c>
      <c r="B273" s="61" t="n">
        <v>287.9</v>
      </c>
      <c r="C273" s="28" t="n">
        <v>1.1602</v>
      </c>
      <c r="D273" s="61" t="n">
        <v>340</v>
      </c>
      <c r="E273" s="61" t="n">
        <v>189</v>
      </c>
      <c r="F273" s="61" t="n">
        <v>52.1</v>
      </c>
    </row>
    <row r="274">
      <c r="A274" s="60" t="n">
        <v>45944</v>
      </c>
      <c r="B274" s="61" t="n">
        <v>284.9</v>
      </c>
      <c r="C274" s="28" t="n">
        <v>1.1567</v>
      </c>
      <c r="D274" s="61" t="n">
        <v>340.9</v>
      </c>
      <c r="E274" s="61" t="n">
        <v>189.1</v>
      </c>
      <c r="F274" s="61" t="n">
        <v>56</v>
      </c>
    </row>
    <row r="275">
      <c r="A275" s="60" t="n">
        <v>45945</v>
      </c>
      <c r="B275" s="61" t="n">
        <v>284.1</v>
      </c>
      <c r="C275" s="28" t="n">
        <v>1.1602</v>
      </c>
      <c r="D275" s="61" t="n">
        <v>337.6</v>
      </c>
      <c r="E275" s="61" t="n">
        <v>188.4</v>
      </c>
      <c r="F275" s="61" t="n">
        <v>53.5</v>
      </c>
    </row>
    <row r="276">
      <c r="A276" s="60" t="n">
        <v>45946</v>
      </c>
      <c r="B276" s="61" t="n">
        <v>280.2</v>
      </c>
      <c r="C276" s="28" t="n">
        <v>1.1646</v>
      </c>
      <c r="D276" s="61" t="n">
        <v>337.6</v>
      </c>
      <c r="E276" s="61" t="n">
        <v>186.6</v>
      </c>
      <c r="F276" s="61" t="n">
        <v>57.4</v>
      </c>
    </row>
    <row r="277">
      <c r="A277" s="60" t="n">
        <v>45947</v>
      </c>
      <c r="B277" s="61" t="n">
        <v>279.9</v>
      </c>
      <c r="C277" s="28" t="n">
        <v>1.17</v>
      </c>
      <c r="D277" s="61" t="n">
        <v>336</v>
      </c>
      <c r="E277" s="61" t="n">
        <v>185.6</v>
      </c>
      <c r="F277" s="61" t="n">
        <v>56.1</v>
      </c>
    </row>
    <row r="278">
      <c r="A278" s="60" t="n">
        <v>45950</v>
      </c>
      <c r="B278" s="61" t="n">
        <v>278.2</v>
      </c>
      <c r="C278" s="28" t="n">
        <v>1.1657</v>
      </c>
      <c r="D278" s="61" t="n">
        <v>334.7</v>
      </c>
      <c r="E278" s="61" t="n">
        <v>184.9</v>
      </c>
      <c r="F278" s="61" t="n">
        <v>56.5</v>
      </c>
    </row>
    <row r="279">
      <c r="A279" s="60" t="n">
        <v>45951</v>
      </c>
      <c r="B279" s="61" t="n">
        <v>278</v>
      </c>
      <c r="C279" s="28" t="n">
        <v>1.1644</v>
      </c>
      <c r="D279" s="61" t="n">
        <v>332.8</v>
      </c>
      <c r="E279" s="61" t="n">
        <v>184.8</v>
      </c>
      <c r="F279" s="61" t="n">
        <v>54.8</v>
      </c>
    </row>
    <row r="280">
      <c r="A280" s="60" t="n">
        <v>45952</v>
      </c>
      <c r="B280" s="61" t="n">
        <v>276.9</v>
      </c>
      <c r="C280" s="28" t="n">
        <v>1.16</v>
      </c>
      <c r="D280" s="61" t="n">
        <v>333.6</v>
      </c>
      <c r="E280" s="61" t="n">
        <v>184.2</v>
      </c>
      <c r="F280" s="61" t="n">
        <v>56.7</v>
      </c>
    </row>
    <row r="281">
      <c r="A281" s="60" t="n">
        <v>45953</v>
      </c>
      <c r="B281" s="61" t="n">
        <v>276.2</v>
      </c>
      <c r="C281" s="28" t="n">
        <v>1.1608</v>
      </c>
      <c r="D281" s="61" t="n">
        <v>332.7</v>
      </c>
      <c r="E281" s="61" t="n">
        <v>183.8</v>
      </c>
      <c r="F281" s="61" t="n">
        <v>56.5</v>
      </c>
    </row>
    <row r="282">
      <c r="A282" s="60" t="n">
        <v>45954</v>
      </c>
      <c r="B282" s="61" t="n">
        <v>276.2</v>
      </c>
      <c r="C282" s="28" t="n">
        <v>1.1618</v>
      </c>
      <c r="D282" s="61" t="n">
        <v>330.1</v>
      </c>
      <c r="E282" s="61" t="n">
        <v>182.9</v>
      </c>
      <c r="F282" s="61" t="n">
        <v>53.9</v>
      </c>
    </row>
    <row r="283">
      <c r="A283" s="60" t="n">
        <v>45957</v>
      </c>
      <c r="B283" s="61" t="n">
        <v>274.2</v>
      </c>
      <c r="C283" s="28" t="n">
        <v>1.1632</v>
      </c>
      <c r="D283" s="61" t="n">
        <v>328.4</v>
      </c>
      <c r="E283" s="61" t="n">
        <v>183.3</v>
      </c>
      <c r="F283" s="61" t="n">
        <v>54.2</v>
      </c>
    </row>
    <row r="284">
      <c r="A284" s="60" t="n">
        <v>45958</v>
      </c>
      <c r="B284" s="61" t="n">
        <v>275.1</v>
      </c>
      <c r="C284" s="28" t="n">
        <v>1.1652</v>
      </c>
      <c r="D284" s="61" t="n">
        <v>327.7</v>
      </c>
      <c r="E284" s="61" t="n">
        <v>183.1</v>
      </c>
      <c r="F284" s="61" t="n">
        <v>52.6</v>
      </c>
    </row>
    <row r="285">
      <c r="A285" s="60" t="n">
        <v>45959</v>
      </c>
      <c r="B285" s="61" t="n">
        <v>273.7</v>
      </c>
      <c r="C285" s="28" t="n">
        <v>1.1658</v>
      </c>
      <c r="D285" s="61" t="n">
        <v>325.4</v>
      </c>
      <c r="E285" s="61" t="n">
        <v>183.2</v>
      </c>
      <c r="F285" s="61" t="n">
        <v>51.7</v>
      </c>
    </row>
    <row r="286">
      <c r="A286" s="60" t="n">
        <v>45960</v>
      </c>
      <c r="B286" s="61" t="n">
        <v>272.4</v>
      </c>
      <c r="C286" s="28" t="n">
        <v>1.1603</v>
      </c>
      <c r="D286" s="61" t="n">
        <v>324.4</v>
      </c>
      <c r="E286" s="61" t="n">
        <v>182.7</v>
      </c>
      <c r="F286" s="61" t="n">
        <v>52</v>
      </c>
    </row>
    <row r="287">
      <c r="A287" s="60" t="n">
        <v>45961</v>
      </c>
      <c r="B287" s="61" t="n">
        <v>272</v>
      </c>
      <c r="C287" s="28" t="n">
        <v>1.1572</v>
      </c>
      <c r="D287" s="61" t="n">
        <v>324</v>
      </c>
      <c r="E287" s="61" t="n">
        <v>180</v>
      </c>
      <c r="F287" s="61" t="n">
        <v>52</v>
      </c>
    </row>
    <row r="288">
      <c r="A288" s="60" t="n">
        <v>45964</v>
      </c>
      <c r="B288" s="61" t="n">
        <v>271</v>
      </c>
      <c r="C288" s="28" t="n">
        <v>1.1528</v>
      </c>
      <c r="D288" s="61" t="n">
        <v>323.8</v>
      </c>
      <c r="E288" s="61" t="n">
        <v>179.8</v>
      </c>
      <c r="F288" s="61" t="n">
        <v>52.8</v>
      </c>
    </row>
    <row r="289">
      <c r="A289" s="60" t="n">
        <v>45965</v>
      </c>
      <c r="B289" s="61" t="n">
        <v>268.5</v>
      </c>
      <c r="C289" s="28" t="n">
        <v>1.1519</v>
      </c>
      <c r="D289" s="61" t="n">
        <v>323.3</v>
      </c>
      <c r="E289" s="61" t="n">
        <v>180.1</v>
      </c>
      <c r="F289" s="61" t="n">
        <v>54.8</v>
      </c>
    </row>
    <row r="290">
      <c r="A290" s="60" t="n">
        <v>45966</v>
      </c>
      <c r="B290" s="61" t="n">
        <v>270.2</v>
      </c>
      <c r="C290" s="28" t="n">
        <v>1.1486</v>
      </c>
      <c r="D290" s="61" t="n">
        <v>322.4</v>
      </c>
      <c r="E290" s="61" t="n">
        <v>179.4</v>
      </c>
      <c r="F290" s="61" t="n">
        <v>52.2</v>
      </c>
    </row>
    <row r="291">
      <c r="A291" s="60" t="n">
        <v>45967</v>
      </c>
      <c r="B291" s="61" t="n">
        <v>271.5</v>
      </c>
      <c r="C291" s="28" t="n">
        <v>1.1497</v>
      </c>
      <c r="D291" s="61" t="n">
        <v>320.8</v>
      </c>
      <c r="E291" s="61" t="n">
        <v>178.5</v>
      </c>
      <c r="F291" s="61" t="n">
        <v>49.3</v>
      </c>
    </row>
    <row r="292">
      <c r="A292" s="60" t="n">
        <v>45968</v>
      </c>
      <c r="B292" s="61" t="n">
        <v>272</v>
      </c>
      <c r="C292" s="28" t="n">
        <v>1.1549</v>
      </c>
      <c r="D292" s="61" t="n">
        <v>320.3</v>
      </c>
      <c r="E292" s="61" t="n">
        <v>178.4</v>
      </c>
      <c r="F292" s="61" t="n">
        <v>48.3</v>
      </c>
    </row>
    <row r="293">
      <c r="A293" s="60" t="n">
        <v>45971</v>
      </c>
      <c r="B293" s="61" t="n">
        <v>271.9</v>
      </c>
      <c r="C293" s="28" t="n">
        <v>1.1544</v>
      </c>
      <c r="D293" s="61" t="n">
        <v>318.6</v>
      </c>
      <c r="E293" s="61" t="n">
        <v>178.3</v>
      </c>
      <c r="F293" s="61" t="n">
        <v>46.7</v>
      </c>
    </row>
    <row r="294">
      <c r="A294" s="60" t="n">
        <v>45972</v>
      </c>
      <c r="B294" s="61" t="n">
        <v>272.2</v>
      </c>
      <c r="C294" s="28" t="n">
        <v>1.1557</v>
      </c>
      <c r="D294" s="61" t="n">
        <v>320.3</v>
      </c>
      <c r="E294" s="61" t="n">
        <v>180.1</v>
      </c>
      <c r="F294" s="61" t="n">
        <v>48.1</v>
      </c>
    </row>
    <row r="295">
      <c r="A295" s="60" t="n">
        <v>45973</v>
      </c>
      <c r="B295" s="61" t="n">
        <v>271.8</v>
      </c>
      <c r="C295" s="28" t="n">
        <v>1.1587</v>
      </c>
      <c r="D295" s="61" t="n">
        <v>318.5</v>
      </c>
      <c r="E295" s="61" t="n">
        <v>179.2</v>
      </c>
      <c r="F295" s="61" t="n">
        <v>46.7</v>
      </c>
    </row>
    <row r="296">
      <c r="A296" s="60" t="n">
        <v>45974</v>
      </c>
      <c r="B296" s="61" t="n">
        <v>272.2</v>
      </c>
      <c r="C296" s="28" t="n">
        <v>1.1592</v>
      </c>
      <c r="D296" s="61" t="n">
        <v>320</v>
      </c>
      <c r="E296" s="61" t="n">
        <v>179.5</v>
      </c>
      <c r="F296" s="61" t="n">
        <v>47.8</v>
      </c>
    </row>
    <row r="297">
      <c r="A297" s="60" t="n">
        <v>45975</v>
      </c>
      <c r="B297" s="61" t="n">
        <v>270.9</v>
      </c>
      <c r="C297" s="28" t="n">
        <v>1.1632</v>
      </c>
      <c r="D297" s="61" t="n">
        <v>319.1</v>
      </c>
      <c r="E297" s="61" t="n">
        <v>178</v>
      </c>
      <c r="F297" s="61" t="n">
        <v>48.2</v>
      </c>
    </row>
    <row r="298">
      <c r="A298" s="60" t="n">
        <v>45978</v>
      </c>
      <c r="B298" s="61" t="n">
        <v>270.8</v>
      </c>
      <c r="C298" s="28" t="n">
        <v>1.1615</v>
      </c>
      <c r="D298" s="61" t="n">
        <v>320.8</v>
      </c>
      <c r="E298" s="61" t="n">
        <v>177.6</v>
      </c>
      <c r="F298" s="61" t="n">
        <v>50</v>
      </c>
    </row>
    <row r="299">
      <c r="A299" s="60" t="n">
        <v>45979</v>
      </c>
      <c r="B299" s="61" t="n">
        <v>270.9</v>
      </c>
      <c r="C299" s="28" t="n">
        <v>1.1591</v>
      </c>
      <c r="D299" s="61" t="n">
        <v>321.4</v>
      </c>
      <c r="E299" s="61" t="n">
        <v>177.9</v>
      </c>
      <c r="F299" s="61" t="n">
        <v>50.5</v>
      </c>
    </row>
    <row r="300">
      <c r="A300" s="60" t="n">
        <v>45980</v>
      </c>
      <c r="B300" s="61" t="n">
        <v>269.4</v>
      </c>
      <c r="C300" s="28" t="n">
        <v>1.1581</v>
      </c>
      <c r="D300" s="61" t="n">
        <v>319</v>
      </c>
      <c r="E300" s="61" t="n">
        <v>177.7</v>
      </c>
      <c r="F300" s="61" t="n">
        <v>49.6</v>
      </c>
    </row>
    <row r="301">
      <c r="A301" s="60" t="n">
        <v>45981</v>
      </c>
      <c r="B301" s="61" t="n">
        <v>269.7</v>
      </c>
      <c r="C301" s="28" t="n">
        <v>1.1541</v>
      </c>
      <c r="D301" s="61" t="n">
        <v>319</v>
      </c>
      <c r="E301" s="61" t="n">
        <v>176.7</v>
      </c>
      <c r="F301" s="61" t="n">
        <v>49.3</v>
      </c>
    </row>
    <row r="302">
      <c r="A302" s="60" t="n">
        <v>45982</v>
      </c>
      <c r="B302" s="61" t="n">
        <v>271.1</v>
      </c>
      <c r="C302" s="28" t="n">
        <v>1.1535</v>
      </c>
      <c r="D302" s="61" t="n">
        <v>318.6</v>
      </c>
      <c r="E302" s="61" t="n">
        <v>176.8</v>
      </c>
      <c r="F302" s="61" t="n">
        <v>47.5</v>
      </c>
    </row>
    <row r="303">
      <c r="A303" s="60" t="n">
        <v>45985</v>
      </c>
      <c r="B303" s="61" t="n">
        <v>269.8</v>
      </c>
      <c r="C303" s="28" t="n">
        <v>1.1508</v>
      </c>
      <c r="D303" s="61" t="n">
        <v>318.8</v>
      </c>
      <c r="E303" s="61" t="n">
        <v>176.8</v>
      </c>
      <c r="F303" s="61" t="n">
        <v>49</v>
      </c>
    </row>
    <row r="304">
      <c r="A304" s="60" t="n">
        <v>45986</v>
      </c>
      <c r="B304" s="61" t="n">
        <v>268.7</v>
      </c>
      <c r="C304" s="28" t="n">
        <v>1.152</v>
      </c>
      <c r="D304" s="61" t="n">
        <v>319.9</v>
      </c>
      <c r="E304" s="61" t="n">
        <v>177</v>
      </c>
      <c r="F304" s="61" t="n">
        <v>51.2</v>
      </c>
    </row>
    <row r="305">
      <c r="A305" s="60" t="n">
        <v>45987</v>
      </c>
      <c r="B305" s="61" t="n">
        <v>268.1</v>
      </c>
      <c r="C305" s="28" t="n">
        <v>1.1565</v>
      </c>
      <c r="D305" s="61" t="n">
        <v>317.8</v>
      </c>
      <c r="E305" s="61" t="n">
        <v>176.9</v>
      </c>
      <c r="F305" s="61" t="n">
        <v>49.7</v>
      </c>
    </row>
    <row r="306">
      <c r="A306" s="60" t="n">
        <v>45988</v>
      </c>
      <c r="B306" s="61" t="n">
        <v>268</v>
      </c>
      <c r="C306" s="28" t="n">
        <v>1.1602</v>
      </c>
      <c r="D306" s="61" t="n">
        <v>316</v>
      </c>
      <c r="E306" s="61" t="n">
        <v>175.8</v>
      </c>
      <c r="F306" s="61" t="n">
        <v>48</v>
      </c>
    </row>
    <row r="307">
      <c r="A307" s="60" t="n">
        <v>45989</v>
      </c>
      <c r="B307" s="61" t="n">
        <v>266.7</v>
      </c>
      <c r="C307" s="28" t="n">
        <v>1.16</v>
      </c>
      <c r="D307" s="61" t="n">
        <v>314.3</v>
      </c>
      <c r="E307" s="61" t="n">
        <v>176.3</v>
      </c>
      <c r="F307" s="61" t="n">
        <v>47.6</v>
      </c>
    </row>
    <row r="308">
      <c r="A308" s="60" t="n">
        <v>45992</v>
      </c>
      <c r="B308" s="61" t="n">
        <v>266.2</v>
      </c>
      <c r="C308" s="28" t="n">
        <v>1.1601</v>
      </c>
      <c r="D308" s="61" t="n">
        <v>313.7</v>
      </c>
      <c r="E308" s="61" t="n">
        <v>175</v>
      </c>
      <c r="F308" s="61" t="n">
        <v>47.5</v>
      </c>
    </row>
    <row r="309">
      <c r="A309" s="60" t="n">
        <v>45993</v>
      </c>
      <c r="B309" s="61" t="n">
        <v>263.6</v>
      </c>
      <c r="C309" s="28" t="n">
        <v>1.1608</v>
      </c>
      <c r="D309" s="61" t="n">
        <v>312.9</v>
      </c>
      <c r="E309" s="61" t="n">
        <v>173.9</v>
      </c>
      <c r="F309" s="61" t="n">
        <v>49.3</v>
      </c>
    </row>
    <row r="310">
      <c r="A310" s="60" t="n">
        <v>45994</v>
      </c>
      <c r="B310" s="61" t="n">
        <v>262.3</v>
      </c>
      <c r="C310" s="28" t="n">
        <v>1.1628</v>
      </c>
      <c r="D310" s="61" t="n">
        <v>312.9</v>
      </c>
      <c r="E310" s="61" t="n">
        <v>174.1</v>
      </c>
      <c r="F310" s="61" t="n">
        <v>50.6</v>
      </c>
    </row>
    <row r="311">
      <c r="A311" s="60" t="n">
        <v>45995</v>
      </c>
      <c r="B311" s="61" t="n">
        <v>260.9</v>
      </c>
      <c r="C311" s="28" t="n">
        <v>1.1667</v>
      </c>
      <c r="D311" s="61" t="n">
        <v>311.7</v>
      </c>
      <c r="E311" s="61" t="n">
        <v>174.1</v>
      </c>
      <c r="F311" s="61" t="n">
        <v>50.8</v>
      </c>
    </row>
    <row r="312">
      <c r="A312" s="60" t="n">
        <v>45996</v>
      </c>
      <c r="B312" s="61" t="n">
        <v>258.3</v>
      </c>
      <c r="C312" s="28" t="n">
        <v>1.1643</v>
      </c>
      <c r="D312" s="61" t="n">
        <v>310</v>
      </c>
      <c r="E312" s="61" t="n">
        <v>174</v>
      </c>
      <c r="F312" s="61" t="n">
        <v>51.7</v>
      </c>
    </row>
    <row r="313">
      <c r="A313" s="60" t="n">
        <v>45999</v>
      </c>
      <c r="B313" s="61" t="n">
        <v>255.1</v>
      </c>
      <c r="C313" s="28" t="n">
        <v>1.164</v>
      </c>
      <c r="D313" s="61" t="n">
        <v>309.5</v>
      </c>
      <c r="E313" s="61" t="n">
        <v>173</v>
      </c>
      <c r="F313" s="61" t="n">
        <v>54.4</v>
      </c>
    </row>
    <row r="314">
      <c r="A314" s="60" t="n">
        <v>46000</v>
      </c>
      <c r="B314" s="61" t="n">
        <v>256.1</v>
      </c>
      <c r="C314" s="28" t="n">
        <v>1.1641</v>
      </c>
      <c r="D314" s="61" t="n">
        <v>308</v>
      </c>
      <c r="E314" s="61" t="n">
        <v>171.6</v>
      </c>
      <c r="F314" s="61" t="n">
        <v>51.9</v>
      </c>
    </row>
    <row r="315">
      <c r="A315" s="60" t="n">
        <v>46001</v>
      </c>
      <c r="B315" s="61" t="n">
        <v>254.3</v>
      </c>
      <c r="C315" s="28" t="n">
        <v>1.1628</v>
      </c>
      <c r="D315" s="61" t="n">
        <v>306.4</v>
      </c>
      <c r="E315" s="61" t="n">
        <v>170.2</v>
      </c>
      <c r="F315" s="61" t="n">
        <v>52.1</v>
      </c>
    </row>
    <row r="316">
      <c r="A316" s="60" t="n">
        <v>46002</v>
      </c>
      <c r="B316" s="61" t="n">
        <v>252.1</v>
      </c>
      <c r="C316" s="28" t="n">
        <v>1.1701</v>
      </c>
      <c r="D316" s="61" t="n">
        <v>304.8</v>
      </c>
      <c r="E316" s="61" t="n">
        <v>168.9</v>
      </c>
      <c r="F316" s="61" t="n">
        <v>52.7</v>
      </c>
    </row>
    <row r="317">
      <c r="A317" s="60" t="n">
        <v>46003</v>
      </c>
      <c r="B317" s="61" t="n">
        <v>250</v>
      </c>
      <c r="C317" s="28" t="n">
        <v>1.1739</v>
      </c>
      <c r="D317" s="61" t="n">
        <v>302.4</v>
      </c>
      <c r="E317" s="61" t="n">
        <v>167.4</v>
      </c>
      <c r="F317" s="61" t="n">
        <v>52.4</v>
      </c>
    </row>
    <row r="318">
      <c r="A318" s="60" t="n">
        <v>46006</v>
      </c>
      <c r="B318" s="61" t="n">
        <v>248.8</v>
      </c>
      <c r="C318" s="28" t="n">
        <v>1.1738</v>
      </c>
      <c r="D318" s="61" t="n">
        <v>301.3</v>
      </c>
      <c r="E318" s="61" t="n">
        <v>166.2</v>
      </c>
      <c r="F318" s="61" t="n">
        <v>52.5</v>
      </c>
    </row>
    <row r="319">
      <c r="A319" s="60" t="n">
        <v>46007</v>
      </c>
      <c r="B319" s="61" t="n">
        <v>248.4</v>
      </c>
      <c r="C319" s="28" t="n">
        <v>1.1755</v>
      </c>
      <c r="D319" s="61" t="n">
        <v>301.4</v>
      </c>
      <c r="E319" s="61" t="n">
        <v>165.6</v>
      </c>
      <c r="F319" s="61" t="n">
        <v>53</v>
      </c>
    </row>
    <row r="320">
      <c r="A320" s="60" t="n">
        <v>46008</v>
      </c>
      <c r="B320" s="61" t="n">
        <v>249.6</v>
      </c>
      <c r="C320" s="28" t="n">
        <v>1.175</v>
      </c>
      <c r="D320" s="61" t="n">
        <v>300.4</v>
      </c>
      <c r="E320" s="61" t="n">
        <v>165.4</v>
      </c>
      <c r="F320" s="61" t="n">
        <v>50.8</v>
      </c>
    </row>
    <row r="321">
      <c r="A321" s="60" t="n">
        <v>46009</v>
      </c>
      <c r="B321" s="61" t="n">
        <v>246.4</v>
      </c>
      <c r="C321" s="28" t="n">
        <v>1.1742</v>
      </c>
      <c r="D321" s="61" t="n">
        <v>300.5</v>
      </c>
      <c r="E321" s="61" t="n">
        <v>164.7</v>
      </c>
      <c r="F321" s="61" t="n">
        <v>54.1</v>
      </c>
    </row>
    <row r="322">
      <c r="A322" s="60" t="n">
        <v>46010</v>
      </c>
      <c r="B322" s="61" t="n">
        <v>245.8</v>
      </c>
      <c r="C322" s="28" t="n">
        <v>1.1726</v>
      </c>
      <c r="D322" s="61" t="n">
        <v>297.6</v>
      </c>
      <c r="E322" s="61" t="n">
        <v>164.6</v>
      </c>
      <c r="F322" s="61" t="n">
        <v>51.8</v>
      </c>
    </row>
    <row r="323">
      <c r="A323" s="60" t="n">
        <v>46013</v>
      </c>
      <c r="B323" s="61" t="n">
        <v>246.1</v>
      </c>
      <c r="C323" s="28" t="n">
        <v>1.1708</v>
      </c>
      <c r="D323" s="61" t="n">
        <v>296.7</v>
      </c>
      <c r="E323" s="61" t="n">
        <v>163.7</v>
      </c>
      <c r="F323" s="61" t="n">
        <v>50.6</v>
      </c>
    </row>
    <row r="324">
      <c r="A324" s="60" t="n">
        <v>46014</v>
      </c>
      <c r="B324" s="61" t="n">
        <v>244.3</v>
      </c>
      <c r="C324" s="28" t="n">
        <v>1.1766</v>
      </c>
      <c r="D324" s="61" t="n">
        <v>297.3</v>
      </c>
      <c r="E324" s="61" t="n">
        <v>163.3</v>
      </c>
      <c r="F324" s="61" t="n">
        <v>53</v>
      </c>
    </row>
    <row r="325">
      <c r="A325" s="60" t="n">
        <v>46015</v>
      </c>
      <c r="B325" s="61" t="n">
        <v>244</v>
      </c>
      <c r="C325" s="28" t="n">
        <v>1.1796</v>
      </c>
      <c r="D325" s="61" t="n">
        <v>296</v>
      </c>
      <c r="E325" s="61" t="n">
        <v>162</v>
      </c>
      <c r="F325" s="61" t="n">
        <v>52</v>
      </c>
    </row>
    <row r="326">
      <c r="A326" s="60" t="n">
        <v>46017</v>
      </c>
      <c r="B326" s="61" t="n">
        <v>244.6</v>
      </c>
      <c r="C326" s="28" t="n">
        <v>1.1785</v>
      </c>
      <c r="D326" s="61" t="n">
        <v>296.5</v>
      </c>
      <c r="E326" s="61" t="n">
        <v>162</v>
      </c>
      <c r="F326" s="61" t="n">
        <v>51.9</v>
      </c>
    </row>
    <row r="327">
      <c r="A327" s="60" t="n">
        <v>46020</v>
      </c>
      <c r="B327" s="61" t="n">
        <v>244.5</v>
      </c>
      <c r="C327" s="28" t="n">
        <v>1.1773</v>
      </c>
      <c r="D327" s="61" t="n">
        <v>298.9</v>
      </c>
      <c r="E327" s="61" t="n">
        <v>161.9</v>
      </c>
      <c r="F327" s="61" t="n">
        <v>54.4</v>
      </c>
    </row>
    <row r="328">
      <c r="A328" s="60" t="n">
        <v>46021</v>
      </c>
      <c r="B328" s="61" t="n">
        <v>246.7</v>
      </c>
      <c r="C328" s="28" t="n">
        <v>1.1773</v>
      </c>
      <c r="D328" s="61" t="n">
        <v>296</v>
      </c>
      <c r="E328" s="61" t="n">
        <v>161.9</v>
      </c>
      <c r="F328" s="61" t="n">
        <v>49.3</v>
      </c>
    </row>
    <row r="329">
      <c r="A329" s="60" t="n">
        <v>46022</v>
      </c>
      <c r="B329" s="61" t="n">
        <v>248.3</v>
      </c>
      <c r="C329" s="28" t="n">
        <v>1.1747</v>
      </c>
      <c r="D329" s="61" t="n">
        <v>295.3</v>
      </c>
      <c r="E329" s="61" t="n">
        <v>163</v>
      </c>
      <c r="F329" s="61" t="n">
        <v>47</v>
      </c>
    </row>
    <row r="330">
      <c r="A330" s="60" t="n">
        <v>46024</v>
      </c>
      <c r="B330" s="61" t="n">
        <v>247.2</v>
      </c>
      <c r="C330" s="28" t="n">
        <v>1.175</v>
      </c>
      <c r="D330" s="61" t="n">
        <v>296.3</v>
      </c>
      <c r="E330" s="61" t="n">
        <v>163.5</v>
      </c>
      <c r="F330" s="61" t="n">
        <v>49.1</v>
      </c>
    </row>
    <row r="331">
      <c r="A331" s="60" t="n">
        <v>46027</v>
      </c>
      <c r="B331" s="61" t="n">
        <v>252</v>
      </c>
      <c r="C331" s="28" t="n">
        <v>1.1705</v>
      </c>
      <c r="D331" s="61" t="n">
        <v>304</v>
      </c>
      <c r="E331" s="61" t="n">
        <v>166</v>
      </c>
      <c r="F331" s="61" t="n">
        <v>52</v>
      </c>
    </row>
    <row r="332">
      <c r="A332" s="60" t="n">
        <v>46028</v>
      </c>
      <c r="B332" s="61" t="n">
        <v>250.8</v>
      </c>
      <c r="C332" s="28" t="n">
        <v>1.1715</v>
      </c>
      <c r="D332" s="61" t="n">
        <v>303.3</v>
      </c>
      <c r="E332" s="61" t="n">
        <v>166.6</v>
      </c>
      <c r="F332" s="61" t="n">
        <v>52.5</v>
      </c>
    </row>
    <row r="333">
      <c r="A333" s="60" t="n">
        <v>46029</v>
      </c>
      <c r="B333" s="61" t="n">
        <v>251.5</v>
      </c>
      <c r="C333" s="28" t="n">
        <v>1.1688</v>
      </c>
      <c r="D333" s="61" t="n">
        <v>301.1</v>
      </c>
      <c r="E333" s="61" t="n">
        <v>166.8</v>
      </c>
      <c r="F333" s="61" t="n">
        <v>49.6</v>
      </c>
    </row>
    <row r="334">
      <c r="A334" s="60" t="n">
        <v>46030</v>
      </c>
      <c r="B334" s="61" t="n">
        <v>251.9</v>
      </c>
      <c r="C334" s="28" t="n">
        <v>1.1677</v>
      </c>
      <c r="D334" s="61" t="n">
        <v>303.7</v>
      </c>
      <c r="E334" s="61" t="n">
        <v>165.5</v>
      </c>
      <c r="F334" s="61" t="n">
        <v>51.8</v>
      </c>
    </row>
    <row r="335">
      <c r="A335" s="60" t="n">
        <v>46031</v>
      </c>
      <c r="B335" s="61" t="n">
        <v>252</v>
      </c>
      <c r="C335" s="28" t="n">
        <v>1.1658</v>
      </c>
      <c r="D335" s="61" t="n">
        <v>302.9</v>
      </c>
      <c r="E335" s="61" t="n">
        <v>165.8</v>
      </c>
      <c r="F335" s="61" t="n">
        <v>50.9</v>
      </c>
    </row>
    <row r="336">
      <c r="A336" s="60" t="n">
        <v>46034</v>
      </c>
      <c r="B336" s="61" t="n">
        <v>250.2</v>
      </c>
      <c r="C336" s="28" t="n">
        <v>1.1624</v>
      </c>
      <c r="D336" s="61" t="n">
        <v>304.3</v>
      </c>
      <c r="E336" s="61" t="n">
        <v>165.8</v>
      </c>
      <c r="F336" s="61" t="n">
        <v>54.1</v>
      </c>
    </row>
    <row r="337">
      <c r="A337" s="60" t="n">
        <v>46035</v>
      </c>
      <c r="B337" s="61" t="n">
        <v>252.2</v>
      </c>
      <c r="C337" s="28" t="n">
        <v>1.1667</v>
      </c>
      <c r="D337" s="61" t="n">
        <v>305.6</v>
      </c>
      <c r="E337" s="61" t="n">
        <v>167.1</v>
      </c>
      <c r="F337" s="61" t="n">
        <v>53.4</v>
      </c>
    </row>
    <row r="338">
      <c r="A338" s="60" t="n">
        <v>46036</v>
      </c>
      <c r="B338" s="61" t="n">
        <v>253.6</v>
      </c>
      <c r="C338" s="28" t="n">
        <v>1.1643</v>
      </c>
      <c r="D338" s="61" t="n">
        <v>305.3</v>
      </c>
      <c r="E338" s="61" t="n">
        <v>168.2</v>
      </c>
      <c r="F338" s="61" t="n">
        <v>51.7</v>
      </c>
    </row>
    <row r="339">
      <c r="A339" s="60" t="n">
        <v>46037</v>
      </c>
      <c r="B339" s="61" t="n">
        <v>254.5</v>
      </c>
      <c r="C339" s="28" t="n">
        <v>1.1646</v>
      </c>
      <c r="D339" s="61" t="n">
        <v>306.9</v>
      </c>
      <c r="E339" s="61" t="n">
        <v>168.7</v>
      </c>
      <c r="F339" s="61" t="n">
        <v>52.4</v>
      </c>
    </row>
    <row r="340">
      <c r="A340" s="60" t="n">
        <v>46038</v>
      </c>
      <c r="B340" s="61" t="n">
        <v>253.2</v>
      </c>
      <c r="C340" s="28" t="n">
        <v>1.1609</v>
      </c>
      <c r="D340" s="61" t="n">
        <v>306.2</v>
      </c>
      <c r="E340" s="61" t="n">
        <v>169.3</v>
      </c>
      <c r="F340" s="61" t="n">
        <v>53</v>
      </c>
    </row>
    <row r="341">
      <c r="A341" s="60" t="n">
        <v>46041</v>
      </c>
      <c r="B341" s="61" t="n">
        <v>253.7</v>
      </c>
      <c r="C341" s="28" t="n">
        <v>1.1625</v>
      </c>
      <c r="D341" s="61" t="n">
        <v>306.3</v>
      </c>
      <c r="E341" s="61" t="n">
        <v>169.1</v>
      </c>
      <c r="F341" s="61" t="n">
        <v>52.6</v>
      </c>
    </row>
    <row r="342">
      <c r="A342" s="60" t="n">
        <v>46042</v>
      </c>
      <c r="B342" s="61" t="n">
        <v>254.5</v>
      </c>
      <c r="C342" s="28" t="n">
        <v>1.1639</v>
      </c>
      <c r="D342" s="61" t="n">
        <v>306.4</v>
      </c>
      <c r="E342" s="61" t="n">
        <v>168.8</v>
      </c>
      <c r="F342" s="61" t="n">
        <v>51.9</v>
      </c>
    </row>
    <row r="343">
      <c r="A343" s="60" t="n">
        <v>46043</v>
      </c>
      <c r="B343" s="61" t="n">
        <v>255.3</v>
      </c>
      <c r="C343" s="28" t="n">
        <v>1.1728</v>
      </c>
      <c r="D343" s="61" t="n">
        <v>307.1</v>
      </c>
      <c r="E343" s="61" t="n">
        <v>169.1</v>
      </c>
      <c r="F343" s="61" t="n">
        <v>51.8</v>
      </c>
    </row>
    <row r="344">
      <c r="A344" s="60" t="n">
        <v>46044</v>
      </c>
      <c r="B344" s="61" t="n">
        <v>256.6</v>
      </c>
      <c r="C344" s="28" t="n">
        <v>1.1673</v>
      </c>
      <c r="D344" s="61" t="n">
        <v>307</v>
      </c>
      <c r="E344" s="61" t="n">
        <v>170.7</v>
      </c>
      <c r="F344" s="61" t="n">
        <v>50.4</v>
      </c>
    </row>
    <row r="345">
      <c r="A345" s="60" t="n">
        <v>46045</v>
      </c>
      <c r="B345" s="61" t="n">
        <v>258.3</v>
      </c>
      <c r="C345" s="28" t="n">
        <v>1.1755</v>
      </c>
      <c r="D345" s="61" t="n">
        <v>307.1</v>
      </c>
      <c r="E345" s="61" t="n">
        <v>171.6</v>
      </c>
      <c r="F345" s="61" t="n">
        <v>48.8</v>
      </c>
    </row>
    <row r="346">
      <c r="A346" s="60" t="n">
        <v>46048</v>
      </c>
      <c r="B346" s="61" t="n">
        <v>258</v>
      </c>
      <c r="C346" s="28" t="n">
        <v>1.1858</v>
      </c>
      <c r="D346" s="61" t="n">
        <v>305.3</v>
      </c>
      <c r="E346" s="61" t="n">
        <v>171.7</v>
      </c>
      <c r="F346" s="61" t="n">
        <v>47.3</v>
      </c>
    </row>
    <row r="347">
      <c r="A347" s="60" t="n">
        <v>46049</v>
      </c>
      <c r="B347" s="61" t="n">
        <v>258.8</v>
      </c>
      <c r="C347" s="28" t="n">
        <v>1.1876</v>
      </c>
      <c r="D347" s="61" t="n">
        <v>307.6</v>
      </c>
      <c r="E347" s="61" t="n">
        <v>172.5</v>
      </c>
      <c r="F347" s="61" t="n">
        <v>48.8</v>
      </c>
    </row>
    <row r="348">
      <c r="A348" s="60" t="n">
        <v>46050</v>
      </c>
      <c r="B348" s="61" t="n">
        <v>258.5</v>
      </c>
      <c r="C348" s="28" t="n">
        <v>1.2018</v>
      </c>
      <c r="D348" s="61" t="n">
        <v>309.5</v>
      </c>
      <c r="E348" s="61" t="n">
        <v>172.5</v>
      </c>
      <c r="F348" s="61" t="n">
        <v>51</v>
      </c>
    </row>
    <row r="349">
      <c r="A349" s="60" t="n">
        <v>46051</v>
      </c>
      <c r="B349" s="61" t="n">
        <v>259.1</v>
      </c>
      <c r="C349" s="28" t="n">
        <v>1.1978</v>
      </c>
      <c r="D349" s="61" t="n">
        <v>309.3</v>
      </c>
      <c r="E349" s="61" t="n">
        <v>173</v>
      </c>
      <c r="F349" s="61" t="n">
        <v>50.2</v>
      </c>
    </row>
    <row r="350">
      <c r="A350" s="60" t="n">
        <v>46052</v>
      </c>
      <c r="B350" s="61" t="n">
        <v>259.1</v>
      </c>
      <c r="C350" s="28" t="n">
        <v>1.1966</v>
      </c>
      <c r="D350" s="61" t="n">
        <v>310.7</v>
      </c>
      <c r="E350" s="61" t="n">
        <v>174.1</v>
      </c>
      <c r="F350" s="61" t="n">
        <v>51.6</v>
      </c>
    </row>
    <row r="351">
      <c r="A351" s="60" t="n">
        <v>46055</v>
      </c>
      <c r="B351" s="61" t="n">
        <v>261.6</v>
      </c>
      <c r="C351" s="28" t="n">
        <v>1.1849</v>
      </c>
      <c r="D351" s="61" t="n">
        <v>313</v>
      </c>
      <c r="E351" s="61" t="n">
        <v>175.2</v>
      </c>
      <c r="F351" s="61" t="n">
        <v>51.4</v>
      </c>
    </row>
    <row r="352">
      <c r="A352" s="60" t="n">
        <v>46056</v>
      </c>
      <c r="B352" s="61" t="n">
        <v>263</v>
      </c>
      <c r="C352" s="28" t="n">
        <v>1.1799</v>
      </c>
      <c r="D352" s="61" t="n">
        <v>314.3</v>
      </c>
      <c r="E352" s="61" t="n">
        <v>176.1</v>
      </c>
      <c r="F352" s="61" t="n">
        <v>51.3</v>
      </c>
    </row>
    <row r="353">
      <c r="A353" s="60" t="n">
        <v>46057</v>
      </c>
      <c r="B353" s="61" t="n">
        <v>264.9</v>
      </c>
      <c r="C353" s="28" t="n">
        <v>1.1816</v>
      </c>
      <c r="D353" s="61" t="n">
        <v>314.6</v>
      </c>
      <c r="E353" s="61" t="n">
        <v>177.6</v>
      </c>
      <c r="F353" s="61" t="n">
        <v>49.7</v>
      </c>
    </row>
    <row r="354">
      <c r="A354" s="60" t="n">
        <v>46058</v>
      </c>
      <c r="B354" s="61" t="n">
        <v>265.4</v>
      </c>
      <c r="C354" s="28" t="n">
        <v>1.1802</v>
      </c>
      <c r="D354" s="61" t="n">
        <v>317.8</v>
      </c>
      <c r="E354" s="61" t="n">
        <v>178.2</v>
      </c>
      <c r="F354" s="61" t="n">
        <v>52.4</v>
      </c>
    </row>
    <row r="355">
      <c r="A355" s="60" t="n">
        <v>46059</v>
      </c>
      <c r="B355" s="61" t="n">
        <v>265.8</v>
      </c>
      <c r="C355" s="28" t="n">
        <v>1.1778</v>
      </c>
      <c r="D355" s="61" t="n">
        <v>319</v>
      </c>
      <c r="E355" s="61" t="n">
        <v>178.9</v>
      </c>
      <c r="F355" s="61" t="n">
        <v>53.2</v>
      </c>
    </row>
    <row r="356">
      <c r="A356" s="60" t="n">
        <v>46062</v>
      </c>
      <c r="B356" s="61" t="n">
        <v>266.1</v>
      </c>
      <c r="C356" s="28" t="n">
        <v>1.1826</v>
      </c>
      <c r="D356" s="61" t="n">
        <v>319.5</v>
      </c>
      <c r="E356" s="61" t="n">
        <v>180.3</v>
      </c>
      <c r="F356" s="61" t="n">
        <v>53.4</v>
      </c>
    </row>
    <row r="357">
      <c r="A357" s="60" t="n">
        <v>46063</v>
      </c>
      <c r="B357" s="61" t="n">
        <v>266.6</v>
      </c>
      <c r="C357" s="28" t="n">
        <v>1.1904</v>
      </c>
      <c r="D357" s="61" t="n">
        <v>320.3</v>
      </c>
      <c r="E357" s="61" t="n">
        <v>181</v>
      </c>
      <c r="F357" s="61" t="n">
        <v>53.7</v>
      </c>
    </row>
    <row r="358">
      <c r="A358" s="60" t="n">
        <v>46064</v>
      </c>
      <c r="B358" s="61" t="n">
        <v>267.3</v>
      </c>
      <c r="C358" s="28" t="n">
        <v>1.189</v>
      </c>
      <c r="D358" s="61" t="n">
        <v>321</v>
      </c>
      <c r="E358" s="61" t="n">
        <v>181.1</v>
      </c>
      <c r="F358" s="61" t="n">
        <v>53.7</v>
      </c>
    </row>
    <row r="359">
      <c r="A359" s="60" t="n">
        <v>46065</v>
      </c>
      <c r="B359" s="61" t="n">
        <v>270</v>
      </c>
      <c r="C359" s="28" t="n">
        <v>1.1876</v>
      </c>
      <c r="D359" s="61" t="n">
        <v>325</v>
      </c>
      <c r="E359" s="61" t="n">
        <v>182</v>
      </c>
      <c r="F359" s="61" t="n">
        <v>55</v>
      </c>
    </row>
    <row r="360">
      <c r="A360" s="60" t="n">
        <v>46066</v>
      </c>
      <c r="B360" s="61" t="n">
        <v>270</v>
      </c>
      <c r="C360" s="28" t="n">
        <v>1.1868</v>
      </c>
      <c r="D360" s="61" t="n">
        <v>323.7</v>
      </c>
      <c r="E360" s="61" t="n">
        <v>181.3</v>
      </c>
      <c r="F360" s="61" t="n">
        <v>53.7</v>
      </c>
    </row>
    <row r="361">
      <c r="A361" s="60" t="n">
        <v>46069</v>
      </c>
      <c r="B361" s="61" t="n">
        <v>268.9</v>
      </c>
      <c r="C361" s="28" t="n">
        <v>1.1867</v>
      </c>
      <c r="D361" s="61" t="n">
        <v>324.1</v>
      </c>
      <c r="E361" s="61" t="n">
        <v>182</v>
      </c>
      <c r="F361" s="61" t="n">
        <v>55.2</v>
      </c>
    </row>
    <row r="362">
      <c r="A362" s="60" t="n">
        <v>46070</v>
      </c>
      <c r="B362" s="61" t="n">
        <v>269.5</v>
      </c>
      <c r="C362" s="28" t="n">
        <v>1.185</v>
      </c>
      <c r="D362" s="61" t="n">
        <v>325.1</v>
      </c>
      <c r="E362" s="61" t="n">
        <v>182</v>
      </c>
      <c r="F362" s="61" t="n">
        <v>55.6</v>
      </c>
    </row>
    <row r="363">
      <c r="A363" s="60" t="n">
        <v>46071</v>
      </c>
      <c r="B363" s="61" t="n">
        <v>267.8</v>
      </c>
      <c r="C363" s="28" t="n">
        <v>1.1852</v>
      </c>
      <c r="D363" s="61" t="n">
        <v>325.7</v>
      </c>
      <c r="E363" s="61" t="n">
        <v>181.4</v>
      </c>
      <c r="F363" s="61" t="n">
        <v>57.9</v>
      </c>
    </row>
    <row r="364">
      <c r="A364" s="60" t="n">
        <v>46072</v>
      </c>
      <c r="B364" s="61" t="n">
        <v>268.7</v>
      </c>
      <c r="C364" s="28" t="n">
        <v>1.1789</v>
      </c>
      <c r="D364" s="61" t="n">
        <v>325.6</v>
      </c>
      <c r="E364" s="61" t="n">
        <v>181.5</v>
      </c>
      <c r="F364" s="61" t="n">
        <v>56.9</v>
      </c>
    </row>
    <row r="365">
      <c r="A365" s="60" t="n">
        <v>46073</v>
      </c>
      <c r="B365" s="61" t="n">
        <v>269.3</v>
      </c>
      <c r="C365" s="28" t="n">
        <v>1.1769</v>
      </c>
      <c r="D365" s="61" t="n">
        <v>324.6</v>
      </c>
      <c r="E365" s="61" t="n">
        <v>181.4</v>
      </c>
      <c r="F365" s="61" t="n">
        <v>55.3</v>
      </c>
    </row>
    <row r="366">
      <c r="A366" s="60" t="n">
        <v>46076</v>
      </c>
      <c r="B366" s="61" t="n">
        <v>270.4</v>
      </c>
      <c r="C366" s="28" t="n">
        <v>1.1835</v>
      </c>
      <c r="D366" s="61" t="n">
        <v>323.8</v>
      </c>
      <c r="E366" s="61" t="n">
        <v>181.5</v>
      </c>
      <c r="F366" s="61" t="n">
        <v>53.4</v>
      </c>
    </row>
    <row r="367">
      <c r="A367" s="60" t="n">
        <v>46077</v>
      </c>
      <c r="B367" s="61" t="n">
        <v>271.8</v>
      </c>
      <c r="C367" s="28" t="n">
        <v>1.1794</v>
      </c>
      <c r="D367" s="61" t="n">
        <v>325.7</v>
      </c>
      <c r="E367" s="61" t="n">
        <v>182.2</v>
      </c>
      <c r="F367" s="61" t="n">
        <v>53.9</v>
      </c>
    </row>
    <row r="368">
      <c r="A368" s="60" t="n">
        <v>46078</v>
      </c>
      <c r="B368" s="61" t="n">
        <v>271.6</v>
      </c>
      <c r="C368" s="28" t="n">
        <v>1.1775</v>
      </c>
      <c r="D368" s="61" t="n">
        <v>326.4</v>
      </c>
      <c r="E368" s="61" t="n">
        <v>181.8</v>
      </c>
      <c r="F368" s="61" t="n">
        <v>54.8</v>
      </c>
    </row>
    <row r="369">
      <c r="A369" s="60" t="n">
        <v>46079</v>
      </c>
      <c r="B369" s="61" t="n">
        <v>275.3</v>
      </c>
      <c r="C369" s="28" t="n">
        <v>1.1815</v>
      </c>
      <c r="D369" s="61" t="n">
        <v>325.1</v>
      </c>
      <c r="E369" s="61" t="n">
        <v>181.4</v>
      </c>
      <c r="F369" s="61" t="n">
        <v>49.8</v>
      </c>
    </row>
    <row r="370">
      <c r="A370" s="60" t="n">
        <v>46080</v>
      </c>
      <c r="B370" s="61" t="n">
        <v>275.4</v>
      </c>
      <c r="C370" s="28" t="n">
        <v>1.1803</v>
      </c>
      <c r="D370" s="61" t="n">
        <v>325.4</v>
      </c>
      <c r="E370" s="61" t="n">
        <v>181.6</v>
      </c>
      <c r="F370" s="61" t="n">
        <v>50</v>
      </c>
    </row>
    <row r="371">
      <c r="A371" s="60" t="n">
        <v>46083</v>
      </c>
      <c r="B371" s="61" t="n">
        <v>274.4</v>
      </c>
      <c r="C371" s="28" t="n">
        <v>1.1759</v>
      </c>
      <c r="D371" s="61" t="n">
        <v>325.5</v>
      </c>
      <c r="E371" s="61" t="n">
        <v>181.4</v>
      </c>
      <c r="F371" s="61" t="n">
        <v>51.1</v>
      </c>
    </row>
    <row r="372">
      <c r="A372" s="60" t="n">
        <v>46084</v>
      </c>
      <c r="B372" s="61" t="n">
        <v>275.4</v>
      </c>
      <c r="C372" s="28" t="n">
        <v>1.1697</v>
      </c>
      <c r="D372" s="61" t="n">
        <v>324.8</v>
      </c>
      <c r="E372" s="61" t="n">
        <v>181.5</v>
      </c>
      <c r="F372" s="61" t="n">
        <v>49.4</v>
      </c>
    </row>
    <row r="373">
      <c r="A373" s="60" t="n">
        <v>46085</v>
      </c>
      <c r="B373" s="61" t="n">
        <v>276.7</v>
      </c>
      <c r="C373" s="28" t="n">
        <v>1.1612</v>
      </c>
      <c r="D373" s="61" t="n">
        <v>325</v>
      </c>
      <c r="E373" s="61" t="n">
        <v>181.6</v>
      </c>
      <c r="F373" s="61" t="n">
        <v>48.3</v>
      </c>
    </row>
    <row r="374">
      <c r="A374" s="60" t="n">
        <v>46086</v>
      </c>
      <c r="B374" s="61" t="n">
        <v>277.4</v>
      </c>
      <c r="C374" s="28" t="n">
        <v>1.1636</v>
      </c>
      <c r="D374" s="61" t="n">
        <v>327</v>
      </c>
      <c r="E374" s="61" t="n">
        <v>182.2</v>
      </c>
      <c r="F374" s="61" t="n">
        <v>49.6</v>
      </c>
    </row>
    <row r="375">
      <c r="A375" s="60" t="n">
        <v>46087</v>
      </c>
      <c r="B375" s="61" t="n">
        <v>279.2</v>
      </c>
      <c r="C375" s="28" t="n">
        <v>1.1608</v>
      </c>
      <c r="D375" s="61" t="n">
        <v>326.3</v>
      </c>
      <c r="E375" s="61" t="n">
        <v>182.4</v>
      </c>
      <c r="F375" s="61" t="n">
        <v>47.1</v>
      </c>
    </row>
    <row r="376">
      <c r="A376" s="60" t="n">
        <v>46090</v>
      </c>
      <c r="B376" s="61" t="n">
        <v>280.8</v>
      </c>
      <c r="C376" s="28" t="n">
        <v>1.1523</v>
      </c>
      <c r="D376" s="61" t="n">
        <v>327.8</v>
      </c>
      <c r="E376" s="61" t="n">
        <v>182.8</v>
      </c>
      <c r="F376" s="61" t="n">
        <v>47</v>
      </c>
    </row>
    <row r="377">
      <c r="A377" s="60" t="n">
        <v>46091</v>
      </c>
      <c r="B377" s="61" t="n">
        <v>281.6</v>
      </c>
      <c r="C377" s="28" t="n">
        <v>1.1617</v>
      </c>
      <c r="D377" s="61" t="n">
        <v>329</v>
      </c>
      <c r="E377" s="61" t="n">
        <v>184.1</v>
      </c>
      <c r="F377" s="61" t="n">
        <v>47.4</v>
      </c>
    </row>
    <row r="378">
      <c r="A378" s="60" t="n">
        <v>46092</v>
      </c>
      <c r="B378" s="61" t="n">
        <v>283.3</v>
      </c>
      <c r="C378" s="28" t="n">
        <v>1.1611</v>
      </c>
      <c r="D378" s="61" t="n">
        <v>330.9</v>
      </c>
      <c r="E378" s="61" t="n">
        <v>183.8</v>
      </c>
      <c r="F378" s="61" t="n">
        <v>47.6</v>
      </c>
    </row>
    <row r="379">
      <c r="A379" s="60" t="n">
        <v>46093</v>
      </c>
      <c r="B379" s="61" t="n">
        <v>283.7</v>
      </c>
      <c r="C379" s="28" t="n">
        <v>1.1543</v>
      </c>
      <c r="D379" s="61" t="n">
        <v>330.4</v>
      </c>
      <c r="E379" s="61" t="n">
        <v>184.1</v>
      </c>
      <c r="F379" s="61" t="n">
        <v>46.7</v>
      </c>
    </row>
    <row r="380">
      <c r="A380" s="60" t="n">
        <v>46094</v>
      </c>
      <c r="B380" s="61" t="n">
        <v>283.9</v>
      </c>
      <c r="C380" s="28" t="n">
        <v>1.1522</v>
      </c>
      <c r="D380" s="61" t="n">
        <v>331.7</v>
      </c>
      <c r="E380" s="61" t="n">
        <v>185.2</v>
      </c>
      <c r="F380" s="61" t="n">
        <v>47.8</v>
      </c>
    </row>
    <row r="381">
      <c r="A381" s="60" t="n">
        <v>46097</v>
      </c>
      <c r="B381" s="61" t="n">
        <v>283.1</v>
      </c>
      <c r="C381" s="28" t="n">
        <v>1.1435</v>
      </c>
      <c r="D381" s="61" t="n">
        <v>332.4</v>
      </c>
      <c r="E381" s="61" t="n">
        <v>185.2</v>
      </c>
      <c r="F381" s="61" t="n">
        <v>49.3</v>
      </c>
    </row>
    <row r="382">
      <c r="A382" s="60" t="n">
        <v>46098</v>
      </c>
      <c r="B382" s="61" t="n">
        <v>283.7</v>
      </c>
      <c r="C382" s="28" t="n">
        <v>1.15</v>
      </c>
      <c r="D382" s="61" t="n">
        <v>330.2</v>
      </c>
      <c r="E382" s="61" t="n">
        <v>185.2</v>
      </c>
      <c r="F382" s="61" t="n">
        <v>46.5</v>
      </c>
    </row>
    <row r="383">
      <c r="A383" s="60" t="n">
        <v>46099</v>
      </c>
      <c r="B383" s="61" t="n">
        <v>284.7</v>
      </c>
      <c r="C383" s="28" t="n">
        <v>1.1539</v>
      </c>
      <c r="D383" s="61" t="n">
        <v>330.5</v>
      </c>
      <c r="E383" s="61" t="n">
        <v>185.3</v>
      </c>
      <c r="F383" s="61" t="n">
        <v>45.8</v>
      </c>
    </row>
    <row r="384">
      <c r="A384" s="60" t="n">
        <v>46100</v>
      </c>
      <c r="B384" s="61" t="n">
        <v>287.4</v>
      </c>
      <c r="C384" s="28" t="n">
        <v>1.1464</v>
      </c>
      <c r="D384" s="61" t="n">
        <v>330.7</v>
      </c>
      <c r="E384" s="61" t="n">
        <v>186.4</v>
      </c>
      <c r="F384" s="61" t="n">
        <v>43.3</v>
      </c>
    </row>
    <row r="385">
      <c r="A385" s="60" t="n">
        <v>46101</v>
      </c>
      <c r="B385" s="61" t="n">
        <v>295</v>
      </c>
      <c r="C385" s="28" t="n">
        <v>1.1578</v>
      </c>
      <c r="D385" s="61" t="n">
        <v>338</v>
      </c>
      <c r="E385" s="61" t="n">
        <v>188</v>
      </c>
      <c r="F385" s="61" t="n">
        <v>43</v>
      </c>
    </row>
    <row r="386">
      <c r="A386" s="60" t="n">
        <v>46104</v>
      </c>
      <c r="B386" s="61" t="n">
        <v>296.3</v>
      </c>
      <c r="C386" s="28" t="n">
        <v>1.156</v>
      </c>
      <c r="D386" s="61" t="n">
        <v>336.7</v>
      </c>
      <c r="E386" s="61" t="n">
        <v>187</v>
      </c>
      <c r="F386" s="61" t="n">
        <v>40.4</v>
      </c>
    </row>
    <row r="387">
      <c r="A387" s="60" t="n">
        <v>46105</v>
      </c>
      <c r="B387" s="61" t="n">
        <v>297.7</v>
      </c>
      <c r="C387" s="28" t="n">
        <v>1.1607</v>
      </c>
      <c r="D387" s="61" t="n">
        <v>336</v>
      </c>
      <c r="E387" s="61" t="n">
        <v>185.8</v>
      </c>
      <c r="F387" s="61" t="n">
        <v>38.3</v>
      </c>
    </row>
    <row r="388">
      <c r="A388" s="60" t="n">
        <v>46106</v>
      </c>
      <c r="B388" s="61" t="n">
        <v>296.2</v>
      </c>
      <c r="C388" s="28" t="n">
        <v>1.1615</v>
      </c>
      <c r="D388" s="61" t="n">
        <v>336.9</v>
      </c>
      <c r="E388" s="61" t="n">
        <v>186</v>
      </c>
      <c r="F388" s="61" t="n">
        <v>40.7</v>
      </c>
    </row>
    <row r="389">
      <c r="A389" s="60" t="n">
        <v>46107</v>
      </c>
      <c r="B389" s="61" t="n">
        <v>297.8</v>
      </c>
      <c r="C389" s="28" t="n">
        <v>1.1561</v>
      </c>
      <c r="D389" s="61" t="n">
        <v>336.8</v>
      </c>
      <c r="E389" s="61" t="n">
        <v>185.8</v>
      </c>
      <c r="F389" s="61" t="n">
        <v>39</v>
      </c>
    </row>
    <row r="390">
      <c r="A390" s="60" t="n">
        <v>46108</v>
      </c>
      <c r="B390" s="61" t="n">
        <v>298.2</v>
      </c>
      <c r="C390" s="28" t="n">
        <v>1.1535</v>
      </c>
      <c r="D390" s="61" t="n">
        <v>336.9</v>
      </c>
      <c r="E390" s="61" t="n">
        <v>185.9</v>
      </c>
      <c r="F390" s="61" t="n">
        <v>38.7</v>
      </c>
    </row>
    <row r="391">
      <c r="A391" s="60" t="n">
        <v>46111</v>
      </c>
      <c r="B391" s="61" t="n">
        <v>298</v>
      </c>
      <c r="C391" s="28" t="n">
        <v>1.1492</v>
      </c>
      <c r="D391" s="61" t="n">
        <v>336.2</v>
      </c>
      <c r="E391" s="61" t="n">
        <v>186.2</v>
      </c>
      <c r="F391" s="61" t="n">
        <v>38.2</v>
      </c>
    </row>
    <row r="392">
      <c r="A392" s="60" t="n">
        <v>46112</v>
      </c>
      <c r="B392" s="61" t="n">
        <v>297</v>
      </c>
      <c r="C392" s="28" t="n">
        <v>1.146</v>
      </c>
      <c r="D392" s="61" t="n">
        <v>337.4</v>
      </c>
      <c r="E392" s="61" t="n">
        <v>186.2</v>
      </c>
      <c r="F392" s="61" t="n">
        <v>40.4</v>
      </c>
    </row>
    <row r="393">
      <c r="A393" s="60" t="n">
        <v>46113</v>
      </c>
      <c r="B393" s="61" t="n">
        <v>296.9</v>
      </c>
      <c r="C393" s="28" t="n">
        <v>1.1574</v>
      </c>
      <c r="D393" s="61" t="n">
        <v>337.9</v>
      </c>
      <c r="E393" s="61" t="n">
        <v>186.3</v>
      </c>
      <c r="F393" s="61" t="n">
        <v>41</v>
      </c>
    </row>
    <row r="394">
      <c r="A394" s="60" t="n">
        <v>46114</v>
      </c>
      <c r="B394" s="61" t="n">
        <v>296.3</v>
      </c>
      <c r="C394" s="28" t="n">
        <v>1.1591</v>
      </c>
      <c r="D394" s="61" t="n">
        <v>338</v>
      </c>
      <c r="E394" s="61" t="n">
        <v>186.1</v>
      </c>
      <c r="F394" s="61" t="n">
        <v>41.7</v>
      </c>
    </row>
    <row r="395">
      <c r="A395" s="60" t="n">
        <v>46115</v>
      </c>
      <c r="B395" s="61" t="n">
        <v>295.5</v>
      </c>
      <c r="C395" s="28" t="n">
        <v>1.1542</v>
      </c>
      <c r="D395" s="61" t="n">
        <v>338.6</v>
      </c>
      <c r="E395" s="61" t="n">
        <v>187.1</v>
      </c>
      <c r="F395" s="61" t="n">
        <v>43.1</v>
      </c>
    </row>
    <row r="396">
      <c r="A396" s="60" t="n">
        <v>46118</v>
      </c>
      <c r="B396" s="61" t="n">
        <v>294.7</v>
      </c>
      <c r="C396" s="28" t="n">
        <v>1.151</v>
      </c>
      <c r="D396" s="61" t="n">
        <v>338.9</v>
      </c>
      <c r="E396" s="61" t="n">
        <v>187.4</v>
      </c>
      <c r="F396" s="61" t="n">
        <v>44.2</v>
      </c>
    </row>
    <row r="397">
      <c r="A397" s="60" t="n">
        <v>46119</v>
      </c>
      <c r="B397" s="61" t="n">
        <v>296.1</v>
      </c>
      <c r="C397" s="28" t="n">
        <v>1.1541</v>
      </c>
      <c r="D397" s="61" t="n">
        <v>339.1</v>
      </c>
      <c r="E397" s="61" t="n">
        <v>188.2</v>
      </c>
      <c r="F397" s="61" t="n">
        <v>43</v>
      </c>
    </row>
    <row r="398">
      <c r="A398" s="60" t="n">
        <v>46120</v>
      </c>
      <c r="B398" s="61" t="n">
        <v>296</v>
      </c>
      <c r="C398" s="28" t="n">
        <v>1.1687</v>
      </c>
      <c r="D398" s="61" t="n">
        <v>338.7</v>
      </c>
      <c r="E398" s="61" t="n">
        <v>187.9</v>
      </c>
      <c r="F398" s="61" t="n">
        <v>42.7</v>
      </c>
    </row>
    <row r="399">
      <c r="A399" s="60" t="n">
        <v>46121</v>
      </c>
      <c r="B399" s="61" t="n">
        <v>295.9</v>
      </c>
      <c r="C399" s="28" t="n">
        <v>1.1659</v>
      </c>
      <c r="D399" s="61" t="n">
        <v>337.7</v>
      </c>
      <c r="E399" s="61" t="n">
        <v>188.2</v>
      </c>
      <c r="F399" s="61" t="n">
        <v>41.8</v>
      </c>
    </row>
    <row r="400">
      <c r="A400" s="60" t="n">
        <v>46122</v>
      </c>
      <c r="B400" s="61" t="n">
        <v>296.2</v>
      </c>
      <c r="C400" s="28" t="n">
        <v>1.1691</v>
      </c>
      <c r="D400" s="61" t="n">
        <v>337.9</v>
      </c>
      <c r="E400" s="61" t="n">
        <v>187.8</v>
      </c>
      <c r="F400" s="61" t="n">
        <v>41.7</v>
      </c>
    </row>
    <row r="401">
      <c r="A401" s="60" t="n">
        <v>46125</v>
      </c>
      <c r="B401" s="61" t="n">
        <v>296.6</v>
      </c>
      <c r="C401" s="28" t="n">
        <v>1.1675</v>
      </c>
      <c r="D401" s="61" t="n">
        <v>338.5</v>
      </c>
      <c r="E401" s="61" t="n">
        <v>187.3</v>
      </c>
      <c r="F401" s="61" t="n">
        <v>41.9</v>
      </c>
    </row>
    <row r="402">
      <c r="A402" s="60" t="n">
        <v>46126</v>
      </c>
      <c r="B402" s="61" t="n">
        <v>297.3</v>
      </c>
      <c r="C402" s="28" t="n">
        <v>1.1769</v>
      </c>
      <c r="D402" s="61" t="n">
        <v>338.5</v>
      </c>
      <c r="E402" s="61" t="n">
        <v>186.8</v>
      </c>
      <c r="F402" s="61" t="n">
        <v>41.2</v>
      </c>
    </row>
    <row r="403">
      <c r="A403" s="60" t="n">
        <v>46127</v>
      </c>
      <c r="B403" s="61" t="n">
        <v>299.1</v>
      </c>
      <c r="C403" s="28" t="n">
        <v>1.1799</v>
      </c>
      <c r="D403" s="61" t="n">
        <v>339.6</v>
      </c>
      <c r="E403" s="61" t="n">
        <v>187.1</v>
      </c>
      <c r="F403" s="61" t="n">
        <v>40.5</v>
      </c>
    </row>
    <row r="404">
      <c r="A404" s="60" t="n">
        <v>46128</v>
      </c>
      <c r="B404" s="61" t="n">
        <v>300.4</v>
      </c>
      <c r="C404" s="28" t="n">
        <v>1.1809</v>
      </c>
      <c r="D404" s="61" t="n">
        <v>339.8</v>
      </c>
      <c r="E404" s="61" t="n">
        <v>187.3</v>
      </c>
      <c r="F404" s="61" t="n">
        <v>39.4</v>
      </c>
    </row>
    <row r="405">
      <c r="A405" s="60" t="n">
        <v>46129</v>
      </c>
      <c r="B405" s="61" t="n">
        <v>302.8</v>
      </c>
      <c r="C405" s="28" t="n">
        <v>1.1783</v>
      </c>
      <c r="D405" s="61" t="n">
        <v>340.8</v>
      </c>
      <c r="E405" s="61" t="n">
        <v>187.6</v>
      </c>
      <c r="F405" s="61" t="n">
        <v>38</v>
      </c>
    </row>
    <row r="406">
      <c r="A406" s="60" t="n">
        <v>46132</v>
      </c>
      <c r="B406" s="61" t="n">
        <v>304.3</v>
      </c>
      <c r="C406" s="28" t="n">
        <v>1.1741</v>
      </c>
      <c r="D406" s="61" t="n">
        <v>341.2</v>
      </c>
      <c r="E406" s="61" t="n">
        <v>187.6</v>
      </c>
      <c r="F406" s="61" t="n">
        <v>36.9</v>
      </c>
    </row>
    <row r="407">
      <c r="A407" s="60" t="n">
        <v>46133</v>
      </c>
      <c r="B407" s="61" t="n">
        <v>305.8</v>
      </c>
      <c r="C407" s="28" t="n">
        <v>1.1784</v>
      </c>
      <c r="D407" s="61" t="n">
        <v>339.9</v>
      </c>
      <c r="E407" s="61" t="n">
        <v>186.9</v>
      </c>
      <c r="F407" s="61" t="n">
        <v>34.1</v>
      </c>
    </row>
    <row r="408">
      <c r="A408" s="60" t="n">
        <v>46134</v>
      </c>
      <c r="B408" s="61" t="n">
        <v>307.1</v>
      </c>
      <c r="C408" s="28" t="n">
        <v>1.1744</v>
      </c>
      <c r="D408" s="61" t="n">
        <v>341.9</v>
      </c>
      <c r="E408" s="61" t="n">
        <v>187.3</v>
      </c>
      <c r="F408" s="61" t="n">
        <v>34.8</v>
      </c>
    </row>
    <row r="409">
      <c r="A409" s="60" t="n">
        <v>46135</v>
      </c>
      <c r="B409" s="61" t="n">
        <v>309.2</v>
      </c>
      <c r="C409" s="28" t="n">
        <v>1.1706</v>
      </c>
      <c r="D409" s="61" t="n">
        <v>341.8</v>
      </c>
      <c r="E409" s="61" t="n">
        <v>187</v>
      </c>
      <c r="F409" s="61" t="n">
        <v>32.6</v>
      </c>
    </row>
    <row r="410">
      <c r="A410" s="60" t="n">
        <v>46136</v>
      </c>
      <c r="B410" s="61" t="n">
        <v>308.8</v>
      </c>
      <c r="C410" s="28" t="n">
        <v>1.1684</v>
      </c>
      <c r="D410" s="61" t="n">
        <v>340.4</v>
      </c>
      <c r="E410" s="61" t="n">
        <v>187.1</v>
      </c>
      <c r="F410" s="61" t="n">
        <v>31.6</v>
      </c>
    </row>
    <row r="411">
      <c r="A411" s="60" t="n">
        <v>46139</v>
      </c>
      <c r="B411" s="61" t="n">
        <v>309.4</v>
      </c>
      <c r="C411" s="28" t="n">
        <v>1.1706</v>
      </c>
      <c r="D411" s="61" t="n">
        <v>339.4</v>
      </c>
      <c r="E411" s="61" t="n">
        <v>187.5</v>
      </c>
      <c r="F411" s="61" t="n">
        <v>30</v>
      </c>
    </row>
    <row r="412">
      <c r="A412" s="60" t="n">
        <v>46140</v>
      </c>
      <c r="B412" s="61" t="n">
        <v>311.5</v>
      </c>
      <c r="C412" s="28" t="n">
        <v>1.1723</v>
      </c>
      <c r="D412" s="61" t="n">
        <v>338.7</v>
      </c>
      <c r="E412" s="61" t="n">
        <v>186.9</v>
      </c>
      <c r="F412" s="61" t="n">
        <v>27.2</v>
      </c>
    </row>
    <row r="413">
      <c r="A413" s="60" t="n">
        <v>46141</v>
      </c>
      <c r="B413" s="61" t="n">
        <v>312.1</v>
      </c>
      <c r="C413" s="28" t="n">
        <v>1.1718</v>
      </c>
      <c r="D413" s="61" t="n">
        <v>337.6</v>
      </c>
      <c r="E413" s="61" t="n">
        <v>187.1</v>
      </c>
      <c r="F413" s="61" t="n">
        <v>25.5</v>
      </c>
    </row>
    <row r="414">
      <c r="A414" s="60" t="n">
        <v>46142</v>
      </c>
      <c r="B414" s="61" t="n">
        <v>311.7</v>
      </c>
      <c r="C414" s="28" t="n">
        <v>1.1685</v>
      </c>
      <c r="D414" s="61" t="n">
        <v>338.5</v>
      </c>
      <c r="E414" s="61" t="n">
        <v>186.8</v>
      </c>
      <c r="F414" s="61" t="n">
        <v>26.8</v>
      </c>
    </row>
    <row r="415">
      <c r="A415" s="60" t="n">
        <v>46143</v>
      </c>
      <c r="B415" s="61" t="n">
        <v>311.4</v>
      </c>
      <c r="C415" s="28" t="n">
        <v>1.1729</v>
      </c>
      <c r="D415" s="61" t="n">
        <v>338.1</v>
      </c>
      <c r="E415" s="61" t="n">
        <v>187.5</v>
      </c>
      <c r="F415" s="61" t="n">
        <v>26.7</v>
      </c>
    </row>
    <row r="416">
      <c r="A416" s="60" t="n">
        <v>46146</v>
      </c>
      <c r="B416" s="61" t="n">
        <v>312.7</v>
      </c>
      <c r="C416" s="28" t="n">
        <v>1.1727</v>
      </c>
      <c r="D416" s="61" t="n">
        <v>338</v>
      </c>
      <c r="E416" s="61" t="n">
        <v>188.1</v>
      </c>
      <c r="F416" s="61" t="n">
        <v>25.3</v>
      </c>
    </row>
    <row r="417">
      <c r="A417" s="60" t="n">
        <v>46147</v>
      </c>
      <c r="B417" s="61" t="n">
        <v>314</v>
      </c>
      <c r="C417" s="28" t="n">
        <v>1.1692</v>
      </c>
      <c r="D417" s="61" t="n">
        <v>339.6</v>
      </c>
      <c r="E417" s="61" t="n">
        <v>188.8</v>
      </c>
      <c r="F417" s="61" t="n">
        <v>25.6</v>
      </c>
    </row>
    <row r="418">
      <c r="A418" s="60" t="n">
        <v>46148</v>
      </c>
      <c r="B418" s="61" t="n">
        <v>313.8</v>
      </c>
      <c r="C418" s="28" t="n">
        <v>1.1716</v>
      </c>
      <c r="D418" s="61" t="n">
        <v>340.7</v>
      </c>
      <c r="E418" s="61" t="n">
        <v>188.8</v>
      </c>
      <c r="F418" s="61" t="n">
        <v>26.9</v>
      </c>
    </row>
    <row r="419">
      <c r="A419" s="60" t="n">
        <v>46149</v>
      </c>
      <c r="B419" s="61" t="n">
        <v>314.5</v>
      </c>
      <c r="C419" s="28" t="n">
        <v>1.1747</v>
      </c>
      <c r="D419" s="61" t="n">
        <v>338.8</v>
      </c>
      <c r="E419" s="61" t="n">
        <v>188.5</v>
      </c>
      <c r="F419" s="61" t="n">
        <v>24.3</v>
      </c>
    </row>
    <row r="420">
      <c r="A420" s="60" t="n">
        <v>46150</v>
      </c>
      <c r="B420" s="61" t="n">
        <v>315.3</v>
      </c>
      <c r="C420" s="28" t="n">
        <v>1.1732</v>
      </c>
      <c r="D420" s="61" t="n">
        <v>339.6</v>
      </c>
      <c r="E420" s="61" t="n">
        <v>187.9</v>
      </c>
      <c r="F420" s="61" t="n">
        <v>24.3</v>
      </c>
    </row>
    <row r="421">
      <c r="A421" s="60" t="n">
        <v>46153</v>
      </c>
      <c r="B421" s="61" t="n">
        <v>315.2</v>
      </c>
      <c r="C421" s="28" t="n">
        <v>1.1769</v>
      </c>
      <c r="D421" s="61" t="n">
        <v>338.8</v>
      </c>
      <c r="E421" s="61" t="n">
        <v>187.8</v>
      </c>
      <c r="F421" s="61" t="n">
        <v>23.6</v>
      </c>
    </row>
    <row r="422">
      <c r="A422" s="60" t="n">
        <v>46154</v>
      </c>
      <c r="B422" s="61" t="n">
        <v>314.4</v>
      </c>
      <c r="C422" s="28" t="n">
        <v>1.178</v>
      </c>
      <c r="D422" s="61" t="n">
        <v>339.4</v>
      </c>
      <c r="E422" s="61" t="n">
        <v>188.1</v>
      </c>
      <c r="F422" s="61" t="n">
        <v>25</v>
      </c>
    </row>
    <row r="423">
      <c r="A423" s="60" t="n">
        <v>46155</v>
      </c>
      <c r="B423" s="61" t="n">
        <v>312.7</v>
      </c>
      <c r="C423" s="28" t="n">
        <v>1.1735</v>
      </c>
      <c r="D423" s="61" t="n">
        <v>337.9</v>
      </c>
      <c r="E423" s="61" t="n">
        <v>188.8</v>
      </c>
      <c r="F423" s="61" t="n">
        <v>25.2</v>
      </c>
    </row>
    <row r="424">
      <c r="A424" s="60" t="n">
        <v>46156</v>
      </c>
      <c r="B424" s="61" t="n">
        <v>312.8</v>
      </c>
      <c r="C424" s="28" t="n">
        <v>1.1716</v>
      </c>
      <c r="D424" s="61" t="n">
        <v>337</v>
      </c>
      <c r="E424" s="61" t="n">
        <v>188.1</v>
      </c>
      <c r="F424" s="61" t="n">
        <v>24.2</v>
      </c>
    </row>
    <row r="425">
      <c r="A425" s="60" t="n">
        <v>46157</v>
      </c>
      <c r="B425" s="61" t="n">
        <v>318</v>
      </c>
      <c r="C425" s="28" t="n">
        <v>1.1662</v>
      </c>
      <c r="D425" s="61" t="n">
        <v>342</v>
      </c>
      <c r="E425" s="61" t="n">
        <v>190</v>
      </c>
      <c r="F425" s="61" t="n">
        <v>24</v>
      </c>
    </row>
    <row r="426">
      <c r="A426" s="60" t="n">
        <v>46160</v>
      </c>
      <c r="B426" s="61" t="n">
        <v>317.6</v>
      </c>
      <c r="C426" s="28" t="n">
        <v>1.1614</v>
      </c>
      <c r="D426" s="61" t="n">
        <v>340.4</v>
      </c>
      <c r="E426" s="61" t="n">
        <v>189.7</v>
      </c>
      <c r="F426" s="61" t="n">
        <v>22.8</v>
      </c>
    </row>
    <row r="427">
      <c r="A427" s="60" t="n">
        <v>46161</v>
      </c>
      <c r="B427" s="61" t="n">
        <v>318.1</v>
      </c>
      <c r="C427" s="28" t="n">
        <v>1.1655</v>
      </c>
      <c r="D427" s="61" t="n">
        <v>341.7</v>
      </c>
      <c r="E427" s="61" t="n">
        <v>189.6</v>
      </c>
      <c r="F427" s="61" t="n">
        <v>23.6</v>
      </c>
    </row>
    <row r="428">
      <c r="A428" s="60" t="n">
        <v>46162</v>
      </c>
      <c r="B428" s="61" t="n">
        <v>319.2</v>
      </c>
      <c r="C428" s="28" t="n">
        <v>1.1607</v>
      </c>
      <c r="D428" s="61" t="n">
        <v>342.5</v>
      </c>
      <c r="E428" s="61" t="n">
        <v>189.9</v>
      </c>
      <c r="F428" s="61" t="n">
        <v>23.3</v>
      </c>
    </row>
    <row r="429">
      <c r="A429" s="60" t="n">
        <v>46163</v>
      </c>
      <c r="B429" s="61" t="n">
        <v>320</v>
      </c>
      <c r="C429" s="28" t="n">
        <v>1.1625</v>
      </c>
      <c r="D429" s="61" t="n">
        <v>341.9</v>
      </c>
      <c r="E429" s="61" t="n">
        <v>190.9</v>
      </c>
      <c r="F429" s="61" t="n">
        <v>21.9</v>
      </c>
    </row>
    <row r="430">
      <c r="A430" s="60" t="n">
        <v>46164</v>
      </c>
      <c r="B430" s="61" t="n">
        <v>321.4</v>
      </c>
      <c r="C430" s="28" t="n">
        <v>1.1621</v>
      </c>
      <c r="D430" s="61" t="n">
        <v>342.6</v>
      </c>
      <c r="E430" s="61" t="n">
        <v>191.3</v>
      </c>
      <c r="F430" s="61" t="n">
        <v>21.2</v>
      </c>
    </row>
    <row r="431">
      <c r="A431" s="60" t="n">
        <v>46167</v>
      </c>
      <c r="B431" s="61" t="n">
        <v>319.7</v>
      </c>
      <c r="C431" s="28" t="n">
        <v>1.1642</v>
      </c>
      <c r="D431" s="61" t="n">
        <v>343.3</v>
      </c>
      <c r="E431" s="61" t="n">
        <v>190.4</v>
      </c>
      <c r="F431" s="61" t="n">
        <v>23.6</v>
      </c>
    </row>
    <row r="432">
      <c r="A432" s="60" t="n">
        <v>46168</v>
      </c>
      <c r="B432" s="61" t="n">
        <v>317.6</v>
      </c>
      <c r="C432" s="28" t="n">
        <v>1.1637</v>
      </c>
      <c r="D432" s="61" t="n">
        <v>342.9</v>
      </c>
      <c r="E432" s="61" t="n">
        <v>189.9</v>
      </c>
      <c r="F432" s="61" t="n">
        <v>25.3</v>
      </c>
    </row>
    <row r="433">
      <c r="A433" s="60" t="n">
        <v>46169</v>
      </c>
      <c r="B433" s="61" t="n">
        <v>316.7</v>
      </c>
      <c r="C433" s="28" t="n">
        <v>1.1637</v>
      </c>
      <c r="D433" s="61" t="n">
        <v>343.6</v>
      </c>
      <c r="E433" s="61" t="n">
        <v>190.1</v>
      </c>
      <c r="F433" s="61" t="n">
        <v>26.9</v>
      </c>
    </row>
    <row r="434">
      <c r="A434" s="60" t="n">
        <v>46170</v>
      </c>
      <c r="B434" s="61" t="n">
        <v>316</v>
      </c>
      <c r="C434" s="28" t="n">
        <v>1.1618</v>
      </c>
      <c r="D434" s="61" t="n">
        <v>341.7</v>
      </c>
      <c r="E434" s="61" t="n">
        <v>190.5</v>
      </c>
      <c r="F434" s="61" t="n">
        <v>25.7</v>
      </c>
    </row>
    <row r="435">
      <c r="A435" s="60" t="n">
        <v>46171</v>
      </c>
      <c r="B435" s="61" t="n">
        <v>316.1</v>
      </c>
      <c r="C435" s="28" t="n">
        <v>1.1653</v>
      </c>
      <c r="D435" s="61" t="n">
        <v>341.7</v>
      </c>
      <c r="E435" s="61" t="n">
        <v>191.3</v>
      </c>
      <c r="F435" s="61" t="n">
        <v>25.6</v>
      </c>
    </row>
    <row r="436">
      <c r="A436" s="60" t="n">
        <v>46174</v>
      </c>
      <c r="B436" s="61" t="n">
        <v>314.9</v>
      </c>
      <c r="C436" s="28" t="n">
        <v>1.1649</v>
      </c>
      <c r="D436" s="61" t="n">
        <v>342.8</v>
      </c>
      <c r="E436" s="61" t="n">
        <v>191.7</v>
      </c>
      <c r="F436" s="61" t="n">
        <v>27.9</v>
      </c>
    </row>
    <row r="437">
      <c r="A437" s="60" t="n">
        <v>46175</v>
      </c>
      <c r="B437" s="61" t="n">
        <v>314.6</v>
      </c>
      <c r="C437" s="28" t="n">
        <v>1.1635</v>
      </c>
      <c r="D437" s="61" t="n">
        <v>341.6</v>
      </c>
      <c r="E437" s="61" t="n">
        <v>191.2</v>
      </c>
      <c r="F437" s="61" t="n">
        <v>27</v>
      </c>
    </row>
    <row r="438">
      <c r="A438" s="60" t="n">
        <v>46176</v>
      </c>
      <c r="B438" s="61" t="n">
        <v>313.2</v>
      </c>
      <c r="C438" s="28" t="n">
        <v>1.1622</v>
      </c>
      <c r="D438" s="61" t="n">
        <v>342.4</v>
      </c>
      <c r="E438" s="61" t="n">
        <v>191</v>
      </c>
      <c r="F438" s="61" t="n">
        <v>29.2</v>
      </c>
    </row>
    <row r="439">
      <c r="A439" s="60" t="n">
        <v>46177</v>
      </c>
      <c r="B439" s="61" t="n">
        <v>313.8</v>
      </c>
      <c r="C439" s="28" t="n">
        <v>1.1609</v>
      </c>
      <c r="D439" s="61" t="n">
        <v>342.5</v>
      </c>
      <c r="E439" s="61" t="n">
        <v>190.4</v>
      </c>
      <c r="F439" s="61" t="n">
        <v>28.7</v>
      </c>
    </row>
    <row r="440">
      <c r="A440" s="60" t="n">
        <v>46178</v>
      </c>
      <c r="B440" s="61" t="n">
        <v>312.8</v>
      </c>
      <c r="C440" s="28" t="n">
        <v>1.1613</v>
      </c>
      <c r="D440" s="61" t="n">
        <v>343</v>
      </c>
      <c r="E440" s="61" t="n">
        <v>190.7</v>
      </c>
      <c r="F440" s="61" t="n">
        <v>30.2</v>
      </c>
    </row>
    <row r="441">
      <c r="A441" s="60" t="n">
        <v>46181</v>
      </c>
      <c r="B441" s="61" t="n">
        <v>311</v>
      </c>
      <c r="C441" s="28" t="n">
        <v>1.1523</v>
      </c>
      <c r="D441" s="61" t="n">
        <v>342.6</v>
      </c>
      <c r="E441" s="61" t="n">
        <v>190.4</v>
      </c>
      <c r="F441" s="61" t="n">
        <v>31.6</v>
      </c>
    </row>
    <row r="442">
      <c r="A442" s="60" t="n">
        <v>46182</v>
      </c>
      <c r="B442" s="61" t="n">
        <v>310.4</v>
      </c>
      <c r="C442" s="28" t="n">
        <v>1.1528</v>
      </c>
      <c r="D442" s="61" t="n">
        <v>342</v>
      </c>
      <c r="E442" s="61" t="n">
        <v>189.4</v>
      </c>
      <c r="F442" s="61" t="n">
        <v>31.6</v>
      </c>
    </row>
    <row r="443">
      <c r="A443" s="60" t="n">
        <v>46183</v>
      </c>
      <c r="B443" s="61" t="n">
        <v>308.7</v>
      </c>
      <c r="C443" s="28" t="n">
        <v>1.1535</v>
      </c>
      <c r="D443" s="61" t="n">
        <v>341</v>
      </c>
      <c r="E443" s="61" t="n">
        <v>189.9</v>
      </c>
      <c r="F443" s="61" t="n">
        <v>32.3</v>
      </c>
    </row>
    <row r="444">
      <c r="A444" s="60" t="n">
        <v>46184</v>
      </c>
      <c r="B444" s="61" t="n">
        <v>307.9</v>
      </c>
      <c r="C444" s="28" t="n">
        <v>1.1536</v>
      </c>
      <c r="D444" s="61" t="n">
        <v>339.1</v>
      </c>
      <c r="E444" s="61" t="n">
        <v>190</v>
      </c>
      <c r="F444" s="61" t="n">
        <v>31.2</v>
      </c>
    </row>
    <row r="445">
      <c r="A445" s="60" t="n">
        <v>46185</v>
      </c>
      <c r="B445" s="61" t="n">
        <v>308.5</v>
      </c>
      <c r="C445" s="28" t="n">
        <v>1.1576</v>
      </c>
      <c r="D445" s="61" t="n">
        <v>339.3</v>
      </c>
      <c r="E445" s="61" t="n">
        <v>190.3</v>
      </c>
      <c r="F445" s="61" t="n">
        <v>30.8</v>
      </c>
    </row>
    <row r="446">
      <c r="A446" s="60" t="n">
        <v>46188</v>
      </c>
      <c r="B446" s="61" t="n">
        <v>307</v>
      </c>
      <c r="C446" s="28" t="n">
        <v>1.1603</v>
      </c>
      <c r="D446" s="61" t="n">
        <v>338.3</v>
      </c>
      <c r="E446" s="61" t="n">
        <v>190</v>
      </c>
      <c r="F446" s="61" t="n">
        <v>31.3</v>
      </c>
    </row>
    <row r="447">
      <c r="A447" s="60" t="n">
        <v>46189</v>
      </c>
      <c r="B447" s="61" t="n">
        <v>306.3</v>
      </c>
      <c r="C447" s="28" t="n">
        <v>1.1594</v>
      </c>
      <c r="D447" s="61" t="n">
        <v>338.6</v>
      </c>
      <c r="E447" s="61" t="n">
        <v>188.5</v>
      </c>
      <c r="F447" s="61" t="n">
        <v>32.3</v>
      </c>
    </row>
    <row r="448">
      <c r="A448" s="60" t="n">
        <v>46190</v>
      </c>
      <c r="B448" s="61" t="n">
        <v>306.5</v>
      </c>
      <c r="C448" s="28" t="n">
        <v>1.161</v>
      </c>
      <c r="D448" s="61" t="n">
        <v>339.3</v>
      </c>
      <c r="E448" s="61" t="n">
        <v>187</v>
      </c>
      <c r="F448" s="61" t="n">
        <v>32.8</v>
      </c>
    </row>
    <row r="449">
      <c r="A449" s="60" t="n">
        <v>46191</v>
      </c>
      <c r="B449" s="61" t="n">
        <v>304.6</v>
      </c>
      <c r="C449" s="28" t="n">
        <v>1.1507</v>
      </c>
      <c r="D449" s="61" t="n">
        <v>339.3</v>
      </c>
      <c r="E449" s="61" t="n">
        <v>186.2</v>
      </c>
      <c r="F449" s="61" t="n">
        <v>34.7</v>
      </c>
    </row>
    <row r="450">
      <c r="A450" s="60" t="n">
        <v>46192</v>
      </c>
      <c r="B450" s="61" t="n">
        <v>303.7</v>
      </c>
      <c r="C450" s="28" t="n">
        <v>1.1459</v>
      </c>
      <c r="D450" s="61" t="n">
        <v>337.2</v>
      </c>
      <c r="E450" s="61" t="n">
        <v>185.3</v>
      </c>
      <c r="F450" s="61" t="n">
        <v>33.5</v>
      </c>
    </row>
    <row r="451">
      <c r="A451" s="60" t="n">
        <v>46195</v>
      </c>
      <c r="B451" s="61" t="n">
        <v>304</v>
      </c>
      <c r="C451" s="28" t="n">
        <v>1.1463</v>
      </c>
      <c r="D451" s="61" t="n">
        <v>335.8</v>
      </c>
      <c r="E451" s="61" t="n">
        <v>185</v>
      </c>
      <c r="F451" s="61" t="n">
        <v>31.8</v>
      </c>
    </row>
    <row r="452">
      <c r="A452" s="60" t="n">
        <v>46196</v>
      </c>
      <c r="B452" s="61" t="n">
        <v>304.6</v>
      </c>
      <c r="C452" s="28" t="n">
        <v>1.1427</v>
      </c>
      <c r="D452" s="61" t="n">
        <v>335.9</v>
      </c>
      <c r="E452" s="61" t="n">
        <v>184.4</v>
      </c>
      <c r="F452" s="61" t="n">
        <v>31.3</v>
      </c>
    </row>
    <row r="453">
      <c r="A453" s="60" t="n">
        <v>46197</v>
      </c>
      <c r="B453" s="61" t="n">
        <v>304.5</v>
      </c>
      <c r="C453" s="28" t="n">
        <v>1.138</v>
      </c>
      <c r="D453" s="61" t="n">
        <v>335.3</v>
      </c>
      <c r="E453" s="61" t="n">
        <v>185</v>
      </c>
      <c r="F453" s="61" t="n">
        <v>30.8</v>
      </c>
    </row>
    <row r="454">
      <c r="A454" s="60" t="n">
        <v>46198</v>
      </c>
      <c r="B454" s="61" t="n">
        <v>305.1</v>
      </c>
      <c r="C454" s="28" t="n">
        <v>1.1354</v>
      </c>
      <c r="D454" s="61" t="n">
        <v>335.6</v>
      </c>
      <c r="E454" s="61" t="n">
        <v>185.1</v>
      </c>
      <c r="F454" s="61" t="n">
        <v>30.5</v>
      </c>
    </row>
    <row r="455">
      <c r="A455" s="60" t="n">
        <v>46199</v>
      </c>
      <c r="B455" s="61" t="n">
        <v>302.4</v>
      </c>
      <c r="C455" s="28" t="n">
        <v>1.1362</v>
      </c>
      <c r="D455" s="61" t="n">
        <v>336</v>
      </c>
      <c r="E455" s="61" t="n">
        <v>185.1</v>
      </c>
      <c r="F455" s="61" t="n">
        <v>33.6</v>
      </c>
    </row>
    <row r="456">
      <c r="A456" s="60" t="n">
        <v>46202</v>
      </c>
      <c r="B456" s="61" t="n">
        <v>301.7</v>
      </c>
      <c r="C456" s="28" t="n">
        <v>1.1386</v>
      </c>
      <c r="D456" s="61" t="n">
        <v>335.3</v>
      </c>
      <c r="E456" s="61" t="n">
        <v>184.2</v>
      </c>
      <c r="F456" s="61" t="n">
        <v>33.6</v>
      </c>
    </row>
    <row r="457">
      <c r="A457" s="60" t="n">
        <v>46203</v>
      </c>
      <c r="B457" s="61" t="n">
        <v>301.4</v>
      </c>
      <c r="C457" s="28" t="n">
        <v>1.1422</v>
      </c>
      <c r="D457" s="61" t="n">
        <v>334</v>
      </c>
      <c r="E457" s="61" t="n">
        <v>184.2</v>
      </c>
      <c r="F457" s="61" t="n">
        <v>32.6</v>
      </c>
    </row>
    <row r="458">
      <c r="A458" s="60" t="n">
        <v>46204</v>
      </c>
      <c r="B458" s="61" t="n">
        <v>300.9</v>
      </c>
      <c r="C458" s="28" t="n">
        <v>1.1413</v>
      </c>
      <c r="D458" s="61" t="n">
        <v>331.6</v>
      </c>
      <c r="E458" s="61" t="n">
        <v>183.3</v>
      </c>
      <c r="F458" s="61" t="n">
        <v>30.7</v>
      </c>
    </row>
    <row r="459">
      <c r="A459" s="60" t="n">
        <v>46205</v>
      </c>
      <c r="B459" s="61" t="n">
        <v>300.6</v>
      </c>
      <c r="C459" s="28" t="n">
        <v>1.1378</v>
      </c>
      <c r="D459" s="61" t="n">
        <v>330.1</v>
      </c>
      <c r="E459" s="61" t="n">
        <v>182.6</v>
      </c>
      <c r="F459" s="61" t="n">
        <v>29.5</v>
      </c>
    </row>
    <row r="460">
      <c r="A460" s="60" t="n">
        <v>46206</v>
      </c>
      <c r="B460" s="61" t="n">
        <v>299.1</v>
      </c>
      <c r="C460" s="28" t="n">
        <v>1.1423</v>
      </c>
      <c r="D460" s="61" t="n">
        <v>329.1</v>
      </c>
      <c r="E460" s="61" t="n">
        <v>182.3</v>
      </c>
      <c r="F460" s="61" t="n">
        <v>30</v>
      </c>
    </row>
    <row r="461">
      <c r="A461" s="60" t="n">
        <v>46209</v>
      </c>
      <c r="B461" s="61" t="n">
        <v>297.3</v>
      </c>
      <c r="C461" s="28" t="n">
        <v>1.1438</v>
      </c>
      <c r="D461" s="61" t="n">
        <v>328.8</v>
      </c>
      <c r="E461" s="61" t="n">
        <v>181.4</v>
      </c>
      <c r="F461" s="61" t="n">
        <v>31.5</v>
      </c>
    </row>
    <row r="462">
      <c r="A462" s="60" t="n">
        <v>46210</v>
      </c>
      <c r="B462" s="61" t="n">
        <v>297.2</v>
      </c>
      <c r="C462" s="28" t="n">
        <v>1.1442</v>
      </c>
      <c r="D462" s="61" t="n">
        <v>328.3</v>
      </c>
      <c r="E462" s="61" t="n">
        <v>180.4</v>
      </c>
      <c r="F462" s="61" t="n">
        <v>31.1</v>
      </c>
    </row>
    <row r="463">
      <c r="A463" s="60" t="n">
        <v>46211</v>
      </c>
      <c r="B463" s="61" t="n">
        <v>295.9</v>
      </c>
      <c r="C463" s="28" t="n">
        <v>1.1404</v>
      </c>
      <c r="D463" s="61" t="n">
        <v>328.6</v>
      </c>
      <c r="E463" s="61" t="n">
        <v>181.8</v>
      </c>
      <c r="F463" s="61" t="n">
        <v>32.7</v>
      </c>
    </row>
    <row r="464">
      <c r="A464" s="60" t="n">
        <v>46212</v>
      </c>
      <c r="B464" s="61" t="n">
        <v>294.7</v>
      </c>
      <c r="C464" s="28" t="n">
        <v>1.1422</v>
      </c>
      <c r="D464" s="61" t="n">
        <v>327.3</v>
      </c>
      <c r="E464" s="61" t="n">
        <v>181.5</v>
      </c>
      <c r="F464" s="61" t="n">
        <v>32.6</v>
      </c>
    </row>
    <row r="465">
      <c r="A465" s="60" t="n">
        <v>46213</v>
      </c>
      <c r="B465" s="61" t="n">
        <v>295.3</v>
      </c>
      <c r="C465" s="28" t="n">
        <v>1.1433</v>
      </c>
      <c r="D465" s="61" t="n">
        <v>326.2</v>
      </c>
      <c r="E465" s="61" t="n">
        <v>182.2</v>
      </c>
      <c r="F465" s="61" t="n">
        <v>30.9</v>
      </c>
    </row>
    <row r="466">
      <c r="A466" s="60" t="n">
        <v>46216</v>
      </c>
      <c r="B466" s="61" t="n">
        <v>295.1</v>
      </c>
      <c r="C466" s="28" t="n">
        <v>1.1404</v>
      </c>
      <c r="D466" s="61" t="n">
        <v>325.8</v>
      </c>
      <c r="E466" s="61" t="n">
        <v>181.4</v>
      </c>
      <c r="F466" s="61" t="n">
        <v>30.7</v>
      </c>
    </row>
    <row r="467">
      <c r="A467" s="60" t="n">
        <v>46217</v>
      </c>
      <c r="B467" s="61" t="n">
        <v>296.2</v>
      </c>
      <c r="C467" s="28" t="n">
        <v>1.1384</v>
      </c>
      <c r="D467" s="61" t="n">
        <v>325.8</v>
      </c>
      <c r="E467" s="61" t="n">
        <v>181.5</v>
      </c>
      <c r="F467" s="61" t="n">
        <v>29.6</v>
      </c>
    </row>
    <row r="468">
      <c r="A468" s="60" t="n">
        <v>46218</v>
      </c>
      <c r="B468" s="61" t="n">
        <v>292</v>
      </c>
      <c r="C468" s="28" t="n">
        <v>1.1425</v>
      </c>
      <c r="D468" s="61" t="n">
        <v>326</v>
      </c>
      <c r="E468" s="61" t="n">
        <v>178</v>
      </c>
      <c r="F468" s="61" t="n">
        <v>34</v>
      </c>
    </row>
    <row r="469">
      <c r="A469" s="60" t="n">
        <v>46219</v>
      </c>
      <c r="B469" s="61" t="n">
        <v>293.5</v>
      </c>
      <c r="C469" s="28" t="n">
        <v>1.147</v>
      </c>
      <c r="D469" s="61" t="n">
        <v>325</v>
      </c>
      <c r="E469" s="61" t="n">
        <v>178.7</v>
      </c>
      <c r="F469" s="61" t="n">
        <v>31.5</v>
      </c>
    </row>
    <row r="470">
      <c r="A470" s="60" t="n">
        <v>46220</v>
      </c>
      <c r="B470" s="61" t="n">
        <v>292.7</v>
      </c>
      <c r="C470" s="28" t="n">
        <v>1.1445</v>
      </c>
      <c r="D470" s="61" t="n">
        <v>325.7</v>
      </c>
      <c r="E470" s="61" t="n">
        <v>178.7</v>
      </c>
      <c r="F470" s="61" t="n">
        <v>33</v>
      </c>
    </row>
    <row r="471">
      <c r="A471" s="60" t="n">
        <v>46223</v>
      </c>
      <c r="B471" s="61" t="n">
        <v>293.1</v>
      </c>
      <c r="C471" s="28" t="n">
        <v>1.1428</v>
      </c>
      <c r="D471" s="61" t="n">
        <v>324.8</v>
      </c>
      <c r="E471" s="61" t="n">
        <v>178.4</v>
      </c>
      <c r="F471" s="61" t="n">
        <v>31.7</v>
      </c>
    </row>
    <row r="472">
      <c r="A472" s="60" t="n">
        <v>46224</v>
      </c>
      <c r="B472" s="61" t="n">
        <v>293.9</v>
      </c>
      <c r="C472" s="28" t="n">
        <v>1.1418</v>
      </c>
      <c r="D472" s="61" t="n">
        <v>322.4</v>
      </c>
      <c r="E472" s="61" t="n">
        <v>178.4</v>
      </c>
      <c r="F472" s="61" t="n">
        <v>28.5</v>
      </c>
    </row>
    <row r="473">
      <c r="A473" s="60" t="n">
        <v>46225</v>
      </c>
      <c r="B473" s="61" t="n">
        <v>293.5</v>
      </c>
      <c r="C473" s="28" t="n">
        <v>1.1404</v>
      </c>
      <c r="D473" s="61" t="n">
        <v>324</v>
      </c>
      <c r="E473" s="61" t="n">
        <v>178.4</v>
      </c>
      <c r="F473" s="61" t="n">
        <v>30.5</v>
      </c>
    </row>
    <row r="474">
      <c r="A474" s="60" t="n">
        <v>46226</v>
      </c>
      <c r="B474" s="61" t="n">
        <v>293.7</v>
      </c>
      <c r="C474" s="28" t="n">
        <v>1.1412</v>
      </c>
      <c r="D474" s="61" t="n">
        <v>325.4</v>
      </c>
      <c r="E474" s="61" t="n">
        <v>178.5</v>
      </c>
      <c r="F474" s="61" t="n">
        <v>31.7</v>
      </c>
    </row>
    <row r="475">
      <c r="A475" s="60" t="n">
        <v>46227</v>
      </c>
      <c r="B475" s="61" t="n">
        <v>293.3</v>
      </c>
      <c r="C475" s="28" t="n">
        <v>1.1377</v>
      </c>
      <c r="D475" s="61" t="n">
        <v>328.9</v>
      </c>
      <c r="E475" s="61" t="n">
        <v>178.5</v>
      </c>
      <c r="F475" s="61" t="n">
        <v>35.6</v>
      </c>
    </row>
    <row r="476">
      <c r="A476" s="60" t="n">
        <v>46230</v>
      </c>
      <c r="B476" s="61" t="n">
        <v>292.3</v>
      </c>
      <c r="C476" s="28" t="n">
        <v>1.1395</v>
      </c>
      <c r="D476" s="61" t="n">
        <v>330.3</v>
      </c>
      <c r="E476" s="61" t="n">
        <v>177.7</v>
      </c>
      <c r="F476" s="61" t="n">
        <v>38</v>
      </c>
    </row>
    <row r="477">
      <c r="A477" s="60" t="n">
        <v>46231</v>
      </c>
      <c r="B477" s="61" t="n">
        <v>292.7</v>
      </c>
      <c r="C477" s="28" t="n">
        <v>1.1369</v>
      </c>
      <c r="D477" s="61" t="n">
        <v>328</v>
      </c>
      <c r="E477" s="61" t="n">
        <v>177.9</v>
      </c>
      <c r="F477" s="61" t="n">
        <v>35.3</v>
      </c>
    </row>
    <row r="478">
      <c r="A478" s="60" t="n">
        <v>46232</v>
      </c>
      <c r="B478" s="61" t="n">
        <v>291.2</v>
      </c>
      <c r="C478" s="28" t="n">
        <v>1.1387</v>
      </c>
      <c r="D478" s="61" t="n">
        <v>328.4</v>
      </c>
      <c r="E478" s="61" t="n">
        <v>178.3</v>
      </c>
      <c r="F478" s="61" t="n">
        <v>37.2</v>
      </c>
    </row>
    <row r="479">
      <c r="A479" s="60" t="n">
        <v>46233</v>
      </c>
      <c r="B479" s="61" t="n">
        <v>291.1</v>
      </c>
      <c r="C479" s="28" t="n">
        <v>1.1467</v>
      </c>
      <c r="D479" s="61" t="n">
        <v>329.2</v>
      </c>
      <c r="E479" s="61" t="n">
        <v>178.1</v>
      </c>
      <c r="F479" s="61" t="n">
        <v>38.1</v>
      </c>
    </row>
    <row r="480">
      <c r="A480" s="60" t="n">
        <v>46234</v>
      </c>
      <c r="B480" s="61" t="n">
        <v>291.5</v>
      </c>
      <c r="C480" s="28" t="n">
        <v>1.1524</v>
      </c>
      <c r="D480" s="61" t="n">
        <v>329.3</v>
      </c>
      <c r="E480" s="61" t="n">
        <v>178.2</v>
      </c>
      <c r="F480" s="61" t="n">
        <v>37.8</v>
      </c>
    </row>
    <row r="481">
      <c r="A481" s="60" t="n">
        <v>46237</v>
      </c>
      <c r="B481" s="61" t="n">
        <v>291.3</v>
      </c>
      <c r="C481" s="28" t="n">
        <v>1.1544</v>
      </c>
      <c r="D481" s="61" t="n">
        <v>327.4</v>
      </c>
      <c r="E481" s="61" t="n">
        <v>177.1</v>
      </c>
      <c r="F481" s="61" t="n">
        <v>36.1</v>
      </c>
    </row>
    <row r="482">
      <c r="A482" s="60" t="n">
        <v>46238</v>
      </c>
      <c r="B482" s="61" t="n">
        <v>291.8</v>
      </c>
      <c r="C482" s="28" t="n">
        <v>1.1507</v>
      </c>
      <c r="D482" s="61" t="n">
        <v>327.6</v>
      </c>
      <c r="E482" s="61" t="n">
        <v>176.8</v>
      </c>
      <c r="F482" s="61" t="n">
        <v>35.8</v>
      </c>
    </row>
    <row r="483">
      <c r="A483" s="60" t="n">
        <v>46239</v>
      </c>
      <c r="B483" s="61" t="n">
        <v>290.1</v>
      </c>
      <c r="C483" s="28" t="n">
        <v>1.1532</v>
      </c>
      <c r="D483" s="61" t="n">
        <v>327.4</v>
      </c>
      <c r="E483" s="61" t="n">
        <v>177.1</v>
      </c>
      <c r="F483" s="61" t="n">
        <v>37.3</v>
      </c>
    </row>
    <row r="484">
      <c r="A484" s="60" t="n">
        <v>46240</v>
      </c>
      <c r="B484" s="61" t="n">
        <v>290.3</v>
      </c>
      <c r="C484" s="28" t="n">
        <v>1.1557</v>
      </c>
      <c r="D484" s="61" t="n">
        <v>326.3</v>
      </c>
      <c r="E484" s="61" t="n">
        <v>177.5</v>
      </c>
      <c r="F484" s="61" t="n">
        <v>36</v>
      </c>
    </row>
    <row r="485">
      <c r="A485" s="60" t="n">
        <v>46241</v>
      </c>
      <c r="B485" s="61" t="n">
        <v>291.6</v>
      </c>
      <c r="C485" s="28" t="n">
        <v>1.1525</v>
      </c>
      <c r="D485" s="61" t="n">
        <v>325</v>
      </c>
      <c r="E485" s="61" t="n">
        <v>177.2</v>
      </c>
      <c r="F485" s="61" t="n">
        <v>33.4</v>
      </c>
    </row>
    <row r="486">
      <c r="A486" s="60" t="n">
        <v>46244</v>
      </c>
      <c r="B486" s="61" t="n">
        <v>292</v>
      </c>
      <c r="C486" s="28" t="n">
        <v>1.1556</v>
      </c>
      <c r="D486" s="61" t="n">
        <v>324.6</v>
      </c>
      <c r="E486" s="61" t="n">
        <v>176</v>
      </c>
      <c r="F486" s="61" t="n">
        <v>32.6</v>
      </c>
    </row>
    <row r="487">
      <c r="A487" s="60" t="n">
        <v>46245</v>
      </c>
      <c r="B487" s="61" t="n">
        <v>291.9</v>
      </c>
      <c r="C487" s="28" t="n">
        <v>1.1546</v>
      </c>
      <c r="D487" s="61" t="n">
        <v>324.9</v>
      </c>
      <c r="E487" s="61" t="n">
        <v>176.3</v>
      </c>
      <c r="F487" s="61" t="n">
        <v>33</v>
      </c>
    </row>
    <row r="488">
      <c r="A488" s="60" t="n">
        <v>46246</v>
      </c>
      <c r="B488" s="61" t="n">
        <v>291.4</v>
      </c>
      <c r="C488" s="28" t="n">
        <v>1.1544</v>
      </c>
      <c r="D488" s="61" t="n">
        <v>324.2</v>
      </c>
      <c r="E488" s="61" t="n">
        <v>176.2</v>
      </c>
      <c r="F488" s="61" t="n">
        <v>32.8</v>
      </c>
    </row>
    <row r="489">
      <c r="A489" s="60" t="n">
        <v>46247</v>
      </c>
      <c r="B489" s="61" t="n">
        <v>290.1</v>
      </c>
      <c r="C489" s="28" t="n">
        <v>1.153</v>
      </c>
      <c r="D489" s="61" t="n">
        <v>323.8</v>
      </c>
      <c r="E489" s="61" t="n">
        <v>175.7</v>
      </c>
      <c r="F489" s="61" t="n">
        <v>33.7</v>
      </c>
    </row>
    <row r="490">
      <c r="A490" s="60" t="n">
        <v>46248</v>
      </c>
      <c r="B490" s="61" t="n">
        <v>290</v>
      </c>
      <c r="C490" s="28" t="n">
        <v>1.1535</v>
      </c>
      <c r="D490" s="61" t="n">
        <v>324.9</v>
      </c>
      <c r="E490" s="61" t="n">
        <v>174.9</v>
      </c>
      <c r="F490" s="61" t="n">
        <v>34.9</v>
      </c>
    </row>
    <row r="491">
      <c r="A491" s="60" t="n">
        <v>46251</v>
      </c>
      <c r="B491" s="61" t="n">
        <v>288.2</v>
      </c>
      <c r="C491" s="28" t="n">
        <v>1.1574</v>
      </c>
      <c r="D491" s="61" t="n">
        <v>325.2</v>
      </c>
      <c r="E491" s="61" t="n">
        <v>173.3</v>
      </c>
      <c r="F491" s="61" t="n">
        <v>37</v>
      </c>
    </row>
    <row r="492">
      <c r="A492" s="60" t="n">
        <v>46252</v>
      </c>
      <c r="B492" s="61" t="n">
        <v>288.6</v>
      </c>
      <c r="C492" s="28" t="n">
        <v>1.1583</v>
      </c>
      <c r="D492" s="61" t="n">
        <v>324.6</v>
      </c>
      <c r="E492" s="61" t="n">
        <v>173.3</v>
      </c>
      <c r="F492" s="61" t="n">
        <v>36</v>
      </c>
    </row>
    <row r="493">
      <c r="A493" s="60" t="n">
        <v>46253</v>
      </c>
      <c r="B493" s="61" t="n">
        <v>288.6</v>
      </c>
      <c r="C493" s="28" t="n">
        <v>1.1579</v>
      </c>
      <c r="D493" s="61" t="n">
        <v>323.1</v>
      </c>
      <c r="E493" s="61" t="n">
        <v>172.3</v>
      </c>
      <c r="F493" s="61" t="n">
        <v>34.5</v>
      </c>
    </row>
    <row r="494">
      <c r="A494" s="60" t="n">
        <v>46254</v>
      </c>
      <c r="B494" s="61" t="n">
        <v>287.2</v>
      </c>
      <c r="C494" s="28" t="n">
        <v>1.1674</v>
      </c>
      <c r="D494" s="61" t="n">
        <v>323</v>
      </c>
      <c r="E494" s="61" t="n">
        <v>172.2</v>
      </c>
      <c r="F494" s="61" t="n">
        <v>35.8</v>
      </c>
    </row>
    <row r="495">
      <c r="A495" s="60" t="n">
        <v>46255</v>
      </c>
      <c r="B495" s="61" t="n">
        <v>285.8</v>
      </c>
      <c r="C495" s="28" t="n">
        <v>1.1688</v>
      </c>
      <c r="D495" s="61" t="n">
        <v>322.9</v>
      </c>
      <c r="E495" s="61" t="n">
        <v>171.9</v>
      </c>
      <c r="F495" s="61" t="n">
        <v>37.1</v>
      </c>
    </row>
    <row r="496">
      <c r="A496" s="60" t="n">
        <v>46258</v>
      </c>
      <c r="B496" s="61" t="n">
        <v>287.9</v>
      </c>
      <c r="C496" s="28" t="n">
        <v>1.1682</v>
      </c>
      <c r="D496" s="61" t="n">
        <v>323.4</v>
      </c>
      <c r="E496" s="61" t="n">
        <v>171</v>
      </c>
      <c r="F496" s="61" t="n">
        <v>35.5</v>
      </c>
    </row>
    <row r="497">
      <c r="A497" s="60" t="n">
        <v>46259</v>
      </c>
      <c r="B497" s="61" t="n">
        <v>290</v>
      </c>
      <c r="C497" s="28" t="n">
        <v>1.1668</v>
      </c>
      <c r="D497" s="61" t="n">
        <v>320</v>
      </c>
      <c r="E497" s="61" t="n">
        <v>172</v>
      </c>
      <c r="F497" s="61" t="n">
        <v>30</v>
      </c>
    </row>
    <row r="498">
      <c r="A498" s="60" t="n">
        <v>46260</v>
      </c>
      <c r="B498" s="61" t="n">
        <v>288.8</v>
      </c>
      <c r="C498" s="28" t="n">
        <v>1.1675</v>
      </c>
      <c r="D498" s="61" t="n">
        <v>320.4</v>
      </c>
      <c r="E498" s="61" t="n">
        <v>171.2</v>
      </c>
      <c r="F498" s="61" t="n">
        <v>31.6</v>
      </c>
    </row>
    <row r="499">
      <c r="A499" s="60" t="n">
        <v>46261</v>
      </c>
      <c r="B499" s="61" t="n">
        <v>289.6</v>
      </c>
      <c r="C499" s="28" t="n">
        <v>1.1655</v>
      </c>
      <c r="D499" s="61" t="n">
        <v>322.1</v>
      </c>
      <c r="E499" s="61" t="n">
        <v>170.8</v>
      </c>
      <c r="F499" s="61" t="n">
        <v>32.5</v>
      </c>
    </row>
    <row r="500">
      <c r="A500" s="60" t="n">
        <v>46262</v>
      </c>
      <c r="B500" s="61" t="n">
        <v>290.3</v>
      </c>
      <c r="C500" s="28" t="n">
        <v>1.1656</v>
      </c>
      <c r="D500" s="61" t="n">
        <v>322.1</v>
      </c>
      <c r="E500" s="61" t="n">
        <v>171.1</v>
      </c>
      <c r="F500" s="61" t="n">
        <v>31.8</v>
      </c>
    </row>
    <row r="501">
      <c r="A501" s="60" t="n">
        <v>46265</v>
      </c>
      <c r="B501" s="61" t="n">
        <v>291</v>
      </c>
      <c r="C501" s="28" t="n">
        <v>1.1589</v>
      </c>
      <c r="D501" s="61" t="n">
        <v>324.4</v>
      </c>
      <c r="E501" s="61" t="n">
        <v>169.5</v>
      </c>
      <c r="F501" s="61" t="n">
        <v>33.4</v>
      </c>
    </row>
    <row r="502">
      <c r="A502" s="60" t="n">
        <v>46266</v>
      </c>
      <c r="B502" s="61" t="n">
        <v>290.3</v>
      </c>
      <c r="C502" s="28" t="n">
        <v>1.1618</v>
      </c>
      <c r="D502" s="61" t="n">
        <v>323.7</v>
      </c>
      <c r="E502" s="61" t="n">
        <v>169.8</v>
      </c>
      <c r="F502" s="61" t="n">
        <v>33.4</v>
      </c>
    </row>
    <row r="503">
      <c r="A503" s="60" t="n">
        <v>46267</v>
      </c>
      <c r="B503" s="61" t="n">
        <v>289.9</v>
      </c>
      <c r="C503" s="28" t="n">
        <v>1.1596</v>
      </c>
      <c r="D503" s="61" t="n">
        <v>323.5</v>
      </c>
      <c r="E503" s="61" t="n">
        <v>169.6</v>
      </c>
      <c r="F503" s="61" t="n">
        <v>33.6</v>
      </c>
    </row>
    <row r="504">
      <c r="A504" s="60" t="n">
        <v>46268</v>
      </c>
      <c r="B504" s="61" t="n">
        <v>290.8</v>
      </c>
      <c r="C504" s="28" t="n">
        <v>1.1585</v>
      </c>
      <c r="D504" s="61" t="n">
        <v>324.8</v>
      </c>
      <c r="E504" s="61" t="n">
        <v>169.7</v>
      </c>
      <c r="F504" s="61" t="n">
        <v>34</v>
      </c>
    </row>
    <row r="505">
      <c r="A505" s="60" t="n">
        <v>46269</v>
      </c>
      <c r="B505" s="61" t="n">
        <v>291.7</v>
      </c>
      <c r="C505" s="28" t="n">
        <v>1.1628</v>
      </c>
      <c r="D505" s="61" t="n">
        <v>325.2</v>
      </c>
      <c r="E505" s="61" t="n">
        <v>171</v>
      </c>
      <c r="F505" s="61" t="n">
        <v>33.5</v>
      </c>
    </row>
    <row r="506">
      <c r="A506" s="60" t="n">
        <v>46272</v>
      </c>
      <c r="B506" s="61" t="n">
        <v>292.7</v>
      </c>
      <c r="C506" s="28" t="n">
        <v>1.1614</v>
      </c>
      <c r="D506" s="61" t="n">
        <v>323.7</v>
      </c>
      <c r="E506" s="61" t="n">
        <v>171.1</v>
      </c>
      <c r="F506" s="61" t="n">
        <v>31</v>
      </c>
    </row>
    <row r="507">
      <c r="A507" s="60" t="n">
        <v>46273</v>
      </c>
      <c r="B507" s="61" t="n">
        <v>292.6</v>
      </c>
      <c r="C507" s="28" t="n">
        <v>1.1628</v>
      </c>
      <c r="D507" s="61" t="n">
        <v>324.9</v>
      </c>
      <c r="E507" s="61" t="n">
        <v>170.2</v>
      </c>
      <c r="F507" s="61" t="n">
        <v>32.3</v>
      </c>
    </row>
    <row r="508">
      <c r="A508" s="60" t="n">
        <v>46274</v>
      </c>
      <c r="B508" s="61" t="n">
        <v>291</v>
      </c>
      <c r="C508" s="28" t="n">
        <v>1.1627</v>
      </c>
      <c r="D508" s="61" t="n">
        <v>324.7</v>
      </c>
      <c r="E508" s="61" t="n">
        <v>170.6</v>
      </c>
      <c r="F508" s="61" t="n">
        <v>33.7</v>
      </c>
    </row>
    <row r="509">
      <c r="A509" s="60" t="n">
        <v>46275</v>
      </c>
      <c r="B509" s="61" t="n">
        <v>294</v>
      </c>
      <c r="C509" s="28" t="n">
        <v>1.1634</v>
      </c>
      <c r="D509" s="61" t="n">
        <v>323</v>
      </c>
      <c r="E509" s="61" t="n">
        <v>175</v>
      </c>
      <c r="F509" s="61" t="n">
        <v>29</v>
      </c>
    </row>
    <row r="510">
      <c r="A510" s="60" t="n">
        <v>46276</v>
      </c>
      <c r="B510" s="61" t="n">
        <v>293.6</v>
      </c>
      <c r="C510" s="28" t="n">
        <v>1.161</v>
      </c>
      <c r="D510" s="61" t="n">
        <v>322.9</v>
      </c>
      <c r="E510" s="61" t="n">
        <v>174.1</v>
      </c>
      <c r="F510" s="61" t="n">
        <v>29.3</v>
      </c>
    </row>
    <row r="511">
      <c r="A511" s="60" t="n">
        <v>46279</v>
      </c>
      <c r="B511" s="61" t="n">
        <v>292.9</v>
      </c>
      <c r="C511" s="28" t="n">
        <v>1.1594</v>
      </c>
      <c r="D511" s="61" t="n">
        <v>321.7</v>
      </c>
      <c r="E511" s="61" t="n">
        <v>174.1</v>
      </c>
      <c r="F511" s="61" t="n">
        <v>28.8</v>
      </c>
    </row>
    <row r="512">
      <c r="A512" s="60" t="n">
        <v>46280</v>
      </c>
      <c r="B512" s="61" t="n">
        <v>293.9</v>
      </c>
      <c r="C512" s="28" t="n">
        <v>1.1549</v>
      </c>
      <c r="D512" s="61" t="n">
        <v>323.3</v>
      </c>
      <c r="E512" s="61" t="n">
        <v>174</v>
      </c>
      <c r="F512" s="61" t="n">
        <v>29.4</v>
      </c>
    </row>
    <row r="513">
      <c r="A513" s="60" t="n">
        <v>46281</v>
      </c>
      <c r="B513" s="61" t="n">
        <v>292.8</v>
      </c>
      <c r="C513" s="28" t="n">
        <v>1.1538</v>
      </c>
      <c r="D513" s="61" t="n">
        <v>324.7</v>
      </c>
      <c r="E513" s="61" t="n">
        <v>174.6</v>
      </c>
      <c r="F513" s="61" t="n">
        <v>31.9</v>
      </c>
    </row>
    <row r="514">
      <c r="A514" s="60" t="n">
        <v>46282</v>
      </c>
      <c r="B514" s="61" t="n">
        <v>293.5</v>
      </c>
      <c r="C514" s="28" t="n">
        <v>1.147</v>
      </c>
      <c r="D514" s="61" t="n">
        <v>324.4</v>
      </c>
      <c r="E514" s="61" t="n">
        <v>175.1</v>
      </c>
      <c r="F514" s="61" t="n">
        <v>30.9</v>
      </c>
    </row>
    <row r="515">
      <c r="A515" s="60" t="n">
        <v>46283</v>
      </c>
      <c r="B515" s="61" t="n">
        <v>294.7</v>
      </c>
      <c r="C515" s="28" t="n">
        <v>1.1476</v>
      </c>
      <c r="D515" s="61" t="n">
        <v>323.6</v>
      </c>
      <c r="E515" s="61" t="n">
        <v>175.2</v>
      </c>
      <c r="F515" s="61" t="n">
        <v>28.9</v>
      </c>
    </row>
    <row r="516">
      <c r="A516" s="60" t="n">
        <v>46286</v>
      </c>
      <c r="B516" s="61" t="n">
        <v>294.8</v>
      </c>
      <c r="C516" s="28" t="n">
        <v>1.148</v>
      </c>
      <c r="D516" s="61" t="n">
        <v>326.3</v>
      </c>
      <c r="E516" s="61" t="n">
        <v>176.1</v>
      </c>
      <c r="F516" s="61" t="n">
        <v>31.5</v>
      </c>
    </row>
    <row r="517">
      <c r="A517" s="60" t="n">
        <v>46287</v>
      </c>
      <c r="B517" s="61" t="n">
        <v>294.1</v>
      </c>
      <c r="C517" s="28" t="n">
        <v>1.1465</v>
      </c>
      <c r="D517" s="61" t="n">
        <v>326.7</v>
      </c>
      <c r="E517" s="61" t="n">
        <v>176.9</v>
      </c>
      <c r="F517" s="61" t="n">
        <v>32.6</v>
      </c>
    </row>
    <row r="518">
      <c r="A518" s="60" t="n">
        <v>46288</v>
      </c>
      <c r="B518" s="61" t="n">
        <v>298.5</v>
      </c>
      <c r="C518" s="28" t="n">
        <v>1.1448</v>
      </c>
      <c r="D518" s="61" t="n">
        <v>324</v>
      </c>
      <c r="E518" s="61" t="n">
        <v>176</v>
      </c>
      <c r="F518" s="61" t="n">
        <v>25.5</v>
      </c>
    </row>
    <row r="519">
      <c r="A519" s="60" t="n">
        <v>46289</v>
      </c>
      <c r="B519" s="61" t="n">
        <v>296</v>
      </c>
      <c r="C519" s="28" t="n">
        <v>1.139</v>
      </c>
      <c r="D519" s="61" t="n">
        <v>322.5</v>
      </c>
      <c r="E519" s="61" t="n">
        <v>174.5</v>
      </c>
      <c r="F519" s="61" t="n">
        <v>26.5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32" customWidth="1" min="3" max="3"/>
    <col width="52" customWidth="1" min="4" max="4"/>
    <col width="54" customWidth="1" min="5" max="5"/>
  </cols>
  <sheetData>
    <row r="2" ht="24" customHeight="1">
      <c r="B2" s="62" t="inlineStr">
        <is>
          <t>Cross-Currency CDS Attribution &amp; Risk Framework Documentation</t>
        </is>
      </c>
    </row>
    <row r="4">
      <c r="C4" s="63" t="inlineStr">
        <is>
          <t>1. Sizing via Target Spread Duration &amp; Portfolio Weight</t>
        </is>
      </c>
      <c r="D4" s="4" t="n"/>
      <c r="E4" s="4" t="n"/>
    </row>
    <row r="5">
      <c r="C5" s="5" t="inlineStr">
        <is>
          <t>Target Spread Duration (SD)</t>
        </is>
      </c>
      <c r="D5" s="64" t="inlineStr">
        <is>
          <t>D_target = Target portfolio spread duration contribution (years)</t>
        </is>
      </c>
      <c r="E5" s="15" t="inlineStr">
        <is>
          <t>Direct user input (e.g. 0.50 yrs). Eliminates requirement for fund NAV.</t>
        </is>
      </c>
    </row>
    <row r="6">
      <c r="C6" s="5" t="inlineStr">
        <is>
          <t>Implied CDS Weight (% Portfolio)</t>
        </is>
      </c>
      <c r="D6" s="64" t="inlineStr">
        <is>
          <t>w_CDS = D_target / D_benchmark</t>
        </is>
      </c>
      <c r="E6" s="15" t="inlineStr">
        <is>
          <t>Percentage of fund capital deployed into CDS (e.g. 0.50 / 4.30 = 11.63%).</t>
        </is>
      </c>
    </row>
    <row r="7">
      <c r="C7" s="5" t="inlineStr">
        <is>
          <t>Portfolio Spread Sensitivity (DV01)</t>
        </is>
      </c>
      <c r="D7" s="64" t="inlineStr">
        <is>
          <t>Port_Sens (bps/bp) = D_target</t>
        </is>
      </c>
      <c r="E7" s="15" t="inlineStr">
        <is>
          <t>Basis points generated on the portfolio per 1 bp move in credit spreads (e.g. 0.50 bps/bp).</t>
        </is>
      </c>
    </row>
    <row r="8">
      <c r="C8" s="5" t="inlineStr">
        <is>
          <t>FX Overlay Hedge Sizing</t>
        </is>
      </c>
      <c r="D8" s="64" t="inlineStr">
        <is>
          <t>w_hedge = Hedge ratio as % of portfolio</t>
        </is>
      </c>
      <c r="E8" s="15" t="inlineStr">
        <is>
          <t>Direct currency forward overlay sized as % of portfolio (e.g. 10.0%).</t>
        </is>
      </c>
    </row>
    <row r="9">
      <c r="C9" s="5" t="inlineStr">
        <is>
          <t>Net EUR Currency Exposure</t>
        </is>
      </c>
      <c r="D9" s="64" t="inlineStr">
        <is>
          <t>% Net EUR = ±w_CDS ∓ w_hedge</t>
        </is>
      </c>
      <c r="E9" s="15" t="inlineStr">
        <is>
          <t>Net directional EUR currency exposure remaining after forward overlay.</t>
        </is>
      </c>
    </row>
    <row r="12">
      <c r="C12" s="63" t="inlineStr">
        <is>
          <t>2. Credit Default Swap (CDS) Valuation in Portfolio Basis Points</t>
        </is>
      </c>
      <c r="D12" s="4" t="n"/>
      <c r="E12" s="4" t="n"/>
    </row>
    <row r="13">
      <c r="C13" s="5" t="inlineStr">
        <is>
          <t>Credit Capital Return (bps)</t>
        </is>
      </c>
      <c r="D13" s="64" t="inlineStr">
        <is>
          <t>Sell Protection: -D_target * (Exit_Spread - Entry_Spread) * (Exit_FX / Entry_FX)</t>
        </is>
      </c>
      <c r="E13" s="15" t="inlineStr">
        <is>
          <t>Capital gain from credit spread compression (tightening), converted to USD.</t>
        </is>
      </c>
    </row>
    <row r="14">
      <c r="C14" s="5" t="inlineStr">
        <is>
          <t>Credit Capital Return (bps)</t>
        </is>
      </c>
      <c r="D14" s="64" t="inlineStr">
        <is>
          <t>Buy Protection: +D_target * (Exit_Spread - Entry_Spread) * (Exit_FX / Entry_FX)</t>
        </is>
      </c>
      <c r="E14" s="15" t="inlineStr">
        <is>
          <t>Capital gain from credit spread decompression (widening / hedge), converted to USD.</t>
        </is>
      </c>
    </row>
    <row r="15">
      <c r="C15" s="5" t="inlineStr">
        <is>
          <t>Coupon Carry Return (bps)</t>
        </is>
      </c>
      <c r="D15" s="64" t="inlineStr">
        <is>
          <t>Sell Protection: +w_CDS * Entry_Spread * (Days / 360) * (Exit_FX / Entry_FX)</t>
        </is>
      </c>
      <c r="E15" s="15" t="inlineStr">
        <is>
          <t>Running coupon carry received over holding period (30/360), converted to USD.</t>
        </is>
      </c>
    </row>
    <row r="16">
      <c r="C16" s="5" t="inlineStr">
        <is>
          <t>Coupon Carry Return (bps)</t>
        </is>
      </c>
      <c r="D16" s="64" t="inlineStr">
        <is>
          <t>Buy Protection: -w_CDS * Entry_Spread * (Days / 360) * (Exit_FX / Entry_FX)</t>
        </is>
      </c>
      <c r="E16" s="15" t="inlineStr">
        <is>
          <t>Running coupon carry paid over holding period (30/360), converted to USD.</t>
        </is>
      </c>
    </row>
    <row r="17">
      <c r="C17" s="5" t="inlineStr">
        <is>
          <t>Total EUR CDS Return (bps)</t>
        </is>
      </c>
      <c r="D17" s="64" t="inlineStr">
        <is>
          <t>Total_CDS_bps = Spread_Return_bps + Carry_Return_bps</t>
        </is>
      </c>
      <c r="E17" s="15" t="inlineStr">
        <is>
          <t>Combined credit spread and coupon carry return in portfolio basis points.</t>
        </is>
      </c>
    </row>
    <row r="20">
      <c r="C20" s="63" t="inlineStr">
        <is>
          <t>3. Currency Translation &amp; FX Risk for a USD Investor</t>
        </is>
      </c>
      <c r="D20" s="4" t="n"/>
      <c r="E20" s="4" t="n"/>
    </row>
    <row r="21">
      <c r="C21" s="5" t="inlineStr">
        <is>
          <t>EUR Local Return (bps)</t>
        </is>
      </c>
      <c r="D21" s="64" t="inlineStr">
        <is>
          <t>Local_EUR_bps = ±D_target * (-ΔS) + ±w_CDS * Carry * (Days/360)</t>
        </is>
      </c>
      <c r="E21" s="15" t="inlineStr">
        <is>
          <t>Total CDS return in local currency terms (before currency translation).</t>
        </is>
      </c>
    </row>
    <row r="22">
      <c r="C22" s="5" t="inlineStr">
        <is>
          <t>FX Translation Effect (bps)</t>
        </is>
      </c>
      <c r="D22" s="64" t="inlineStr">
        <is>
          <t>FX_Translation_bps = Local_EUR_bps * (Exit_FX - Entry_FX) / Entry_FX</t>
        </is>
      </c>
      <c r="E22" s="15" t="inlineStr">
        <is>
          <t>Currency drag or boost on EUR profits resulting from EUR/USD movements.</t>
        </is>
      </c>
    </row>
    <row r="23">
      <c r="C23" s="5" t="inlineStr">
        <is>
          <t>Net Combined CDS Return (bps)</t>
        </is>
      </c>
      <c r="D23" s="64" t="inlineStr">
        <is>
          <t>Total_USD_CDS_bps = Local_EUR_bps + FX_Translation_bps</t>
        </is>
      </c>
      <c r="E23" s="15" t="inlineStr">
        <is>
          <t>Local return plus currency translation equals total USD-converted CDS return.</t>
        </is>
      </c>
    </row>
    <row r="26">
      <c r="C26" s="63" t="inlineStr">
        <is>
          <t>4. FX Overlay Hedge (% of Portfolio NAV)</t>
        </is>
      </c>
      <c r="D26" s="4" t="n"/>
      <c r="E26" s="4" t="n"/>
    </row>
    <row r="27">
      <c r="C27" s="5" t="inlineStr">
        <is>
          <t>Short EUR Forward Hedge P&amp;L</t>
        </is>
      </c>
      <c r="D27" s="64" t="inlineStr">
        <is>
          <t>Hedge_bps = -w_hedge * ((Exit_FX - Entry_FX) / Entry_FX) * 10,000</t>
        </is>
      </c>
      <c r="E27" s="15" t="inlineStr">
        <is>
          <t>Gains in USD when EUR depreciates, protecting against currency slide.</t>
        </is>
      </c>
    </row>
    <row r="28">
      <c r="C28" s="5" t="inlineStr">
        <is>
          <t>Long EUR Forward Hedge P&amp;L</t>
        </is>
      </c>
      <c r="D28" s="64" t="inlineStr">
        <is>
          <t>Hedge_bps = +w_hedge * ((Exit_FX - Entry_FX) / Entry_FX) * 10,000</t>
        </is>
      </c>
      <c r="E28" s="15" t="inlineStr">
        <is>
          <t>Gains in USD when EUR appreciates.</t>
        </is>
      </c>
    </row>
    <row r="29">
      <c r="C29" s="5" t="inlineStr">
        <is>
          <t>Hedge Alpha Contribution</t>
        </is>
      </c>
      <c r="D29" s="64" t="inlineStr">
        <is>
          <t>Alpha_bps = Hedge_bps</t>
        </is>
      </c>
      <c r="E29" s="15" t="inlineStr">
        <is>
          <t>Net alpha / drawdown protection delivered by currency forward overlay.</t>
        </is>
      </c>
    </row>
    <row r="33">
      <c r="C33" s="63" t="inlineStr">
        <is>
          <t>5. Combined Portfolio Return (Basis Points)</t>
        </is>
      </c>
      <c r="D33" s="4" t="n"/>
      <c r="E33" s="4" t="n"/>
    </row>
    <row r="34">
      <c r="C34" s="5" t="inlineStr">
        <is>
          <t>Total Portfolio Return (bps)</t>
        </is>
      </c>
      <c r="D34" s="64" t="inlineStr">
        <is>
          <t>Total_Net_Return_bps = Total_CDS_bps + Hedge_bps</t>
        </is>
      </c>
      <c r="E34" s="15" t="inlineStr">
        <is>
          <t>Net combined portfolio return across credit spread, carry, and FX hedge.</t>
        </is>
      </c>
    </row>
    <row r="35">
      <c r="C35" s="5" t="inlineStr">
        <is>
          <t>Unhedged Portfolio Return (bps)</t>
        </is>
      </c>
      <c r="D35" s="64" t="inlineStr">
        <is>
          <t>Unhedged_bps = Total_CDS_bps</t>
        </is>
      </c>
      <c r="E35" s="15" t="inlineStr">
        <is>
          <t>Portfolio performance if 100% unhedged to currency volatility.</t>
        </is>
      </c>
    </row>
    <row r="36">
      <c r="C36" s="5" t="inlineStr">
        <is>
          <t>Portfolio Return (%)</t>
        </is>
      </c>
      <c r="D36" s="64" t="inlineStr">
        <is>
          <t>Return_Pct = Total_Net_Return_bps / 10,000</t>
        </is>
      </c>
      <c r="E36" s="15" t="inlineStr">
        <is>
          <t>Return expressed as percentage of total portfolio.</t>
        </is>
      </c>
    </row>
    <row r="40">
      <c r="C40" s="63" t="inlineStr">
        <is>
          <t>6. Currency Polarity Framework (Which Currency is LONG vs. SHORT)</t>
        </is>
      </c>
      <c r="D40" s="4" t="n"/>
      <c r="E40" s="4" t="n"/>
    </row>
    <row r="41">
      <c r="C41" s="5" t="inlineStr">
        <is>
          <t>Sell Protection (Long Risk)</t>
        </is>
      </c>
      <c r="D41" s="64" t="inlineStr">
        <is>
          <t>Underlying CDS is LONG EUR / SHORT USD</t>
        </is>
      </c>
      <c r="E41" s="15" t="inlineStr">
        <is>
          <t>Investor receives EUR premium; holding EUR credit asset. EUR slide hurts USD P&amp;L.</t>
        </is>
      </c>
    </row>
    <row r="42">
      <c r="C42" s="5" t="inlineStr">
        <is>
          <t>Buy Protection (Short Risk)</t>
        </is>
      </c>
      <c r="D42" s="64" t="inlineStr">
        <is>
          <t>Underlying CDS is SHORT EUR / LONG USD</t>
        </is>
      </c>
      <c r="E42" s="15" t="inlineStr">
        <is>
          <t>Investor pays EUR premium; long EUR credit default payout.</t>
        </is>
      </c>
    </row>
    <row r="43">
      <c r="C43" s="5" t="inlineStr">
        <is>
          <t>Short EUR Forward Hedge</t>
        </is>
      </c>
      <c r="D43" s="64" t="inlineStr">
        <is>
          <t>FX Overlay is SHORT EUR / LONG USD</t>
        </is>
      </c>
      <c r="E43" s="15" t="inlineStr">
        <is>
          <t>Sells EUR forward to buy USD. Profits in USD when EUR depreciates.</t>
        </is>
      </c>
    </row>
    <row r="44">
      <c r="C44" s="5" t="inlineStr">
        <is>
          <t>Long EUR Forward Hedge</t>
        </is>
      </c>
      <c r="D44" s="64" t="inlineStr">
        <is>
          <t>FX Overlay is LONG EUR / SHORT USD</t>
        </is>
      </c>
      <c r="E44" s="15" t="inlineStr">
        <is>
          <t>Buys EUR forward against USD. Profits in USD when EUR appreciates.</t>
        </is>
      </c>
    </row>
    <row r="45">
      <c r="C45" s="5" t="inlineStr">
        <is>
          <t>Net Portfolio Currency Stance</t>
        </is>
      </c>
      <c r="D45" s="64" t="inlineStr">
        <is>
          <t>Net_EUR = ±w_CDS ∓ w_hedge</t>
        </is>
      </c>
      <c r="E45" s="15" t="inlineStr">
        <is>
          <t>Net currency exposure remaining after overlay hedge (Long EUR if &gt; 0).</t>
        </is>
      </c>
    </row>
  </sheetData>
  <mergeCells count="7">
    <mergeCell ref="B2:G2"/>
    <mergeCell ref="C33:E33"/>
    <mergeCell ref="C40:E40"/>
    <mergeCell ref="C4:E4"/>
    <mergeCell ref="C26:E26"/>
    <mergeCell ref="C20:E20"/>
    <mergeCell ref="C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2026-09-24T09:06:40Z</dcterms:created>
  <dcterms:modified xmlns:dcterms="http://purl.org/dc/terms/" xmlns:xsi="http://www.w3.org/2001/XMLSchema-instance" xsi:type="dcterms:W3CDTF">2026-09-24T09:06:40Z</dcterms:modified>
</cp:coreProperties>
</file>