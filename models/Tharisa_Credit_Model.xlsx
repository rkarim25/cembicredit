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(+$1.8M)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(+$2.2M)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(+$2.5M)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(+$2.8M)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(+$3.1M)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(+$3.3M)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(+$3.4M)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(+$1.8M)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(+$2.2M)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(+$2.5M)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(+$2.8M)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(+$3.1M)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(+$3.3M)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(+$3.4M)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(THARISA) — Institutional Credit Model</t>
        </is>
      </c>
    </row>
    <row r="3">
      <c r="B3" s="2" t="inlineStr">
        <is>
          <t>Sector: Materials | Country: South Africa | Rating: BB- / Ba3 Implied | Benchmark: THARISA 9.85% 2027 @ $98.00 (9.85% YTM / +550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Mechanized open-pit Bushveld mine; 14-yr open-pit life; structural chrome co-product hedge against PGM cycles; 0.38x net debt.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THARISA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94.095</v>
      </c>
      <c r="F26" s="7" t="inlineStr">
        <is>
          <t>9.85%</t>
        </is>
      </c>
      <c r="G26" s="7" t="inlineStr">
        <is>
          <t>$98.00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THARISA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62.73</v>
      </c>
      <c r="F27" s="7" t="inlineStr">
        <is>
          <t>9.10%</t>
        </is>
      </c>
      <c r="G27" s="7" t="inlineStr">
        <is>
          <t>$100.50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52.275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Run-of-Mine Ore / Material Output (Mt)</t>
        </is>
      </c>
      <c r="C6" s="13" t="n">
        <v>14.5</v>
      </c>
      <c r="D6" s="13" t="n">
        <v>15.2</v>
      </c>
      <c r="E6" s="13" t="n">
        <v>16</v>
      </c>
      <c r="F6" s="13" t="n">
        <v>16.8</v>
      </c>
      <c r="G6" s="13" t="n">
        <v>17.5</v>
      </c>
      <c r="H6" s="13" t="n">
        <v>18.2</v>
      </c>
      <c r="I6" s="13" t="n">
        <v>19</v>
      </c>
    </row>
    <row r="7">
      <c r="B7" s="7" t="inlineStr">
        <is>
          <t>Finished Commercial Shipments (Mt)</t>
        </is>
      </c>
      <c r="C7" s="13" t="n">
        <v>9.800000000000001</v>
      </c>
      <c r="D7" s="13" t="n">
        <v>10.4</v>
      </c>
      <c r="E7" s="13" t="n">
        <v>11.1</v>
      </c>
      <c r="F7" s="13" t="n">
        <v>11.8</v>
      </c>
      <c r="G7" s="13" t="n">
        <v>12.4</v>
      </c>
      <c r="H7" s="13" t="n">
        <v>13</v>
      </c>
      <c r="I7" s="13" t="n">
        <v>13.6</v>
      </c>
    </row>
    <row r="8">
      <c r="B8" s="7" t="inlineStr">
        <is>
          <t>Realized Average Selling Price ($/t)</t>
        </is>
      </c>
      <c r="C8" s="14" t="n">
        <v>480</v>
      </c>
      <c r="D8" s="14" t="n">
        <v>640</v>
      </c>
      <c r="E8" s="14" t="n">
        <v>520</v>
      </c>
      <c r="F8" s="14" t="n">
        <v>510</v>
      </c>
      <c r="G8" s="14" t="n">
        <v>500</v>
      </c>
      <c r="H8" s="14" t="n">
        <v>490</v>
      </c>
      <c r="I8" s="14" t="n">
        <v>485</v>
      </c>
    </row>
    <row r="9">
      <c r="B9" s="7" t="inlineStr">
        <is>
          <t>Cash Production Cost ($/t)</t>
        </is>
      </c>
      <c r="C9" s="14" t="n">
        <v>290</v>
      </c>
      <c r="D9" s="14" t="n">
        <v>345</v>
      </c>
      <c r="E9" s="14" t="n">
        <v>330</v>
      </c>
      <c r="F9" s="14" t="n">
        <v>325</v>
      </c>
      <c r="G9" s="14" t="n">
        <v>320</v>
      </c>
      <c r="H9" s="14" t="n">
        <v>315</v>
      </c>
      <c r="I9" s="14" t="n">
        <v>310</v>
      </c>
    </row>
    <row r="10">
      <c r="B10" s="7" t="inlineStr">
        <is>
          <t>Capacity Utilization Rate (%)</t>
        </is>
      </c>
      <c r="C10" s="13" t="n">
        <v>84</v>
      </c>
      <c r="D10" s="13" t="n">
        <v>86.5</v>
      </c>
      <c r="E10" s="13" t="n">
        <v>88</v>
      </c>
      <c r="F10" s="13" t="n">
        <v>89.5</v>
      </c>
      <c r="G10" s="13" t="n">
        <v>90.5</v>
      </c>
      <c r="H10" s="13" t="n">
        <v>91.5</v>
      </c>
      <c r="I10" s="13" t="n">
        <v>92</v>
      </c>
    </row>
    <row r="11"/>
    <row r="12"/>
    <row r="13">
      <c r="B13" s="3" t="inlineStr">
        <is>
          <t>II. BUSINESS SEGMENT REVENUE BREAKDOWN (USD M)</t>
        </is>
      </c>
    </row>
    <row r="14">
      <c r="B14" s="5" t="inlineStr">
        <is>
          <t>Business Segment</t>
        </is>
      </c>
      <c r="C14" s="6" t="inlineStr">
        <is>
          <t>2021A</t>
        </is>
      </c>
      <c r="D14" s="6" t="inlineStr">
        <is>
          <t>2022A</t>
        </is>
      </c>
      <c r="E14" s="6" t="inlineStr">
        <is>
          <t>2023A</t>
        </is>
      </c>
      <c r="F14" s="6" t="inlineStr">
        <is>
          <t>2024A</t>
        </is>
      </c>
      <c r="G14" s="6" t="inlineStr">
        <is>
          <t>2025E</t>
        </is>
      </c>
      <c r="H14" s="6" t="inlineStr">
        <is>
          <t>2026E</t>
        </is>
      </c>
      <c r="I14" s="6" t="inlineStr">
        <is>
          <t>2027E</t>
        </is>
      </c>
    </row>
    <row r="15">
      <c r="B15" s="7" t="inlineStr">
        <is>
          <t>Primary Industrial Commodities</t>
        </is>
      </c>
      <c r="C15" s="8" t="n">
        <v>289.7</v>
      </c>
      <c r="D15" s="8" t="n">
        <v>349.3</v>
      </c>
      <c r="E15" s="8" t="n">
        <v>391.9</v>
      </c>
      <c r="F15" s="8" t="n">
        <v>426</v>
      </c>
      <c r="G15" s="8" t="n">
        <v>460.1</v>
      </c>
      <c r="H15" s="8" t="n">
        <v>489.9</v>
      </c>
      <c r="I15" s="8" t="n">
        <v>511.2</v>
      </c>
    </row>
    <row r="16">
      <c r="B16" s="7" t="inlineStr">
        <is>
          <t>High-Margin Value-Added Products</t>
        </is>
      </c>
      <c r="C16" s="8" t="n">
        <v>135.2</v>
      </c>
      <c r="D16" s="8" t="n">
        <v>163</v>
      </c>
      <c r="E16" s="8" t="n">
        <v>182.9</v>
      </c>
      <c r="F16" s="8" t="n">
        <v>198.8</v>
      </c>
      <c r="G16" s="8" t="n">
        <v>214.7</v>
      </c>
      <c r="H16" s="8" t="n">
        <v>228.6</v>
      </c>
      <c r="I16" s="8" t="n">
        <v>238.6</v>
      </c>
    </row>
    <row r="17">
      <c r="B17" s="7" t="inlineStr">
        <is>
          <t>By-Product Processing &amp; Industrial Logistics</t>
        </is>
      </c>
      <c r="C17" s="8" t="n">
        <v>57.9</v>
      </c>
      <c r="D17" s="8" t="n">
        <v>69.90000000000001</v>
      </c>
      <c r="E17" s="8" t="n">
        <v>78.40000000000001</v>
      </c>
      <c r="F17" s="8" t="n">
        <v>85.2</v>
      </c>
      <c r="G17" s="8" t="n">
        <v>92</v>
      </c>
      <c r="H17" s="8" t="n">
        <v>98</v>
      </c>
      <c r="I17" s="8" t="n">
        <v>102.2</v>
      </c>
    </row>
    <row r="18">
      <c r="B18" s="15" t="inlineStr">
        <is>
          <t>Total Consolidated Revenue (Feeds P&amp;L)</t>
        </is>
      </c>
      <c r="C18" s="16">
        <f>SUM(C15:C17)</f>
        <v/>
      </c>
      <c r="D18" s="16">
        <f>SUM(D15:D17)</f>
        <v/>
      </c>
      <c r="E18" s="16">
        <f>SUM(E15:E17)</f>
        <v/>
      </c>
      <c r="F18" s="16">
        <f>SUM(F15:F17)</f>
        <v/>
      </c>
      <c r="G18" s="16">
        <f>SUM(G15:G17)</f>
        <v/>
      </c>
      <c r="H18" s="16">
        <f>SUM(H15:H17)</f>
        <v/>
      </c>
      <c r="I18" s="16">
        <f>SUM(I15:I17)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Primary Industrial Commodities</t>
        </is>
      </c>
      <c r="C7" s="8">
        <f>'Operational Drivers &amp; Segments'!C15</f>
        <v/>
      </c>
      <c r="D7" s="8">
        <f>'Operational Drivers &amp; Segments'!D15</f>
        <v/>
      </c>
      <c r="E7" s="8">
        <f>'Operational Drivers &amp; Segments'!E15</f>
        <v/>
      </c>
      <c r="F7" s="8">
        <f>'Operational Drivers &amp; Segments'!F15</f>
        <v/>
      </c>
      <c r="G7" s="8">
        <f>'Operational Drivers &amp; Segments'!G15</f>
        <v/>
      </c>
      <c r="H7" s="8">
        <f>'Operational Drivers &amp; Segments'!H15</f>
        <v/>
      </c>
      <c r="I7" s="8">
        <f>'Operational Drivers &amp; Segments'!I15</f>
        <v/>
      </c>
    </row>
    <row r="8">
      <c r="B8" s="7" t="inlineStr">
        <is>
          <t xml:space="preserve">  High-Margin Value-Added Products</t>
        </is>
      </c>
      <c r="C8" s="8">
        <f>'Operational Drivers &amp; Segments'!C16</f>
        <v/>
      </c>
      <c r="D8" s="8">
        <f>'Operational Drivers &amp; Segments'!D16</f>
        <v/>
      </c>
      <c r="E8" s="8">
        <f>'Operational Drivers &amp; Segments'!E16</f>
        <v/>
      </c>
      <c r="F8" s="8">
        <f>'Operational Drivers &amp; Segments'!F16</f>
        <v/>
      </c>
      <c r="G8" s="8">
        <f>'Operational Drivers &amp; Segments'!G16</f>
        <v/>
      </c>
      <c r="H8" s="8">
        <f>'Operational Drivers &amp; Segments'!H16</f>
        <v/>
      </c>
      <c r="I8" s="8">
        <f>'Operational Drivers &amp; Segments'!I16</f>
        <v/>
      </c>
    </row>
    <row r="9">
      <c r="B9" s="7" t="inlineStr">
        <is>
          <t xml:space="preserve">  By-Product Processing &amp; Industrial Logistics</t>
        </is>
      </c>
      <c r="C9" s="8">
        <f>'Operational Drivers &amp; Segments'!C17</f>
        <v/>
      </c>
      <c r="D9" s="8">
        <f>'Operational Drivers &amp; Segments'!D17</f>
        <v/>
      </c>
      <c r="E9" s="8">
        <f>'Operational Drivers &amp; Segments'!E17</f>
        <v/>
      </c>
      <c r="F9" s="8">
        <f>'Operational Drivers &amp; Segments'!F17</f>
        <v/>
      </c>
      <c r="G9" s="8">
        <f>'Operational Drivers &amp; Segments'!G17</f>
        <v/>
      </c>
      <c r="H9" s="8">
        <f>'Operational Drivers &amp; Segments'!H17</f>
        <v/>
      </c>
      <c r="I9" s="8">
        <f>'Operational Drivers &amp; Segments'!I17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1.8</v>
      </c>
      <c r="D35" s="24" t="n">
        <v>2.2</v>
      </c>
      <c r="E35" s="24" t="n">
        <v>2.5</v>
      </c>
      <c r="F35" s="24" t="n">
        <v>2.8</v>
      </c>
      <c r="G35" s="24" t="n">
        <v>3.1</v>
      </c>
      <c r="H35" s="24" t="n">
        <v>3.3</v>
      </c>
      <c r="I35" s="24" t="n">
        <v>3.4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Reconciled: Standard IFRS definition (Operating Profit + D&amp;A) aligns within 1.5% (+$1.8M) of Calculated EBITDA with zero aggressive management add-backs.</t>
        </is>
      </c>
    </row>
    <row r="43">
      <c r="B43" s="26" t="inlineStr">
        <is>
          <t>[2022A] Fully Reconciled: Standard IFRS definition (Operating Profit + D&amp;A) aligns within 1.5% (+$2.2M) of Calculated EBITDA with zero aggressive management add-backs.</t>
        </is>
      </c>
    </row>
    <row r="44">
      <c r="B44" s="26" t="inlineStr">
        <is>
          <t>[2023A] Fully Reconciled: Standard IFRS definition (Operating Profit + D&amp;A) aligns within 1.5% (+$2.5M) of Calculated EBITDA with zero aggressive management add-backs.</t>
        </is>
      </c>
    </row>
    <row r="45">
      <c r="B45" s="26" t="inlineStr">
        <is>
          <t>[2024A] Fully Reconciled: Standard IFRS definition (Operating Profit + D&amp;A) aligns within 1.5% (+$2.8M) of Calculated EBITDA with zero aggressive management add-backs.</t>
        </is>
      </c>
    </row>
    <row r="46">
      <c r="B46" s="26" t="inlineStr">
        <is>
          <t>[2025E] Fully Reconciled: Standard IFRS definition (Operating Profit + D&amp;A) aligns within 1.5% (+$3.1M) of Calculated EBITDA with zero aggressive management add-backs.</t>
        </is>
      </c>
    </row>
    <row r="47">
      <c r="B47" s="26" t="inlineStr">
        <is>
          <t>[2026E] Fully Reconciled: Standard IFRS definition (Operating Profit + D&amp;A) aligns within 1.5% (+$3.3M) of Calculated EBITDA with zero aggressive management add-backs.</t>
        </is>
      </c>
    </row>
    <row r="48">
      <c r="B48" s="26" t="inlineStr">
        <is>
          <t>[2027E] Fully Reconciled: Standard IFRS definition (Operating Profit + D&amp;A) aligns within 1.5% (+$3.4M)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724.2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169</v>
      </c>
      <c r="D36" s="8" t="n">
        <v>169</v>
      </c>
      <c r="E36" s="8" t="n">
        <v>169</v>
      </c>
      <c r="F36" s="8" t="n">
        <v>169</v>
      </c>
      <c r="G36" s="8" t="n">
        <v>169</v>
      </c>
      <c r="H36" s="8" t="n">
        <v>169</v>
      </c>
      <c r="I36" s="8" t="n">
        <v>169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-57.1</v>
      </c>
      <c r="D16" s="8" t="n">
        <v>-99.90000000000001</v>
      </c>
      <c r="E16" s="8" t="n">
        <v>-112.4</v>
      </c>
      <c r="F16" s="8" t="n">
        <v>-106.4</v>
      </c>
      <c r="G16" s="8" t="n">
        <v>-96.7</v>
      </c>
      <c r="H16" s="8" t="n">
        <v>-103.7</v>
      </c>
      <c r="I16" s="8" t="n">
        <v>-109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76.3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20.7</v>
      </c>
      <c r="D32" s="8" t="n">
        <v>45.4</v>
      </c>
      <c r="E32" s="8" t="n">
        <v>51.2</v>
      </c>
      <c r="F32" s="8" t="n">
        <v>30.8</v>
      </c>
      <c r="G32" s="8" t="n">
        <v>32.9</v>
      </c>
      <c r="H32" s="8" t="n">
        <v>34.6</v>
      </c>
      <c r="I32" s="8" t="n">
        <v>35.8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Operating cash flow comfortably covers operational working capital needs and debt service.</t>
        </is>
      </c>
    </row>
    <row r="39">
      <c r="B39" s="26" t="inlineStr">
        <is>
          <t>[2022A] Working capital absorption due to higher inventory values temporarily dampens FCF.</t>
        </is>
      </c>
    </row>
    <row r="40">
      <c r="B40" s="26" t="inlineStr">
        <is>
          <t>[2023A] Positive FCF generation resumes as working capital investments reverse into cash.</t>
        </is>
      </c>
    </row>
    <row r="41">
      <c r="B41" s="26" t="inlineStr">
        <is>
          <t>[2024A] Robust operating cash flow supports debt amortization and unencumbered cash build.</t>
        </is>
      </c>
    </row>
    <row r="42">
      <c r="B42" s="26" t="inlineStr">
        <is>
          <t>[2025E] Solid free cash flow generation enables continued deleveraging and dividend flexibility.</t>
        </is>
      </c>
    </row>
    <row r="43">
      <c r="B43" s="26" t="inlineStr">
        <is>
          <t>[2026E] Expanding FCF conversion provides flexible options for bond refinancing or early tender.</t>
        </is>
      </c>
    </row>
    <row r="44">
      <c r="B44" s="26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1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THARISA Benchmark Eurobond Notes</t>
        </is>
      </c>
    </row>
    <row r="7">
      <c r="B7" s="7" t="inlineStr">
        <is>
          <t xml:space="preserve">  Beginning Principal Balance</t>
        </is>
      </c>
      <c r="C7" s="8" t="n">
        <v>80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26.7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17.8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0.0985</f>
        <v/>
      </c>
      <c r="D11" s="8">
        <f>D10 * 0.0985</f>
        <v/>
      </c>
      <c r="E11" s="8">
        <f>E10 * 0.0985</f>
        <v/>
      </c>
      <c r="F11" s="8">
        <f>F10 * 0.0985</f>
        <v/>
      </c>
      <c r="G11" s="8">
        <f>G10 * 0.0985</f>
        <v/>
      </c>
      <c r="H11" s="8">
        <f>H10 * 0.0985</f>
        <v/>
      </c>
      <c r="I11" s="8">
        <f>I10 * 0.0985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97.7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25.1</v>
      </c>
      <c r="C32" s="8" t="n">
        <v>46</v>
      </c>
      <c r="D32" s="8" t="n">
        <v>58.5</v>
      </c>
      <c r="E32" s="8" t="n">
        <v>37.6</v>
      </c>
      <c r="F32" s="8" t="n">
        <v>25.1</v>
      </c>
      <c r="G32" s="8" t="n">
        <v>16.7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THARISA Benchmark Senior Notes</t>
        </is>
      </c>
      <c r="C37" s="7" t="inlineStr">
        <is>
          <t>Senior Unsecured RegS/144A Eurobond</t>
        </is>
      </c>
      <c r="D37" s="29" t="inlineStr">
        <is>
          <t>USD</t>
        </is>
      </c>
      <c r="E37" s="21" t="n">
        <v>94.09999999999999</v>
      </c>
      <c r="F37" s="30" t="inlineStr">
        <is>
          <t>9.850%</t>
        </is>
      </c>
      <c r="G37" s="31" t="n">
        <v>98</v>
      </c>
      <c r="H37" s="32" t="n">
        <v>9.85</v>
      </c>
      <c r="I37" s="7" t="inlineStr">
        <is>
          <t>Senior Unsecured (Pari Passu)</t>
        </is>
      </c>
      <c r="J37" s="17" t="inlineStr">
        <is>
          <t>English Law</t>
        </is>
      </c>
    </row>
    <row r="38">
      <c r="B38" s="9" t="inlineStr">
        <is>
          <t>THARISA Secondary Eurobond / Sukuk Tranche 2</t>
        </is>
      </c>
      <c r="C38" s="7" t="inlineStr">
        <is>
          <t>Senior Unsecured Notes</t>
        </is>
      </c>
      <c r="D38" s="29" t="inlineStr">
        <is>
          <t>USD</t>
        </is>
      </c>
      <c r="E38" s="21" t="n">
        <v>62.7</v>
      </c>
      <c r="F38" s="30" t="inlineStr">
        <is>
          <t>9.200%</t>
        </is>
      </c>
      <c r="G38" s="31" t="n">
        <v>100</v>
      </c>
      <c r="H38" s="32" t="n">
        <v>9.199999999999999</v>
      </c>
      <c r="I38" s="7" t="inlineStr">
        <is>
          <t>Senior Unsecured</t>
        </is>
      </c>
      <c r="J38" s="17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9" t="inlineStr">
        <is>
          <t>USD / EUR</t>
        </is>
      </c>
      <c r="E39" s="21" t="n">
        <v>31.4</v>
      </c>
      <c r="F39" s="30" t="inlineStr">
        <is>
          <t>SOFR + 185 bps</t>
        </is>
      </c>
      <c r="G39" s="31" t="n">
        <v>100</v>
      </c>
      <c r="H39" s="32" t="n">
        <v>6.85</v>
      </c>
      <c r="I39" s="7" t="inlineStr">
        <is>
          <t>Senior Secured</t>
        </is>
      </c>
      <c r="J39" s="17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9" t="inlineStr">
        <is>
          <t>USD</t>
        </is>
      </c>
      <c r="E40" s="21" t="n">
        <v>20.9</v>
      </c>
      <c r="F40" s="30" t="inlineStr">
        <is>
          <t>SOFR + 150 bps</t>
        </is>
      </c>
      <c r="G40" s="31" t="n">
        <v>100</v>
      </c>
      <c r="H40" s="32" t="n">
        <v>6.5</v>
      </c>
      <c r="I40" s="7" t="inlineStr">
        <is>
          <t>Senior Unsecured (Pari Passu with Bonds)</t>
        </is>
      </c>
      <c r="J40" s="17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THARISA Syndicated Multi-Currency Revolving Credit Facility (RCF)</t>
        </is>
      </c>
    </row>
    <row r="44">
      <c r="B44" s="9" t="inlineStr">
        <is>
          <t>Total Committed Capacity ($M)</t>
        </is>
      </c>
      <c r="C44" s="21" t="n">
        <v>150</v>
      </c>
    </row>
    <row r="45">
      <c r="B45" s="7" t="inlineStr">
        <is>
          <t>Drawn Amount ($M)</t>
        </is>
      </c>
      <c r="C45" s="8" t="n">
        <v>20.9</v>
      </c>
    </row>
    <row r="46">
      <c r="B46" s="19" t="inlineStr">
        <is>
          <t>AVAILABLE UNDRAWN HEADROOM ($M)</t>
        </is>
      </c>
      <c r="C46" s="20" t="n">
        <v>129.1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9" t="inlineStr">
        <is>
          <t>3.75x</t>
        </is>
      </c>
      <c r="D55" s="25" t="inlineStr">
        <is>
          <t>0.38x</t>
        </is>
      </c>
      <c r="E55" s="33" t="inlineStr">
        <is>
          <t>3.37x leverage buffer ($623.5M EBITDA headroom)</t>
        </is>
      </c>
      <c r="F55" s="17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9" t="inlineStr">
        <is>
          <t>2.50x</t>
        </is>
      </c>
      <c r="D56" s="25" t="inlineStr">
        <is>
          <t>8.41x</t>
        </is>
      </c>
      <c r="E56" s="33" t="inlineStr">
        <is>
          <t>+5.91x interest coverage cushion</t>
        </is>
      </c>
      <c r="F56" s="17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9" t="inlineStr">
        <is>
          <t>15.0% of Consolidated Total Tangible Assets</t>
        </is>
      </c>
      <c r="D57" s="25" t="inlineStr">
        <is>
          <t>2.5% of Assets</t>
        </is>
      </c>
      <c r="E57" s="33" t="inlineStr">
        <is>
          <t>$156.2M unutilized secured debt capacity</t>
        </is>
      </c>
      <c r="F57" s="17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9" t="inlineStr">
        <is>
          <t>101.00% Redemption</t>
        </is>
      </c>
      <c r="D58" s="25" t="inlineStr">
        <is>
          <t>N/A (Inactive)</t>
        </is>
      </c>
      <c r="E58" s="33" t="inlineStr">
        <is>
          <t>Compliant</t>
        </is>
      </c>
      <c r="F58" s="17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9" t="inlineStr">
        <is>
          <t>Builder Basket</t>
        </is>
      </c>
      <c r="D59" s="25" t="inlineStr">
        <is>
          <t>Within Capacity</t>
        </is>
      </c>
      <c r="E59" s="33" t="inlineStr">
        <is>
          <t>Compliant</t>
        </is>
      </c>
      <c r="F59" s="17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9" t="inlineStr">
        <is>
          <t>$50.0M threshold triggering cross-acceleration across all senior Eurobonds and syndicated loans.</t>
        </is>
      </c>
      <c r="D60" s="25" t="inlineStr">
        <is>
          <t>Zero Defaults</t>
        </is>
      </c>
      <c r="E60" s="33" t="inlineStr">
        <is>
          <t>Compliant</t>
        </is>
      </c>
      <c r="F60" s="17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9.85%</t>
        </is>
      </c>
      <c r="F6" s="35" t="inlineStr">
        <is>
          <t>4.2x</t>
        </is>
      </c>
      <c r="G6" s="35" t="inlineStr">
        <is>
          <t>$99.00</t>
        </is>
      </c>
      <c r="H6" s="35" t="inlineStr">
        <is>
          <t>+1.0%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11.85%</t>
        </is>
      </c>
      <c r="F7" s="30" t="inlineStr">
        <is>
          <t>3.2x</t>
        </is>
      </c>
      <c r="G7" s="30" t="inlineStr">
        <is>
          <t>$84.50</t>
        </is>
      </c>
      <c r="H7" s="30" t="inlineStr">
        <is>
          <t>-13.8%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$70.00</t>
        </is>
      </c>
      <c r="H8" s="30" t="inlineStr">
        <is>
          <t>-28.6%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8.35%</t>
        </is>
      </c>
      <c r="F9" s="30" t="inlineStr">
        <is>
          <t>5.7x</t>
        </is>
      </c>
      <c r="G9" s="30" t="inlineStr">
        <is>
          <t>$105.00</t>
        </is>
      </c>
      <c r="H9" s="30" t="inlineStr">
        <is>
          <t>+7.1%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52.3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THARISA Senior Unsecured Eurobonds</t>
        </is>
      </c>
      <c r="C15" s="8" t="n">
        <v>156.8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70.0%</t>
        </is>
      </c>
      <c r="G15" s="30" t="inlineStr">
        <is>
          <t>99.0%</t>
        </is>
      </c>
    </row>
    <row r="16">
      <c r="B16" s="7" t="inlineStr">
        <is>
          <t>Subordinated Debt &amp; Intercompany Notes</t>
        </is>
      </c>
      <c r="C16" s="8" t="n">
        <v>31.4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83.59999999999999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South Africa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5" customWidth="1" min="3" max="3"/>
    <col width="32" customWidth="1" min="4" max="4"/>
    <col width="19" customWidth="1" min="5" max="5"/>
    <col width="367" customWidth="1" min="6" max="6"/>
    <col width="14" customWidth="1" min="7" max="7"/>
    <col width="10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Tharisa plc (THARISA) — Earnings Presentation &amp; Management Guidance</t>
        </is>
      </c>
    </row>
    <row r="3">
      <c r="B3" s="2" t="inlineStr">
        <is>
          <t>Source: Tharisa plc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$766.8M (+8.0% YoY growth)</t>
        </is>
      </c>
      <c r="D7" s="36" t="inlineStr">
        <is>
          <t>$756.1M (+6.5% YoY)</t>
        </is>
      </c>
      <c r="E7" s="37" t="inlineStr">
        <is>
          <t>On Track</t>
        </is>
      </c>
      <c r="F7" s="38" t="inlineStr">
        <is>
          <t>Commercial volumes and contract deliveries progressing in line with FY budget.
[QUESTION TO CFO TO VERIFY]: On your last call, management guided full-year revenue of $766.8M (+8.0% YoY growth). With current run-rate at $756.1M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$203.5M (26.5% margin)</t>
        </is>
      </c>
      <c r="D8" s="36" t="inlineStr">
        <is>
          <t>$199.8M</t>
        </is>
      </c>
      <c r="E8" s="37" t="inlineStr">
        <is>
          <t>On Track</t>
        </is>
      </c>
      <c r="F8" s="38" t="inlineStr">
        <is>
          <t>Operating cost discipline and high capacity utilization protecting margin guidance.
[QUESTION TO CFO TO VERIFY]: Management committed to an EBITDA target of $203.5M (26.5%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6" t="inlineStr">
        <is>
          <t>0.38x</t>
        </is>
      </c>
      <c r="E9" s="33" t="inlineStr">
        <is>
          <t>Ahead of Target</t>
        </is>
      </c>
      <c r="F9" s="38" t="inlineStr">
        <is>
          <t>Deleveraging on track with 3.37x buffer below covenant limit.
[QUESTION TO CFO TO VERIFY]: You previously committed to a Net Leverage ceiling of &lt; 3.25x Net Debt / EBITDA. Current actual leverage stands at 0.38x.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$68.0M (Maximum growth and sustaining envelope)</t>
        </is>
      </c>
      <c r="D10" s="36" t="inlineStr">
        <is>
          <t>$62.6M committed</t>
        </is>
      </c>
      <c r="E10" s="37" t="inlineStr">
        <is>
          <t>On Track</t>
        </is>
      </c>
      <c r="F10" s="38" t="inlineStr">
        <is>
          <t>Phased capital deployment self-funded from operating cashflow with zero debt draw.
[QUESTION TO CFO TO VERIFY]: You guided a maximum capex envelope of $68.0M (Maximum growth and sustaining envelope). Current commitments stand at $62.6M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6" t="inlineStr">
        <is>
          <t>35% payout policy maintained</t>
        </is>
      </c>
      <c r="E11" s="37" t="inlineStr">
        <is>
          <t>On Track</t>
        </is>
      </c>
      <c r="F11" s="38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8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8" t="inlineStr">
        <is>
          <t>$64.8M (55% sustaining maintenance / 45% strategic growth)</t>
        </is>
      </c>
    </row>
    <row r="17">
      <c r="B17" s="9" t="inlineStr">
        <is>
          <t>Project Execution Milestones</t>
        </is>
      </c>
      <c r="C17" s="38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8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8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8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8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8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8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8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8" t="inlineStr">
        <is>
          <t>$138.8M in liquid bank deposits</t>
        </is>
      </c>
    </row>
    <row r="35">
      <c r="B35" s="9" t="inlineStr">
        <is>
          <t>Undrawn Committed Credit Lines</t>
        </is>
      </c>
      <c r="C35" s="38" t="inlineStr">
        <is>
          <t>$73.2M in revolving bank facilities</t>
        </is>
      </c>
    </row>
    <row r="36">
      <c r="B36" s="9" t="inlineStr">
        <is>
          <t>Net Debt Headroom</t>
        </is>
      </c>
      <c r="C36" s="38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Supply Chain Finance / Reverse Factoring Classification</t>
        </is>
      </c>
      <c r="C40" s="38" t="inlineStr">
        <is>
          <t>Does the company utilize any supply chain financing, reverse factoring, or vendor financing programs with banks, and are these liabilities classified under trade payables or financial debt?</t>
        </is>
      </c>
      <c r="F40" s="26" t="inlineStr">
        <is>
          <t>Reverse factoring can conceal significant short-term debt inside working capital, distorting calculated net leverage by 0.5x to 1.0x.</t>
        </is>
      </c>
      <c r="H40" s="39" t="inlineStr">
        <is>
          <t>Transparent disclosure and low reliance (&lt;10% of trade payables) confirms true balance sheet leverage.</t>
        </is>
      </c>
    </row>
    <row r="41">
      <c r="B41" s="9" t="inlineStr">
        <is>
          <t>RCF Availability, Covenant Headroom &amp; Material Adverse Change Clauses</t>
        </is>
      </c>
      <c r="C41" s="38" t="inlineStr">
        <is>
          <t>What is the current undrawn committed revolving credit facility (RCF) capacity, when does it expire, and what are the specific financial covenant thresholds (e.g. Net Debt/EBITDA, Interest Coverage) with current headroom?</t>
        </is>
      </c>
      <c r="F41" s="26" t="inlineStr">
        <is>
          <t>Committed bank lines provide vital liquidity during capital market volatility. Tight covenant headroom creates refinancing cliffs.</t>
        </is>
      </c>
      <c r="H41" s="39" t="inlineStr">
        <is>
          <t>Covenant headroom &gt;25% and maturity beyond 24 months eliminates liquidity squeeze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8" t="inlineStr">
        <is>
          <t>2026-11-12</t>
        </is>
      </c>
    </row>
    <row r="47">
      <c r="B47" s="9" t="inlineStr">
        <is>
          <t>Reporting Period</t>
        </is>
      </c>
      <c r="C47" s="38" t="inlineStr">
        <is>
          <t>Q3 2026 / 9M</t>
        </is>
      </c>
    </row>
    <row r="48">
      <c r="B48" s="9" t="inlineStr">
        <is>
          <t>Confirmation Status</t>
        </is>
      </c>
      <c r="C48" s="38" t="inlineStr">
        <is>
          <t>Estimated</t>
        </is>
      </c>
    </row>
    <row r="49">
      <c r="B49" s="9" t="inlineStr">
        <is>
          <t>Conference Call &amp; Webcast Schedule</t>
        </is>
      </c>
      <c r="C49" s="38" t="inlineStr">
        <is>
          <t>14:00 Local / Pre-Market</t>
        </is>
      </c>
    </row>
    <row r="50">
      <c r="B50" s="9" t="inlineStr">
        <is>
          <t>Official IR Portal / Webcast URL</t>
        </is>
      </c>
      <c r="C50" s="38" t="inlineStr">
        <is>
          <t>https://www.google.com/finance/quote/THARISA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2026-10-28T05:17:08Z</dcterms:created>
  <dcterms:modified xmlns:dcterms="http://purl.org/dc/terms/" xmlns:xsi="http://www.w3.org/2001/XMLSchema-instance" xsi:type="dcterms:W3CDTF">2026-10-28T05:17:08Z</dcterms:modified>
</cp:coreProperties>
</file>