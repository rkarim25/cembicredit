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Institutional Credit Model</t>
        </is>
      </c>
    </row>
    <row r="3">
      <c r="B3" s="2" t="inlineStr">
        <is>
          <t>Sector: Materials | Country: South Africa | Rating: BB- / Ba3 Implied | Benchmark: THARISA 9.85% 2027 @ $98.00 (9.85% YTM / +550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Mechanized open-pit Bushveld mine; 14-yr open-pit life; structural chrome co-product hedge against PGM cycles; 0.38x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THARISA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94.095</v>
      </c>
      <c r="F26" s="7" t="inlineStr">
        <is>
          <t>9.85%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THARISA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62.73</v>
      </c>
      <c r="F27" s="7" t="inlineStr">
        <is>
          <t>9.10%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52.275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289.7</v>
      </c>
      <c r="D15" s="8" t="n">
        <v>349.3</v>
      </c>
      <c r="E15" s="8" t="n">
        <v>391.9</v>
      </c>
      <c r="F15" s="8" t="n">
        <v>426</v>
      </c>
      <c r="G15" s="8" t="n">
        <v>460.1</v>
      </c>
      <c r="H15" s="8" t="n">
        <v>489.9</v>
      </c>
      <c r="I15" s="8" t="n">
        <v>511.2</v>
      </c>
    </row>
    <row r="16">
      <c r="B16" s="7" t="inlineStr">
        <is>
          <t>High-Margin Value-Added Products</t>
        </is>
      </c>
      <c r="C16" s="8" t="n">
        <v>135.2</v>
      </c>
      <c r="D16" s="8" t="n">
        <v>163</v>
      </c>
      <c r="E16" s="8" t="n">
        <v>182.9</v>
      </c>
      <c r="F16" s="8" t="n">
        <v>198.8</v>
      </c>
      <c r="G16" s="8" t="n">
        <v>214.7</v>
      </c>
      <c r="H16" s="8" t="n">
        <v>228.6</v>
      </c>
      <c r="I16" s="8" t="n">
        <v>238.6</v>
      </c>
    </row>
    <row r="17">
      <c r="B17" s="7" t="inlineStr">
        <is>
          <t>By-Product Processing &amp; Industrial Logistics</t>
        </is>
      </c>
      <c r="C17" s="8" t="n">
        <v>57.9</v>
      </c>
      <c r="D17" s="8" t="n">
        <v>69.90000000000001</v>
      </c>
      <c r="E17" s="8" t="n">
        <v>78.40000000000001</v>
      </c>
      <c r="F17" s="8" t="n">
        <v>85.2</v>
      </c>
      <c r="G17" s="8" t="n">
        <v>92</v>
      </c>
      <c r="H17" s="8" t="n">
        <v>98</v>
      </c>
      <c r="I17" s="8" t="n">
        <v>102.2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2.2</v>
      </c>
      <c r="E35" s="24" t="n">
        <v>2.5</v>
      </c>
      <c r="F35" s="24" t="n">
        <v>2.8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(+$2.2M)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(+$2.5M)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724.2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169</v>
      </c>
      <c r="D36" s="8" t="n">
        <v>169</v>
      </c>
      <c r="E36" s="8" t="n">
        <v>169</v>
      </c>
      <c r="F36" s="8" t="n">
        <v>169</v>
      </c>
      <c r="G36" s="8" t="n">
        <v>169</v>
      </c>
      <c r="H36" s="8" t="n">
        <v>169</v>
      </c>
      <c r="I36" s="8" t="n">
        <v>169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20.7</v>
      </c>
      <c r="D32" s="8" t="n">
        <v>45.4</v>
      </c>
      <c r="E32" s="8" t="n">
        <v>51.2</v>
      </c>
      <c r="F32" s="8" t="n">
        <v>30.8</v>
      </c>
      <c r="G32" s="8" t="n">
        <v>32.9</v>
      </c>
      <c r="H32" s="8" t="n">
        <v>34.6</v>
      </c>
      <c r="I32" s="8" t="n">
        <v>35.8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THARISA Benchmark Eurobond Notes</t>
        </is>
      </c>
    </row>
    <row r="7">
      <c r="B7" s="7" t="inlineStr">
        <is>
          <t xml:space="preserve">  Beginning Principal Balance</t>
        </is>
      </c>
      <c r="C7" s="8" t="n">
        <v>80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26.7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0.0985</f>
        <v/>
      </c>
      <c r="D11" s="8">
        <f>D10 * 0.0985</f>
        <v/>
      </c>
      <c r="E11" s="8">
        <f>E10 * 0.0985</f>
        <v/>
      </c>
      <c r="F11" s="8">
        <f>F10 * 0.0985</f>
        <v/>
      </c>
      <c r="G11" s="8">
        <f>G10 * 0.0985</f>
        <v/>
      </c>
      <c r="H11" s="8">
        <f>H10 * 0.0985</f>
        <v/>
      </c>
      <c r="I11" s="8">
        <f>I10 * 0.0985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97.7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25.1</v>
      </c>
      <c r="C32" s="8" t="n">
        <v>46</v>
      </c>
      <c r="D32" s="8" t="n">
        <v>58.5</v>
      </c>
      <c r="E32" s="8" t="n">
        <v>37.6</v>
      </c>
      <c r="F32" s="8" t="n">
        <v>25.1</v>
      </c>
      <c r="G32" s="8" t="n">
        <v>16.7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THARISA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94.09999999999999</v>
      </c>
      <c r="F37" s="30" t="inlineStr">
        <is>
          <t>9.850%</t>
        </is>
      </c>
      <c r="G37" s="31" t="n">
        <v>98</v>
      </c>
      <c r="H37" s="32" t="n">
        <v>9.85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THARISA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62.7</v>
      </c>
      <c r="F38" s="30" t="inlineStr">
        <is>
          <t>9.200%</t>
        </is>
      </c>
      <c r="G38" s="31" t="n">
        <v>100</v>
      </c>
      <c r="H38" s="32" t="n">
        <v>9.199999999999999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31.4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20.9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THARISA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20.9</v>
      </c>
    </row>
    <row r="46">
      <c r="B46" s="19" t="inlineStr">
        <is>
          <t>AVAILABLE UNDRAWN HEADROOM ($M)</t>
        </is>
      </c>
      <c r="C46" s="20" t="n">
        <v>129.1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0.38x</t>
        </is>
      </c>
      <c r="E55" s="33" t="inlineStr">
        <is>
          <t>3.37x leverage buffer ($623.5M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8.41x</t>
        </is>
      </c>
      <c r="E56" s="33" t="inlineStr">
        <is>
          <t>+5.91x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2.5% of Assets</t>
        </is>
      </c>
      <c r="E57" s="33" t="inlineStr">
        <is>
          <t>$156.2M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9.85%</t>
        </is>
      </c>
      <c r="F6" s="35" t="inlineStr">
        <is>
          <t>4.2x</t>
        </is>
      </c>
      <c r="G6" s="35" t="inlineStr">
        <is>
          <t>$99.00</t>
        </is>
      </c>
      <c r="H6" s="35" t="inlineStr">
        <is>
          <t>+1.0%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11.85%</t>
        </is>
      </c>
      <c r="F7" s="30" t="inlineStr">
        <is>
          <t>3.2x</t>
        </is>
      </c>
      <c r="G7" s="30" t="inlineStr">
        <is>
          <t>$84.50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$70.00</t>
        </is>
      </c>
      <c r="H8" s="30" t="inlineStr">
        <is>
          <t>-28.6%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8.35%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THARISA Senior Unsecured Eurobonds</t>
        </is>
      </c>
      <c r="C15" s="8" t="n">
        <v>156.8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70.0%</t>
        </is>
      </c>
      <c r="G15" s="30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31.4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83.59999999999999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Tharisa plc (THARISA) — Earnings Presentation &amp; Management Guidance</t>
        </is>
      </c>
    </row>
    <row r="3">
      <c r="B3" s="2" t="inlineStr">
        <is>
          <t>Source: Tharisa plc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$766.8M (+8.0% YoY growth)</t>
        </is>
      </c>
      <c r="D7" s="36" t="inlineStr">
        <is>
          <t>$756.1M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$766.8M (+8.0% YoY growth). With current run-rate at $756.1M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(26.5%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(26.5%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0.38x</t>
        </is>
      </c>
      <c r="E9" s="33" t="inlineStr">
        <is>
          <t>Ahead of Target</t>
        </is>
      </c>
      <c r="F9" s="38" t="inlineStr">
        <is>
          <t>Deleveraging on track with 3.37x buffer below covenant limit.
[QUESTION TO CFO TO VERIFY]: You previously committed to a Net Leverage ceiling of &lt; 3.25x Net Debt / EBITDA. Current actual leverage stands at 0.38x.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$73.2M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https://www.google.com/finance/quote/THARISA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2026-10-16T04:17:23Z</dcterms:created>
  <dcterms:modified xmlns:dcterms="http://purl.org/dc/terms/" xmlns:xsi="http://www.w3.org/2001/XMLSchema-instance" xsi:type="dcterms:W3CDTF">2026-10-16T04:17:23Z</dcterms:modified>
</cp:coreProperties>
</file>