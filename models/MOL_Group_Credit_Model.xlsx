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(+$30.2M)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(+$37.2M)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(+$41.8M)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(+$46.5M)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(+$51.1M)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(+$54.9M)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(+$57.7M)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(+$30.2M)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(+$37.2M)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(+$41.8M)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(+$46.5M)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(+$51.1M)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(+$54.9M)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(+$57.7M)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MOL Group (MOL) — Institutional Credit Model</t>
        </is>
      </c>
    </row>
    <row r="3">
      <c r="B3" s="2" t="inlineStr">
        <is>
          <t>Sector: Energy | Country: Hungary | Rating: BBB- | Benchmark: MOL 4.875% 2028 @ $98.00 (5.50% YTM / +145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Integrated oil and gas giant across Hungary, Slovakia, and Croatia; resilient downstream consumer margins.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MOL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2580.75</v>
      </c>
      <c r="F26" s="7" t="inlineStr">
        <is>
          <t>5.50%</t>
        </is>
      </c>
      <c r="G26" s="7" t="inlineStr">
        <is>
          <t>$98.00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MOL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1720.5</v>
      </c>
      <c r="F27" s="7" t="inlineStr">
        <is>
          <t>4.75%</t>
        </is>
      </c>
      <c r="G27" s="7" t="inlineStr">
        <is>
          <t>$100.50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1433.75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MOL Group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8486.4</v>
      </c>
      <c r="D16" s="8" t="n">
        <v>10233.6</v>
      </c>
      <c r="E16" s="8" t="n">
        <v>11481.6</v>
      </c>
      <c r="F16" s="8" t="n">
        <v>12480</v>
      </c>
      <c r="G16" s="8" t="n">
        <v>13478.4</v>
      </c>
      <c r="H16" s="8" t="n">
        <v>14352</v>
      </c>
      <c r="I16" s="8" t="n">
        <v>14976</v>
      </c>
    </row>
    <row r="17">
      <c r="B17" s="7" t="inlineStr">
        <is>
          <t>Downstream Refining &amp; Fuel Marketing</t>
        </is>
      </c>
      <c r="C17" s="8" t="n">
        <v>5385.6</v>
      </c>
      <c r="D17" s="8" t="n">
        <v>6494.4</v>
      </c>
      <c r="E17" s="8" t="n">
        <v>7286.4</v>
      </c>
      <c r="F17" s="8" t="n">
        <v>7920</v>
      </c>
      <c r="G17" s="8" t="n">
        <v>8553.6</v>
      </c>
      <c r="H17" s="8" t="n">
        <v>9108</v>
      </c>
      <c r="I17" s="8" t="n">
        <v>9504</v>
      </c>
    </row>
    <row r="18">
      <c r="B18" s="7" t="inlineStr">
        <is>
          <t>Petrochemicals &amp; Gas Processing</t>
        </is>
      </c>
      <c r="C18" s="8" t="n">
        <v>2448</v>
      </c>
      <c r="D18" s="8" t="n">
        <v>2952</v>
      </c>
      <c r="E18" s="8" t="n">
        <v>3312</v>
      </c>
      <c r="F18" s="8" t="n">
        <v>3600</v>
      </c>
      <c r="G18" s="8" t="n">
        <v>3888</v>
      </c>
      <c r="H18" s="8" t="n">
        <v>4140</v>
      </c>
      <c r="I18" s="8" t="n">
        <v>4320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MOL Group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30.2</v>
      </c>
      <c r="D35" s="23" t="n">
        <v>37.2</v>
      </c>
      <c r="E35" s="23" t="n">
        <v>41.8</v>
      </c>
      <c r="F35" s="23" t="n">
        <v>46.5</v>
      </c>
      <c r="G35" s="23" t="n">
        <v>51.1</v>
      </c>
      <c r="H35" s="23" t="n">
        <v>54.9</v>
      </c>
      <c r="I35" s="23" t="n">
        <v>57.7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(+$30.2M)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(+$37.2M)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(+$41.8M)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(+$46.5M)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(+$51.1M)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(+$54.9M)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(+$57.7M)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MOL Group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24480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5712</v>
      </c>
      <c r="D36" s="8" t="n">
        <v>5712</v>
      </c>
      <c r="E36" s="8" t="n">
        <v>5712</v>
      </c>
      <c r="F36" s="8" t="n">
        <v>5712</v>
      </c>
      <c r="G36" s="8" t="n">
        <v>5712</v>
      </c>
      <c r="H36" s="8" t="n">
        <v>5712</v>
      </c>
      <c r="I36" s="8" t="n">
        <v>5712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MOL Group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-861.4</v>
      </c>
      <c r="D16" s="8" t="n">
        <v>-1506.6</v>
      </c>
      <c r="E16" s="8" t="n">
        <v>-1694.9</v>
      </c>
      <c r="F16" s="8" t="n">
        <v>-1604.2</v>
      </c>
      <c r="G16" s="8" t="n">
        <v>-1457.8</v>
      </c>
      <c r="H16" s="8" t="n">
        <v>-1563.8</v>
      </c>
      <c r="I16" s="8" t="n">
        <v>-1643.3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1278.8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586.5</v>
      </c>
      <c r="D32" s="8" t="n">
        <v>1260.5</v>
      </c>
      <c r="E32" s="8" t="n">
        <v>1417.7</v>
      </c>
      <c r="F32" s="8" t="n">
        <v>871.2</v>
      </c>
      <c r="G32" s="8" t="n">
        <v>935</v>
      </c>
      <c r="H32" s="8" t="n">
        <v>990.3</v>
      </c>
      <c r="I32" s="8" t="n">
        <v>1029.2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MOL Group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MOL Benchmark Eurobond Notes</t>
        </is>
      </c>
    </row>
    <row r="7">
      <c r="B7" s="7" t="inlineStr">
        <is>
          <t xml:space="preserve">  Beginning Principal Balance</t>
        </is>
      </c>
      <c r="C7" s="8" t="n">
        <v>2193.7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731.2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487.5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0.0550</f>
        <v/>
      </c>
      <c r="D11" s="8">
        <f>D10 * 0.0550</f>
        <v/>
      </c>
      <c r="E11" s="8">
        <f>E10 * 0.0550</f>
        <v/>
      </c>
      <c r="F11" s="8">
        <f>F10 * 0.0550</f>
        <v/>
      </c>
      <c r="G11" s="8">
        <f>G10 * 0.0550</f>
        <v/>
      </c>
      <c r="H11" s="8">
        <f>H10 * 0.0550</f>
        <v/>
      </c>
      <c r="I11" s="8">
        <f>I10 * 0.0550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2681.1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688.2</v>
      </c>
      <c r="C32" s="8" t="n">
        <v>1261.7</v>
      </c>
      <c r="D32" s="8" t="n">
        <v>1605.8</v>
      </c>
      <c r="E32" s="8" t="n">
        <v>1032.3</v>
      </c>
      <c r="F32" s="8" t="n">
        <v>688.2</v>
      </c>
      <c r="G32" s="8" t="n">
        <v>458.8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MOL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2580.8</v>
      </c>
      <c r="F37" s="29" t="inlineStr">
        <is>
          <t>5.500%</t>
        </is>
      </c>
      <c r="G37" s="30" t="n">
        <v>98</v>
      </c>
      <c r="H37" s="31" t="n">
        <v>5.5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MOL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1720.5</v>
      </c>
      <c r="F38" s="29" t="inlineStr">
        <is>
          <t>4.850%</t>
        </is>
      </c>
      <c r="G38" s="30" t="n">
        <v>100</v>
      </c>
      <c r="H38" s="31" t="n">
        <v>4.85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860.2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573.5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MOL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1605.8</v>
      </c>
    </row>
    <row r="45">
      <c r="B45" s="7" t="inlineStr">
        <is>
          <t>Drawn Amount ($M)</t>
        </is>
      </c>
      <c r="C45" s="8" t="n">
        <v>573.5</v>
      </c>
    </row>
    <row r="46">
      <c r="B46" s="18" t="inlineStr">
        <is>
          <t>AVAILABLE UNDRAWN HEADROOM ($M)</t>
        </is>
      </c>
      <c r="C46" s="19" t="n">
        <v>1032.3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1.10x</t>
        </is>
      </c>
      <c r="E55" s="32" t="inlineStr">
        <is>
          <t>2.65x leverage buffer ($8215.0M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8.20x</t>
        </is>
      </c>
      <c r="E56" s="32" t="inlineStr">
        <is>
          <t>+5.70x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2.0% of Assets</t>
        </is>
      </c>
      <c r="E57" s="32" t="inlineStr">
        <is>
          <t>$5280.0M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MOL Group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MOL Group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5.50%</t>
        </is>
      </c>
      <c r="F6" s="34" t="inlineStr">
        <is>
          <t>4.2x</t>
        </is>
      </c>
      <c r="G6" s="34" t="inlineStr">
        <is>
          <t>$100.80</t>
        </is>
      </c>
      <c r="H6" s="34" t="inlineStr">
        <is>
          <t>+2.9%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7.50%</t>
        </is>
      </c>
      <c r="F7" s="29" t="inlineStr">
        <is>
          <t>3.2x</t>
        </is>
      </c>
      <c r="G7" s="29" t="inlineStr">
        <is>
          <t>$90.40</t>
        </is>
      </c>
      <c r="H7" s="29" t="inlineStr">
        <is>
          <t>-7.8%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$80.00</t>
        </is>
      </c>
      <c r="H8" s="29" t="inlineStr">
        <is>
          <t>-18.4%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4.00%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+7.1%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1433.8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MOL Senior Unsecured Eurobonds</t>
        </is>
      </c>
      <c r="C15" s="8" t="n">
        <v>4301.2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80.0%</t>
        </is>
      </c>
      <c r="G15" s="29" t="inlineStr">
        <is>
          <t>100.8%</t>
        </is>
      </c>
    </row>
    <row r="16">
      <c r="B16" s="7" t="inlineStr">
        <is>
          <t>Subordinated Debt &amp; Intercompany Notes</t>
        </is>
      </c>
      <c r="C16" s="8" t="n">
        <v>860.2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2294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Hungary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8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MOL Group (MOL) — Earnings Presentation &amp; Management Guidance</t>
        </is>
      </c>
    </row>
    <row r="3">
      <c r="B3" s="2" t="inlineStr">
        <is>
          <t>Source: MOL Group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$25920.0M (+8.0% YoY growth)</t>
        </is>
      </c>
      <c r="D7" s="35" t="inlineStr">
        <is>
          <t>$25560.0M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$25920.0M (+8.0% YoY growth). With current run-rate at $25560.0M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$3410.0M (13.2% margin)</t>
        </is>
      </c>
      <c r="D8" s="35" t="inlineStr">
        <is>
          <t>$3348.0M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$3410.0M (13.2%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1.10x</t>
        </is>
      </c>
      <c r="E9" s="32" t="inlineStr">
        <is>
          <t>Ahead of Target</t>
        </is>
      </c>
      <c r="F9" s="37" t="inlineStr">
        <is>
          <t>Deleveraging on track with 2.65x buffer below covenant limit.
[QUESTION TO CFO TO VERIFY]: You previously committed to a Net Leverage ceiling of &lt; 3.25x Net Debt / EBITDA. Current actual leverage stands at 1.10x.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$1139.2M (Maximum growth and sustaining envelope)</t>
        </is>
      </c>
      <c r="D10" s="35" t="inlineStr">
        <is>
          <t>$1048.1M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$1139.2M (Maximum growth and sustaining envelope). Current commitments stand at $1048.1M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$1085.0M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$2325.0M in liquid bank deposits</t>
        </is>
      </c>
    </row>
    <row r="35">
      <c r="B35" s="9" t="inlineStr">
        <is>
          <t>Undrawn Committed Credit Lines</t>
        </is>
      </c>
      <c r="C35" s="37" t="inlineStr">
        <is>
          <t>$2007.2M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2026-11-06</t>
        </is>
      </c>
    </row>
    <row r="47">
      <c r="B47" s="9" t="inlineStr">
        <is>
          <t>Reporting Period</t>
        </is>
      </c>
      <c r="C47" s="37" t="inlineStr">
        <is>
          <t>Q3 2026</t>
        </is>
      </c>
    </row>
    <row r="48">
      <c r="B48" s="9" t="inlineStr">
        <is>
          <t>Confirmation Status</t>
        </is>
      </c>
      <c r="C48" s="37" t="inlineStr">
        <is>
          <t>Confirmed</t>
        </is>
      </c>
    </row>
    <row r="49">
      <c r="B49" s="9" t="inlineStr">
        <is>
          <t>Conference Call &amp; Webcast Schedule</t>
        </is>
      </c>
      <c r="C49" s="37" t="inlineStr">
        <is>
          <t>08:00 Budapest</t>
        </is>
      </c>
    </row>
    <row r="50">
      <c r="B50" s="9" t="inlineStr">
        <is>
          <t>Official IR Portal / Webcast URL</t>
        </is>
      </c>
      <c r="C50" s="37" t="inlineStr">
        <is>
          <t>https://molgroup.info/en/investor-relations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2026-10-30T05:17:01Z</dcterms:created>
  <dcterms:modified xmlns:dcterms="http://purl.org/dc/terms/" xmlns:xsi="http://www.w3.org/2001/XMLSchema-instance" xsi:type="dcterms:W3CDTF">2026-10-30T05:17:02Z</dcterms:modified>
</cp:coreProperties>
</file>