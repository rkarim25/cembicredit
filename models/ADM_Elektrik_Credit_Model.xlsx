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Institutional Credit Model</t>
        </is>
      </c>
    </row>
    <row r="3">
      <c r="B3" s="2" t="inlineStr">
        <is>
          <t>Sector: Utilities | Country: Turkey | Rating: B / B2 | Benchmark: ADMTR 9.25% 2028 @ $98.00 (9.25% YTM / +485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Aegean regulated electricity distribution grid; RAB indexed to inflation; guaranteed real WACC return.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ADMELE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219.915</v>
      </c>
      <c r="F26" s="7" t="inlineStr">
        <is>
          <t>9.25%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ADMELE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146.61</v>
      </c>
      <c r="F27" s="7" t="inlineStr">
        <is>
          <t>8.50%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122.175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194.2</v>
      </c>
      <c r="D15" s="8" t="n">
        <v>234.2</v>
      </c>
      <c r="E15" s="8" t="n">
        <v>262.8</v>
      </c>
      <c r="F15" s="8" t="n">
        <v>285.6</v>
      </c>
      <c r="G15" s="8" t="n">
        <v>308.4</v>
      </c>
      <c r="H15" s="8" t="n">
        <v>328.4</v>
      </c>
      <c r="I15" s="8" t="n">
        <v>342.7</v>
      </c>
    </row>
    <row r="16">
      <c r="B16" s="7" t="inlineStr">
        <is>
          <t>Regulated Power Distribution &amp; Grid</t>
        </is>
      </c>
      <c r="C16" s="8" t="n">
        <v>62.8</v>
      </c>
      <c r="D16" s="8" t="n">
        <v>75.8</v>
      </c>
      <c r="E16" s="8" t="n">
        <v>85</v>
      </c>
      <c r="F16" s="8" t="n">
        <v>92.40000000000001</v>
      </c>
      <c r="G16" s="8" t="n">
        <v>99.8</v>
      </c>
      <c r="H16" s="8" t="n">
        <v>106.3</v>
      </c>
      <c r="I16" s="8" t="n">
        <v>110.9</v>
      </c>
    </row>
    <row r="17">
      <c r="B17" s="7" t="inlineStr">
        <is>
          <t>Merchant &amp; Capacity Balancing Services</t>
        </is>
      </c>
      <c r="C17" s="8" t="n">
        <v>28.6</v>
      </c>
      <c r="D17" s="8" t="n">
        <v>34.4</v>
      </c>
      <c r="E17" s="8" t="n">
        <v>38.6</v>
      </c>
      <c r="F17" s="8" t="n">
        <v>42</v>
      </c>
      <c r="G17" s="8" t="n">
        <v>45.4</v>
      </c>
      <c r="H17" s="8" t="n">
        <v>48.3</v>
      </c>
      <c r="I17" s="8" t="n">
        <v>50.4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100</v>
      </c>
      <c r="D36" s="8" t="n">
        <v>100</v>
      </c>
      <c r="E36" s="8" t="n">
        <v>100</v>
      </c>
      <c r="F36" s="8" t="n">
        <v>100</v>
      </c>
      <c r="G36" s="8" t="n">
        <v>100</v>
      </c>
      <c r="H36" s="8" t="n">
        <v>100</v>
      </c>
      <c r="I36" s="8" t="n">
        <v>100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-35.5</v>
      </c>
      <c r="D16" s="8" t="n">
        <v>-43.1</v>
      </c>
      <c r="E16" s="8" t="n">
        <v>-48.2</v>
      </c>
      <c r="F16" s="8" t="n">
        <v>-50.8</v>
      </c>
      <c r="G16" s="8" t="n">
        <v>-53.3</v>
      </c>
      <c r="H16" s="8" t="n">
        <v>-51.8</v>
      </c>
      <c r="I16" s="8" t="n">
        <v>-49.7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ADMELE Benchmark Eurobond Notes</t>
        </is>
      </c>
    </row>
    <row r="7">
      <c r="B7" s="7" t="inlineStr">
        <is>
          <t xml:space="preserve">  Beginning Principal Balance</t>
        </is>
      </c>
      <c r="C7" s="8" t="n">
        <v>186.9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62.3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0.0925</f>
        <v/>
      </c>
      <c r="D11" s="8">
        <f>D10 * 0.0925</f>
        <v/>
      </c>
      <c r="E11" s="8">
        <f>E10 * 0.0925</f>
        <v/>
      </c>
      <c r="F11" s="8">
        <f>F10 * 0.0925</f>
        <v/>
      </c>
      <c r="G11" s="8">
        <f>G10 * 0.0925</f>
        <v/>
      </c>
      <c r="H11" s="8">
        <f>H10 * 0.0925</f>
        <v/>
      </c>
      <c r="I11" s="8">
        <f>I10 * 0.0925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228.5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58.6</v>
      </c>
      <c r="C32" s="8" t="n">
        <v>107.5</v>
      </c>
      <c r="D32" s="8" t="n">
        <v>136.8</v>
      </c>
      <c r="E32" s="8" t="n">
        <v>88</v>
      </c>
      <c r="F32" s="8" t="n">
        <v>58.6</v>
      </c>
      <c r="G32" s="8" t="n">
        <v>39.1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9.25%</t>
        </is>
      </c>
      <c r="F6" s="27" t="inlineStr">
        <is>
          <t>4.2x</t>
        </is>
      </c>
      <c r="G6" s="27" t="inlineStr">
        <is>
          <t>$100.00</t>
        </is>
      </c>
      <c r="H6" s="27" t="inlineStr">
        <is>
          <t>+2.0%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11.25%</t>
        </is>
      </c>
      <c r="F7" s="28" t="inlineStr">
        <is>
          <t>3.2x</t>
        </is>
      </c>
      <c r="G7" s="28" t="inlineStr">
        <is>
          <t>$86.00</t>
        </is>
      </c>
      <c r="H7" s="28" t="inlineStr">
        <is>
          <t>-12.2%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$72.00</t>
        </is>
      </c>
      <c r="H8" s="28" t="inlineStr">
        <is>
          <t>-26.5%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7.75%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122.2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ADMELE Senior Unsecured Eurobonds</t>
        </is>
      </c>
      <c r="C15" s="8" t="n">
        <v>366.5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72.0%</t>
        </is>
      </c>
      <c r="G15" s="28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73.3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195.5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2026-09-19T21:03:29Z</dcterms:created>
  <dcterms:modified xmlns:dcterms="http://purl.org/dc/terms/" xmlns:xsi="http://www.w3.org/2001/XMLSchema-instance" xsi:type="dcterms:W3CDTF">2026-09-19T21:03:29Z</dcterms:modified>
</cp:coreProperties>
</file>