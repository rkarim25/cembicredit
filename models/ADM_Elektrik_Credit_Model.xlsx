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(+$1.4M)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(+$6.4M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(+$7.2M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(+$8.0M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(+$2.4M)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(+$2.6M)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(+$2.7M)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(+$1.4M)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(+$6.4M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(+$7.2M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(+$8.0M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(+$2.4M)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(+$2.6M)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(+$2.7M)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(ADMELE) — Institutional Credit Model</t>
        </is>
      </c>
    </row>
    <row r="3">
      <c r="B3" s="2" t="inlineStr">
        <is>
          <t>Sector: Utilities | Country: Turkey | Rating: B / B2 | Benchmark: ADMTR 9.25% 2028 @ $98.00 (9.25% YTM / +485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Aegean regulated electricity distribution grid; RAB indexed to inflation; guaranteed real WACC return.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ADMELE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219.915</v>
      </c>
      <c r="F26" s="7" t="inlineStr">
        <is>
          <t>9.25%</t>
        </is>
      </c>
      <c r="G26" s="7" t="inlineStr">
        <is>
          <t>$98.00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ADMELE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146.61</v>
      </c>
      <c r="F27" s="7" t="inlineStr">
        <is>
          <t>8.50%</t>
        </is>
      </c>
      <c r="G27" s="7" t="inlineStr">
        <is>
          <t>$100.50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122.175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194.2</v>
      </c>
      <c r="D15" s="8" t="n">
        <v>234.2</v>
      </c>
      <c r="E15" s="8" t="n">
        <v>262.8</v>
      </c>
      <c r="F15" s="8" t="n">
        <v>285.6</v>
      </c>
      <c r="G15" s="8" t="n">
        <v>308.4</v>
      </c>
      <c r="H15" s="8" t="n">
        <v>328.4</v>
      </c>
      <c r="I15" s="8" t="n">
        <v>342.7</v>
      </c>
    </row>
    <row r="16">
      <c r="B16" s="7" t="inlineStr">
        <is>
          <t>Regulated Power Distribution &amp; Grid</t>
        </is>
      </c>
      <c r="C16" s="8" t="n">
        <v>62.8</v>
      </c>
      <c r="D16" s="8" t="n">
        <v>75.8</v>
      </c>
      <c r="E16" s="8" t="n">
        <v>85</v>
      </c>
      <c r="F16" s="8" t="n">
        <v>92.40000000000001</v>
      </c>
      <c r="G16" s="8" t="n">
        <v>99.8</v>
      </c>
      <c r="H16" s="8" t="n">
        <v>106.3</v>
      </c>
      <c r="I16" s="8" t="n">
        <v>110.9</v>
      </c>
    </row>
    <row r="17">
      <c r="B17" s="7" t="inlineStr">
        <is>
          <t>Merchant &amp; Capacity Balancing Services</t>
        </is>
      </c>
      <c r="C17" s="8" t="n">
        <v>28.6</v>
      </c>
      <c r="D17" s="8" t="n">
        <v>34.4</v>
      </c>
      <c r="E17" s="8" t="n">
        <v>38.6</v>
      </c>
      <c r="F17" s="8" t="n">
        <v>42</v>
      </c>
      <c r="G17" s="8" t="n">
        <v>45.4</v>
      </c>
      <c r="H17" s="8" t="n">
        <v>48.3</v>
      </c>
      <c r="I17" s="8" t="n">
        <v>50.4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1.4</v>
      </c>
      <c r="D35" s="24" t="n">
        <v>6.4</v>
      </c>
      <c r="E35" s="24" t="n">
        <v>7.2</v>
      </c>
      <c r="F35" s="24" t="n">
        <v>8</v>
      </c>
      <c r="G35" s="24" t="n">
        <v>2.4</v>
      </c>
      <c r="H35" s="24" t="n">
        <v>2.6</v>
      </c>
      <c r="I35" s="24" t="n">
        <v>2.7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(+$1.4M)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(+$6.4M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(+$7.2M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(+$8.0M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(+$2.4M)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(+$2.6M)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(+$2.7M)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428.4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100</v>
      </c>
      <c r="D36" s="8" t="n">
        <v>100</v>
      </c>
      <c r="E36" s="8" t="n">
        <v>100</v>
      </c>
      <c r="F36" s="8" t="n">
        <v>100</v>
      </c>
      <c r="G36" s="8" t="n">
        <v>100</v>
      </c>
      <c r="H36" s="8" t="n">
        <v>100</v>
      </c>
      <c r="I36" s="8" t="n">
        <v>100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-76.09999999999999</v>
      </c>
      <c r="D16" s="8" t="n">
        <v>-133.1</v>
      </c>
      <c r="E16" s="8" t="n">
        <v>-149.7</v>
      </c>
      <c r="F16" s="8" t="n">
        <v>-141.7</v>
      </c>
      <c r="G16" s="8" t="n">
        <v>-128.8</v>
      </c>
      <c r="H16" s="8" t="n">
        <v>-138.2</v>
      </c>
      <c r="I16" s="8" t="n">
        <v>-145.2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59.8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7.9</v>
      </c>
      <c r="D32" s="8" t="n">
        <v>16.9</v>
      </c>
      <c r="E32" s="8" t="n">
        <v>19.2</v>
      </c>
      <c r="F32" s="8" t="n">
        <v>12.2</v>
      </c>
      <c r="G32" s="8" t="n">
        <v>12.5</v>
      </c>
      <c r="H32" s="8" t="n">
        <v>12.6</v>
      </c>
      <c r="I32" s="8" t="n">
        <v>12.7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ADMELE Benchmark Eurobond Notes</t>
        </is>
      </c>
    </row>
    <row r="7">
      <c r="B7" s="7" t="inlineStr">
        <is>
          <t xml:space="preserve">  Beginning Principal Balance</t>
        </is>
      </c>
      <c r="C7" s="8" t="n">
        <v>186.9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62.3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41.5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0.0925</f>
        <v/>
      </c>
      <c r="D11" s="8">
        <f>D10 * 0.0925</f>
        <v/>
      </c>
      <c r="E11" s="8">
        <f>E10 * 0.0925</f>
        <v/>
      </c>
      <c r="F11" s="8">
        <f>F10 * 0.0925</f>
        <v/>
      </c>
      <c r="G11" s="8">
        <f>G10 * 0.0925</f>
        <v/>
      </c>
      <c r="H11" s="8">
        <f>H10 * 0.0925</f>
        <v/>
      </c>
      <c r="I11" s="8">
        <f>I10 * 0.0925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228.5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58.6</v>
      </c>
      <c r="C32" s="8" t="n">
        <v>107.5</v>
      </c>
      <c r="D32" s="8" t="n">
        <v>136.8</v>
      </c>
      <c r="E32" s="8" t="n">
        <v>88</v>
      </c>
      <c r="F32" s="8" t="n">
        <v>58.6</v>
      </c>
      <c r="G32" s="8" t="n">
        <v>39.1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ADMELE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219.9</v>
      </c>
      <c r="F37" s="30" t="inlineStr">
        <is>
          <t>9.250%</t>
        </is>
      </c>
      <c r="G37" s="31" t="n">
        <v>98</v>
      </c>
      <c r="H37" s="32" t="n">
        <v>9.25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ADMELE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146.6</v>
      </c>
      <c r="F38" s="30" t="inlineStr">
        <is>
          <t>8.600%</t>
        </is>
      </c>
      <c r="G38" s="31" t="n">
        <v>100</v>
      </c>
      <c r="H38" s="32" t="n">
        <v>8.6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73.3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48.9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ADMELE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150</v>
      </c>
    </row>
    <row r="45">
      <c r="B45" s="7" t="inlineStr">
        <is>
          <t>Drawn Amount ($M)</t>
        </is>
      </c>
      <c r="C45" s="8" t="n">
        <v>48.9</v>
      </c>
    </row>
    <row r="46">
      <c r="B46" s="19" t="inlineStr">
        <is>
          <t>AVAILABLE UNDRAWN HEADROOM ($M)</t>
        </is>
      </c>
      <c r="C46" s="20" t="n">
        <v>101.1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2.62x</t>
        </is>
      </c>
      <c r="E55" s="33" t="inlineStr">
        <is>
          <t>1.88x leverage buffer ($272.6M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3.80x</t>
        </is>
      </c>
      <c r="E56" s="33" t="inlineStr">
        <is>
          <t>+1.30x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9.7% of Assets</t>
        </is>
      </c>
      <c r="E57" s="33" t="inlineStr">
        <is>
          <t>$92.4M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9.25%</t>
        </is>
      </c>
      <c r="F6" s="35" t="inlineStr">
        <is>
          <t>4.2x</t>
        </is>
      </c>
      <c r="G6" s="35" t="inlineStr">
        <is>
          <t>$100.00</t>
        </is>
      </c>
      <c r="H6" s="35" t="inlineStr">
        <is>
          <t>+2.0%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11.25%</t>
        </is>
      </c>
      <c r="F7" s="30" t="inlineStr">
        <is>
          <t>3.2x</t>
        </is>
      </c>
      <c r="G7" s="30" t="inlineStr">
        <is>
          <t>$86.00</t>
        </is>
      </c>
      <c r="H7" s="30" t="inlineStr">
        <is>
          <t>-12.2%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$72.00</t>
        </is>
      </c>
      <c r="H8" s="30" t="inlineStr">
        <is>
          <t>-26.5%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7.75%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+7.1%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122.2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ADMELE Senior Unsecured Eurobonds</t>
        </is>
      </c>
      <c r="C15" s="8" t="n">
        <v>366.5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72.0%</t>
        </is>
      </c>
      <c r="G15" s="30" t="inlineStr">
        <is>
          <t>100.0%</t>
        </is>
      </c>
    </row>
    <row r="16">
      <c r="B16" s="7" t="inlineStr">
        <is>
          <t>Subordinated Debt &amp; Intercompany Notes</t>
        </is>
      </c>
      <c r="C16" s="8" t="n">
        <v>73.3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195.5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ADM Elektrik (ADMELE) — Earnings Presentation &amp; Management Guidance</t>
        </is>
      </c>
    </row>
    <row r="3">
      <c r="B3" s="2" t="inlineStr">
        <is>
          <t>Source: ADM Elektrik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$453.6M (+8.0% YoY growth)</t>
        </is>
      </c>
      <c r="D7" s="36" t="inlineStr">
        <is>
          <t>$447.3M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$453.6M (+8.0% YoY growth). With current run-rate at $447.3M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$159.5M (35.2% margin)</t>
        </is>
      </c>
      <c r="D8" s="36" t="inlineStr">
        <is>
          <t>$156.6M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$159.5M (35.2%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2.62x</t>
        </is>
      </c>
      <c r="E9" s="33" t="inlineStr">
        <is>
          <t>Ahead of Target</t>
        </is>
      </c>
      <c r="F9" s="38" t="inlineStr">
        <is>
          <t>Deleveraging on track with 1.88x buffer below covenant limit.
[QUESTION TO CFO TO VERIFY]: You previously committed to a Net Leverage ceiling of &lt; 4.00x Net Debt / EBITDA. Current actual leverage stands at 2.62x.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$53.3M (Maximum growth and sustaining envelope)</t>
        </is>
      </c>
      <c r="D10" s="36" t="inlineStr">
        <is>
          <t>$49.0M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$53.3M (Maximum growth and sustaining envelope). Current commitments stand at $49.0M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$177.8M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$7560.0M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$108.8M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$195.5M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https://www.google.com/finance/quote/ADMELE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2026-10-31T05:16:11Z</dcterms:created>
  <dcterms:modified xmlns:dcterms="http://purl.org/dc/terms/" xmlns:xsi="http://www.w3.org/2001/XMLSchema-instance" xsi:type="dcterms:W3CDTF">2026-10-31T05:16:11Z</dcterms:modified>
</cp:coreProperties>
</file>