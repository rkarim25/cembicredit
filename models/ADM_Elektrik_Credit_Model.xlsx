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ADM Elektrik</t>
        </is>
      </c>
    </row>
    <row r="3">
      <c r="B3" s="2" t="inlineStr">
        <is>
          <t>CEMBI CEEMEA Institutional Credit Assessment | Country: Turkey (CEEMEA) | Sector: Utilities | Benchmark: ADMTR 9.25%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ADMTR 9.25% 2028</t>
        </is>
      </c>
      <c r="C6" s="5" t="inlineStr">
        <is>
          <t>9.25% (+485 bp)</t>
        </is>
      </c>
      <c r="D6" s="4" t="inlineStr">
        <is>
          <t>B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$72.00</t>
        </is>
      </c>
      <c r="D7" s="4" t="inlineStr">
        <is>
          <t>Base Case Fair Value</t>
        </is>
      </c>
      <c r="E7" s="5" t="inlineStr">
        <is>
          <t>$100.00</t>
        </is>
      </c>
    </row>
    <row r="9">
      <c r="B9" s="6" t="inlineStr">
        <is>
          <t>INSTITUTIONAL INVESTMENT THESIS</t>
        </is>
      </c>
    </row>
    <row r="10">
      <c r="B10" s="7" t="inlineStr">
        <is>
          <t>Aegean regulated electricity distribution grid; RAB indexed to inflation; guaranteed real WACC return.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ADM Elektrik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285.6</v>
      </c>
      <c r="D7" s="13" t="n">
        <v>344.4</v>
      </c>
      <c r="E7" s="13" t="n">
        <v>386.4</v>
      </c>
      <c r="F7" s="13" t="n">
        <v>420</v>
      </c>
      <c r="G7" s="14" t="n">
        <v>453.6</v>
      </c>
      <c r="H7" s="14" t="n">
        <v>483</v>
      </c>
      <c r="I7" s="14" t="n">
        <v>504</v>
      </c>
    </row>
    <row r="8">
      <c r="B8" s="12" t="inlineStr">
        <is>
          <t>EBITDA</t>
        </is>
      </c>
      <c r="C8" s="13" t="n">
        <v>94.2</v>
      </c>
      <c r="D8" s="13" t="n">
        <v>116</v>
      </c>
      <c r="E8" s="13" t="n">
        <v>130.5</v>
      </c>
      <c r="F8" s="13" t="n">
        <v>145</v>
      </c>
      <c r="G8" s="14" t="n">
        <v>159.5</v>
      </c>
      <c r="H8" s="14" t="n">
        <v>171.1</v>
      </c>
      <c r="I8" s="14" t="n">
        <v>179.8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22.9</v>
      </c>
      <c r="D10" s="17" t="n">
        <v>28.6</v>
      </c>
      <c r="E10" s="17" t="n">
        <v>34.3</v>
      </c>
      <c r="F10" s="17" t="n">
        <v>38.2</v>
      </c>
      <c r="G10" s="18" t="n">
        <v>36.6</v>
      </c>
      <c r="H10" s="18" t="n">
        <v>35.1</v>
      </c>
      <c r="I10" s="18" t="n">
        <v>33.6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76.40000000000001</v>
      </c>
      <c r="D12" s="13" t="n">
        <v>96.09999999999999</v>
      </c>
      <c r="E12" s="13" t="n">
        <v>108.5</v>
      </c>
      <c r="F12" s="13" t="n">
        <v>123.2</v>
      </c>
      <c r="G12" s="14" t="n">
        <v>135.6</v>
      </c>
      <c r="H12" s="14" t="n">
        <v>145.4</v>
      </c>
      <c r="I12" s="14" t="n">
        <v>154.1</v>
      </c>
    </row>
    <row r="13">
      <c r="B13" s="5" t="inlineStr">
        <is>
          <t>Capital Expenditures (Capex)</t>
        </is>
      </c>
      <c r="C13" s="17" t="n">
        <v>35.5</v>
      </c>
      <c r="D13" s="17" t="n">
        <v>43.1</v>
      </c>
      <c r="E13" s="17" t="n">
        <v>48.2</v>
      </c>
      <c r="F13" s="17" t="n">
        <v>50.8</v>
      </c>
      <c r="G13" s="18" t="n">
        <v>53.3</v>
      </c>
      <c r="H13" s="18" t="n">
        <v>51.8</v>
      </c>
      <c r="I13" s="18" t="n">
        <v>49.7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59.8</v>
      </c>
      <c r="D16" s="13" t="n">
        <v>76.09999999999999</v>
      </c>
      <c r="E16" s="13" t="n">
        <v>92.40000000000001</v>
      </c>
      <c r="F16" s="13" t="n">
        <v>108.8</v>
      </c>
      <c r="G16" s="14" t="n">
        <v>128.3</v>
      </c>
      <c r="H16" s="14" t="n">
        <v>146.8</v>
      </c>
      <c r="I16" s="14" t="n">
        <v>163.1</v>
      </c>
    </row>
    <row r="17">
      <c r="B17" s="12" t="inlineStr">
        <is>
          <t>Gross Total Debt</t>
        </is>
      </c>
      <c r="C17" s="13" t="n">
        <v>415.4</v>
      </c>
      <c r="D17" s="13" t="n">
        <v>449.6</v>
      </c>
      <c r="E17" s="13" t="n">
        <v>478.9</v>
      </c>
      <c r="F17" s="13" t="n">
        <v>488.7</v>
      </c>
      <c r="G17" s="14" t="n">
        <v>478.9</v>
      </c>
      <c r="H17" s="14" t="n">
        <v>464.2</v>
      </c>
      <c r="I17" s="14" t="n">
        <v>439.8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ADM Elektrik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9.25%</t>
        </is>
      </c>
      <c r="F6" s="21" t="inlineStr">
        <is>
          <t>2028 / 2029</t>
        </is>
      </c>
      <c r="G6" s="17" t="n">
        <v>219.9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122.2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73.3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48.9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24.4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92.40000000000001</v>
      </c>
    </row>
    <row r="15">
      <c r="B15" t="inlineStr">
        <is>
          <t>Committed Undrawn RCF Capacity</t>
        </is>
      </c>
      <c r="C15" s="22" t="n">
        <v>58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96.8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ADM Elektrik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145</v>
      </c>
      <c r="D6" s="17" t="n">
        <v>123.2</v>
      </c>
      <c r="E6" s="25" t="n">
        <v>94.2</v>
      </c>
    </row>
    <row r="7">
      <c r="B7" s="5" t="inlineStr">
        <is>
          <t>Free Cash Flow ($M)</t>
        </is>
      </c>
      <c r="C7" s="17" t="n">
        <v>72.5</v>
      </c>
      <c r="D7" s="17" t="n">
        <v>43.5</v>
      </c>
      <c r="E7" s="25" t="n">
        <v>10.9</v>
      </c>
    </row>
    <row r="8">
      <c r="B8" s="12" t="inlineStr">
        <is>
          <t>Net Leverage Ratio (x)</t>
        </is>
      </c>
      <c r="C8" s="26" t="n">
        <v>2.62</v>
      </c>
      <c r="D8" s="26" t="n">
        <v>3.28</v>
      </c>
      <c r="E8" s="27" t="n">
        <v>4.85</v>
      </c>
    </row>
    <row r="9">
      <c r="B9" s="5" t="inlineStr">
        <is>
          <t>Interest Coverage Ratio (x)</t>
        </is>
      </c>
      <c r="C9" s="26" t="n">
        <v>3.8</v>
      </c>
      <c r="D9" s="26" t="n">
        <v>2.96</v>
      </c>
      <c r="E9" s="27" t="n">
        <v>1.71</v>
      </c>
    </row>
    <row r="10">
      <c r="B10" s="12" t="inlineStr">
        <is>
          <t>Implied Senior Paper Trading / Recovery ($)</t>
        </is>
      </c>
      <c r="C10" s="12" t="inlineStr">
        <is>
          <t>$100.00</t>
        </is>
      </c>
      <c r="D10" s="12" t="inlineStr">
        <is>
          <t>$84.00</t>
        </is>
      </c>
      <c r="E10" s="28" t="inlineStr">
        <is>
          <t>$72.00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