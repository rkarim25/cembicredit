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Citi] Feed-in Tariff (YEKDEM/PPA): Electricity sales benefit from long-term USD/EUR guaranteed feed-in tariffs, providing predictable cash flow and hard currency debt service coverage.
• [Company Filings] Capex Phasing &amp; Grid Connection: Capital expenditures peak in 2024-2025 as new solar and wind capacity comes online; FCF inflects materially positive in 2026-2027.
• Downside Recovery Floor: $72.0 (Base: $100.0)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ADM Elektrik</t>
        </is>
      </c>
    </row>
    <row r="3">
      <c r="B3" s="2" t="inlineStr">
        <is>
          <t>CEMBI CEEMEA Assessment | Country: Turkey | Sector: Utilities | Benchmark: ADMTR 9.25%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$98.00 (9.25% YTM)</t>
        </is>
      </c>
      <c r="D6" s="4" t="inlineStr">
        <is>
          <t>B / B2 (+485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Regulated Grid Distribution Tariffs (82%), Connection &amp; Metering Fees (12%), Commercial Services (6%)</t>
        </is>
      </c>
      <c r="D7" s="4" t="inlineStr">
        <is>
          <t>Recovery Floor</t>
        </is>
      </c>
      <c r="E7" s="5" t="inlineStr">
        <is>
          <t>$72.00 (Base $100.00)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$86.00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ADM Elektrik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285.6</v>
      </c>
      <c r="D7" s="15" t="n">
        <v>344.4</v>
      </c>
      <c r="E7" s="15" t="n">
        <v>386.4</v>
      </c>
      <c r="F7" s="15" t="n">
        <v>420</v>
      </c>
      <c r="G7" s="16" t="n">
        <v>453.6</v>
      </c>
      <c r="H7" s="16" t="n">
        <v>483</v>
      </c>
      <c r="I7" s="16" t="n">
        <v>504</v>
      </c>
    </row>
    <row r="8">
      <c r="B8" s="5" t="inlineStr">
        <is>
          <t>Cost of Goods Sold (COGS)</t>
        </is>
      </c>
      <c r="C8" s="17" t="n">
        <v>170.5</v>
      </c>
      <c r="D8" s="17" t="n">
        <v>207.1</v>
      </c>
      <c r="E8" s="17" t="n">
        <v>226.5</v>
      </c>
      <c r="F8" s="17" t="n">
        <v>243.6</v>
      </c>
      <c r="G8" s="18" t="n">
        <v>260.7</v>
      </c>
      <c r="H8" s="18" t="n">
        <v>275.3</v>
      </c>
      <c r="I8" s="18" t="n">
        <v>287.4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22.6</v>
      </c>
      <c r="D11" s="17" t="n">
        <v>25.7</v>
      </c>
      <c r="E11" s="17" t="n">
        <v>28.9</v>
      </c>
      <c r="F11" s="17" t="n">
        <v>31.4</v>
      </c>
      <c r="G11" s="18" t="n">
        <v>33.3</v>
      </c>
      <c r="H11" s="18" t="n">
        <v>35.2</v>
      </c>
      <c r="I11" s="18" t="n">
        <v>36.4</v>
      </c>
    </row>
    <row r="12">
      <c r="B12" s="14" t="inlineStr">
        <is>
          <t>EBITDA</t>
        </is>
      </c>
      <c r="C12" s="15" t="n">
        <v>94.2</v>
      </c>
      <c r="D12" s="15" t="n">
        <v>116</v>
      </c>
      <c r="E12" s="15" t="n">
        <v>130.5</v>
      </c>
      <c r="F12" s="15" t="n">
        <v>145</v>
      </c>
      <c r="G12" s="16" t="n">
        <v>159.5</v>
      </c>
      <c r="H12" s="16" t="n">
        <v>171.1</v>
      </c>
      <c r="I12" s="16" t="n">
        <v>179.8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40.6</v>
      </c>
      <c r="D14" s="17" t="n">
        <v>44.7</v>
      </c>
      <c r="E14" s="17" t="n">
        <v>48.2</v>
      </c>
      <c r="F14" s="17" t="n">
        <v>50.8</v>
      </c>
      <c r="G14" s="18" t="n">
        <v>53.3</v>
      </c>
      <c r="H14" s="18" t="n">
        <v>55.8</v>
      </c>
      <c r="I14" s="18" t="n">
        <v>58.4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19.3</v>
      </c>
      <c r="D16" s="17" t="n">
        <v>24.2</v>
      </c>
      <c r="E16" s="17" t="n">
        <v>29</v>
      </c>
      <c r="F16" s="17" t="n">
        <v>32.2</v>
      </c>
      <c r="G16" s="18" t="n">
        <v>30.9</v>
      </c>
      <c r="H16" s="18" t="n">
        <v>29.6</v>
      </c>
      <c r="I16" s="18" t="n">
        <v>28.4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70.09999999999999</v>
      </c>
      <c r="D20" s="15" t="n">
        <v>88.2</v>
      </c>
      <c r="E20" s="15" t="n">
        <v>99.5</v>
      </c>
      <c r="F20" s="15" t="n">
        <v>113.1</v>
      </c>
      <c r="G20" s="16" t="n">
        <v>124.4</v>
      </c>
      <c r="H20" s="16" t="n">
        <v>133.5</v>
      </c>
      <c r="I20" s="16" t="n">
        <v>141.4</v>
      </c>
    </row>
    <row r="21">
      <c r="B21" s="5" t="inlineStr">
        <is>
          <t>Capital Expenditures (Capex)</t>
        </is>
      </c>
      <c r="C21" s="17" t="n">
        <v>23.5</v>
      </c>
      <c r="D21" s="17" t="n">
        <v>28.6</v>
      </c>
      <c r="E21" s="17" t="n">
        <v>31.9</v>
      </c>
      <c r="F21" s="17" t="n">
        <v>33.6</v>
      </c>
      <c r="G21" s="18" t="n">
        <v>35.3</v>
      </c>
      <c r="H21" s="18" t="n">
        <v>34.3</v>
      </c>
      <c r="I21" s="18" t="n">
        <v>32.9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41.6</v>
      </c>
      <c r="D24" s="17" t="n">
        <v>52.9</v>
      </c>
      <c r="E24" s="17" t="n">
        <v>64.3</v>
      </c>
      <c r="F24" s="17" t="n">
        <v>75.59999999999999</v>
      </c>
      <c r="G24" s="18" t="n">
        <v>89.2</v>
      </c>
      <c r="H24" s="18" t="n">
        <v>102.1</v>
      </c>
      <c r="I24" s="18" t="n">
        <v>113.4</v>
      </c>
    </row>
    <row r="25">
      <c r="B25" s="14" t="inlineStr">
        <is>
          <t>Gross Debt (Loans + Eurobonds/Sukuk)</t>
        </is>
      </c>
      <c r="C25" s="15" t="n">
        <v>310.8</v>
      </c>
      <c r="D25" s="15" t="n">
        <v>336.4</v>
      </c>
      <c r="E25" s="15" t="n">
        <v>358.3</v>
      </c>
      <c r="F25" s="15" t="n">
        <v>365.6</v>
      </c>
      <c r="G25" s="16" t="n">
        <v>358.3</v>
      </c>
      <c r="H25" s="16" t="n">
        <v>347.3</v>
      </c>
      <c r="I25" s="16" t="n">
        <v>329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2026-09-19T18:15:49Z</dcterms:modified>
</cp:coreProperties>
</file>