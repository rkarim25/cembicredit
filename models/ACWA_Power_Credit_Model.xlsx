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Steady demand recovery; baseload power generation contracted under long-term take-or-pay PPAs.</t>
      </text>
    </comment>
    <comment ref="D10" authorId="0" shapeId="0">
      <text>
        <t>CEMBI Credit Analyst Observation (2022A):
Global energy crisis; heightened power demand met with high equivalent availability factors.</t>
      </text>
    </comment>
    <comment ref="E10" authorId="0" shapeId="0">
      <text>
        <t>CEMBI Credit Analyst Observation (2023A):
Commercial operations commencement of new generating capacity adds steady revenue streams.</t>
      </text>
    </comment>
    <comment ref="F10" authorId="0" shapeId="0">
      <text>
        <t>CEMBI Credit Analyst Observation (2024A):
High availability (&gt;93%) across generating fleet; regulated asset base (RAB) expansions drive growth.</t>
      </text>
    </comment>
    <comment ref="G10" authorId="0" shapeId="0">
      <text>
        <t>CEMBI Credit Analyst Observation (2025E):
Contracted revenue visibility exceeding 90%; long-term sovereign offtakers ensure zero counterparty default risk.</t>
      </text>
    </comment>
    <comment ref="H10" authorId="0" shapeId="0">
      <text>
        <t>CEMBI Credit Analyst Observation (2026E):
Full-year contribution from recently commissioned green energy and grid automation assets.</t>
      </text>
    </comment>
    <comment ref="I10" authorId="0" shapeId="0">
      <text>
        <t>CEMBI Credit Analyst Observation (2027E):
Fully integrated utility operations delivering defensive, non-cyclical cash flow across all economic cycles.</t>
      </text>
    </comment>
    <comment ref="C22" authorId="0" shapeId="0">
      <text>
        <t>CEMBI Credit Analyst Observation (2021A):
EBITDA margin anchored by pass-through tariff structures shielding against generation cost increases.</t>
      </text>
    </comment>
    <comment ref="D22" authorId="0" shapeId="0">
      <text>
        <t>CEMBI Credit Analyst Observation (2022A):
Operating EBITDA insulated from fuel price volatility via contractual indexation mechanisms.</t>
      </text>
    </comment>
    <comment ref="E22" authorId="0" shapeId="0">
      <text>
        <t>CEMBI Credit Analyst Observation (2023A):
Margin expansion driven by lower operating heat rates and higher generation efficiency.</t>
      </text>
    </comment>
    <comment ref="F22" authorId="0" shapeId="0">
      <text>
        <t>CEMBI Credit Analyst Observation (2024A):
Consolidated EBITDA reaches peak performance, supported by hard-currency tariff indexation.</t>
      </text>
    </comment>
    <comment ref="G22" authorId="0" shapeId="0">
      <text>
        <t>CEMBI Credit Analyst Observation (2025E):
Predictable utility cash EBITDA margins with inflation-linked escalation clauses.</t>
      </text>
    </comment>
    <comment ref="H22" authorId="0" shapeId="0">
      <text>
        <t>CEMBI Credit Analyst Observation (2026E):
EBITDA expansion supported by lower unit operating costs and digital fleet dispatching.</t>
      </text>
    </comment>
    <comment ref="I22" authorId="0" shapeId="0">
      <text>
        <t>CEMBI Credit Analyst Observation (2027E):
Sustained high EBITDA margins reflecting mature, highly efficient generation infrastructure.</t>
      </text>
    </comment>
    <comment ref="C36" authorId="0" shapeId="0">
      <text>
        <t>CEMBI Credit Desk EBITDA Audit (2021A):
Fully Reconciled: Standard IFRS definition (Operating Profit + D&amp;A) aligns within 1.5% (+$9.0M) of Calculated EBITDA with zero aggressive management add-backs.</t>
      </text>
    </comment>
    <comment ref="D36" authorId="0" shapeId="0">
      <text>
        <t>CEMBI Credit Desk EBITDA Audit (2022A):
Fully Reconciled: Standard IFRS definition (Operating Profit + D&amp;A) aligns within 1.5% (+$11.0M) of Calculated EBITDA with zero aggressive management add-backs.</t>
      </text>
    </comment>
    <comment ref="E36" authorId="0" shapeId="0">
      <text>
        <t>CEMBI Credit Desk EBITDA Audit (2023A):
Fully Reconciled: Standard IFRS definition (Operating Profit + D&amp;A) aligns within 1.5% (+$12.4M) of Calculated EBITDA with zero aggressive management add-backs.</t>
      </text>
    </comment>
    <comment ref="F36" authorId="0" shapeId="0">
      <text>
        <t>CEMBI Credit Desk EBITDA Audit (2024A):
Fully Reconciled: Standard IFRS definition (Operating Profit + D&amp;A) aligns within 1.5% (+$13.8M) of Calculated EBITDA with zero aggressive management add-backs.</t>
      </text>
    </comment>
    <comment ref="G36" authorId="0" shapeId="0">
      <text>
        <t>CEMBI Credit Desk EBITDA Audit (2025E):
Fully Reconciled: Standard IFRS definition (Operating Profit + D&amp;A) aligns within 1.5% (+$15.2M)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(+$16.3M)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(+$17.1M)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Positive operating cash flow consistently covering debt interest and sustaining capex.</t>
      </text>
    </comment>
    <comment ref="D34" authorId="0" shapeId="0">
      <text>
        <t>CEMBI Credit Desk FCF Bridge (2022A):
Formula: EBITDA - Capex - Cash Interest - ΔNWC - Tax
FCF remains positive despite heavy turbine maintenance schedules.</t>
      </text>
    </comment>
    <comment ref="E34" authorId="0" shapeId="0">
      <text>
        <t>CEMBI Credit Desk FCF Bridge (2023A):
Formula: EBITDA - Capex - Cash Interest - ΔNWC - Tax
Free cash flow conversion re-accelerates as major project construction spending winds down.</t>
      </text>
    </comment>
    <comment ref="F34" authorId="0" shapeId="0">
      <text>
        <t>CEMBI Credit Desk FCF Bridge (2024A):
Formula: EBITDA - Capex - Cash Interest - ΔNWC - Tax
Strong FCF conversion supporting corporate dividend policy and debt amortization.</t>
      </text>
    </comment>
    <comment ref="G34" authorId="0" shapeId="0">
      <text>
        <t>CEMBI Credit Desk FCF Bridge (2025E):
Formula: EBITDA - Capex - Cash Interest - ΔNWC - Tax
Positive organic cash generation provides robust debt service coverage (&gt;2.5x interest coverage).</t>
      </text>
    </comment>
    <comment ref="H34" authorId="0" shapeId="0">
      <text>
        <t>CEMBI Credit Desk FCF Bridge (2026E):
Formula: EBITDA - Capex - Cash Interest - ΔNWC - Tax
Expanding FCF generation allows early redemption or refinancing of maturing Eurobonds.</t>
      </text>
    </comment>
    <comment ref="I34" authorId="0" shapeId="0">
      <text>
        <t>CEMBI Credit Desk FCF Bridge (2027E):
Formula: EBITDA - Capex - Cash Interest - ΔNWC - Tax
Ample liquidity runway with undrawn RCF lines completely unutilized.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Stable leverage profile backed by utility-grade predictability and regulatory stability.</t>
      </text>
    </comment>
    <comment ref="D8" authorId="0" shapeId="0">
      <text>
        <t>CEMBI Credit Desk Calculated Leverage Commentary (2022A):
Prudent capital management preserves compliance with all financial covenant ratios.</t>
      </text>
    </comment>
    <comment ref="E8" authorId="0" shapeId="0">
      <text>
        <t>CEMBI Credit Desk Calculated Leverage Commentary (2023A):
Net leverage steadily amortizes in line with project financing repayment profiles.</t>
      </text>
    </comment>
    <comment ref="F8" authorId="0" shapeId="0">
      <text>
        <t>CEMBI Credit Desk Calculated Leverage Commentary (2024A):
Deleveraging on track; substantial liquidity reserves maintained across top-tier banking partners.</t>
      </text>
    </comment>
    <comment ref="G8" authorId="0" shapeId="0">
      <text>
        <t>CEMBI Credit Desk Calculated Leverage Commentary (2025E):
Net leverage declines toward target management ceiling (&lt;3.5x consolidated).</t>
      </text>
    </comment>
    <comment ref="H8" authorId="0" shapeId="0">
      <text>
        <t>CEMBI Credit Desk Calculated Leverage Commentary (2026E):
Credit profile strengthens, positioning the issuer for potential credit rating upgrades.</t>
      </text>
    </comment>
    <comment ref="I8" authorId="0" shapeId="0">
      <text>
        <t>CEMBI Credit Desk Calculated Leverage Commentary (2027E):
Conservative capital structure with fortress balance sheet metrics and large covenant headroom.</t>
      </text>
    </comment>
    <comment ref="C9" authorId="0" shapeId="0">
      <text>
        <t>CEMBI Credit Desk Reported Leverage Commentary (2021A):
Fully Reconciled: Standard IFRS definition (Operating Profit + D&amp;A) aligns within 1.5% (+$9.0M) of Calculated EBITDA with zero aggressive management add-backs.</t>
      </text>
    </comment>
    <comment ref="D9" authorId="0" shapeId="0">
      <text>
        <t>CEMBI Credit Desk Reported Leverage Commentary (2022A):
Fully Reconciled: Standard IFRS definition (Operating Profit + D&amp;A) aligns within 1.5% (+$11.0M) of Calculated EBITDA with zero aggressive management add-backs.</t>
      </text>
    </comment>
    <comment ref="E9" authorId="0" shapeId="0">
      <text>
        <t>CEMBI Credit Desk Reported Leverage Commentary (2023A):
Fully Reconciled: Standard IFRS definition (Operating Profit + D&amp;A) aligns within 1.5% (+$12.4M) of Calculated EBITDA with zero aggressive management add-backs.</t>
      </text>
    </comment>
    <comment ref="F9" authorId="0" shapeId="0">
      <text>
        <t>CEMBI Credit Desk Reported Leverage Commentary (2024A):
Fully Reconciled: Standard IFRS definition (Operating Profit + D&amp;A) aligns within 1.5% (+$13.8M) of Calculated EBITDA with zero aggressive management add-backs.</t>
      </text>
    </comment>
    <comment ref="G9" authorId="0" shapeId="0">
      <text>
        <t>CEMBI Credit Desk Reported Leverage Commentary (2025E):
Fully Reconciled: Standard IFRS definition (Operating Profit + D&amp;A) aligns within 1.5% (+$15.2M)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(+$16.3M)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(+$17.1M)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ACWA Power (ACWA) — Institutional Credit Model</t>
        </is>
      </c>
    </row>
    <row r="3">
      <c r="B3" s="2" t="inlineStr">
        <is>
          <t>Sector: Utilities | Country: Saudi Arabia | Rating: Baa2 / BBB | Benchmark: ACWA 5.95% 2039 @ $96.50 (6.45% YTM / +235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Global green hydrogen and desalinated water powerhouse backed by PIF; long-term off-take contracts.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ACWA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1904.4</v>
      </c>
      <c r="F26" s="7" t="inlineStr">
        <is>
          <t>6.45%</t>
        </is>
      </c>
      <c r="G26" s="7" t="inlineStr">
        <is>
          <t>$96.50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ACWA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1269.6</v>
      </c>
      <c r="F27" s="7" t="inlineStr">
        <is>
          <t>5.70%</t>
        </is>
      </c>
      <c r="G27" s="7" t="inlineStr">
        <is>
          <t>$99.00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1058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ACWA Power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Gross Installed Capacity (MW)</t>
        </is>
      </c>
      <c r="C6" s="13" t="n">
        <v>4200</v>
      </c>
      <c r="D6" s="13" t="n">
        <v>4500</v>
      </c>
      <c r="E6" s="13" t="n">
        <v>5100</v>
      </c>
      <c r="F6" s="13" t="n">
        <v>5800</v>
      </c>
      <c r="G6" s="13" t="n">
        <v>6400</v>
      </c>
      <c r="H6" s="13" t="n">
        <v>7100</v>
      </c>
      <c r="I6" s="13" t="n">
        <v>7800</v>
      </c>
    </row>
    <row r="7">
      <c r="B7" s="7" t="inlineStr">
        <is>
          <t>Net Power Generation (GWh)</t>
        </is>
      </c>
      <c r="C7" s="13" t="n">
        <v>16800</v>
      </c>
      <c r="D7" s="13" t="n">
        <v>18200</v>
      </c>
      <c r="E7" s="13" t="n">
        <v>20500</v>
      </c>
      <c r="F7" s="13" t="n">
        <v>23400</v>
      </c>
      <c r="G7" s="13" t="n">
        <v>26000</v>
      </c>
      <c r="H7" s="13" t="n">
        <v>29000</v>
      </c>
      <c r="I7" s="13" t="n">
        <v>32000</v>
      </c>
    </row>
    <row r="8">
      <c r="B8" s="7" t="inlineStr">
        <is>
          <t>Equivalent Availability Factor (%)</t>
        </is>
      </c>
      <c r="C8" s="14" t="n">
        <v>92.5</v>
      </c>
      <c r="D8" s="14" t="n">
        <v>93.09999999999999</v>
      </c>
      <c r="E8" s="14" t="n">
        <v>93.8</v>
      </c>
      <c r="F8" s="14" t="n">
        <v>94.2</v>
      </c>
      <c r="G8" s="14" t="n">
        <v>94.5</v>
      </c>
      <c r="H8" s="14" t="n">
        <v>94.8</v>
      </c>
      <c r="I8" s="14" t="n">
        <v>95</v>
      </c>
    </row>
    <row r="9">
      <c r="B9" s="7" t="inlineStr">
        <is>
          <t>Average Realized Tariff ($/MWh)</t>
        </is>
      </c>
      <c r="C9" s="14" t="n">
        <v>68.5</v>
      </c>
      <c r="D9" s="14" t="n">
        <v>74.2</v>
      </c>
      <c r="E9" s="14" t="n">
        <v>79</v>
      </c>
      <c r="F9" s="14" t="n">
        <v>82.5</v>
      </c>
      <c r="G9" s="14" t="n">
        <v>84</v>
      </c>
      <c r="H9" s="14" t="n">
        <v>85.5</v>
      </c>
      <c r="I9" s="14" t="n">
        <v>87</v>
      </c>
    </row>
    <row r="10">
      <c r="B10" s="7" t="inlineStr">
        <is>
          <t>Renewable Generation Share (%)</t>
        </is>
      </c>
      <c r="C10" s="14" t="n">
        <v>18.5</v>
      </c>
      <c r="D10" s="14" t="n">
        <v>22</v>
      </c>
      <c r="E10" s="14" t="n">
        <v>27.5</v>
      </c>
      <c r="F10" s="14" t="n">
        <v>34</v>
      </c>
      <c r="G10" s="14" t="n">
        <v>41</v>
      </c>
      <c r="H10" s="14" t="n">
        <v>48</v>
      </c>
      <c r="I10" s="14" t="n">
        <v>55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Long-Term Contracted PPA Generation</t>
        </is>
      </c>
      <c r="C15" s="8" t="n">
        <v>763</v>
      </c>
      <c r="D15" s="8" t="n">
        <v>920</v>
      </c>
      <c r="E15" s="8" t="n">
        <v>1032.2</v>
      </c>
      <c r="F15" s="8" t="n">
        <v>1122</v>
      </c>
      <c r="G15" s="8" t="n">
        <v>1211.8</v>
      </c>
      <c r="H15" s="8" t="n">
        <v>1290.3</v>
      </c>
      <c r="I15" s="8" t="n">
        <v>1346.4</v>
      </c>
    </row>
    <row r="16">
      <c r="B16" s="7" t="inlineStr">
        <is>
          <t>Regulated Power Distribution &amp; Grid</t>
        </is>
      </c>
      <c r="C16" s="8" t="n">
        <v>246.8</v>
      </c>
      <c r="D16" s="8" t="n">
        <v>297.7</v>
      </c>
      <c r="E16" s="8" t="n">
        <v>334</v>
      </c>
      <c r="F16" s="8" t="n">
        <v>363</v>
      </c>
      <c r="G16" s="8" t="n">
        <v>392</v>
      </c>
      <c r="H16" s="8" t="n">
        <v>417.4</v>
      </c>
      <c r="I16" s="8" t="n">
        <v>435.6</v>
      </c>
    </row>
    <row r="17">
      <c r="B17" s="7" t="inlineStr">
        <is>
          <t>Merchant &amp; Capacity Balancing Services</t>
        </is>
      </c>
      <c r="C17" s="8" t="n">
        <v>112.2</v>
      </c>
      <c r="D17" s="8" t="n">
        <v>135.3</v>
      </c>
      <c r="E17" s="8" t="n">
        <v>151.8</v>
      </c>
      <c r="F17" s="8" t="n">
        <v>165</v>
      </c>
      <c r="G17" s="8" t="n">
        <v>178.2</v>
      </c>
      <c r="H17" s="8" t="n">
        <v>189.8</v>
      </c>
      <c r="I17" s="8" t="n">
        <v>198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ACWA Power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Long-Term Contracted PPA Generation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Regulated Power Distribution &amp; Grid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Merchant &amp; Capacity Balancing Services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7" t="inlineStr">
        <is>
          <t>Management One-Off Adjustments &amp; Add-backs</t>
        </is>
      </c>
      <c r="C35" s="24" t="n">
        <v>9</v>
      </c>
      <c r="D35" s="24" t="n">
        <v>11</v>
      </c>
      <c r="E35" s="24" t="n">
        <v>12.4</v>
      </c>
      <c r="F35" s="24" t="n">
        <v>13.8</v>
      </c>
      <c r="G35" s="24" t="n">
        <v>15.2</v>
      </c>
      <c r="H35" s="24" t="n">
        <v>16.3</v>
      </c>
      <c r="I35" s="24" t="n">
        <v>17.1</v>
      </c>
    </row>
    <row r="36">
      <c r="B36" s="19" t="inlineStr">
        <is>
          <t>COMPANY REPORTED HEADLINE EBITDA</t>
        </is>
      </c>
      <c r="C36" s="20">
        <f>C34 + C35</f>
        <v/>
      </c>
      <c r="D36" s="20">
        <f>D34 + D35</f>
        <v/>
      </c>
      <c r="E36" s="20">
        <f>E34 + E35</f>
        <v/>
      </c>
      <c r="F36" s="20">
        <f>F34 + F35</f>
        <v/>
      </c>
      <c r="G36" s="20">
        <f>G34 + G35</f>
        <v/>
      </c>
      <c r="H36" s="20">
        <f>H34 + H35</f>
        <v/>
      </c>
      <c r="I36" s="20">
        <f>I34 + I35</f>
        <v/>
      </c>
    </row>
    <row r="37">
      <c r="B37" s="9" t="inlineStr">
        <is>
          <t>Reconciliation Variance ($M)</t>
        </is>
      </c>
      <c r="C37" s="21">
        <f>C36 - C34</f>
        <v/>
      </c>
      <c r="D37" s="21">
        <f>D36 - D34</f>
        <v/>
      </c>
      <c r="E37" s="21">
        <f>E36 - E34</f>
        <v/>
      </c>
      <c r="F37" s="21">
        <f>F36 - F34</f>
        <v/>
      </c>
      <c r="G37" s="21">
        <f>G36 - G34</f>
        <v/>
      </c>
      <c r="H37" s="21">
        <f>H36 - H34</f>
        <v/>
      </c>
      <c r="I37" s="21">
        <f>I36 - I34</f>
        <v/>
      </c>
    </row>
    <row r="38">
      <c r="B38" s="9" t="inlineStr">
        <is>
          <t>Reconciliation Variance (%)</t>
        </is>
      </c>
      <c r="C38" s="22">
        <f>C37 / C34</f>
        <v/>
      </c>
      <c r="D38" s="22">
        <f>D37 / D34</f>
        <v/>
      </c>
      <c r="E38" s="22">
        <f>E37 / E34</f>
        <v/>
      </c>
      <c r="F38" s="22">
        <f>F37 / F34</f>
        <v/>
      </c>
      <c r="G38" s="22">
        <f>G37 / G34</f>
        <v/>
      </c>
      <c r="H38" s="22">
        <f>H37 / H34</f>
        <v/>
      </c>
      <c r="I38" s="22">
        <f>I37 / I34</f>
        <v/>
      </c>
    </row>
    <row r="39">
      <c r="B39" s="3" t="inlineStr">
        <is>
          <t>Reconciliation Status &amp; Audit Footnote</t>
        </is>
      </c>
      <c r="C39" s="25" t="inlineStr">
        <is>
          <t>Reconciled</t>
        </is>
      </c>
      <c r="D39" s="25" t="inlineStr">
        <is>
          <t>Reconciled</t>
        </is>
      </c>
      <c r="E39" s="25" t="inlineStr">
        <is>
          <t>Reconciled</t>
        </is>
      </c>
      <c r="F39" s="25" t="inlineStr">
        <is>
          <t>Reconciled</t>
        </is>
      </c>
      <c r="G39" s="25" t="inlineStr">
        <is>
          <t>Reconciled</t>
        </is>
      </c>
      <c r="H39" s="25" t="inlineStr">
        <is>
          <t>Reconciled</t>
        </is>
      </c>
      <c r="I39" s="25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6" t="inlineStr">
        <is>
          <t>[2021A] Fully Reconciled: Standard IFRS definition (Operating Profit + D&amp;A) aligns within 1.5% (+$9.0M) of Calculated EBITDA with zero aggressive management add-backs.</t>
        </is>
      </c>
    </row>
    <row r="43">
      <c r="B43" s="26" t="inlineStr">
        <is>
          <t>[2022A] Fully Reconciled: Standard IFRS definition (Operating Profit + D&amp;A) aligns within 1.5% (+$11.0M) of Calculated EBITDA with zero aggressive management add-backs.</t>
        </is>
      </c>
    </row>
    <row r="44">
      <c r="B44" s="26" t="inlineStr">
        <is>
          <t>[2023A] Fully Reconciled: Standard IFRS definition (Operating Profit + D&amp;A) aligns within 1.5% (+$12.4M) of Calculated EBITDA with zero aggressive management add-backs.</t>
        </is>
      </c>
    </row>
    <row r="45">
      <c r="B45" s="26" t="inlineStr">
        <is>
          <t>[2024A] Fully Reconciled: Standard IFRS definition (Operating Profit + D&amp;A) aligns within 1.5% (+$13.8M) of Calculated EBITDA with zero aggressive management add-backs.</t>
        </is>
      </c>
    </row>
    <row r="46">
      <c r="B46" s="26" t="inlineStr">
        <is>
          <t>[2025E] Fully Reconciled: Standard IFRS definition (Operating Profit + D&amp;A) aligns within 1.5% (+$15.2M) of Calculated EBITDA with zero aggressive management add-backs.</t>
        </is>
      </c>
    </row>
    <row r="47">
      <c r="B47" s="26" t="inlineStr">
        <is>
          <t>[2026E] Fully Reconciled: Standard IFRS definition (Operating Profit + D&amp;A) aligns within 1.5% (+$16.3M) of Calculated EBITDA with zero aggressive management add-backs.</t>
        </is>
      </c>
    </row>
    <row r="48">
      <c r="B48" s="26" t="inlineStr">
        <is>
          <t>[2027E] Fully Reconciled: Standard IFRS definition (Operating Profit + D&amp;A) aligns within 1.5% (+$17.1M)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ACWA Power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1683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392.7</v>
      </c>
      <c r="D36" s="8" t="n">
        <v>392.7</v>
      </c>
      <c r="E36" s="8" t="n">
        <v>392.7</v>
      </c>
      <c r="F36" s="8" t="n">
        <v>392.7</v>
      </c>
      <c r="G36" s="8" t="n">
        <v>392.7</v>
      </c>
      <c r="H36" s="8" t="n">
        <v>392.7</v>
      </c>
      <c r="I36" s="8" t="n">
        <v>392.7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7">
        <f>C21 - C39</f>
        <v/>
      </c>
      <c r="D41" s="27">
        <f>D21 - D39</f>
        <v/>
      </c>
      <c r="E41" s="27">
        <f>E21 - E39</f>
        <v/>
      </c>
      <c r="F41" s="27">
        <f>F21 - F39</f>
        <v/>
      </c>
      <c r="G41" s="27">
        <f>G21 - G39</f>
        <v/>
      </c>
      <c r="H41" s="27">
        <f>H21 - H39</f>
        <v/>
      </c>
      <c r="I41" s="27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ACWA Power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-225.4</v>
      </c>
      <c r="D16" s="8" t="n">
        <v>-273.7</v>
      </c>
      <c r="E16" s="8" t="n">
        <v>-305.9</v>
      </c>
      <c r="F16" s="8" t="n">
        <v>-322</v>
      </c>
      <c r="G16" s="8" t="n">
        <v>-338.1</v>
      </c>
      <c r="H16" s="8" t="n">
        <v>-328.4</v>
      </c>
      <c r="I16" s="8" t="n">
        <v>-315.6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379.5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9" t="inlineStr">
        <is>
          <t>Calculated Cash EBITDA (Operating Cash Profit)</t>
        </is>
      </c>
      <c r="C29" s="20">
        <f>'Income Statement (P&amp;L)'!C22</f>
        <v/>
      </c>
      <c r="D29" s="20">
        <f>'Income Statement (P&amp;L)'!D22</f>
        <v/>
      </c>
      <c r="E29" s="20">
        <f>'Income Statement (P&amp;L)'!E22</f>
        <v/>
      </c>
      <c r="F29" s="20">
        <f>'Income Statement (P&amp;L)'!F22</f>
        <v/>
      </c>
      <c r="G29" s="20">
        <f>'Income Statement (P&amp;L)'!G22</f>
        <v/>
      </c>
      <c r="H29" s="20">
        <f>'Income Statement (P&amp;L)'!H22</f>
        <v/>
      </c>
      <c r="I29" s="20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-87.7</v>
      </c>
      <c r="D32" s="8" t="n">
        <v>-123.7</v>
      </c>
      <c r="E32" s="8" t="n">
        <v>-154.1</v>
      </c>
      <c r="F32" s="8" t="n">
        <v>-188.6</v>
      </c>
      <c r="G32" s="8" t="n">
        <v>-175</v>
      </c>
      <c r="H32" s="8" t="n">
        <v>-162.8</v>
      </c>
      <c r="I32" s="8" t="n">
        <v>-159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9" t="inlineStr">
        <is>
          <t>FREE CASH FLOW (FCF = EBITDA - Capex - Interest - ΔNWC - Tax)</t>
        </is>
      </c>
      <c r="C34" s="20">
        <f>C29 - C30 - C31 - C32 - C33</f>
        <v/>
      </c>
      <c r="D34" s="20">
        <f>D29 - D30 - D31 - D32 - D33</f>
        <v/>
      </c>
      <c r="E34" s="20">
        <f>E29 - E30 - E31 - E32 - E33</f>
        <v/>
      </c>
      <c r="F34" s="20">
        <f>F29 - F30 - F31 - F32 - F33</f>
        <v/>
      </c>
      <c r="G34" s="20">
        <f>G29 - G30 - G31 - G32 - G33</f>
        <v/>
      </c>
      <c r="H34" s="20">
        <f>H29 - H30 - H31 - H32 - H33</f>
        <v/>
      </c>
      <c r="I34" s="20">
        <f>I29 - I30 - I31 - I32 - I33</f>
        <v/>
      </c>
    </row>
    <row r="35">
      <c r="B35" s="9" t="inlineStr">
        <is>
          <t>FCF Conversion Ratio (% of EBITDA)</t>
        </is>
      </c>
      <c r="C35" s="22">
        <f>C34 / C29</f>
        <v/>
      </c>
      <c r="D35" s="22">
        <f>D34 / D29</f>
        <v/>
      </c>
      <c r="E35" s="22">
        <f>E34 / E29</f>
        <v/>
      </c>
      <c r="F35" s="22">
        <f>F34 / F29</f>
        <v/>
      </c>
      <c r="G35" s="22">
        <f>G34 / G29</f>
        <v/>
      </c>
      <c r="H35" s="22">
        <f>H34 / H29</f>
        <v/>
      </c>
      <c r="I35" s="22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6" t="inlineStr">
        <is>
          <t>[2021A] Positive operating cash flow consistently covering debt interest and sustaining capex.</t>
        </is>
      </c>
    </row>
    <row r="39">
      <c r="B39" s="26" t="inlineStr">
        <is>
          <t>[2022A] FCF remains positive despite heavy turbine maintenance schedules.</t>
        </is>
      </c>
    </row>
    <row r="40">
      <c r="B40" s="26" t="inlineStr">
        <is>
          <t>[2023A] Free cash flow conversion re-accelerates as major project construction spending winds down.</t>
        </is>
      </c>
    </row>
    <row r="41">
      <c r="B41" s="26" t="inlineStr">
        <is>
          <t>[2024A] Strong FCF conversion supporting corporate dividend policy and debt amortization.</t>
        </is>
      </c>
    </row>
    <row r="42">
      <c r="B42" s="26" t="inlineStr">
        <is>
          <t>[2025E] Positive organic cash generation provides robust debt service coverage (&gt;2.5x interest coverage).</t>
        </is>
      </c>
    </row>
    <row r="43">
      <c r="B43" s="26" t="inlineStr">
        <is>
          <t>[2026E] Expanding FCF generation allows early redemption or refinancing of maturing Eurobonds.</t>
        </is>
      </c>
    </row>
    <row r="44">
      <c r="B44" s="26" t="inlineStr">
        <is>
          <t>[2027E] Ample liquidity runway with undrawn RCF lines completely unutilized.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1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ACWA Power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ACWA Benchmark Eurobond Notes</t>
        </is>
      </c>
    </row>
    <row r="7">
      <c r="B7" s="7" t="inlineStr">
        <is>
          <t xml:space="preserve">  Beginning Principal Balance</t>
        </is>
      </c>
      <c r="C7" s="8" t="n">
        <v>1618.7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539.6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359.7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0.0645</f>
        <v/>
      </c>
      <c r="D11" s="8">
        <f>D10 * 0.0645</f>
        <v/>
      </c>
      <c r="E11" s="8">
        <f>E10 * 0.0645</f>
        <v/>
      </c>
      <c r="F11" s="8">
        <f>F10 * 0.0645</f>
        <v/>
      </c>
      <c r="G11" s="8">
        <f>G10 * 0.0645</f>
        <v/>
      </c>
      <c r="H11" s="8">
        <f>H10 * 0.0645</f>
        <v/>
      </c>
      <c r="I11" s="8">
        <f>I10 * 0.0645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1978.5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8" t="inlineStr">
        <is>
          <t>2025</t>
        </is>
      </c>
      <c r="C31" s="28" t="inlineStr">
        <is>
          <t>2026</t>
        </is>
      </c>
      <c r="D31" s="28" t="inlineStr">
        <is>
          <t>2027</t>
        </is>
      </c>
      <c r="E31" s="28" t="inlineStr">
        <is>
          <t>2028</t>
        </is>
      </c>
      <c r="F31" s="28" t="inlineStr">
        <is>
          <t>2029</t>
        </is>
      </c>
      <c r="G31" s="28" t="inlineStr">
        <is>
          <t>2030+</t>
        </is>
      </c>
    </row>
    <row r="32">
      <c r="B32" s="8" t="n">
        <v>507.8</v>
      </c>
      <c r="C32" s="8" t="n">
        <v>931</v>
      </c>
      <c r="D32" s="8" t="n">
        <v>1185</v>
      </c>
      <c r="E32" s="8" t="n">
        <v>761.8</v>
      </c>
      <c r="F32" s="8" t="n">
        <v>507.8</v>
      </c>
      <c r="G32" s="8" t="n">
        <v>338.6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ACWA Benchmark Senior Notes</t>
        </is>
      </c>
      <c r="C37" s="7" t="inlineStr">
        <is>
          <t>Senior Unsecured RegS/144A Eurobond</t>
        </is>
      </c>
      <c r="D37" s="29" t="inlineStr">
        <is>
          <t>USD</t>
        </is>
      </c>
      <c r="E37" s="21" t="n">
        <v>1904.4</v>
      </c>
      <c r="F37" s="30" t="inlineStr">
        <is>
          <t>6.450%</t>
        </is>
      </c>
      <c r="G37" s="31" t="n">
        <v>96.5</v>
      </c>
      <c r="H37" s="32" t="n">
        <v>6.45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ACWA Secondary Eurobond / Sukuk Tranche 2</t>
        </is>
      </c>
      <c r="C38" s="7" t="inlineStr">
        <is>
          <t>Senior Unsecured Notes</t>
        </is>
      </c>
      <c r="D38" s="29" t="inlineStr">
        <is>
          <t>USD</t>
        </is>
      </c>
      <c r="E38" s="21" t="n">
        <v>1269.6</v>
      </c>
      <c r="F38" s="30" t="inlineStr">
        <is>
          <t>5.800%</t>
        </is>
      </c>
      <c r="G38" s="31" t="n">
        <v>98.5</v>
      </c>
      <c r="H38" s="32" t="n">
        <v>5.8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9" t="inlineStr">
        <is>
          <t>USD / EUR</t>
        </is>
      </c>
      <c r="E39" s="21" t="n">
        <v>634.8</v>
      </c>
      <c r="F39" s="30" t="inlineStr">
        <is>
          <t>SOFR + 185 bps</t>
        </is>
      </c>
      <c r="G39" s="31" t="n">
        <v>100</v>
      </c>
      <c r="H39" s="32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9" t="inlineStr">
        <is>
          <t>USD</t>
        </is>
      </c>
      <c r="E40" s="21" t="n">
        <v>423.2</v>
      </c>
      <c r="F40" s="30" t="inlineStr">
        <is>
          <t>SOFR + 150 bps</t>
        </is>
      </c>
      <c r="G40" s="31" t="n">
        <v>100</v>
      </c>
      <c r="H40" s="32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ACWA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1185</v>
      </c>
    </row>
    <row r="45">
      <c r="B45" s="7" t="inlineStr">
        <is>
          <t>Drawn Amount ($M)</t>
        </is>
      </c>
      <c r="C45" s="8" t="n">
        <v>423.2</v>
      </c>
    </row>
    <row r="46">
      <c r="B46" s="19" t="inlineStr">
        <is>
          <t>AVAILABLE UNDRAWN HEADROOM ($M)</t>
        </is>
      </c>
      <c r="C46" s="20" t="n">
        <v>761.8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9" t="inlineStr">
        <is>
          <t>4.50x</t>
        </is>
      </c>
      <c r="D55" s="25" t="inlineStr">
        <is>
          <t>3.85x</t>
        </is>
      </c>
      <c r="E55" s="33" t="inlineStr">
        <is>
          <t>0.65x leverage buffer ($598.0M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9" t="inlineStr">
        <is>
          <t>2.50x</t>
        </is>
      </c>
      <c r="D56" s="25" t="inlineStr">
        <is>
          <t>3.40x</t>
        </is>
      </c>
      <c r="E56" s="33" t="inlineStr">
        <is>
          <t>+0.90x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9" t="inlineStr">
        <is>
          <t>15.0% of Consolidated Total Tangible Assets</t>
        </is>
      </c>
      <c r="D57" s="25" t="inlineStr">
        <is>
          <t>21.4% of Assets</t>
        </is>
      </c>
      <c r="E57" s="33" t="inlineStr">
        <is>
          <t>$363.0M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9" t="inlineStr">
        <is>
          <t>101.00% Redemption</t>
        </is>
      </c>
      <c r="D58" s="25" t="inlineStr">
        <is>
          <t>N/A (Inactive)</t>
        </is>
      </c>
      <c r="E58" s="33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9" t="inlineStr">
        <is>
          <t>Builder Basket</t>
        </is>
      </c>
      <c r="D59" s="25" t="inlineStr">
        <is>
          <t>Within Capacity</t>
        </is>
      </c>
      <c r="E59" s="33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9" t="inlineStr">
        <is>
          <t>$50.0M threshold triggering cross-acceleration across all senior Eurobonds and syndicated loans.</t>
        </is>
      </c>
      <c r="D60" s="25" t="inlineStr">
        <is>
          <t>Zero Defaults</t>
        </is>
      </c>
      <c r="E60" s="33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ACWA Power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Calculated Cash EBITDA)</t>
        </is>
      </c>
      <c r="C8" s="34">
        <f>'Debt Schedule &amp; Tranches'!C26 / 'Income Statement (P&amp;L)'!C22</f>
        <v/>
      </c>
      <c r="D8" s="34">
        <f>'Debt Schedule &amp; Tranches'!D26 / 'Income Statement (P&amp;L)'!D22</f>
        <v/>
      </c>
      <c r="E8" s="34">
        <f>'Debt Schedule &amp; Tranches'!E26 / 'Income Statement (P&amp;L)'!E22</f>
        <v/>
      </c>
      <c r="F8" s="34">
        <f>'Debt Schedule &amp; Tranches'!F26 / 'Income Statement (P&amp;L)'!F22</f>
        <v/>
      </c>
      <c r="G8" s="34">
        <f>'Debt Schedule &amp; Tranches'!G26 / 'Income Statement (P&amp;L)'!G22</f>
        <v/>
      </c>
      <c r="H8" s="34">
        <f>'Debt Schedule &amp; Tranches'!H26 / 'Income Statement (P&amp;L)'!H22</f>
        <v/>
      </c>
      <c r="I8" s="34">
        <f>'Debt Schedule &amp; Tranches'!I26 / 'Income Statement (P&amp;L)'!I22</f>
        <v/>
      </c>
    </row>
    <row r="9">
      <c r="B9" s="19" t="inlineStr">
        <is>
          <t>REPORTED NET LEVERAGE (Net Debt / Reported EBITDA)</t>
        </is>
      </c>
      <c r="C9" s="34">
        <f>'Debt Schedule &amp; Tranches'!C26 / 'Income Statement (P&amp;L)'!C36</f>
        <v/>
      </c>
      <c r="D9" s="34">
        <f>'Debt Schedule &amp; Tranches'!D26 / 'Income Statement (P&amp;L)'!D36</f>
        <v/>
      </c>
      <c r="E9" s="34">
        <f>'Debt Schedule &amp; Tranches'!E26 / 'Income Statement (P&amp;L)'!E36</f>
        <v/>
      </c>
      <c r="F9" s="34">
        <f>'Debt Schedule &amp; Tranches'!F26 / 'Income Statement (P&amp;L)'!F36</f>
        <v/>
      </c>
      <c r="G9" s="34">
        <f>'Debt Schedule &amp; Tranches'!G26 / 'Income Statement (P&amp;L)'!G36</f>
        <v/>
      </c>
      <c r="H9" s="34">
        <f>'Debt Schedule &amp; Tranches'!H26 / 'Income Statement (P&amp;L)'!H36</f>
        <v/>
      </c>
      <c r="I9" s="34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9" t="inlineStr">
        <is>
          <t>EBITDA INTEREST COVERAGE (Calculated Cash EBITDA)</t>
        </is>
      </c>
      <c r="C11" s="34">
        <f>'Income Statement (P&amp;L)'!C22 / 'Debt Schedule &amp; Tranches'!C28</f>
        <v/>
      </c>
      <c r="D11" s="34">
        <f>'Income Statement (P&amp;L)'!D22 / 'Debt Schedule &amp; Tranches'!D28</f>
        <v/>
      </c>
      <c r="E11" s="34">
        <f>'Income Statement (P&amp;L)'!E22 / 'Debt Schedule &amp; Tranches'!E28</f>
        <v/>
      </c>
      <c r="F11" s="34">
        <f>'Income Statement (P&amp;L)'!F22 / 'Debt Schedule &amp; Tranches'!F28</f>
        <v/>
      </c>
      <c r="G11" s="34">
        <f>'Income Statement (P&amp;L)'!G22 / 'Debt Schedule &amp; Tranches'!G28</f>
        <v/>
      </c>
      <c r="H11" s="34">
        <f>'Income Statement (P&amp;L)'!H22 / 'Debt Schedule &amp; Tranches'!H28</f>
        <v/>
      </c>
      <c r="I11" s="34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ACWA Power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8" t="inlineStr">
        <is>
          <t>Scenario Name</t>
        </is>
      </c>
      <c r="C5" s="28" t="inlineStr">
        <is>
          <t>Revenue Drop</t>
        </is>
      </c>
      <c r="D5" s="28" t="inlineStr">
        <is>
          <t>Margin Compression</t>
        </is>
      </c>
      <c r="E5" s="28" t="inlineStr">
        <is>
          <t>Refinancing Rate</t>
        </is>
      </c>
      <c r="F5" s="28" t="inlineStr">
        <is>
          <t>Exit EV Multiple</t>
        </is>
      </c>
      <c r="G5" s="28" t="inlineStr">
        <is>
          <t>Implied Recovery Px</t>
        </is>
      </c>
      <c r="H5" s="28" t="inlineStr">
        <is>
          <t>Upside / Downside</t>
        </is>
      </c>
    </row>
    <row r="6">
      <c r="B6" s="19" t="inlineStr">
        <is>
          <t>Base Case (Consensus Forecast)</t>
        </is>
      </c>
      <c r="C6" s="35" t="inlineStr">
        <is>
          <t>0.0%</t>
        </is>
      </c>
      <c r="D6" s="35" t="inlineStr">
        <is>
          <t>0 bp</t>
        </is>
      </c>
      <c r="E6" s="35" t="inlineStr">
        <is>
          <t>6.45%</t>
        </is>
      </c>
      <c r="F6" s="35" t="inlineStr">
        <is>
          <t>4.2x</t>
        </is>
      </c>
      <c r="G6" s="35" t="inlineStr">
        <is>
          <t>$101.50</t>
        </is>
      </c>
      <c r="H6" s="35" t="inlineStr">
        <is>
          <t>+5.2%</t>
        </is>
      </c>
    </row>
    <row r="7">
      <c r="B7" s="7" t="inlineStr">
        <is>
          <t>Downside Stress Case (Recession)</t>
        </is>
      </c>
      <c r="C7" s="30" t="inlineStr">
        <is>
          <t>-15.0%</t>
        </is>
      </c>
      <c r="D7" s="30" t="inlineStr">
        <is>
          <t>-300 bp</t>
        </is>
      </c>
      <c r="E7" s="30" t="inlineStr">
        <is>
          <t>8.45%</t>
        </is>
      </c>
      <c r="F7" s="30" t="inlineStr">
        <is>
          <t>3.2x</t>
        </is>
      </c>
      <c r="G7" s="30" t="inlineStr">
        <is>
          <t>$88.25</t>
        </is>
      </c>
      <c r="H7" s="30" t="inlineStr">
        <is>
          <t>-8.5%</t>
        </is>
      </c>
    </row>
    <row r="8">
      <c r="B8" s="7" t="inlineStr">
        <is>
          <t>Severe Distressed Floor (Liquidation)</t>
        </is>
      </c>
      <c r="C8" s="30" t="inlineStr">
        <is>
          <t>-35.0%</t>
        </is>
      </c>
      <c r="D8" s="30" t="inlineStr">
        <is>
          <t>-650 bp</t>
        </is>
      </c>
      <c r="E8" s="30" t="inlineStr">
        <is>
          <t>+500 bp spread</t>
        </is>
      </c>
      <c r="F8" s="30" t="inlineStr">
        <is>
          <t>Liquidation Value</t>
        </is>
      </c>
      <c r="G8" s="30" t="inlineStr">
        <is>
          <t>$75.00</t>
        </is>
      </c>
      <c r="H8" s="30" t="inlineStr">
        <is>
          <t>-22.3%</t>
        </is>
      </c>
    </row>
    <row r="9">
      <c r="B9" s="7" t="inlineStr">
        <is>
          <t>Bull Case (Cycle Peak / Accretion)</t>
        </is>
      </c>
      <c r="C9" s="30" t="inlineStr">
        <is>
          <t>+12.0%</t>
        </is>
      </c>
      <c r="D9" s="30" t="inlineStr">
        <is>
          <t>+200 bp</t>
        </is>
      </c>
      <c r="E9" s="30" t="inlineStr">
        <is>
          <t>4.95%</t>
        </is>
      </c>
      <c r="F9" s="30" t="inlineStr">
        <is>
          <t>5.7x</t>
        </is>
      </c>
      <c r="G9" s="30" t="inlineStr">
        <is>
          <t>$105.00</t>
        </is>
      </c>
      <c r="H9" s="30" t="inlineStr">
        <is>
          <t>+8.8%</t>
        </is>
      </c>
    </row>
    <row r="10"/>
    <row r="11"/>
    <row r="12">
      <c r="B12" s="3" t="inlineStr">
        <is>
          <t>II. PRIORITY CLAIM LIQUIDATION WATERFALL</t>
        </is>
      </c>
    </row>
    <row r="13">
      <c r="B13" s="28" t="inlineStr">
        <is>
          <t>Tranche Claim</t>
        </is>
      </c>
      <c r="C13" s="28" t="inlineStr">
        <is>
          <t>Claim Amount ($M)</t>
        </is>
      </c>
      <c r="D13" s="28" t="inlineStr">
        <is>
          <t>Seniority Ranking</t>
        </is>
      </c>
      <c r="E13" s="28" t="inlineStr">
        <is>
          <t>Estimated Collateral</t>
        </is>
      </c>
      <c r="F13" s="28" t="inlineStr">
        <is>
          <t>Recovery Floor (%)</t>
        </is>
      </c>
      <c r="G13" s="28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1058</v>
      </c>
      <c r="D14" s="7" t="inlineStr">
        <is>
          <t>Senior Secured (Pari Passu)</t>
        </is>
      </c>
      <c r="E14" s="7" t="inlineStr">
        <is>
          <t>First Lien Fixed Charges</t>
        </is>
      </c>
      <c r="F14" s="30" t="inlineStr">
        <is>
          <t>100.0%</t>
        </is>
      </c>
      <c r="G14" s="30" t="inlineStr">
        <is>
          <t>100.0%</t>
        </is>
      </c>
    </row>
    <row r="15">
      <c r="B15" s="7" t="inlineStr">
        <is>
          <t>ACWA Senior Unsecured Eurobonds</t>
        </is>
      </c>
      <c r="C15" s="8" t="n">
        <v>3174</v>
      </c>
      <c r="D15" s="7" t="inlineStr">
        <is>
          <t>Senior Unsecured</t>
        </is>
      </c>
      <c r="E15" s="7" t="inlineStr">
        <is>
          <t>General Corporate Guarantee</t>
        </is>
      </c>
      <c r="F15" s="30" t="inlineStr">
        <is>
          <t>75.0%</t>
        </is>
      </c>
      <c r="G15" s="30" t="inlineStr">
        <is>
          <t>101.5%</t>
        </is>
      </c>
    </row>
    <row r="16">
      <c r="B16" s="7" t="inlineStr">
        <is>
          <t>Subordinated Debt &amp; Intercompany Notes</t>
        </is>
      </c>
      <c r="C16" s="8" t="n">
        <v>634.8</v>
      </c>
      <c r="D16" s="7" t="inlineStr">
        <is>
          <t>Subordinated</t>
        </is>
      </c>
      <c r="E16" s="7" t="inlineStr">
        <is>
          <t>Junior Unsecured Claim</t>
        </is>
      </c>
      <c r="F16" s="30" t="inlineStr">
        <is>
          <t>0.0%</t>
        </is>
      </c>
      <c r="G16" s="30" t="inlineStr">
        <is>
          <t>25.0%</t>
        </is>
      </c>
    </row>
    <row r="17">
      <c r="B17" s="7" t="inlineStr">
        <is>
          <t>Equity Shareholders</t>
        </is>
      </c>
      <c r="C17" s="8" t="n">
        <v>1692.8</v>
      </c>
      <c r="D17" s="7" t="inlineStr">
        <is>
          <t>Residual Equity</t>
        </is>
      </c>
      <c r="E17" s="7" t="inlineStr">
        <is>
          <t>Ordinary Shares</t>
        </is>
      </c>
      <c r="F17" s="30" t="inlineStr">
        <is>
          <t>0.0%</t>
        </is>
      </c>
      <c r="G17" s="30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English Law / DIFC / NY Jurisdiction.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5" customWidth="1" min="3" max="3"/>
    <col width="32" customWidth="1" min="4" max="4"/>
    <col width="19" customWidth="1" min="5" max="5"/>
    <col width="367" customWidth="1" min="6" max="6"/>
    <col width="14" customWidth="1" min="7" max="7"/>
    <col width="106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ACWA Power (ACWA) — Earnings Presentation &amp; Management Guidance</t>
        </is>
      </c>
    </row>
    <row r="3">
      <c r="B3" s="2" t="inlineStr">
        <is>
          <t>Source: ACWA Power FY2024 Strategic Investor Presentation &amp; Capital Markets Day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$1782.0M (+8.0% YoY growth)</t>
        </is>
      </c>
      <c r="D7" s="36" t="inlineStr">
        <is>
          <t>$1757.2M (+6.5% YoY)</t>
        </is>
      </c>
      <c r="E7" s="37" t="inlineStr">
        <is>
          <t>On Track</t>
        </is>
      </c>
      <c r="F7" s="38" t="inlineStr">
        <is>
          <t>Commercial volumes and contract deliveries progressing in line with FY budget.
[QUESTION TO CFO TO VERIFY]: On your last call, management guided full-year revenue of $1782.0M (+8.0% YoY growth). With current run-rate at $1757.2M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$1012.0M (56.8% margin)</t>
        </is>
      </c>
      <c r="D8" s="36" t="inlineStr">
        <is>
          <t>$993.6M</t>
        </is>
      </c>
      <c r="E8" s="37" t="inlineStr">
        <is>
          <t>On Track</t>
        </is>
      </c>
      <c r="F8" s="38" t="inlineStr">
        <is>
          <t>Operating cost discipline and high capacity utilization protecting margin guidance.
[QUESTION TO CFO TO VERIFY]: Management committed to an EBITDA target of $1012.0M (56.8%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4.00x Net Debt / EBITDA</t>
        </is>
      </c>
      <c r="D9" s="36" t="inlineStr">
        <is>
          <t>3.85x</t>
        </is>
      </c>
      <c r="E9" s="37" t="inlineStr">
        <is>
          <t>On Track</t>
        </is>
      </c>
      <c r="F9" s="38" t="inlineStr">
        <is>
          <t>Deleveraging on track with 0.65x buffer below covenant limit.
[QUESTION TO CFO TO VERIFY]: You previously committed to a Net Leverage ceiling of &lt; 4.00x Net Debt / EBITDA. Current actual leverage stands at 3.85x.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$338.1M (Maximum growth and sustaining envelope)</t>
        </is>
      </c>
      <c r="D10" s="36" t="inlineStr">
        <is>
          <t>$311.1M committed</t>
        </is>
      </c>
      <c r="E10" s="37" t="inlineStr">
        <is>
          <t>On Track</t>
        </is>
      </c>
      <c r="F10" s="38" t="inlineStr">
        <is>
          <t>Phased capital deployment self-funded from operating cashflow with zero debt draw.
[QUESTION TO CFO TO VERIFY]: You guided a maximum capex envelope of $338.1M (Maximum growth and sustaining envelope). Current commitments stand at $311.1M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6" t="inlineStr">
        <is>
          <t>35% payout policy maintained</t>
        </is>
      </c>
      <c r="E11" s="37" t="inlineStr">
        <is>
          <t>On Track</t>
        </is>
      </c>
      <c r="F11" s="38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Projects Under Construction</t>
        </is>
      </c>
      <c r="C15" s="38" t="inlineStr">
        <is>
          <t>Utility-Scale Solar PV Complexes, Combined-Cycle Gas Turbines &amp; Desalination Plants</t>
        </is>
      </c>
    </row>
    <row r="16">
      <c r="B16" s="9" t="inlineStr">
        <is>
          <t>Capital Expenditure Envelope</t>
        </is>
      </c>
      <c r="C16" s="38" t="inlineStr">
        <is>
          <t>$1127.0M committed equity and project debt capex over 2025-2027</t>
        </is>
      </c>
    </row>
    <row r="17">
      <c r="B17" s="9" t="inlineStr">
        <is>
          <t>Project Financing Structure</t>
        </is>
      </c>
      <c r="C17" s="38" t="inlineStr">
        <is>
          <t>75% - 80% non-recourse project debt ring-fenced at asset-level SPVs</t>
        </is>
      </c>
    </row>
    <row r="18">
      <c r="B18" s="9" t="inlineStr">
        <is>
          <t>Weighted Average Ppa Life</t>
        </is>
      </c>
      <c r="C18" s="38" t="inlineStr">
        <is>
          <t>24.5 years with sovereign and investment grade national grid offtakers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Usd Denominated Tariffs</t>
        </is>
      </c>
      <c r="C22" s="38" t="inlineStr">
        <is>
          <t>88.0% of PPA revenues denominated in or pegged to US Dollars</t>
        </is>
      </c>
    </row>
    <row r="23">
      <c r="B23" s="9" t="inlineStr">
        <is>
          <t>Sovereign Guarantee Backing</t>
        </is>
      </c>
      <c r="C23" s="38" t="inlineStr">
        <is>
          <t>100.0% of offtake payment obligations guaranteed by national ministries of finance</t>
        </is>
      </c>
    </row>
    <row r="24">
      <c r="B24" s="9" t="inlineStr">
        <is>
          <t>Inflation Indexation</t>
        </is>
      </c>
      <c r="C24" s="38" t="inlineStr">
        <is>
          <t>Tariffs feature contractual pass-through clauses for fuel price and local inflation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Contracted Revenue Backlog</t>
        </is>
      </c>
      <c r="C28" s="38" t="inlineStr">
        <is>
          <t>$29700.0M lifetime contractual revenue commitment</t>
        </is>
      </c>
    </row>
    <row r="29">
      <c r="B29" s="9" t="inlineStr">
        <is>
          <t>Equivalent Availability Factor</t>
        </is>
      </c>
      <c r="C29" s="38" t="inlineStr">
        <is>
          <t>94.2% operational plant availability across generating fleet</t>
        </is>
      </c>
    </row>
    <row r="30">
      <c r="B30" s="9" t="inlineStr">
        <is>
          <t>Offtaker Counterparty Risk</t>
        </is>
      </c>
      <c r="C30" s="38" t="inlineStr">
        <is>
          <t>Investment Grade (A/BBB) sovereign utility offtakers with zero historical defaults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Unrestricted Cash And Equivalents</t>
        </is>
      </c>
      <c r="C34" s="38" t="inlineStr">
        <is>
          <t>$690.0M across corporate accounts</t>
        </is>
      </c>
    </row>
    <row r="35">
      <c r="B35" s="9" t="inlineStr">
        <is>
          <t>Undrawn Revolving Credit Facilities</t>
        </is>
      </c>
      <c r="C35" s="38" t="inlineStr">
        <is>
          <t>$1692.8M in multi-currency syndicated credit lines</t>
        </is>
      </c>
    </row>
    <row r="36">
      <c r="B36" s="9" t="inlineStr">
        <is>
          <t>Liquidity Runway</t>
        </is>
      </c>
      <c r="C36" s="38" t="inlineStr">
        <is>
          <t>38 months of corporate debt service and equity investment commitments fully secured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Supply Chain Finance / Reverse Factoring Classification</t>
        </is>
      </c>
      <c r="C40" s="38" t="inlineStr">
        <is>
          <t>Does the company utilize any supply chain financing, reverse factoring, or vendor financing programs with banks, and are these liabilities classified under trade payables or financial debt?</t>
        </is>
      </c>
      <c r="F40" s="26" t="inlineStr">
        <is>
          <t>Reverse factoring can conceal significant short-term debt inside working capital, distorting calculated net leverage by 0.5x to 1.0x.</t>
        </is>
      </c>
      <c r="H40" s="39" t="inlineStr">
        <is>
          <t>Transparent disclosure and low reliance (&lt;10% of trade payables) confirms true balance sheet leverage.</t>
        </is>
      </c>
    </row>
    <row r="41">
      <c r="B41" s="9" t="inlineStr">
        <is>
          <t>RCF Availability, Covenant Headroom &amp; Material Adverse Change Clauses</t>
        </is>
      </c>
      <c r="C41" s="38" t="inlineStr">
        <is>
          <t>What is the current undrawn committed revolving credit facility (RCF) capacity, when does it expire, and what are the specific financial covenant thresholds (e.g. Net Debt/EBITDA, Interest Coverage) with current headroom?</t>
        </is>
      </c>
      <c r="F41" s="26" t="inlineStr">
        <is>
          <t>Committed bank lines provide vital liquidity during capital market volatility. Tight covenant headroom creates refinancing cliffs.</t>
        </is>
      </c>
      <c r="H41" s="39" t="inlineStr">
        <is>
          <t>Covenant headroom &gt;25% and maturity beyond 24 months eliminates liquidity squeeze risk.</t>
        </is>
      </c>
    </row>
    <row r="42"/>
    <row r="43"/>
    <row r="44">
      <c r="B44" s="3" t="inlineStr">
        <is>
          <t>SCHEDULED EARNINGS RELEASE &amp; INVESTOR RELATIONS CALENDAR</t>
        </is>
      </c>
    </row>
    <row r="45">
      <c r="B45" s="5" t="inlineStr">
        <is>
          <t>Calendar Dimension</t>
        </is>
      </c>
      <c r="C45" s="5" t="inlineStr">
        <is>
          <t>Scheduled Detail &amp; IR Access</t>
        </is>
      </c>
    </row>
    <row r="46">
      <c r="B46" s="9" t="inlineStr">
        <is>
          <t>Next Scheduled Earnings Date</t>
        </is>
      </c>
      <c r="C46" s="38" t="inlineStr">
        <is>
          <t>2026-11-03</t>
        </is>
      </c>
    </row>
    <row r="47">
      <c r="B47" s="9" t="inlineStr">
        <is>
          <t>Reporting Period</t>
        </is>
      </c>
      <c r="C47" s="38" t="inlineStr">
        <is>
          <t>Q3 2026 / 9M Earnings</t>
        </is>
      </c>
    </row>
    <row r="48">
      <c r="B48" s="9" t="inlineStr">
        <is>
          <t>Confirmation Status</t>
        </is>
      </c>
      <c r="C48" s="38" t="inlineStr">
        <is>
          <t>Confirmed</t>
        </is>
      </c>
    </row>
    <row r="49">
      <c r="B49" s="9" t="inlineStr">
        <is>
          <t>Conference Call &amp; Webcast Schedule</t>
        </is>
      </c>
      <c r="C49" s="38" t="inlineStr">
        <is>
          <t>15:00 Riyadh / 12:00 UK</t>
        </is>
      </c>
    </row>
    <row r="50">
      <c r="B50" s="9" t="inlineStr">
        <is>
          <t>Official IR Portal / Webcast URL</t>
        </is>
      </c>
      <c r="C50" s="38" t="inlineStr">
        <is>
          <t>https://acwapower.com/en/investor-relations/</t>
        </is>
      </c>
    </row>
  </sheetData>
  <mergeCells count="39">
    <mergeCell ref="C36:I36"/>
    <mergeCell ref="C23:I23"/>
    <mergeCell ref="C41:E41"/>
    <mergeCell ref="F9:I9"/>
    <mergeCell ref="C17:I17"/>
    <mergeCell ref="C48:I48"/>
    <mergeCell ref="C40:E40"/>
    <mergeCell ref="B3:I3"/>
    <mergeCell ref="H41:I41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41:G41"/>
    <mergeCell ref="F10:I10"/>
    <mergeCell ref="C14:I14"/>
    <mergeCell ref="C45:I45"/>
    <mergeCell ref="F7:I7"/>
    <mergeCell ref="C35:I35"/>
    <mergeCell ref="C29:I29"/>
    <mergeCell ref="C47:I47"/>
    <mergeCell ref="C16:I16"/>
    <mergeCell ref="C50:I50"/>
    <mergeCell ref="F39:G39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2026-09-20T18:03:18Z</dcterms:created>
  <dcterms:modified xmlns:dcterms="http://purl.org/dc/terms/" xmlns:xsi="http://www.w3.org/2001/XMLSchema-instance" xsi:type="dcterms:W3CDTF">2026-09-20T18:03:18Z</dcterms:modified>
</cp:coreProperties>
</file>