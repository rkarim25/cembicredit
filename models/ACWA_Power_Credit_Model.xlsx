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Steady demand recovery; baseload power generation contracted under long-term take-or-pay PPAs.</t>
      </text>
    </comment>
    <comment ref="D10" authorId="0" shapeId="0">
      <text>
        <t>CEMBI Credit Analyst Observation (2022A):
Global energy crisis; heightened power demand met with high equivalent availability factors.</t>
      </text>
    </comment>
    <comment ref="E10" authorId="0" shapeId="0">
      <text>
        <t>CEMBI Credit Analyst Observation (2023A):
Commercial operations commencement of new generating capacity adds steady revenue streams.</t>
      </text>
    </comment>
    <comment ref="F10" authorId="0" shapeId="0">
      <text>
        <t>CEMBI Credit Analyst Observation (2024A):
High availability (&gt;93%) across generating fleet; regulated asset base (RAB) expansions drive growth.</t>
      </text>
    </comment>
    <comment ref="G10" authorId="0" shapeId="0">
      <text>
        <t>CEMBI Credit Analyst Observation (2025E):
Contracted revenue visibility exceeding 90%; long-term sovereign offtakers ensure zero counterparty default risk.</t>
      </text>
    </comment>
    <comment ref="H10" authorId="0" shapeId="0">
      <text>
        <t>CEMBI Credit Analyst Observation (2026E):
Full-year contribution from recently commissioned green energy and grid automation assets.</t>
      </text>
    </comment>
    <comment ref="I10" authorId="0" shapeId="0">
      <text>
        <t>CEMBI Credit Analyst Observation (2027E):
Fully integrated utility operations delivering defensive, non-cyclical cash flow across all economic cycles.</t>
      </text>
    </comment>
    <comment ref="C22" authorId="0" shapeId="0">
      <text>
        <t>CEMBI Credit Analyst Observation (2021A):
EBITDA margin anchored by pass-through tariff structures shielding against generation cost increases.</t>
      </text>
    </comment>
    <comment ref="D22" authorId="0" shapeId="0">
      <text>
        <t>CEMBI Credit Analyst Observation (2022A):
Operating EBITDA insulated from fuel price volatility via contractual indexation mechanisms.</t>
      </text>
    </comment>
    <comment ref="E22" authorId="0" shapeId="0">
      <text>
        <t>CEMBI Credit Analyst Observation (2023A):
Margin expansion driven by lower operating heat rates and higher generation efficiency.</t>
      </text>
    </comment>
    <comment ref="F22" authorId="0" shapeId="0">
      <text>
        <t>CEMBI Credit Analyst Observation (2024A):
Consolidated EBITDA reaches peak performance, supported by hard-currency tariff indexation.</t>
      </text>
    </comment>
    <comment ref="G22" authorId="0" shapeId="0">
      <text>
        <t>CEMBI Credit Analyst Observation (2025E):
Predictable utility cash EBITDA margins with inflation-linked escalation clauses.</t>
      </text>
    </comment>
    <comment ref="H22" authorId="0" shapeId="0">
      <text>
        <t>CEMBI Credit Analyst Observation (2026E):
EBITDA expansion supported by lower unit operating costs and digital fleet dispatching.</t>
      </text>
    </comment>
    <comment ref="I22" authorId="0" shapeId="0">
      <text>
        <t>CEMBI Credit Analyst Observation (2027E):
Sustained high EBITDA margins reflecting mature, highly efficient generation infrastructure.</t>
      </text>
    </comment>
    <comment ref="C36" authorId="0" shapeId="0">
      <text>
        <t>CEMBI Credit Desk EBITDA Audit (2021A):
Fully Reconciled: Standard IFRS definition (Operating Profit + D&amp;A) aligns within 1.5% (+$9.0M)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(+$11.0M)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(+$12.4M)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(+$13.8M)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(+$15.2M)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(+$16.3M)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(+$17.1M)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Positive operating cash flow consistently covering debt interest and sustaining capex.</t>
      </text>
    </comment>
    <comment ref="D34" authorId="0" shapeId="0">
      <text>
        <t>CEMBI Credit Desk FCF Bridge (2022A):
Formula: EBITDA - Capex - Cash Interest - ΔNWC - Tax
FCF remains positive despite heavy turbine maintenance schedules.</t>
      </text>
    </comment>
    <comment ref="E34" authorId="0" shapeId="0">
      <text>
        <t>CEMBI Credit Desk FCF Bridge (2023A):
Formula: EBITDA - Capex - Cash Interest - ΔNWC - Tax
Free cash flow conversion re-accelerates as major project construction spending winds down.</t>
      </text>
    </comment>
    <comment ref="F34" authorId="0" shapeId="0">
      <text>
        <t>CEMBI Credit Desk FCF Bridge (2024A):
Formula: EBITDA - Capex - Cash Interest - ΔNWC - Tax
Strong FCF conversion supporting corporate dividend policy and debt amortization.</t>
      </text>
    </comment>
    <comment ref="G34" authorId="0" shapeId="0">
      <text>
        <t>CEMBI Credit Desk FCF Bridge (2025E):
Formula: EBITDA - Capex - Cash Interest - ΔNWC - Tax
Positive organic cash generation provides robust debt service coverage (&gt;2.5x interest coverage).</t>
      </text>
    </comment>
    <comment ref="H34" authorId="0" shapeId="0">
      <text>
        <t>CEMBI Credit Desk FCF Bridge (2026E):
Formula: EBITDA - Capex - Cash Interest - ΔNWC - Tax
Expanding FCF generation allows early redemption or refinancing of maturing Eurobonds.</t>
      </text>
    </comment>
    <comment ref="I34" authorId="0" shapeId="0">
      <text>
        <t>CEMBI Credit Desk FCF Bridge (2027E):
Formula: EBITDA - Capex - Cash Interest - ΔNWC - Tax
Ample liquidity runway with undrawn RCF lines completely unutilized.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Stable leverage profile backed by utility-grade predictability and regulatory stability.</t>
      </text>
    </comment>
    <comment ref="D8" authorId="0" shapeId="0">
      <text>
        <t>CEMBI Credit Desk Calculated Leverage Commentary (2022A):
Prudent capital management preserves compliance with all financial covenant ratios.</t>
      </text>
    </comment>
    <comment ref="E8" authorId="0" shapeId="0">
      <text>
        <t>CEMBI Credit Desk Calculated Leverage Commentary (2023A):
Net leverage steadily amortizes in line with project financing repayment profiles.</t>
      </text>
    </comment>
    <comment ref="F8" authorId="0" shapeId="0">
      <text>
        <t>CEMBI Credit Desk Calculated Leverage Commentary (2024A):
Deleveraging on track; substantial liquidity reserves maintained across top-tier banking partners.</t>
      </text>
    </comment>
    <comment ref="G8" authorId="0" shapeId="0">
      <text>
        <t>CEMBI Credit Desk Calculated Leverage Commentary (2025E):
Net leverage declines toward target management ceiling (&lt;3.5x consolidated).</t>
      </text>
    </comment>
    <comment ref="H8" authorId="0" shapeId="0">
      <text>
        <t>CEMBI Credit Desk Calculated Leverage Commentary (2026E):
Credit profile strengthens, positioning the issuer for potential credit rating upgrades.</t>
      </text>
    </comment>
    <comment ref="I8" authorId="0" shapeId="0">
      <text>
        <t>CEMBI Credit Desk Calculated Leverage Commentary (2027E):
Conservative capital structure with fortress balance sheet metrics and large covenant headroom.</t>
      </text>
    </comment>
    <comment ref="C9" authorId="0" shapeId="0">
      <text>
        <t>CEMBI Credit Desk Reported Leverage Commentary (2021A):
Fully Reconciled: Standard IFRS definition (Operating Profit + D&amp;A) aligns within 1.5% (+$9.0M)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(+$11.0M)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(+$12.4M)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(+$13.8M)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(+$15.2M)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(+$16.3M)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(+$17.1M)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(ACWA) — Institutional Credit Model</t>
        </is>
      </c>
    </row>
    <row r="3">
      <c r="B3" s="2" t="inlineStr">
        <is>
          <t>Sector: Utilities | Country: Saudi Arabia | Rating: Baa2 / BBB | Benchmark: ACWA 5.95% 2039 @ $96.50 (6.45% YTM / +235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Global green hydrogen and desalinated water powerhouse backed by PIF; long-term off-take contracts.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ACWA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1904.4</v>
      </c>
      <c r="F26" s="7" t="inlineStr">
        <is>
          <t>6.45%</t>
        </is>
      </c>
      <c r="G26" s="7" t="inlineStr">
        <is>
          <t>$96.50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ACWA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1269.6</v>
      </c>
      <c r="F27" s="7" t="inlineStr">
        <is>
          <t>5.70%</t>
        </is>
      </c>
      <c r="G27" s="7" t="inlineStr">
        <is>
          <t>$99.00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1058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Gross Installed Capacity (MW)</t>
        </is>
      </c>
      <c r="C6" s="13" t="n">
        <v>4200</v>
      </c>
      <c r="D6" s="13" t="n">
        <v>4500</v>
      </c>
      <c r="E6" s="13" t="n">
        <v>5100</v>
      </c>
      <c r="F6" s="13" t="n">
        <v>5800</v>
      </c>
      <c r="G6" s="13" t="n">
        <v>6400</v>
      </c>
      <c r="H6" s="13" t="n">
        <v>7100</v>
      </c>
      <c r="I6" s="13" t="n">
        <v>7800</v>
      </c>
    </row>
    <row r="7">
      <c r="B7" s="7" t="inlineStr">
        <is>
          <t>Net Power Generation (GWh)</t>
        </is>
      </c>
      <c r="C7" s="13" t="n">
        <v>16800</v>
      </c>
      <c r="D7" s="13" t="n">
        <v>18200</v>
      </c>
      <c r="E7" s="13" t="n">
        <v>20500</v>
      </c>
      <c r="F7" s="13" t="n">
        <v>23400</v>
      </c>
      <c r="G7" s="13" t="n">
        <v>26000</v>
      </c>
      <c r="H7" s="13" t="n">
        <v>29000</v>
      </c>
      <c r="I7" s="13" t="n">
        <v>32000</v>
      </c>
    </row>
    <row r="8">
      <c r="B8" s="7" t="inlineStr">
        <is>
          <t>Equivalent Availability Factor (%)</t>
        </is>
      </c>
      <c r="C8" s="14" t="n">
        <v>92.5</v>
      </c>
      <c r="D8" s="14" t="n">
        <v>93.09999999999999</v>
      </c>
      <c r="E8" s="14" t="n">
        <v>93.8</v>
      </c>
      <c r="F8" s="14" t="n">
        <v>94.2</v>
      </c>
      <c r="G8" s="14" t="n">
        <v>94.5</v>
      </c>
      <c r="H8" s="14" t="n">
        <v>94.8</v>
      </c>
      <c r="I8" s="14" t="n">
        <v>95</v>
      </c>
    </row>
    <row r="9">
      <c r="B9" s="7" t="inlineStr">
        <is>
          <t>Average Realized Tariff ($/MWh)</t>
        </is>
      </c>
      <c r="C9" s="14" t="n">
        <v>68.5</v>
      </c>
      <c r="D9" s="14" t="n">
        <v>74.2</v>
      </c>
      <c r="E9" s="14" t="n">
        <v>79</v>
      </c>
      <c r="F9" s="14" t="n">
        <v>82.5</v>
      </c>
      <c r="G9" s="14" t="n">
        <v>84</v>
      </c>
      <c r="H9" s="14" t="n">
        <v>85.5</v>
      </c>
      <c r="I9" s="14" t="n">
        <v>87</v>
      </c>
    </row>
    <row r="10">
      <c r="B10" s="7" t="inlineStr">
        <is>
          <t>Renewable Generation Share (%)</t>
        </is>
      </c>
      <c r="C10" s="14" t="n">
        <v>18.5</v>
      </c>
      <c r="D10" s="14" t="n">
        <v>22</v>
      </c>
      <c r="E10" s="14" t="n">
        <v>27.5</v>
      </c>
      <c r="F10" s="14" t="n">
        <v>34</v>
      </c>
      <c r="G10" s="14" t="n">
        <v>41</v>
      </c>
      <c r="H10" s="14" t="n">
        <v>48</v>
      </c>
      <c r="I10" s="14" t="n">
        <v>55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Long-Term Contracted PPA Generation</t>
        </is>
      </c>
      <c r="C15" s="8" t="n">
        <v>763</v>
      </c>
      <c r="D15" s="8" t="n">
        <v>873.8</v>
      </c>
      <c r="E15" s="8" t="n">
        <v>979.2</v>
      </c>
      <c r="F15" s="8" t="n">
        <v>1101.6</v>
      </c>
      <c r="G15" s="8" t="n">
        <v>1258</v>
      </c>
      <c r="H15" s="8" t="n">
        <v>1462</v>
      </c>
      <c r="I15" s="8" t="n">
        <v>1700</v>
      </c>
    </row>
    <row r="16">
      <c r="B16" s="7" t="inlineStr">
        <is>
          <t>Regulated Power Distribution &amp; Grid</t>
        </is>
      </c>
      <c r="C16" s="8" t="n">
        <v>246.8</v>
      </c>
      <c r="D16" s="8" t="n">
        <v>282.7</v>
      </c>
      <c r="E16" s="8" t="n">
        <v>316.8</v>
      </c>
      <c r="F16" s="8" t="n">
        <v>356.4</v>
      </c>
      <c r="G16" s="8" t="n">
        <v>407</v>
      </c>
      <c r="H16" s="8" t="n">
        <v>473</v>
      </c>
      <c r="I16" s="8" t="n">
        <v>550</v>
      </c>
    </row>
    <row r="17">
      <c r="B17" s="7" t="inlineStr">
        <is>
          <t>Merchant &amp; Capacity Balancing Services</t>
        </is>
      </c>
      <c r="C17" s="8" t="n">
        <v>112.2</v>
      </c>
      <c r="D17" s="8" t="n">
        <v>128.5</v>
      </c>
      <c r="E17" s="8" t="n">
        <v>144</v>
      </c>
      <c r="F17" s="8" t="n">
        <v>162</v>
      </c>
      <c r="G17" s="8" t="n">
        <v>185</v>
      </c>
      <c r="H17" s="8" t="n">
        <v>215</v>
      </c>
      <c r="I17" s="8" t="n">
        <v>250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Long-Term Contracted PPA Generation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Regulated Power Distribution &amp; Grid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Merchant &amp; Capacity Balancing Services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9</v>
      </c>
      <c r="D35" s="24" t="n">
        <v>11</v>
      </c>
      <c r="E35" s="24" t="n">
        <v>12.4</v>
      </c>
      <c r="F35" s="24" t="n">
        <v>13.8</v>
      </c>
      <c r="G35" s="24" t="n">
        <v>15.2</v>
      </c>
      <c r="H35" s="24" t="n">
        <v>16.3</v>
      </c>
      <c r="I35" s="24" t="n">
        <v>17.1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(+$9.0M)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(+$11.0M)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(+$12.4M)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(+$13.8M)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(+$15.2M)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(+$16.3M)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(+$17.1M)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1683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392.7</v>
      </c>
      <c r="D36" s="8" t="n">
        <v>392.7</v>
      </c>
      <c r="E36" s="8" t="n">
        <v>392.7</v>
      </c>
      <c r="F36" s="8" t="n">
        <v>392.7</v>
      </c>
      <c r="G36" s="8" t="n">
        <v>392.7</v>
      </c>
      <c r="H36" s="8" t="n">
        <v>392.7</v>
      </c>
      <c r="I36" s="8" t="n">
        <v>392.7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-680</v>
      </c>
      <c r="D16" s="8" t="n">
        <v>-950</v>
      </c>
      <c r="E16" s="8" t="n">
        <v>-1350</v>
      </c>
      <c r="F16" s="8" t="n">
        <v>-1680</v>
      </c>
      <c r="G16" s="8" t="n">
        <v>-1550</v>
      </c>
      <c r="H16" s="8" t="n">
        <v>-1200</v>
      </c>
      <c r="I16" s="8" t="n">
        <v>-950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379.5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69.09999999999999</v>
      </c>
      <c r="D32" s="8" t="n">
        <v>94.7</v>
      </c>
      <c r="E32" s="8" t="n">
        <v>108.1</v>
      </c>
      <c r="F32" s="8" t="n">
        <v>118.4</v>
      </c>
      <c r="G32" s="8" t="n">
        <v>111.2</v>
      </c>
      <c r="H32" s="8" t="n">
        <v>91</v>
      </c>
      <c r="I32" s="8" t="n">
        <v>40.7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operating cash flow consistently covering debt interest and sustaining capex.</t>
        </is>
      </c>
    </row>
    <row r="39">
      <c r="B39" s="26" t="inlineStr">
        <is>
          <t>[2022A] FCF remains positive despite heavy turbine maintenance schedules.</t>
        </is>
      </c>
    </row>
    <row r="40">
      <c r="B40" s="26" t="inlineStr">
        <is>
          <t>[2023A] Free cash flow conversion re-accelerates as major project construction spending winds down.</t>
        </is>
      </c>
    </row>
    <row r="41">
      <c r="B41" s="26" t="inlineStr">
        <is>
          <t>[2024A] Strong FCF conversion supporting corporate dividend policy and debt amortization.</t>
        </is>
      </c>
    </row>
    <row r="42">
      <c r="B42" s="26" t="inlineStr">
        <is>
          <t>[2025E] Positive organic cash generation provides robust debt service coverage (&gt;2.5x interest coverage).</t>
        </is>
      </c>
    </row>
    <row r="43">
      <c r="B43" s="26" t="inlineStr">
        <is>
          <t>[2026E] Expanding FCF generation allows early redemption or refinancing of maturing Eurobonds.</t>
        </is>
      </c>
    </row>
    <row r="44">
      <c r="B44" s="26" t="inlineStr">
        <is>
          <t>[2027E] Ample liquidity runway with undrawn RCF lines completely unutilized.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ACWA Benchmark Eurobond Notes</t>
        </is>
      </c>
    </row>
    <row r="7">
      <c r="B7" s="7" t="inlineStr">
        <is>
          <t xml:space="preserve">  Beginning Principal Balance</t>
        </is>
      </c>
      <c r="C7" s="8" t="n">
        <v>1618.7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539.6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359.7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0.0645</f>
        <v/>
      </c>
      <c r="D11" s="8">
        <f>D10 * 0.0645</f>
        <v/>
      </c>
      <c r="E11" s="8">
        <f>E10 * 0.0645</f>
        <v/>
      </c>
      <c r="F11" s="8">
        <f>F10 * 0.0645</f>
        <v/>
      </c>
      <c r="G11" s="8">
        <f>G10 * 0.0645</f>
        <v/>
      </c>
      <c r="H11" s="8">
        <f>H10 * 0.0645</f>
        <v/>
      </c>
      <c r="I11" s="8">
        <f>I10 * 0.0645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1978.5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507.8</v>
      </c>
      <c r="C32" s="8" t="n">
        <v>931</v>
      </c>
      <c r="D32" s="8" t="n">
        <v>1185</v>
      </c>
      <c r="E32" s="8" t="n">
        <v>761.8</v>
      </c>
      <c r="F32" s="8" t="n">
        <v>507.8</v>
      </c>
      <c r="G32" s="8" t="n">
        <v>338.6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ACWA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1904.4</v>
      </c>
      <c r="F37" s="30" t="inlineStr">
        <is>
          <t>6.450%</t>
        </is>
      </c>
      <c r="G37" s="31" t="n">
        <v>96.5</v>
      </c>
      <c r="H37" s="32" t="n">
        <v>6.45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ACWA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1269.6</v>
      </c>
      <c r="F38" s="30" t="inlineStr">
        <is>
          <t>5.800%</t>
        </is>
      </c>
      <c r="G38" s="31" t="n">
        <v>98.5</v>
      </c>
      <c r="H38" s="32" t="n">
        <v>5.8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634.8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423.2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ACWA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1185</v>
      </c>
    </row>
    <row r="45">
      <c r="B45" s="7" t="inlineStr">
        <is>
          <t>Drawn Amount ($M)</t>
        </is>
      </c>
      <c r="C45" s="8" t="n">
        <v>423.2</v>
      </c>
    </row>
    <row r="46">
      <c r="B46" s="19" t="inlineStr">
        <is>
          <t>AVAILABLE UNDRAWN HEADROOM ($M)</t>
        </is>
      </c>
      <c r="C46" s="20" t="n">
        <v>761.8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4.50x</t>
        </is>
      </c>
      <c r="D55" s="25" t="inlineStr">
        <is>
          <t>3.85x</t>
        </is>
      </c>
      <c r="E55" s="33" t="inlineStr">
        <is>
          <t>0.65x leverage buffer ($598.0M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3.40x</t>
        </is>
      </c>
      <c r="E56" s="33" t="inlineStr">
        <is>
          <t>+0.90x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21.4% of Assets</t>
        </is>
      </c>
      <c r="E57" s="33" t="inlineStr">
        <is>
          <t>$363.0M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6.45%</t>
        </is>
      </c>
      <c r="F6" s="35" t="inlineStr">
        <is>
          <t>4.2x</t>
        </is>
      </c>
      <c r="G6" s="35" t="inlineStr">
        <is>
          <t>$101.50</t>
        </is>
      </c>
      <c r="H6" s="35" t="inlineStr">
        <is>
          <t>+5.2%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8.45%</t>
        </is>
      </c>
      <c r="F7" s="30" t="inlineStr">
        <is>
          <t>3.2x</t>
        </is>
      </c>
      <c r="G7" s="30" t="inlineStr">
        <is>
          <t>$88.25</t>
        </is>
      </c>
      <c r="H7" s="30" t="inlineStr">
        <is>
          <t>-8.5%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$75.00</t>
        </is>
      </c>
      <c r="H8" s="30" t="inlineStr">
        <is>
          <t>-22.3%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4.95%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+8.8%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1058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ACWA Senior Unsecured Eurobonds</t>
        </is>
      </c>
      <c r="C15" s="8" t="n">
        <v>3174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75.0%</t>
        </is>
      </c>
      <c r="G15" s="30" t="inlineStr">
        <is>
          <t>101.5%</t>
        </is>
      </c>
    </row>
    <row r="16">
      <c r="B16" s="7" t="inlineStr">
        <is>
          <t>Subordinated Debt &amp; Intercompany Notes</t>
        </is>
      </c>
      <c r="C16" s="8" t="n">
        <v>634.8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1692.8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English Law / DIFC / NY Jurisdiction.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ACWA Power (ACWA) — Earnings Presentation &amp; Management Guidance</t>
        </is>
      </c>
    </row>
    <row r="3">
      <c r="B3" s="2" t="inlineStr">
        <is>
          <t>Source: ACWA Power FY2024 Strategic Investor Presentation &amp; Capital Markets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$1782.0M (+8.0% YoY growth)</t>
        </is>
      </c>
      <c r="D7" s="36" t="inlineStr">
        <is>
          <t>$1757.2M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$1782.0M (+8.0% YoY growth). With current run-rate at $1757.2M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$1012.0M (56.8% margin)</t>
        </is>
      </c>
      <c r="D8" s="36" t="inlineStr">
        <is>
          <t>$993.6M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$1012.0M (56.8%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4.00x Net Debt / EBITDA</t>
        </is>
      </c>
      <c r="D9" s="36" t="inlineStr">
        <is>
          <t>3.85x</t>
        </is>
      </c>
      <c r="E9" s="37" t="inlineStr">
        <is>
          <t>On Track</t>
        </is>
      </c>
      <c r="F9" s="38" t="inlineStr">
        <is>
          <t>Deleveraging on track with 0.65x buffer below covenant limit.
[QUESTION TO CFO TO VERIFY]: You previously committed to a Net Leverage ceiling of &lt; 4.00x Net Debt / EBITDA. Current actual leverage stands at 3.85x.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$338.1M (Maximum growth and sustaining envelope)</t>
        </is>
      </c>
      <c r="D10" s="36" t="inlineStr">
        <is>
          <t>$311.1M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$338.1M (Maximum growth and sustaining envelope). Current commitments stand at $311.1M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Projects Under Construction</t>
        </is>
      </c>
      <c r="C15" s="38" t="inlineStr">
        <is>
          <t>Utility-Scale Solar PV Complexes, Combined-Cycle Gas Turbines &amp; Desalination Plants</t>
        </is>
      </c>
    </row>
    <row r="16">
      <c r="B16" s="9" t="inlineStr">
        <is>
          <t>Capital Expenditure Envelope</t>
        </is>
      </c>
      <c r="C16" s="38" t="inlineStr">
        <is>
          <t>$1127.0M committed equity and project debt capex over 2025-2027</t>
        </is>
      </c>
    </row>
    <row r="17">
      <c r="B17" s="9" t="inlineStr">
        <is>
          <t>Project Financing Structure</t>
        </is>
      </c>
      <c r="C17" s="38" t="inlineStr">
        <is>
          <t>75% - 80% non-recourse project debt ring-fenced at asset-level SPVs</t>
        </is>
      </c>
    </row>
    <row r="18">
      <c r="B18" s="9" t="inlineStr">
        <is>
          <t>Weighted Average Ppa Life</t>
        </is>
      </c>
      <c r="C18" s="38" t="inlineStr">
        <is>
          <t>24.5 years with sovereign and investment grade national grid offtakers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Usd Denominated Tariffs</t>
        </is>
      </c>
      <c r="C22" s="38" t="inlineStr">
        <is>
          <t>88.0% of PPA revenues denominated in or pegged to US Dollars</t>
        </is>
      </c>
    </row>
    <row r="23">
      <c r="B23" s="9" t="inlineStr">
        <is>
          <t>Sovereign Guarantee Backing</t>
        </is>
      </c>
      <c r="C23" s="38" t="inlineStr">
        <is>
          <t>100.0% of offtake payment obligations guaranteed by national ministries of finance</t>
        </is>
      </c>
    </row>
    <row r="24">
      <c r="B24" s="9" t="inlineStr">
        <is>
          <t>Inflation Indexation</t>
        </is>
      </c>
      <c r="C24" s="38" t="inlineStr">
        <is>
          <t>Tariffs feature contractual pass-through clauses for fuel price and local inflation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Contracted Revenue Backlog</t>
        </is>
      </c>
      <c r="C28" s="38" t="inlineStr">
        <is>
          <t>$29700.0M lifetime contractual revenue commitment</t>
        </is>
      </c>
    </row>
    <row r="29">
      <c r="B29" s="9" t="inlineStr">
        <is>
          <t>Equivalent Availability Factor</t>
        </is>
      </c>
      <c r="C29" s="38" t="inlineStr">
        <is>
          <t>94.2% operational plant availability across generating fleet</t>
        </is>
      </c>
    </row>
    <row r="30">
      <c r="B30" s="9" t="inlineStr">
        <is>
          <t>Offtaker Counterparty Risk</t>
        </is>
      </c>
      <c r="C30" s="38" t="inlineStr">
        <is>
          <t>Investment Grade (A/BBB) sovereign utility offtakers with zero historical defaults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Unrestricted Cash And Equivalents</t>
        </is>
      </c>
      <c r="C34" s="38" t="inlineStr">
        <is>
          <t>$690.0M across corporate accounts</t>
        </is>
      </c>
    </row>
    <row r="35">
      <c r="B35" s="9" t="inlineStr">
        <is>
          <t>Undrawn Revolving Credit Facilities</t>
        </is>
      </c>
      <c r="C35" s="38" t="inlineStr">
        <is>
          <t>$1692.8M in multi-currency syndicated credit lines</t>
        </is>
      </c>
    </row>
    <row r="36">
      <c r="B36" s="9" t="inlineStr">
        <is>
          <t>Liquidity Runway</t>
        </is>
      </c>
      <c r="C36" s="38" t="inlineStr">
        <is>
          <t>38 months of corporate debt service and equity investment commitments fully secured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2026-11-03</t>
        </is>
      </c>
    </row>
    <row r="47">
      <c r="B47" s="9" t="inlineStr">
        <is>
          <t>Reporting Period</t>
        </is>
      </c>
      <c r="C47" s="38" t="inlineStr">
        <is>
          <t>Q3 2026 / 9M Earnings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15:00 Riyadh / 12:00 UK</t>
        </is>
      </c>
    </row>
    <row r="50">
      <c r="B50" s="9" t="inlineStr">
        <is>
          <t>Official IR Portal / Webcast URL</t>
        </is>
      </c>
      <c r="C50" s="38" t="inlineStr">
        <is>
          <t>https://acwapower.com/en/investor-relations/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2026-10-28T05:16:32Z</dcterms:created>
  <dcterms:modified xmlns:dcterms="http://purl.org/dc/terms/" xmlns:xsi="http://www.w3.org/2001/XMLSchema-instance" xsi:type="dcterms:W3CDTF">2026-10-28T05:16:33Z</dcterms:modified>
</cp:coreProperties>
</file>