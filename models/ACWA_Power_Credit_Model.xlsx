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ACWA Power</t>
        </is>
      </c>
    </row>
    <row r="3">
      <c r="B3" s="2" t="inlineStr">
        <is>
          <t>CEMBI CEEMEA Institutional Credit Assessment | Country: Saudi Arabia (GCC) | Sector: Utilities | Benchmark: ACWA 5.95% 2039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ACWA 5.95% 2039</t>
        </is>
      </c>
      <c r="C6" s="5" t="inlineStr">
        <is>
          <t>6.45% (+235 bp)</t>
        </is>
      </c>
      <c r="D6" s="4" t="inlineStr">
        <is>
          <t>Baa2 / BBB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$101.50</t>
        </is>
      </c>
    </row>
    <row r="9">
      <c r="B9" s="6" t="inlineStr">
        <is>
          <t>INSTITUTIONAL INVESTMENT THESIS</t>
        </is>
      </c>
    </row>
    <row r="10">
      <c r="B10" s="7" t="inlineStr">
        <is>
          <t>Global green hydrogen and desalinated water powerhouse backed by PIF; long-term off-take contracts.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ACWA Power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1122</v>
      </c>
      <c r="D7" s="13" t="n">
        <v>1353</v>
      </c>
      <c r="E7" s="13" t="n">
        <v>1518</v>
      </c>
      <c r="F7" s="13" t="n">
        <v>1650</v>
      </c>
      <c r="G7" s="14" t="n">
        <v>1782</v>
      </c>
      <c r="H7" s="14" t="n">
        <v>1897.5</v>
      </c>
      <c r="I7" s="14" t="n">
        <v>1980</v>
      </c>
    </row>
    <row r="8">
      <c r="B8" s="12" t="inlineStr">
        <is>
          <t>EBITDA</t>
        </is>
      </c>
      <c r="C8" s="13" t="n">
        <v>598</v>
      </c>
      <c r="D8" s="13" t="n">
        <v>736</v>
      </c>
      <c r="E8" s="13" t="n">
        <v>828</v>
      </c>
      <c r="F8" s="13" t="n">
        <v>920</v>
      </c>
      <c r="G8" s="14" t="n">
        <v>1012</v>
      </c>
      <c r="H8" s="14" t="n">
        <v>1085.6</v>
      </c>
      <c r="I8" s="14" t="n">
        <v>1140.8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162.4</v>
      </c>
      <c r="D10" s="17" t="n">
        <v>202.9</v>
      </c>
      <c r="E10" s="17" t="n">
        <v>243.5</v>
      </c>
      <c r="F10" s="17" t="n">
        <v>270.6</v>
      </c>
      <c r="G10" s="18" t="n">
        <v>259.8</v>
      </c>
      <c r="H10" s="18" t="n">
        <v>248.9</v>
      </c>
      <c r="I10" s="18" t="n">
        <v>238.1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484.8</v>
      </c>
      <c r="D12" s="13" t="n">
        <v>610</v>
      </c>
      <c r="E12" s="13" t="n">
        <v>688.2</v>
      </c>
      <c r="F12" s="13" t="n">
        <v>782</v>
      </c>
      <c r="G12" s="14" t="n">
        <v>860.2</v>
      </c>
      <c r="H12" s="14" t="n">
        <v>922.8</v>
      </c>
      <c r="I12" s="14" t="n">
        <v>977.5</v>
      </c>
    </row>
    <row r="13">
      <c r="B13" s="5" t="inlineStr">
        <is>
          <t>Capital Expenditures (Capex)</t>
        </is>
      </c>
      <c r="C13" s="17" t="n">
        <v>225.4</v>
      </c>
      <c r="D13" s="17" t="n">
        <v>273.7</v>
      </c>
      <c r="E13" s="17" t="n">
        <v>305.9</v>
      </c>
      <c r="F13" s="17" t="n">
        <v>322</v>
      </c>
      <c r="G13" s="18" t="n">
        <v>338.1</v>
      </c>
      <c r="H13" s="18" t="n">
        <v>328.4</v>
      </c>
      <c r="I13" s="18" t="n">
        <v>315.6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379.5</v>
      </c>
      <c r="D16" s="13" t="n">
        <v>483</v>
      </c>
      <c r="E16" s="13" t="n">
        <v>586.5</v>
      </c>
      <c r="F16" s="13" t="n">
        <v>690</v>
      </c>
      <c r="G16" s="14" t="n">
        <v>814.2</v>
      </c>
      <c r="H16" s="14" t="n">
        <v>931.5</v>
      </c>
      <c r="I16" s="14" t="n">
        <v>1035</v>
      </c>
    </row>
    <row r="17">
      <c r="B17" s="12" t="inlineStr">
        <is>
          <t>Gross Total Debt</t>
        </is>
      </c>
      <c r="C17" s="13" t="n">
        <v>3597.2</v>
      </c>
      <c r="D17" s="13" t="n">
        <v>3893.4</v>
      </c>
      <c r="E17" s="13" t="n">
        <v>4147.4</v>
      </c>
      <c r="F17" s="13" t="n">
        <v>4232</v>
      </c>
      <c r="G17" s="14" t="n">
        <v>4147.4</v>
      </c>
      <c r="H17" s="14" t="n">
        <v>4020.4</v>
      </c>
      <c r="I17" s="14" t="n">
        <v>3808.8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ACWA Power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6.45%</t>
        </is>
      </c>
      <c r="F6" s="21" t="inlineStr">
        <is>
          <t>2028 / 2029</t>
        </is>
      </c>
      <c r="G6" s="17" t="n">
        <v>1904.4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1058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634.8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423.2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211.6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586.5</v>
      </c>
    </row>
    <row r="15">
      <c r="B15" t="inlineStr">
        <is>
          <t>Committed Undrawn RCF Capacity</t>
        </is>
      </c>
      <c r="C15" s="22" t="n">
        <v>368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778.4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ACWA Power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920</v>
      </c>
      <c r="D6" s="17" t="n">
        <v>782</v>
      </c>
      <c r="E6" s="25" t="n">
        <v>598</v>
      </c>
    </row>
    <row r="7">
      <c r="B7" s="5" t="inlineStr">
        <is>
          <t>Free Cash Flow ($M)</t>
        </is>
      </c>
      <c r="C7" s="17" t="n">
        <v>460</v>
      </c>
      <c r="D7" s="17" t="n">
        <v>276</v>
      </c>
      <c r="E7" s="25" t="n">
        <v>69</v>
      </c>
    </row>
    <row r="8">
      <c r="B8" s="12" t="inlineStr">
        <is>
          <t>Net Leverage Ratio (x)</t>
        </is>
      </c>
      <c r="C8" s="26" t="n">
        <v>3.85</v>
      </c>
      <c r="D8" s="26" t="n">
        <v>4.81</v>
      </c>
      <c r="E8" s="27" t="n">
        <v>7.12</v>
      </c>
    </row>
    <row r="9">
      <c r="B9" s="5" t="inlineStr">
        <is>
          <t>Interest Coverage Ratio (x)</t>
        </is>
      </c>
      <c r="C9" s="26" t="n">
        <v>3.4</v>
      </c>
      <c r="D9" s="26" t="n">
        <v>2.65</v>
      </c>
      <c r="E9" s="27" t="n">
        <v>1.53</v>
      </c>
    </row>
    <row r="10">
      <c r="B10" s="12" t="inlineStr">
        <is>
          <t>Implied Senior Paper Trading / Recovery ($)</t>
        </is>
      </c>
      <c r="C10" s="12" t="inlineStr">
        <is>
          <t>$101.50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