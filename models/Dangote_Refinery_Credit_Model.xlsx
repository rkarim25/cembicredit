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35.4</v>
      </c>
      <c r="D16" s="8" t="n">
        <v>42.6</v>
      </c>
      <c r="E16" s="8" t="n">
        <v>47.8</v>
      </c>
      <c r="F16" s="8" t="n">
        <v>52</v>
      </c>
      <c r="G16" s="8" t="n">
        <v>56.2</v>
      </c>
      <c r="H16" s="8" t="n">
        <v>59.8</v>
      </c>
      <c r="I16" s="8" t="n">
        <v>62.4</v>
      </c>
    </row>
    <row r="17">
      <c r="B17" s="7" t="inlineStr">
        <is>
          <t>Downstream Refining &amp; Fuel Marketing</t>
        </is>
      </c>
      <c r="C17" s="8" t="n">
        <v>22.4</v>
      </c>
      <c r="D17" s="8" t="n">
        <v>27.1</v>
      </c>
      <c r="E17" s="8" t="n">
        <v>30.4</v>
      </c>
      <c r="F17" s="8" t="n">
        <v>33</v>
      </c>
      <c r="G17" s="8" t="n">
        <v>35.6</v>
      </c>
      <c r="H17" s="8" t="n">
        <v>38</v>
      </c>
      <c r="I17" s="8" t="n">
        <v>39.6</v>
      </c>
    </row>
    <row r="18">
      <c r="B18" s="7" t="inlineStr">
        <is>
          <t>Petrochemicals &amp; Gas Processing</t>
        </is>
      </c>
      <c r="C18" s="8" t="n">
        <v>10.2</v>
      </c>
      <c r="D18" s="8" t="n">
        <v>12.3</v>
      </c>
      <c r="E18" s="8" t="n">
        <v>13.8</v>
      </c>
      <c r="F18" s="8" t="n">
        <v>15</v>
      </c>
      <c r="G18" s="8" t="n">
        <v>16.2</v>
      </c>
      <c r="H18" s="8" t="n">
        <v>17.2</v>
      </c>
      <c r="I18" s="8" t="n">
        <v>18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23.8</v>
      </c>
      <c r="D36" s="8" t="n">
        <v>23.8</v>
      </c>
      <c r="E36" s="8" t="n">
        <v>23.8</v>
      </c>
      <c r="F36" s="8" t="n">
        <v>23.8</v>
      </c>
      <c r="G36" s="8" t="n">
        <v>23.8</v>
      </c>
      <c r="H36" s="8" t="n">
        <v>23.8</v>
      </c>
      <c r="I36" s="8" t="n">
        <v>23.8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-24.5</v>
      </c>
      <c r="D16" s="8" t="n">
        <v>-29.8</v>
      </c>
      <c r="E16" s="8" t="n">
        <v>-33.2</v>
      </c>
      <c r="F16" s="8" t="n">
        <v>-35</v>
      </c>
      <c r="G16" s="8" t="n">
        <v>-36.8</v>
      </c>
      <c r="H16" s="8" t="n">
        <v>-35.7</v>
      </c>
      <c r="I16" s="8" t="n">
        <v>-34.3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41.2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12.50%</t>
        </is>
      </c>
      <c r="F6" s="26" t="inlineStr">
        <is>
          <t>4.2x</t>
        </is>
      </c>
      <c r="G6" s="26" t="inlineStr">
        <is>
          <t>$102.00</t>
        </is>
      </c>
      <c r="H6" s="26" t="inlineStr">
        <is>
          <t>+7.4%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14.50%</t>
        </is>
      </c>
      <c r="F7" s="27" t="inlineStr">
        <is>
          <t>3.2x</t>
        </is>
      </c>
      <c r="G7" s="27" t="inlineStr">
        <is>
          <t>$85.00</t>
        </is>
      </c>
      <c r="H7" s="27" t="inlineStr">
        <is>
          <t>-10.5%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$68.00</t>
        </is>
      </c>
      <c r="H8" s="27" t="inlineStr">
        <is>
          <t>-28.4%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11.00%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68.0%</t>
        </is>
      </c>
      <c r="G15" s="27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FY2024 Earnings Conference Call &amp; Strategy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Cost Curve Positioning</t>
        </is>
      </c>
      <c r="C7" s="28" t="inlineStr">
        <is>
          <t>First-quartile global cash cost producer ($/boe or $/tonne)</t>
        </is>
      </c>
    </row>
    <row r="8">
      <c r="B8" s="9" t="inlineStr">
        <is>
          <t>Through Cycle Net Leverage</t>
        </is>
      </c>
      <c r="C8" s="28" t="inlineStr">
        <is>
          <t>&lt; 1.5x - 2.0x Net Debt / EBITDA at mid-cycle commodity pricing</t>
        </is>
      </c>
    </row>
    <row r="9">
      <c r="B9" s="9" t="inlineStr">
        <is>
          <t>Free Cash Flow Breakeven</t>
        </is>
      </c>
      <c r="C9" s="28" t="inlineStr">
        <is>
          <t>Positive corporate free cash flow preserved down to conservative trough prices</t>
        </is>
      </c>
    </row>
    <row r="10">
      <c r="B10" s="9" t="inlineStr">
        <is>
          <t>Dividend Distribution Framework</t>
        </is>
      </c>
      <c r="C10" s="28" t="inlineStr">
        <is>
          <t>Base dividend + 40% - 50% variable payout of surplus free cash flow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Growth And Efficiency Projects</t>
        </is>
      </c>
      <c r="C14" s="28" t="inlineStr">
        <is>
          <t>Field Modernization, Value-Added Processing Facilities &amp; Industrial Decarbonization</t>
        </is>
      </c>
    </row>
    <row r="15">
      <c r="B15" s="9" t="inlineStr">
        <is>
          <t>Annual Capex Envelope</t>
        </is>
      </c>
      <c r="C15" s="28" t="inlineStr">
        <is>
          <t>$35.0M (55% sustaining maintenance / 45% strategic growth)</t>
        </is>
      </c>
    </row>
    <row r="16">
      <c r="B16" s="9" t="inlineStr">
        <is>
          <t>Project Execution Milestones</t>
        </is>
      </c>
      <c r="C16" s="28" t="inlineStr">
        <is>
          <t>Advanced commercial completion scheduled across key processing units through 2026</t>
        </is>
      </c>
    </row>
    <row r="17">
      <c r="B17" s="9" t="inlineStr">
        <is>
          <t>Decarbonization Capex</t>
        </is>
      </c>
      <c r="C17" s="28" t="inlineStr">
        <is>
          <t>Energy efficiency and carbon abatement investments targeting 25% Scope 1/2 reduction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Export Share</t>
        </is>
      </c>
      <c r="C21" s="28" t="inlineStr">
        <is>
          <t>78.0% of revenues generated from US Dollar international sales</t>
        </is>
      </c>
    </row>
    <row r="22">
      <c r="B22" s="9" t="inlineStr">
        <is>
          <t>Natural Operating Hedge</t>
        </is>
      </c>
      <c r="C22" s="28" t="inlineStr">
        <is>
          <t>Over 65% of cash production costs denominated in local operating currencies</t>
        </is>
      </c>
    </row>
    <row r="23">
      <c r="B23" s="9" t="inlineStr">
        <is>
          <t>Debt Service Currency Matching</t>
        </is>
      </c>
      <c r="C23" s="28" t="inlineStr">
        <is>
          <t>100.0% of Eurobond debt service met directly from USD export revenues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Proved Reserve Life Rli</t>
        </is>
      </c>
      <c r="C27" s="28" t="inlineStr">
        <is>
          <t>18.5 years of economic reserves at current annual production run-rates</t>
        </is>
      </c>
    </row>
    <row r="28">
      <c r="B28" s="9" t="inlineStr">
        <is>
          <t>Offtake Agreements</t>
        </is>
      </c>
      <c r="C28" s="28" t="inlineStr">
        <is>
          <t>Multi-year frame contracts with top-tier industrial conglomerates and trading houses</t>
        </is>
      </c>
    </row>
    <row r="29">
      <c r="B29" s="9" t="inlineStr">
        <is>
          <t>Capacity Utilization</t>
        </is>
      </c>
      <c r="C29" s="28" t="inlineStr">
        <is>
          <t>88.2% across primary extraction and refining complexes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Short Term Placements</t>
        </is>
      </c>
      <c r="C33" s="28" t="inlineStr">
        <is>
          <t>$75.0M in liquid bank deposits</t>
        </is>
      </c>
    </row>
    <row r="34">
      <c r="B34" s="9" t="inlineStr">
        <is>
          <t>Undrawn Committed Credit Lines</t>
        </is>
      </c>
      <c r="C34" s="28" t="inlineStr">
        <is>
          <t>$111.3M in revolving bank facilities</t>
        </is>
      </c>
    </row>
    <row r="35">
      <c r="B35" s="9" t="inlineStr">
        <is>
          <t>Net Debt Headroom</t>
        </is>
      </c>
      <c r="C35" s="28" t="inlineStr">
        <is>
          <t>Conservative liquidity buffer providing over 30 months of debt service coverage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2026-09-19T21:07:15Z</dcterms:created>
  <dcterms:modified xmlns:dcterms="http://purl.org/dc/terms/" xmlns:xsi="http://www.w3.org/2001/XMLSchema-instance" xsi:type="dcterms:W3CDTF">2026-09-19T21:07:16Z</dcterms:modified>
</cp:coreProperties>
</file>