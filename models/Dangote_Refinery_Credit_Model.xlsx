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Dangote Refinery</t>
        </is>
      </c>
    </row>
    <row r="3">
      <c r="B3" s="2" t="inlineStr">
        <is>
          <t>CEMBI CEEMEA Institutional Credit Assessment | Country: Nigeria (Africa) | Sector: Energy | Benchmark: DANREF 12.50%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DANREF 12.50% 2029</t>
        </is>
      </c>
      <c r="C6" s="5" t="inlineStr">
        <is>
          <t>12.50% (+815 bp)</t>
        </is>
      </c>
      <c r="D6" s="4" t="inlineStr">
        <is>
          <t>B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$68.00</t>
        </is>
      </c>
      <c r="D7" s="4" t="inlineStr">
        <is>
          <t>Base Case Fair Value</t>
        </is>
      </c>
      <c r="E7" s="5" t="inlineStr">
        <is>
          <t>$102.00</t>
        </is>
      </c>
    </row>
    <row r="9">
      <c r="B9" s="6" t="inlineStr">
        <is>
          <t>INSTITUTIONAL INVESTMENT THESIS</t>
        </is>
      </c>
    </row>
    <row r="10">
      <c r="B10" s="7" t="inlineStr">
        <is>
          <t>650,000 bpd coastal mega-refinery; eliminates Nigerian fuel import dependency; target $3.5B run-rate EBITDA.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Dangote Refinery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68</v>
      </c>
      <c r="D7" s="13" t="n">
        <v>82</v>
      </c>
      <c r="E7" s="13" t="n">
        <v>92</v>
      </c>
      <c r="F7" s="13" t="n">
        <v>100</v>
      </c>
      <c r="G7" s="14" t="n">
        <v>108</v>
      </c>
      <c r="H7" s="14" t="n">
        <v>115</v>
      </c>
      <c r="I7" s="14" t="n">
        <v>120</v>
      </c>
    </row>
    <row r="8">
      <c r="B8" s="12" t="inlineStr">
        <is>
          <t>EBITDA</t>
        </is>
      </c>
      <c r="C8" s="13" t="n">
        <v>65</v>
      </c>
      <c r="D8" s="13" t="n">
        <v>80</v>
      </c>
      <c r="E8" s="13" t="n">
        <v>90</v>
      </c>
      <c r="F8" s="13" t="n">
        <v>100</v>
      </c>
      <c r="G8" s="14" t="n">
        <v>110</v>
      </c>
      <c r="H8" s="14" t="n">
        <v>118</v>
      </c>
      <c r="I8" s="14" t="n">
        <v>124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14.6</v>
      </c>
      <c r="D10" s="17" t="n">
        <v>18.3</v>
      </c>
      <c r="E10" s="17" t="n">
        <v>22</v>
      </c>
      <c r="F10" s="17" t="n">
        <v>24.4</v>
      </c>
      <c r="G10" s="18" t="n">
        <v>23.4</v>
      </c>
      <c r="H10" s="18" t="n">
        <v>22.4</v>
      </c>
      <c r="I10" s="18" t="n">
        <v>21.5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52.7</v>
      </c>
      <c r="D12" s="13" t="n">
        <v>66.3</v>
      </c>
      <c r="E12" s="13" t="n">
        <v>74.8</v>
      </c>
      <c r="F12" s="13" t="n">
        <v>85</v>
      </c>
      <c r="G12" s="14" t="n">
        <v>93.5</v>
      </c>
      <c r="H12" s="14" t="n">
        <v>100.3</v>
      </c>
      <c r="I12" s="14" t="n">
        <v>106.2</v>
      </c>
    </row>
    <row r="13">
      <c r="B13" s="5" t="inlineStr">
        <is>
          <t>Capital Expenditures (Capex)</t>
        </is>
      </c>
      <c r="C13" s="17" t="n">
        <v>24.5</v>
      </c>
      <c r="D13" s="17" t="n">
        <v>29.8</v>
      </c>
      <c r="E13" s="17" t="n">
        <v>33.2</v>
      </c>
      <c r="F13" s="17" t="n">
        <v>35</v>
      </c>
      <c r="G13" s="18" t="n">
        <v>36.8</v>
      </c>
      <c r="H13" s="18" t="n">
        <v>35.7</v>
      </c>
      <c r="I13" s="18" t="n">
        <v>34.3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41.2</v>
      </c>
      <c r="D16" s="13" t="n">
        <v>52.5</v>
      </c>
      <c r="E16" s="13" t="n">
        <v>63.8</v>
      </c>
      <c r="F16" s="13" t="n">
        <v>75</v>
      </c>
      <c r="G16" s="14" t="n">
        <v>88.5</v>
      </c>
      <c r="H16" s="14" t="n">
        <v>101.2</v>
      </c>
      <c r="I16" s="14" t="n">
        <v>112.5</v>
      </c>
    </row>
    <row r="17">
      <c r="B17" s="12" t="inlineStr">
        <is>
          <t>Gross Total Debt</t>
        </is>
      </c>
      <c r="C17" s="13" t="n">
        <v>270.3</v>
      </c>
      <c r="D17" s="13" t="n">
        <v>292.6</v>
      </c>
      <c r="E17" s="13" t="n">
        <v>311.6</v>
      </c>
      <c r="F17" s="13" t="n">
        <v>318</v>
      </c>
      <c r="G17" s="14" t="n">
        <v>311.6</v>
      </c>
      <c r="H17" s="14" t="n">
        <v>302.1</v>
      </c>
      <c r="I17" s="14" t="n">
        <v>286.2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Dangote Refinery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12.50%</t>
        </is>
      </c>
      <c r="F6" s="21" t="inlineStr">
        <is>
          <t>2028 / 2029</t>
        </is>
      </c>
      <c r="G6" s="17" t="n">
        <v>143.1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79.5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47.7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31.8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15.9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63.8</v>
      </c>
    </row>
    <row r="15">
      <c r="B15" t="inlineStr">
        <is>
          <t>Committed Undrawn RCF Capacity</t>
        </is>
      </c>
      <c r="C15" s="22" t="n">
        <v>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62.6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Dangote Refinery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100</v>
      </c>
      <c r="D6" s="17" t="n">
        <v>85</v>
      </c>
      <c r="E6" s="25" t="n">
        <v>65</v>
      </c>
    </row>
    <row r="7">
      <c r="B7" s="5" t="inlineStr">
        <is>
          <t>Free Cash Flow ($M)</t>
        </is>
      </c>
      <c r="C7" s="17" t="n">
        <v>50</v>
      </c>
      <c r="D7" s="17" t="n">
        <v>30</v>
      </c>
      <c r="E7" s="25" t="n">
        <v>7.5</v>
      </c>
    </row>
    <row r="8">
      <c r="B8" s="12" t="inlineStr">
        <is>
          <t>Net Leverage Ratio (x)</t>
        </is>
      </c>
      <c r="C8" s="26" t="n">
        <v>2.43</v>
      </c>
      <c r="D8" s="26" t="n">
        <v>3.04</v>
      </c>
      <c r="E8" s="27" t="n">
        <v>4.5</v>
      </c>
    </row>
    <row r="9">
      <c r="B9" s="5" t="inlineStr">
        <is>
          <t>Interest Coverage Ratio (x)</t>
        </is>
      </c>
      <c r="C9" s="26" t="n">
        <v>4.1</v>
      </c>
      <c r="D9" s="26" t="n">
        <v>3.2</v>
      </c>
      <c r="E9" s="27" t="n">
        <v>1.84</v>
      </c>
    </row>
    <row r="10">
      <c r="B10" s="12" t="inlineStr">
        <is>
          <t>Implied Senior Paper Trading / Recovery ($)</t>
        </is>
      </c>
      <c r="C10" s="12" t="inlineStr">
        <is>
          <t>$102.00</t>
        </is>
      </c>
      <c r="D10" s="12" t="inlineStr">
        <is>
          <t>$80.00</t>
        </is>
      </c>
      <c r="E10" s="28" t="inlineStr">
        <is>
          <t>$68.00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