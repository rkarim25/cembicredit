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0</v>
      </c>
      <c r="D19" s="8" t="n">
        <v>0</v>
      </c>
      <c r="E19" s="8" t="n">
        <v>0</v>
      </c>
      <c r="F19" s="8" t="n">
        <v>302.4</v>
      </c>
      <c r="G19" s="8" t="n">
        <v>2016</v>
      </c>
      <c r="H19" s="8" t="n">
        <v>3960</v>
      </c>
      <c r="I19" s="8" t="n">
        <v>5184</v>
      </c>
    </row>
    <row r="20">
      <c r="B20" s="7" t="inlineStr">
        <is>
          <t>Aviation Jet Fuel &amp; Illuminating Kerosene</t>
        </is>
      </c>
      <c r="C20" s="8" t="n">
        <v>0</v>
      </c>
      <c r="D20" s="8" t="n">
        <v>0</v>
      </c>
      <c r="E20" s="8" t="n">
        <v>0</v>
      </c>
      <c r="F20" s="8" t="n">
        <v>63</v>
      </c>
      <c r="G20" s="8" t="n">
        <v>420</v>
      </c>
      <c r="H20" s="8" t="n">
        <v>825</v>
      </c>
      <c r="I20" s="8" t="n">
        <v>1080</v>
      </c>
    </row>
    <row r="21">
      <c r="B21" s="7" t="inlineStr">
        <is>
          <t>Petrochemical Propylene &amp; Polypropylene</t>
        </is>
      </c>
      <c r="C21" s="8" t="n">
        <v>0</v>
      </c>
      <c r="D21" s="8" t="n">
        <v>0</v>
      </c>
      <c r="E21" s="8" t="n">
        <v>0</v>
      </c>
      <c r="F21" s="8" t="n">
        <v>33.6</v>
      </c>
      <c r="G21" s="8" t="n">
        <v>224</v>
      </c>
      <c r="H21" s="8" t="n">
        <v>440</v>
      </c>
      <c r="I21" s="8" t="n">
        <v>576</v>
      </c>
    </row>
    <row r="22">
      <c r="B22" s="7" t="inlineStr">
        <is>
          <t>Carbon Black &amp; Sulfur By-Products</t>
        </is>
      </c>
      <c r="C22" s="8" t="n">
        <v>0</v>
      </c>
      <c r="D22" s="8" t="n">
        <v>0</v>
      </c>
      <c r="E22" s="8" t="n">
        <v>0</v>
      </c>
      <c r="F22" s="8" t="n">
        <v>21</v>
      </c>
      <c r="G22" s="8" t="n">
        <v>140</v>
      </c>
      <c r="H22" s="8" t="n">
        <v>275</v>
      </c>
      <c r="I22" s="8" t="n">
        <v>360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0</v>
      </c>
      <c r="D36" s="8" t="n">
        <v>0</v>
      </c>
      <c r="E36" s="8" t="n">
        <v>0</v>
      </c>
      <c r="F36" s="8" t="n">
        <v>0</v>
      </c>
      <c r="G36" s="8" t="n">
        <v>0</v>
      </c>
      <c r="H36" s="8" t="n">
        <v>0</v>
      </c>
      <c r="I36" s="8" t="n">
        <v>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-2100</v>
      </c>
      <c r="D16" s="8" t="n">
        <v>-1650</v>
      </c>
      <c r="E16" s="8" t="n">
        <v>-980</v>
      </c>
      <c r="F16" s="8" t="n">
        <v>-450</v>
      </c>
      <c r="G16" s="8" t="n">
        <v>-250</v>
      </c>
      <c r="H16" s="8" t="n">
        <v>-180</v>
      </c>
      <c r="I16" s="8" t="n">
        <v>-150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240.1</v>
      </c>
      <c r="D32" s="8" t="n">
        <v>293.7</v>
      </c>
      <c r="E32" s="8" t="n">
        <v>359.5</v>
      </c>
      <c r="F32" s="8" t="n">
        <v>353.8</v>
      </c>
      <c r="G32" s="8" t="n">
        <v>184.2</v>
      </c>
      <c r="H32" s="8" t="n">
        <v>3.4</v>
      </c>
      <c r="I32" s="8" t="n">
        <v>-119.3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$108.0M (+8.0% YoY growth). With current run-rate at $106.5M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$110.0M (101.9%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
[QUESTION TO CFO TO VERIFY]: You previously committed to a Net Leverage ceiling of &lt; 3.25x Net Debt / EBITDA. Current actual leverage stands at 2.43x.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$36.8M (Maximum growth and sustaining envelope). Current commitments stand at $33.9M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  <row r="49"/>
    <row r="50"/>
    <row r="51">
      <c r="B51" s="3" t="inlineStr">
        <is>
          <t>INSTITUTIONAL MANAGEMENT QUESTIONS &amp; CONVICTION DRIVERS (1-ON-1 DUE DILIGENCE)</t>
        </is>
      </c>
    </row>
    <row r="52">
      <c r="B52" s="5" t="inlineStr">
        <is>
          <t>Focus Area</t>
        </is>
      </c>
      <c r="C52" s="5" t="inlineStr">
        <is>
          <t>Question to Ask CFO / Management</t>
        </is>
      </c>
      <c r="F52" s="5" t="inlineStr">
        <is>
          <t>Credit Relevance &amp; Deduced Ambiguity</t>
        </is>
      </c>
      <c r="H52" s="5" t="inlineStr">
        <is>
          <t>Conviction Trigger &amp; Decision Rule</t>
        </is>
      </c>
    </row>
    <row r="53">
      <c r="B53" s="9" t="inlineStr">
        <is>
          <t>Unhedged Hydrocarbon Price Sensitivity &amp; Breakeven FCF</t>
        </is>
      </c>
      <c r="C53" s="38" t="inlineStr">
        <is>
          <t>What is the company's unhedged cash Free Cash Flow breakeven Brent crude price after fully accounting for maintenance capex, pipeline tariffs, and debt service for 2025-2026?</t>
        </is>
      </c>
      <c r="F53" s="26" t="inlineStr">
        <is>
          <t>Determines leverage trajectory during commodity down-cycles and confirms debt service headroom below $70/bbl.</t>
        </is>
      </c>
      <c r="H53" s="39" t="inlineStr">
        <is>
          <t>FCF breakeven below $55/bbl warrants High conviction Overweight; breakeven above $72/bbl requires spread buffer &gt;400 bps.</t>
        </is>
      </c>
    </row>
    <row r="54">
      <c r="B54" s="9" t="inlineStr">
        <is>
          <t>State Royalty &amp; Windfall Tax Stability</t>
        </is>
      </c>
      <c r="C54" s="38" t="inlineStr">
        <is>
          <t>Are there ongoing discussions with the host government regarding modifications to hydrocarbon royalty scales, domestic market obligations (DMO), or windfall profit taxes?</t>
        </is>
      </c>
      <c r="F54" s="26" t="inlineStr">
        <is>
          <t>Fiscal terms can shift cash flows overnight in emerging markets, bypassing corporate credit protections.</t>
        </is>
      </c>
      <c r="H54" s="39" t="inlineStr">
        <is>
          <t>Locked multi-year concession terms eliminate fiscal drag risk.</t>
        </is>
      </c>
    </row>
    <row r="55"/>
    <row r="56"/>
    <row r="57">
      <c r="B57" s="3" t="inlineStr">
        <is>
          <t>SCHEDULED EARNINGS RELEASE &amp; INVESTOR RELATIONS CALENDAR</t>
        </is>
      </c>
    </row>
    <row r="58">
      <c r="B58" s="5" t="inlineStr">
        <is>
          <t>Calendar Dimension</t>
        </is>
      </c>
      <c r="C58" s="5" t="inlineStr">
        <is>
          <t>Scheduled Detail &amp; IR Access</t>
        </is>
      </c>
    </row>
    <row r="59">
      <c r="B59" s="9" t="inlineStr">
        <is>
          <t>Next Scheduled Earnings Date</t>
        </is>
      </c>
      <c r="C59" s="38" t="inlineStr">
        <is>
          <t>2026-11-12</t>
        </is>
      </c>
    </row>
    <row r="60">
      <c r="B60" s="9" t="inlineStr">
        <is>
          <t>Reporting Period</t>
        </is>
      </c>
      <c r="C60" s="38" t="inlineStr">
        <is>
          <t>Q3 2026 / 9M</t>
        </is>
      </c>
    </row>
    <row r="61">
      <c r="B61" s="9" t="inlineStr">
        <is>
          <t>Confirmation Status</t>
        </is>
      </c>
      <c r="C61" s="38" t="inlineStr">
        <is>
          <t>Estimated</t>
        </is>
      </c>
    </row>
    <row r="62">
      <c r="B62" s="9" t="inlineStr">
        <is>
          <t>Conference Call &amp; Webcast Schedule</t>
        </is>
      </c>
      <c r="C62" s="38" t="inlineStr">
        <is>
          <t>14:00 Local / Pre-Market</t>
        </is>
      </c>
    </row>
    <row r="63">
      <c r="B63" s="9" t="inlineStr">
        <is>
          <t>Official IR Portal / Webcast URL</t>
        </is>
      </c>
      <c r="C63" s="38" t="inlineStr">
        <is>
          <t>https://www.google.com/finance/quote/DANREF</t>
        </is>
      </c>
    </row>
  </sheetData>
  <mergeCells count="48">
    <mergeCell ref="C36:I36"/>
    <mergeCell ref="H53:I53"/>
    <mergeCell ref="C23:I23"/>
    <mergeCell ref="C54:E54"/>
    <mergeCell ref="C61:I61"/>
    <mergeCell ref="F9:I9"/>
    <mergeCell ref="C17:I17"/>
    <mergeCell ref="C48:I48"/>
    <mergeCell ref="C39:I39"/>
    <mergeCell ref="F54:G54"/>
    <mergeCell ref="H54:I54"/>
    <mergeCell ref="B3:I3"/>
    <mergeCell ref="C38:I38"/>
    <mergeCell ref="C28:I28"/>
    <mergeCell ref="C18:I18"/>
    <mergeCell ref="C52:E52"/>
    <mergeCell ref="B2:I2"/>
    <mergeCell ref="F11:I11"/>
    <mergeCell ref="C34:I34"/>
    <mergeCell ref="C24:I24"/>
    <mergeCell ref="C30:I30"/>
    <mergeCell ref="C42:I42"/>
    <mergeCell ref="C15:I15"/>
    <mergeCell ref="C33:I33"/>
    <mergeCell ref="C62:I62"/>
    <mergeCell ref="F10:I10"/>
    <mergeCell ref="H52:I52"/>
    <mergeCell ref="C58:I58"/>
    <mergeCell ref="C14:I14"/>
    <mergeCell ref="C45:I45"/>
    <mergeCell ref="F7:I7"/>
    <mergeCell ref="C53:E53"/>
    <mergeCell ref="C35:I35"/>
    <mergeCell ref="C29:I29"/>
    <mergeCell ref="C47:I47"/>
    <mergeCell ref="C16:I16"/>
    <mergeCell ref="C63:I63"/>
    <mergeCell ref="C41:I41"/>
    <mergeCell ref="F52:G52"/>
    <mergeCell ref="C22:I22"/>
    <mergeCell ref="C40:I40"/>
    <mergeCell ref="F8:I8"/>
    <mergeCell ref="C21:I21"/>
    <mergeCell ref="C59:I59"/>
    <mergeCell ref="C46:I46"/>
    <mergeCell ref="C60:I60"/>
    <mergeCell ref="C27:I27"/>
    <mergeCell ref="F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2026-10-01T04:15:36Z</dcterms:created>
  <dcterms:modified xmlns:dcterms="http://purl.org/dc/terms/" xmlns:xsi="http://www.w3.org/2001/XMLSchema-instance" xsi:type="dcterms:W3CDTF">2026-10-01T04:15:36Z</dcterms:modified>
</cp:coreProperties>
</file>