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36" authorId="0" shapeId="0">
      <text>
        <t>CEMBI Credit Desk EBITDA Audit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36" authorId="0" shapeId="0">
      <text>
        <t>CEMBI Credit Desk EBITDA Audit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36" authorId="0" shapeId="0">
      <text>
        <t>CEMBI Credit Desk EBITDA Audit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36" authorId="0" shapeId="0">
      <text>
        <t>CEMBI Credit Desk EBITDA Audit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36" authorId="0" shapeId="0">
      <text>
        <t>CEMBI Credit Desk EBITDA Audit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36" authorId="0" shapeId="0">
      <text>
        <t>CEMBI Credit Desk EBITDA Audit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Pre-Commercial Startup Adjustments: Reported EBITDA excludes +$5.5M (+8.5%) in commissioning feedstock and test-run startup flaring; Standardized Calculated EBITDA reflects full plant operating costs without capitalization.</t>
      </text>
    </comment>
    <comment ref="D9" authorId="0" shapeId="0">
      <text>
        <t>CEMBI Credit Desk Reported Leverage Commentary (2022A):
Pre-Commercial Startup Adjustments: Reported EBITDA excludes +$6.8M (+8.5%) in commissioning feedstock and test-run startup flaring; Standardized Calculated EBITDA reflects full plant operating costs without capitalization.</t>
      </text>
    </comment>
    <comment ref="E9" authorId="0" shapeId="0">
      <text>
        <t>CEMBI Credit Desk Reported Leverage Commentary (2023A):
Pre-Commercial Startup Adjustments: Reported EBITDA excludes +$7.6M (+8.4%) in commissioning feedstock and test-run startup flaring; Standardized Calculated EBITDA reflects full plant operating costs without capitalization.</t>
      </text>
    </comment>
    <comment ref="F9" authorId="0" shapeId="0">
      <text>
        <t>CEMBI Credit Desk Reported Leverage Commentary (2024A):
Pre-Commercial Startup Adjustments: Reported EBITDA excludes +$8.5M (+8.5%) in commissioning feedstock and test-run startup flaring; Standardized Calculated EBITDA reflects full plant operating costs without capitalization.</t>
      </text>
    </comment>
    <comment ref="G9" authorId="0" shapeId="0">
      <text>
        <t>CEMBI Credit Desk Reported Leverage Commentary (2025E):
Pre-Commercial Startup Adjustments: Reported EBITDA excludes +$9.3M (+8.5%) in commissioning feedstock and test-run startup flaring; Standardized Calculated EBITDA reflects full plant operating costs without capitalization.</t>
      </text>
    </comment>
    <comment ref="H9" authorId="0" shapeId="0">
      <text>
        <t>CEMBI Credit Desk Reported Leverage Commentary (2026E):
Pre-Commercial Startup Adjustments: Reported EBITDA excludes +$10.0M (+8.5%) in commissioning feedstock and test-run startup flaring; Standardized Calculated EBITDA reflects full plant operating costs without capitalization.</t>
      </text>
    </comment>
    <comment ref="I9" authorId="0" shapeId="0">
      <text>
        <t>CEMBI Credit Desk Reported Leverage Commentary (2027E):
Pre-Commercial Startup Adjustments: Reported EBITDA excludes +$10.5M (+8.5%) in commissioning feedstock and test-run startup flaring; Standardized Calculated EBITDA reflects full plant operating costs without capitalization.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Institutional Credit Model</t>
        </is>
      </c>
    </row>
    <row r="3">
      <c r="B3" s="2" t="inlineStr">
        <is>
          <t>Sector: Energy | Country: Nigeria | Rating: B / B2 | Benchmark: DANREF 12.50% 2029 @ $95.00 (12.50% YTM / +815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650,000 bpd coastal mega-refinery; eliminates Nigerian fuel import dependency; target $3.5B run-rate EBITDA.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DANREF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143.1</v>
      </c>
      <c r="F26" s="7" t="inlineStr">
        <is>
          <t>12.50%</t>
        </is>
      </c>
      <c r="G26" s="7" t="inlineStr">
        <is>
          <t>$95.00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DANREF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95.39999999999999</v>
      </c>
      <c r="F27" s="7" t="inlineStr">
        <is>
          <t>11.75%</t>
        </is>
      </c>
      <c r="G27" s="7" t="inlineStr">
        <is>
          <t>$97.50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79.5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Nameplate Crude Refining Capacity (kbpd)</t>
        </is>
      </c>
      <c r="C6" s="13" t="n">
        <v>650</v>
      </c>
      <c r="D6" s="13" t="n">
        <v>650</v>
      </c>
      <c r="E6" s="13" t="n">
        <v>650</v>
      </c>
      <c r="F6" s="13" t="n">
        <v>650</v>
      </c>
      <c r="G6" s="13" t="n">
        <v>650</v>
      </c>
      <c r="H6" s="13" t="n">
        <v>650</v>
      </c>
      <c r="I6" s="13" t="n">
        <v>650</v>
      </c>
    </row>
    <row r="7">
      <c r="B7" s="7" t="inlineStr">
        <is>
          <t>Active Crude Processing Throughput (kbpd)</t>
        </is>
      </c>
      <c r="C7" s="13" t="n">
        <v>0</v>
      </c>
      <c r="D7" s="13" t="n">
        <v>0</v>
      </c>
      <c r="E7" s="13" t="n">
        <v>120</v>
      </c>
      <c r="F7" s="13" t="n">
        <v>420</v>
      </c>
      <c r="G7" s="13" t="n">
        <v>550</v>
      </c>
      <c r="H7" s="13" t="n">
        <v>620</v>
      </c>
      <c r="I7" s="13" t="n">
        <v>650</v>
      </c>
    </row>
    <row r="8">
      <c r="B8" s="7" t="inlineStr">
        <is>
          <t>Refinery Capacity Utilization Rate (%)</t>
        </is>
      </c>
      <c r="C8" s="14" t="n">
        <v>0</v>
      </c>
      <c r="D8" s="14" t="n">
        <v>0</v>
      </c>
      <c r="E8" s="14" t="n">
        <v>18.5</v>
      </c>
      <c r="F8" s="14" t="n">
        <v>64.59999999999999</v>
      </c>
      <c r="G8" s="14" t="n">
        <v>84.59999999999999</v>
      </c>
      <c r="H8" s="14" t="n">
        <v>95.40000000000001</v>
      </c>
      <c r="I8" s="14" t="n">
        <v>100</v>
      </c>
    </row>
    <row r="9">
      <c r="B9" s="7" t="inlineStr">
        <is>
          <t>Euro-V Premium Gasoline Output (kbpd)</t>
        </is>
      </c>
      <c r="C9" s="13" t="n">
        <v>0</v>
      </c>
      <c r="D9" s="13" t="n">
        <v>0</v>
      </c>
      <c r="E9" s="13" t="n">
        <v>45</v>
      </c>
      <c r="F9" s="13" t="n">
        <v>185</v>
      </c>
      <c r="G9" s="13" t="n">
        <v>250</v>
      </c>
      <c r="H9" s="13" t="n">
        <v>285</v>
      </c>
      <c r="I9" s="13" t="n">
        <v>300</v>
      </c>
    </row>
    <row r="10">
      <c r="B10" s="7" t="inlineStr">
        <is>
          <t>Ultra-Low Sulfur Diesel (ULSD) Output (kbpd)</t>
        </is>
      </c>
      <c r="C10" s="13" t="n">
        <v>0</v>
      </c>
      <c r="D10" s="13" t="n">
        <v>0</v>
      </c>
      <c r="E10" s="13" t="n">
        <v>50</v>
      </c>
      <c r="F10" s="13" t="n">
        <v>150</v>
      </c>
      <c r="G10" s="13" t="n">
        <v>195</v>
      </c>
      <c r="H10" s="13" t="n">
        <v>220</v>
      </c>
      <c r="I10" s="13" t="n">
        <v>235</v>
      </c>
    </row>
    <row r="11">
      <c r="B11" s="7" t="inlineStr">
        <is>
          <t>Jet Fuel &amp; Kerosene Output (kbpd)</t>
        </is>
      </c>
      <c r="C11" s="13" t="n">
        <v>0</v>
      </c>
      <c r="D11" s="13" t="n">
        <v>0</v>
      </c>
      <c r="E11" s="13" t="n">
        <v>15</v>
      </c>
      <c r="F11" s="13" t="n">
        <v>50</v>
      </c>
      <c r="G11" s="13" t="n">
        <v>65</v>
      </c>
      <c r="H11" s="13" t="n">
        <v>72</v>
      </c>
      <c r="I11" s="13" t="n">
        <v>75</v>
      </c>
    </row>
    <row r="12">
      <c r="B12" s="7" t="inlineStr">
        <is>
          <t>Domestic Crude Offtake (NNPC Naira Agreement) (kbpd)</t>
        </is>
      </c>
      <c r="C12" s="13" t="n">
        <v>0</v>
      </c>
      <c r="D12" s="13" t="n">
        <v>0</v>
      </c>
      <c r="E12" s="13" t="n">
        <v>80</v>
      </c>
      <c r="F12" s="13" t="n">
        <v>320</v>
      </c>
      <c r="G12" s="13" t="n">
        <v>400</v>
      </c>
      <c r="H12" s="13" t="n">
        <v>450</v>
      </c>
      <c r="I12" s="13" t="n">
        <v>480</v>
      </c>
    </row>
    <row r="13">
      <c r="B13" s="7" t="inlineStr">
        <is>
          <t>Composite Refining Margin (Crack Spread) ($/bbl)</t>
        </is>
      </c>
      <c r="C13" s="14" t="n">
        <v>0</v>
      </c>
      <c r="D13" s="14" t="n">
        <v>0</v>
      </c>
      <c r="E13" s="14" t="n">
        <v>14.5</v>
      </c>
      <c r="F13" s="14" t="n">
        <v>18.2</v>
      </c>
      <c r="G13" s="14" t="n">
        <v>16.5</v>
      </c>
      <c r="H13" s="14" t="n">
        <v>15</v>
      </c>
      <c r="I13" s="14" t="n">
        <v>14.2</v>
      </c>
    </row>
    <row r="14">
      <c r="B14" s="7" t="inlineStr">
        <is>
          <t>Domestic Nigerian Fuel Market Share (%)</t>
        </is>
      </c>
      <c r="C14" s="14" t="n">
        <v>0</v>
      </c>
      <c r="D14" s="14" t="n">
        <v>0</v>
      </c>
      <c r="E14" s="14" t="n">
        <v>15</v>
      </c>
      <c r="F14" s="14" t="n">
        <v>68</v>
      </c>
      <c r="G14" s="14" t="n">
        <v>85</v>
      </c>
      <c r="H14" s="14" t="n">
        <v>90</v>
      </c>
      <c r="I14" s="14" t="n">
        <v>92</v>
      </c>
    </row>
    <row r="15"/>
    <row r="16"/>
    <row r="17">
      <c r="B17" s="3" t="inlineStr">
        <is>
          <t>II. BUSINESS SEGMENT REVENUE BREAKDOWN (USD M)</t>
        </is>
      </c>
    </row>
    <row r="18">
      <c r="B18" s="5" t="inlineStr">
        <is>
          <t>Business Segment</t>
        </is>
      </c>
      <c r="C18" s="6" t="inlineStr">
        <is>
          <t>2021A</t>
        </is>
      </c>
      <c r="D18" s="6" t="inlineStr">
        <is>
          <t>2022A</t>
        </is>
      </c>
      <c r="E18" s="6" t="inlineStr">
        <is>
          <t>2023A</t>
        </is>
      </c>
      <c r="F18" s="6" t="inlineStr">
        <is>
          <t>2024A</t>
        </is>
      </c>
      <c r="G18" s="6" t="inlineStr">
        <is>
          <t>2025E</t>
        </is>
      </c>
      <c r="H18" s="6" t="inlineStr">
        <is>
          <t>2026E</t>
        </is>
      </c>
      <c r="I18" s="6" t="inlineStr">
        <is>
          <t>2027E</t>
        </is>
      </c>
    </row>
    <row r="19">
      <c r="B19" s="7" t="inlineStr">
        <is>
          <t>Euro-V Transport Fuels (Gasoline &amp; Diesel)</t>
        </is>
      </c>
      <c r="C19" s="8" t="n">
        <v>0</v>
      </c>
      <c r="D19" s="8" t="n">
        <v>0</v>
      </c>
      <c r="E19" s="8" t="n">
        <v>0</v>
      </c>
      <c r="F19" s="8" t="n">
        <v>302.4</v>
      </c>
      <c r="G19" s="8" t="n">
        <v>2016</v>
      </c>
      <c r="H19" s="8" t="n">
        <v>3960</v>
      </c>
      <c r="I19" s="8" t="n">
        <v>5184</v>
      </c>
    </row>
    <row r="20">
      <c r="B20" s="7" t="inlineStr">
        <is>
          <t>Aviation Jet Fuel &amp; Illuminating Kerosene</t>
        </is>
      </c>
      <c r="C20" s="8" t="n">
        <v>0</v>
      </c>
      <c r="D20" s="8" t="n">
        <v>0</v>
      </c>
      <c r="E20" s="8" t="n">
        <v>0</v>
      </c>
      <c r="F20" s="8" t="n">
        <v>63</v>
      </c>
      <c r="G20" s="8" t="n">
        <v>420</v>
      </c>
      <c r="H20" s="8" t="n">
        <v>825</v>
      </c>
      <c r="I20" s="8" t="n">
        <v>1080</v>
      </c>
    </row>
    <row r="21">
      <c r="B21" s="7" t="inlineStr">
        <is>
          <t>Petrochemical Propylene &amp; Polypropylene</t>
        </is>
      </c>
      <c r="C21" s="8" t="n">
        <v>0</v>
      </c>
      <c r="D21" s="8" t="n">
        <v>0</v>
      </c>
      <c r="E21" s="8" t="n">
        <v>0</v>
      </c>
      <c r="F21" s="8" t="n">
        <v>33.6</v>
      </c>
      <c r="G21" s="8" t="n">
        <v>224</v>
      </c>
      <c r="H21" s="8" t="n">
        <v>440</v>
      </c>
      <c r="I21" s="8" t="n">
        <v>576</v>
      </c>
    </row>
    <row r="22">
      <c r="B22" s="7" t="inlineStr">
        <is>
          <t>Carbon Black &amp; Sulfur By-Products</t>
        </is>
      </c>
      <c r="C22" s="8" t="n">
        <v>0</v>
      </c>
      <c r="D22" s="8" t="n">
        <v>0</v>
      </c>
      <c r="E22" s="8" t="n">
        <v>0</v>
      </c>
      <c r="F22" s="8" t="n">
        <v>21</v>
      </c>
      <c r="G22" s="8" t="n">
        <v>140</v>
      </c>
      <c r="H22" s="8" t="n">
        <v>275</v>
      </c>
      <c r="I22" s="8" t="n">
        <v>360</v>
      </c>
    </row>
    <row r="23">
      <c r="B23" s="15" t="inlineStr">
        <is>
          <t>Total Consolidated Revenue (Feeds P&amp;L)</t>
        </is>
      </c>
      <c r="C23" s="16">
        <f>SUM(C19:C22)</f>
        <v/>
      </c>
      <c r="D23" s="16">
        <f>SUM(D19:D22)</f>
        <v/>
      </c>
      <c r="E23" s="16">
        <f>SUM(E19:E22)</f>
        <v/>
      </c>
      <c r="F23" s="16">
        <f>SUM(F19:F22)</f>
        <v/>
      </c>
      <c r="G23" s="16">
        <f>SUM(G19:G22)</f>
        <v/>
      </c>
      <c r="H23" s="16">
        <f>SUM(H19:H22)</f>
        <v/>
      </c>
      <c r="I23" s="16">
        <f>SUM(I19:I22)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Euro-V Transport Fuels (Gasoline &amp; Diesel)</t>
        </is>
      </c>
      <c r="C7" s="8">
        <f>'Operational Drivers &amp; Segments'!C19</f>
        <v/>
      </c>
      <c r="D7" s="8">
        <f>'Operational Drivers &amp; Segments'!D19</f>
        <v/>
      </c>
      <c r="E7" s="8">
        <f>'Operational Drivers &amp; Segments'!E19</f>
        <v/>
      </c>
      <c r="F7" s="8">
        <f>'Operational Drivers &amp; Segments'!F19</f>
        <v/>
      </c>
      <c r="G7" s="8">
        <f>'Operational Drivers &amp; Segments'!G19</f>
        <v/>
      </c>
      <c r="H7" s="8">
        <f>'Operational Drivers &amp; Segments'!H19</f>
        <v/>
      </c>
      <c r="I7" s="8">
        <f>'Operational Drivers &amp; Segments'!I19</f>
        <v/>
      </c>
    </row>
    <row r="8">
      <c r="B8" s="7" t="inlineStr">
        <is>
          <t xml:space="preserve">  Aviation Jet Fuel &amp; Illuminating Kerosene</t>
        </is>
      </c>
      <c r="C8" s="8">
        <f>'Operational Drivers &amp; Segments'!C20</f>
        <v/>
      </c>
      <c r="D8" s="8">
        <f>'Operational Drivers &amp; Segments'!D20</f>
        <v/>
      </c>
      <c r="E8" s="8">
        <f>'Operational Drivers &amp; Segments'!E20</f>
        <v/>
      </c>
      <c r="F8" s="8">
        <f>'Operational Drivers &amp; Segments'!F20</f>
        <v/>
      </c>
      <c r="G8" s="8">
        <f>'Operational Drivers &amp; Segments'!G20</f>
        <v/>
      </c>
      <c r="H8" s="8">
        <f>'Operational Drivers &amp; Segments'!H20</f>
        <v/>
      </c>
      <c r="I8" s="8">
        <f>'Operational Drivers &amp; Segments'!I20</f>
        <v/>
      </c>
    </row>
    <row r="9">
      <c r="B9" s="7" t="inlineStr">
        <is>
          <t xml:space="preserve">  Petrochemical Propylene &amp; Polypropylene</t>
        </is>
      </c>
      <c r="C9" s="8">
        <f>'Operational Drivers &amp; Segments'!C21</f>
        <v/>
      </c>
      <c r="D9" s="8">
        <f>'Operational Drivers &amp; Segments'!D21</f>
        <v/>
      </c>
      <c r="E9" s="8">
        <f>'Operational Drivers &amp; Segments'!E21</f>
        <v/>
      </c>
      <c r="F9" s="8">
        <f>'Operational Drivers &amp; Segments'!F21</f>
        <v/>
      </c>
      <c r="G9" s="8">
        <f>'Operational Drivers &amp; Segments'!G21</f>
        <v/>
      </c>
      <c r="H9" s="8">
        <f>'Operational Drivers &amp; Segments'!H21</f>
        <v/>
      </c>
      <c r="I9" s="8">
        <f>'Operational Drivers &amp; Segments'!I21</f>
        <v/>
      </c>
    </row>
    <row r="10">
      <c r="B10" s="15" t="inlineStr">
        <is>
          <t>Total Gross Revenue</t>
        </is>
      </c>
      <c r="C10" s="16">
        <f>SUM(C7:C10)</f>
        <v/>
      </c>
      <c r="D10" s="16">
        <f>SUM(D7:D10)</f>
        <v/>
      </c>
      <c r="E10" s="16">
        <f>SUM(E7:E10)</f>
        <v/>
      </c>
      <c r="F10" s="16">
        <f>SUM(F7:F10)</f>
        <v/>
      </c>
      <c r="G10" s="16">
        <f>SUM(G7:G10)</f>
        <v/>
      </c>
      <c r="H10" s="16">
        <f>SUM(H7:H10)</f>
        <v/>
      </c>
      <c r="I10" s="16">
        <f>SUM(I7:I10)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5.5</v>
      </c>
      <c r="D35" s="24" t="n">
        <v>6.8</v>
      </c>
      <c r="E35" s="24" t="n">
        <v>7.6</v>
      </c>
      <c r="F35" s="24" t="n">
        <v>8.5</v>
      </c>
      <c r="G35" s="24" t="n">
        <v>9.300000000000001</v>
      </c>
      <c r="H35" s="24" t="n">
        <v>10</v>
      </c>
      <c r="I35" s="24" t="n">
        <v>10.5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Material Add-backs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Material Add-backs</t>
        </is>
      </c>
      <c r="H39" s="25" t="inlineStr">
        <is>
          <t>Material Add-backs</t>
        </is>
      </c>
      <c r="I39" s="25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Pre-Commercial Startup Adjustments: Reported EBITDA excludes +$5.5M (+8.5%) in commissioning feedstock and test-run startup flaring; Standardized Calculated EBITDA reflects full plant operating costs without capitalization.</t>
        </is>
      </c>
    </row>
    <row r="43">
      <c r="B43" s="26" t="inlineStr">
        <is>
          <t>[2022A] Pre-Commercial Startup Adjustments: Reported EBITDA excludes +$6.8M (+8.5%) in commissioning feedstock and test-run startup flaring; Standardized Calculated EBITDA reflects full plant operating costs without capitalization.</t>
        </is>
      </c>
    </row>
    <row r="44">
      <c r="B44" s="26" t="inlineStr">
        <is>
          <t>[2023A] Pre-Commercial Startup Adjustments: Reported EBITDA excludes +$7.6M (+8.4%) in commissioning feedstock and test-run startup flaring; Standardized Calculated EBITDA reflects full plant operating costs without capitalization.</t>
        </is>
      </c>
    </row>
    <row r="45">
      <c r="B45" s="26" t="inlineStr">
        <is>
          <t>[2024A] Pre-Commercial Startup Adjustments: Reported EBITDA excludes +$8.5M (+8.5%) in commissioning feedstock and test-run startup flaring; Standardized Calculated EBITDA reflects full plant operating costs without capitalization.</t>
        </is>
      </c>
    </row>
    <row r="46">
      <c r="B46" s="26" t="inlineStr">
        <is>
          <t>[2025E] Pre-Commercial Startup Adjustments: Reported EBITDA excludes +$9.3M (+8.5%) in commissioning feedstock and test-run startup flaring; Standardized Calculated EBITDA reflects full plant operating costs without capitalization.</t>
        </is>
      </c>
    </row>
    <row r="47">
      <c r="B47" s="26" t="inlineStr">
        <is>
          <t>[2026E] Pre-Commercial Startup Adjustments: Reported EBITDA excludes +$10.0M (+8.5%) in commissioning feedstock and test-run startup flaring; Standardized Calculated EBITDA reflects full plant operating costs without capitalization.</t>
        </is>
      </c>
    </row>
    <row r="48">
      <c r="B48" s="26" t="inlineStr">
        <is>
          <t>[2027E] Pre-Commercial Startup Adjustments: Reported EBITDA excludes +$10.5M (+8.5%) in commissioning feedstock and test-run startup flaring; Standardized Calculated EBITDA reflects full plant operating costs without capitalization.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0</v>
      </c>
      <c r="D36" s="8" t="n">
        <v>0</v>
      </c>
      <c r="E36" s="8" t="n">
        <v>0</v>
      </c>
      <c r="F36" s="8" t="n">
        <v>0</v>
      </c>
      <c r="G36" s="8" t="n">
        <v>0</v>
      </c>
      <c r="H36" s="8" t="n">
        <v>0</v>
      </c>
      <c r="I36" s="8" t="n">
        <v>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-2100</v>
      </c>
      <c r="D16" s="8" t="n">
        <v>-1650</v>
      </c>
      <c r="E16" s="8" t="n">
        <v>-980</v>
      </c>
      <c r="F16" s="8" t="n">
        <v>-450</v>
      </c>
      <c r="G16" s="8" t="n">
        <v>-250</v>
      </c>
      <c r="H16" s="8" t="n">
        <v>-180</v>
      </c>
      <c r="I16" s="8" t="n">
        <v>-150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41.2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240.1</v>
      </c>
      <c r="D32" s="8" t="n">
        <v>293.7</v>
      </c>
      <c r="E32" s="8" t="n">
        <v>359.5</v>
      </c>
      <c r="F32" s="8" t="n">
        <v>353.8</v>
      </c>
      <c r="G32" s="8" t="n">
        <v>184.2</v>
      </c>
      <c r="H32" s="8" t="n">
        <v>3.4</v>
      </c>
      <c r="I32" s="8" t="n">
        <v>-119.3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DANREF Benchmark Eurobond Notes</t>
        </is>
      </c>
    </row>
    <row r="7">
      <c r="B7" s="7" t="inlineStr">
        <is>
          <t xml:space="preserve">  Beginning Principal Balance</t>
        </is>
      </c>
      <c r="C7" s="8" t="n">
        <v>121.6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0.1250</f>
        <v/>
      </c>
      <c r="D11" s="8">
        <f>D10 * 0.1250</f>
        <v/>
      </c>
      <c r="E11" s="8">
        <f>E10 * 0.1250</f>
        <v/>
      </c>
      <c r="F11" s="8">
        <f>F10 * 0.1250</f>
        <v/>
      </c>
      <c r="G11" s="8">
        <f>G10 * 0.1250</f>
        <v/>
      </c>
      <c r="H11" s="8">
        <f>H10 * 0.1250</f>
        <v/>
      </c>
      <c r="I11" s="8">
        <f>I10 * 0.1250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148.7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38.2</v>
      </c>
      <c r="C32" s="8" t="n">
        <v>70</v>
      </c>
      <c r="D32" s="8" t="n">
        <v>89</v>
      </c>
      <c r="E32" s="8" t="n">
        <v>57.2</v>
      </c>
      <c r="F32" s="8" t="n">
        <v>38.2</v>
      </c>
      <c r="G32" s="8" t="n">
        <v>25.4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DANREF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143.1</v>
      </c>
      <c r="F37" s="30" t="inlineStr">
        <is>
          <t>12.500%</t>
        </is>
      </c>
      <c r="G37" s="31" t="n">
        <v>95</v>
      </c>
      <c r="H37" s="32" t="n">
        <v>12.5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DANREF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95.40000000000001</v>
      </c>
      <c r="F38" s="30" t="inlineStr">
        <is>
          <t>11.850%</t>
        </is>
      </c>
      <c r="G38" s="31" t="n">
        <v>97</v>
      </c>
      <c r="H38" s="32" t="n">
        <v>11.85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47.7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31.8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DANREF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31.8</v>
      </c>
    </row>
    <row r="46">
      <c r="B46" s="19" t="inlineStr">
        <is>
          <t>AVAILABLE UNDRAWN HEADROOM ($M)</t>
        </is>
      </c>
      <c r="C46" s="20" t="n">
        <v>118.2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2.43x</t>
        </is>
      </c>
      <c r="E55" s="33" t="inlineStr">
        <is>
          <t>1.32x leverage buffer ($132.0M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4.10x</t>
        </is>
      </c>
      <c r="E56" s="33" t="inlineStr">
        <is>
          <t>+1.60x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26.5% of Assets</t>
        </is>
      </c>
      <c r="E57" s="33" t="inlineStr">
        <is>
          <t>$22.0M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12.50%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+7.4%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14.50%</t>
        </is>
      </c>
      <c r="F7" s="30" t="inlineStr">
        <is>
          <t>3.2x</t>
        </is>
      </c>
      <c r="G7" s="30" t="inlineStr">
        <is>
          <t>$85.00</t>
        </is>
      </c>
      <c r="H7" s="30" t="inlineStr">
        <is>
          <t>-10.5%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-28.4%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11.00%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+10.5%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79.5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DANREF Senior Unsecured Eurobonds</t>
        </is>
      </c>
      <c r="C15" s="8" t="n">
        <v>238.5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47.7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127.2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6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2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Dangote Refinery (DANREF) — Earnings Presentation &amp; Management Guidance</t>
        </is>
      </c>
    </row>
    <row r="3">
      <c r="B3" s="2" t="inlineStr">
        <is>
          <t>Source: Dangote Refinery &amp; Petrochemicals Integrated Operations &amp; Investor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$108.0M (+8.0% YoY growth)</t>
        </is>
      </c>
      <c r="D7" s="36" t="inlineStr">
        <is>
          <t>$106.5M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$108.0M (+8.0% YoY growth). With current run-rate at $106.5M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$110.0M (101.9% margin)</t>
        </is>
      </c>
      <c r="D8" s="36" t="inlineStr">
        <is>
          <t>$108.0M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$110.0M (101.9%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2.43x</t>
        </is>
      </c>
      <c r="E9" s="33" t="inlineStr">
        <is>
          <t>Ahead of Target</t>
        </is>
      </c>
      <c r="F9" s="38" t="inlineStr">
        <is>
          <t>Deleveraging on track with 1.32x buffer below covenant limit.
[QUESTION TO CFO TO VERIFY]: You previously committed to a Net Leverage ceiling of &lt; 3.25x Net Debt / EBITDA. Current actual leverage stands at 2.43x.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$36.8M (Maximum growth and sustaining envelope)</t>
        </is>
      </c>
      <c r="D10" s="36" t="inlineStr">
        <is>
          <t>$33.9M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$36.8M (Maximum growth and sustaining envelope). Current commitments stand at $33.9M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$35.0M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$75.0M in liquid bank deposits</t>
        </is>
      </c>
    </row>
    <row r="35">
      <c r="B35" s="9" t="inlineStr">
        <is>
          <t>Undrawn Committed Credit Lines</t>
        </is>
      </c>
      <c r="C35" s="38" t="inlineStr">
        <is>
          <t>$111.3M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>
      <c r="B37" s="3" t="inlineStr">
        <is>
          <t>VI. REFINERY COMMERCIAL SCALE AND YIELD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Nameplate Capacity</t>
        </is>
      </c>
      <c r="C39" s="38" t="inlineStr">
        <is>
          <t>650,000 barrels per day (bpd) single-train crude oil refinery located in Lekki Free Trade Zone, Lagos — world's largest single-train facility</t>
        </is>
      </c>
    </row>
    <row r="40">
      <c r="B40" s="9" t="inlineStr">
        <is>
          <t>Crude Processing Slate</t>
        </is>
      </c>
      <c r="C40" s="38" t="inlineStr">
        <is>
          <t>Configured to process Nigerian light sweet crudes (Bonny Light, Forcados, Qua Iboe) and global medium sour barrels with maximum distillation efficiency</t>
        </is>
      </c>
    </row>
    <row r="41">
      <c r="B41" s="9" t="inlineStr">
        <is>
          <t>Transportation Fuels Output</t>
        </is>
      </c>
      <c r="C41" s="38" t="inlineStr">
        <is>
          <t>Capable of producing 330,000 bpd of Euro-V premium gasoline (PMS), 220,000 bpd of Ultra-Low Sulfur Diesel (ULSD), and 50,000 bpd of Aviation Jet A-1</t>
        </is>
      </c>
    </row>
    <row r="42">
      <c r="B42" s="9" t="inlineStr">
        <is>
          <t>Naira Crude Sales Agreement</t>
        </is>
      </c>
      <c r="C42" s="38" t="inlineStr">
        <is>
          <t>Bespoke agreement with NNPC / Federal Government of Nigeria for 385,000 bpd of domestic crude supply payable in Nigerian Naira (NGN), eliminating foreign exchange rationing risks</t>
        </is>
      </c>
    </row>
    <row r="43"/>
    <row r="44">
      <c r="B44" s="3" t="inlineStr">
        <is>
          <t>VI. MACROECONOMIC AND FX IMPORT SUBSTITUTION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Annual Fx Savings For Nigeria</t>
        </is>
      </c>
      <c r="C46" s="38" t="inlineStr">
        <is>
          <t>$25.0B+ annual reduction in national import bill by substituting refined petroleum imports with domestic production</t>
        </is>
      </c>
    </row>
    <row r="47">
      <c r="B47" s="9" t="inlineStr">
        <is>
          <t>Regional West African Export Hub</t>
        </is>
      </c>
      <c r="C47" s="38" t="inlineStr">
        <is>
          <t>Strategic maritime loading jetty with 6 SPM berths for exporting refined products across West and Central Africa (Ghana, Cote d'Ivoire, Senegal, Cameroon)</t>
        </is>
      </c>
    </row>
    <row r="48">
      <c r="B48" s="9" t="inlineStr">
        <is>
          <t>Operating Margin Advantage</t>
        </is>
      </c>
      <c r="C48" s="38" t="inlineStr">
        <is>
          <t>Proximity to domestic crude and captive 435 MW power plant provides a $4.50 - $6.00/bbl cash cost advantage over European coastal refineries</t>
        </is>
      </c>
    </row>
    <row r="49"/>
    <row r="50"/>
    <row r="51">
      <c r="B51" s="3" t="inlineStr">
        <is>
          <t>INSTITUTIONAL MANAGEMENT QUESTIONS &amp; CONVICTION DRIVERS (1-ON-1 DUE DILIGENCE)</t>
        </is>
      </c>
    </row>
    <row r="52">
      <c r="B52" s="5" t="inlineStr">
        <is>
          <t>Focus Area</t>
        </is>
      </c>
      <c r="C52" s="5" t="inlineStr">
        <is>
          <t>Question to Ask CFO / Management</t>
        </is>
      </c>
      <c r="F52" s="5" t="inlineStr">
        <is>
          <t>Credit Relevance &amp; Deduced Ambiguity</t>
        </is>
      </c>
      <c r="H52" s="5" t="inlineStr">
        <is>
          <t>Conviction Trigger &amp; Decision Rule</t>
        </is>
      </c>
    </row>
    <row r="53">
      <c r="B53" s="9" t="inlineStr">
        <is>
          <t>Unhedged Hydrocarbon Price Sensitivity &amp; Breakeven FCF</t>
        </is>
      </c>
      <c r="C53" s="38" t="inlineStr">
        <is>
          <t>What is the company's unhedged cash Free Cash Flow breakeven Brent crude price after fully accounting for maintenance capex, pipeline tariffs, and debt service for 2025-2026?</t>
        </is>
      </c>
      <c r="F53" s="26" t="inlineStr">
        <is>
          <t>Determines leverage trajectory during commodity down-cycles and confirms debt service headroom below $70/bbl.</t>
        </is>
      </c>
      <c r="H53" s="39" t="inlineStr">
        <is>
          <t>FCF breakeven below $55/bbl warrants High conviction Overweight; breakeven above $72/bbl requires spread buffer &gt;400 bps.</t>
        </is>
      </c>
    </row>
    <row r="54">
      <c r="B54" s="9" t="inlineStr">
        <is>
          <t>State Royalty &amp; Windfall Tax Stability</t>
        </is>
      </c>
      <c r="C54" s="38" t="inlineStr">
        <is>
          <t>Are there ongoing discussions with the host government regarding modifications to hydrocarbon royalty scales, domestic market obligations (DMO), or windfall profit taxes?</t>
        </is>
      </c>
      <c r="F54" s="26" t="inlineStr">
        <is>
          <t>Fiscal terms can shift cash flows overnight in emerging markets, bypassing corporate credit protections.</t>
        </is>
      </c>
      <c r="H54" s="39" t="inlineStr">
        <is>
          <t>Locked multi-year concession terms eliminate fiscal drag risk.</t>
        </is>
      </c>
    </row>
    <row r="55"/>
    <row r="56"/>
    <row r="57">
      <c r="B57" s="3" t="inlineStr">
        <is>
          <t>SCHEDULED EARNINGS RELEASE &amp; INVESTOR RELATIONS CALENDAR</t>
        </is>
      </c>
    </row>
    <row r="58">
      <c r="B58" s="5" t="inlineStr">
        <is>
          <t>Calendar Dimension</t>
        </is>
      </c>
      <c r="C58" s="5" t="inlineStr">
        <is>
          <t>Scheduled Detail &amp; IR Access</t>
        </is>
      </c>
    </row>
    <row r="59">
      <c r="B59" s="9" t="inlineStr">
        <is>
          <t>Next Scheduled Earnings Date</t>
        </is>
      </c>
      <c r="C59" s="38" t="inlineStr">
        <is>
          <t>2026-11-12</t>
        </is>
      </c>
    </row>
    <row r="60">
      <c r="B60" s="9" t="inlineStr">
        <is>
          <t>Reporting Period</t>
        </is>
      </c>
      <c r="C60" s="38" t="inlineStr">
        <is>
          <t>Q3 2026 / 9M</t>
        </is>
      </c>
    </row>
    <row r="61">
      <c r="B61" s="9" t="inlineStr">
        <is>
          <t>Confirmation Status</t>
        </is>
      </c>
      <c r="C61" s="38" t="inlineStr">
        <is>
          <t>Estimated</t>
        </is>
      </c>
    </row>
    <row r="62">
      <c r="B62" s="9" t="inlineStr">
        <is>
          <t>Conference Call &amp; Webcast Schedule</t>
        </is>
      </c>
      <c r="C62" s="38" t="inlineStr">
        <is>
          <t>14:00 Local / Pre-Market</t>
        </is>
      </c>
    </row>
    <row r="63">
      <c r="B63" s="9" t="inlineStr">
        <is>
          <t>Official IR Portal / Webcast URL</t>
        </is>
      </c>
      <c r="C63" s="38" t="inlineStr">
        <is>
          <t>https://www.google.com/finance/quote/DANREF</t>
        </is>
      </c>
    </row>
  </sheetData>
  <mergeCells count="48">
    <mergeCell ref="C36:I36"/>
    <mergeCell ref="H53:I53"/>
    <mergeCell ref="C23:I23"/>
    <mergeCell ref="C54:E54"/>
    <mergeCell ref="C61:I61"/>
    <mergeCell ref="F9:I9"/>
    <mergeCell ref="C17:I17"/>
    <mergeCell ref="C48:I48"/>
    <mergeCell ref="C39:I39"/>
    <mergeCell ref="F54:G54"/>
    <mergeCell ref="H54:I54"/>
    <mergeCell ref="B3:I3"/>
    <mergeCell ref="C38:I38"/>
    <mergeCell ref="C28:I28"/>
    <mergeCell ref="C18:I18"/>
    <mergeCell ref="C52:E52"/>
    <mergeCell ref="B2:I2"/>
    <mergeCell ref="F11:I11"/>
    <mergeCell ref="C34:I34"/>
    <mergeCell ref="C24:I24"/>
    <mergeCell ref="C30:I30"/>
    <mergeCell ref="C42:I42"/>
    <mergeCell ref="C15:I15"/>
    <mergeCell ref="C33:I33"/>
    <mergeCell ref="C62:I62"/>
    <mergeCell ref="F10:I10"/>
    <mergeCell ref="H52:I52"/>
    <mergeCell ref="C58:I58"/>
    <mergeCell ref="C14:I14"/>
    <mergeCell ref="C45:I45"/>
    <mergeCell ref="F7:I7"/>
    <mergeCell ref="C53:E53"/>
    <mergeCell ref="C35:I35"/>
    <mergeCell ref="C29:I29"/>
    <mergeCell ref="C47:I47"/>
    <mergeCell ref="C16:I16"/>
    <mergeCell ref="C63:I63"/>
    <mergeCell ref="C41:I41"/>
    <mergeCell ref="F52:G52"/>
    <mergeCell ref="C22:I22"/>
    <mergeCell ref="C40:I40"/>
    <mergeCell ref="F8:I8"/>
    <mergeCell ref="C21:I21"/>
    <mergeCell ref="C59:I59"/>
    <mergeCell ref="C46:I46"/>
    <mergeCell ref="C60:I60"/>
    <mergeCell ref="C27:I27"/>
    <mergeCell ref="F53:G5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2026-10-08T04:22:34Z</dcterms:created>
  <dcterms:modified xmlns:dcterms="http://purl.org/dc/terms/" xmlns:xsi="http://www.w3.org/2001/XMLSchema-instance" xsi:type="dcterms:W3CDTF">2026-10-08T04:22:34Z</dcterms:modified>
</cp:coreProperties>
</file>