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(+$10.2M)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(+$12.6M)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(+$14.2M)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(+$15.8M)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(+$17.3M)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(+$18.6M)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(+$19.5M)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(+$10.2M)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(+$12.6M)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(+$14.2M)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(+$15.8M)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(+$17.3M)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(+$18.6M)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(+$19.5M)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(KOS) — Institutional Credit Model</t>
        </is>
      </c>
    </row>
    <row r="3">
      <c r="B3" s="2" t="inlineStr">
        <is>
          <t>Sector: Energy | Country: Ghana | Rating: B- / B3 | Benchmark: KOS 10.45% 2027 @ $89.50 (10.45% YTM / +610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Jubilee (&lt;$12/boe lifting cost) &amp; TEN fields + GTA FLNG Phase 1 startup (2.5 mtpa); multi-year FCF inflection.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KOS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1445.85</v>
      </c>
      <c r="F26" s="7" t="inlineStr">
        <is>
          <t>10.45%</t>
        </is>
      </c>
      <c r="G26" s="7" t="inlineStr">
        <is>
          <t>$89.50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KOS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963.9</v>
      </c>
      <c r="F27" s="7" t="inlineStr">
        <is>
          <t>9.70%</t>
        </is>
      </c>
      <c r="G27" s="7" t="inlineStr">
        <is>
          <t>$92.00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803.25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686.4</v>
      </c>
      <c r="D16" s="8" t="n">
        <v>962</v>
      </c>
      <c r="E16" s="8" t="n">
        <v>800.8</v>
      </c>
      <c r="F16" s="8" t="n">
        <v>769.6</v>
      </c>
      <c r="G16" s="8" t="n">
        <v>894.4</v>
      </c>
      <c r="H16" s="8" t="n">
        <v>1014</v>
      </c>
      <c r="I16" s="8" t="n">
        <v>1081.6</v>
      </c>
    </row>
    <row r="17">
      <c r="B17" s="7" t="inlineStr">
        <is>
          <t>Downstream Refining &amp; Fuel Marketing</t>
        </is>
      </c>
      <c r="C17" s="8" t="n">
        <v>435.6</v>
      </c>
      <c r="D17" s="8" t="n">
        <v>610.5</v>
      </c>
      <c r="E17" s="8" t="n">
        <v>508.2</v>
      </c>
      <c r="F17" s="8" t="n">
        <v>488.4</v>
      </c>
      <c r="G17" s="8" t="n">
        <v>567.6</v>
      </c>
      <c r="H17" s="8" t="n">
        <v>643.5</v>
      </c>
      <c r="I17" s="8" t="n">
        <v>686.4</v>
      </c>
    </row>
    <row r="18">
      <c r="B18" s="7" t="inlineStr">
        <is>
          <t>Petrochemicals &amp; Gas Processing</t>
        </is>
      </c>
      <c r="C18" s="8" t="n">
        <v>198</v>
      </c>
      <c r="D18" s="8" t="n">
        <v>277.5</v>
      </c>
      <c r="E18" s="8" t="n">
        <v>231</v>
      </c>
      <c r="F18" s="8" t="n">
        <v>222</v>
      </c>
      <c r="G18" s="8" t="n">
        <v>258</v>
      </c>
      <c r="H18" s="8" t="n">
        <v>292.5</v>
      </c>
      <c r="I18" s="8" t="n">
        <v>312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10.2</v>
      </c>
      <c r="D35" s="23" t="n">
        <v>12.6</v>
      </c>
      <c r="E35" s="23" t="n">
        <v>14.2</v>
      </c>
      <c r="F35" s="23" t="n">
        <v>15.8</v>
      </c>
      <c r="G35" s="23" t="n">
        <v>17.3</v>
      </c>
      <c r="H35" s="23" t="n">
        <v>18.6</v>
      </c>
      <c r="I35" s="23" t="n">
        <v>19.5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(+$10.2M)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(+$12.6M)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(+$14.2M)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(+$15.8M)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(+$17.3M)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(+$18.6M)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(+$19.5M)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1980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462</v>
      </c>
      <c r="D36" s="8" t="n">
        <v>462</v>
      </c>
      <c r="E36" s="8" t="n">
        <v>462</v>
      </c>
      <c r="F36" s="8" t="n">
        <v>462</v>
      </c>
      <c r="G36" s="8" t="n">
        <v>462</v>
      </c>
      <c r="H36" s="8" t="n">
        <v>462</v>
      </c>
      <c r="I36" s="8" t="n">
        <v>462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-340</v>
      </c>
      <c r="D16" s="8" t="n">
        <v>-710</v>
      </c>
      <c r="E16" s="8" t="n">
        <v>-780</v>
      </c>
      <c r="F16" s="8" t="n">
        <v>-620</v>
      </c>
      <c r="G16" s="8" t="n">
        <v>-480</v>
      </c>
      <c r="H16" s="8" t="n">
        <v>-420</v>
      </c>
      <c r="I16" s="8" t="n">
        <v>-390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433.1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-25.6</v>
      </c>
      <c r="D32" s="8" t="n">
        <v>4.4</v>
      </c>
      <c r="E32" s="8" t="n">
        <v>13.7</v>
      </c>
      <c r="F32" s="8" t="n">
        <v>-4</v>
      </c>
      <c r="G32" s="8" t="n">
        <v>-28.9</v>
      </c>
      <c r="H32" s="8" t="n">
        <v>-52.1</v>
      </c>
      <c r="I32" s="8" t="n">
        <v>-73.3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KOS Benchmark Eurobond Notes</t>
        </is>
      </c>
    </row>
    <row r="7">
      <c r="B7" s="7" t="inlineStr">
        <is>
          <t xml:space="preserve">  Beginning Principal Balance</t>
        </is>
      </c>
      <c r="C7" s="8" t="n">
        <v>1229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409.6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273.1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0.1045</f>
        <v/>
      </c>
      <c r="D11" s="8">
        <f>D10 * 0.1045</f>
        <v/>
      </c>
      <c r="E11" s="8">
        <f>E10 * 0.1045</f>
        <v/>
      </c>
      <c r="F11" s="8">
        <f>F10 * 0.1045</f>
        <v/>
      </c>
      <c r="G11" s="8">
        <f>G10 * 0.1045</f>
        <v/>
      </c>
      <c r="H11" s="8">
        <f>H10 * 0.1045</f>
        <v/>
      </c>
      <c r="I11" s="8">
        <f>I10 * 0.1045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1502.1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385.6</v>
      </c>
      <c r="C32" s="8" t="n">
        <v>706.9</v>
      </c>
      <c r="D32" s="8" t="n">
        <v>899.6</v>
      </c>
      <c r="E32" s="8" t="n">
        <v>578.3</v>
      </c>
      <c r="F32" s="8" t="n">
        <v>385.6</v>
      </c>
      <c r="G32" s="8" t="n">
        <v>257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KOS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1445.9</v>
      </c>
      <c r="F37" s="29" t="inlineStr">
        <is>
          <t>10.450%</t>
        </is>
      </c>
      <c r="G37" s="30" t="n">
        <v>89.5</v>
      </c>
      <c r="H37" s="31" t="n">
        <v>10.45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KOS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963.9</v>
      </c>
      <c r="F38" s="29" t="inlineStr">
        <is>
          <t>9.800%</t>
        </is>
      </c>
      <c r="G38" s="30" t="n">
        <v>91.5</v>
      </c>
      <c r="H38" s="31" t="n">
        <v>9.799999999999999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481.9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321.3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KOS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899.6</v>
      </c>
    </row>
    <row r="45">
      <c r="B45" s="7" t="inlineStr">
        <is>
          <t>Drawn Amount ($M)</t>
        </is>
      </c>
      <c r="C45" s="8" t="n">
        <v>321.3</v>
      </c>
    </row>
    <row r="46">
      <c r="B46" s="18" t="inlineStr">
        <is>
          <t>AVAILABLE UNDRAWN HEADROOM ($M)</t>
        </is>
      </c>
      <c r="C46" s="19" t="n">
        <v>578.3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2.31x</t>
        </is>
      </c>
      <c r="E55" s="32" t="inlineStr">
        <is>
          <t>1.44x leverage buffer ($1512.0M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4.20x</t>
        </is>
      </c>
      <c r="E56" s="32" t="inlineStr">
        <is>
          <t>+1.70x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15.3% of Assets</t>
        </is>
      </c>
      <c r="E57" s="32" t="inlineStr">
        <is>
          <t>$385.0M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10.45%</t>
        </is>
      </c>
      <c r="F6" s="34" t="inlineStr">
        <is>
          <t>4.2x</t>
        </is>
      </c>
      <c r="G6" s="34" t="inlineStr">
        <is>
          <t>$98.00</t>
        </is>
      </c>
      <c r="H6" s="34" t="inlineStr">
        <is>
          <t>+9.5%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12.45%</t>
        </is>
      </c>
      <c r="F7" s="29" t="inlineStr">
        <is>
          <t>3.2x</t>
        </is>
      </c>
      <c r="G7" s="29" t="inlineStr">
        <is>
          <t>$80.00</t>
        </is>
      </c>
      <c r="H7" s="29" t="inlineStr">
        <is>
          <t>-10.6%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$62.00</t>
        </is>
      </c>
      <c r="H8" s="29" t="inlineStr">
        <is>
          <t>-30.7%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8.95%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+17.3%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803.2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KOS Senior Unsecured Eurobonds</t>
        </is>
      </c>
      <c r="C15" s="8" t="n">
        <v>2409.8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62.0%</t>
        </is>
      </c>
      <c r="G15" s="29" t="inlineStr">
        <is>
          <t>98.0%</t>
        </is>
      </c>
    </row>
    <row r="16">
      <c r="B16" s="7" t="inlineStr">
        <is>
          <t>Subordinated Debt &amp; Intercompany Notes</t>
        </is>
      </c>
      <c r="C16" s="8" t="n">
        <v>481.9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1285.2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Ghana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Kosmos Energy (KOS) — Earnings Presentation &amp; Management Guidance</t>
        </is>
      </c>
    </row>
    <row r="3">
      <c r="B3" s="2" t="inlineStr">
        <is>
          <t>Source: Kosmos Energy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$1890.0M (+8.0% YoY growth)</t>
        </is>
      </c>
      <c r="D7" s="35" t="inlineStr">
        <is>
          <t>$1863.8M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$1890.0M (+8.0% YoY growth). With current run-rate at $1863.8M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$1155.0M (61.1% margin)</t>
        </is>
      </c>
      <c r="D8" s="35" t="inlineStr">
        <is>
          <t>$1134.0M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$1155.0M (61.1%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2.31x</t>
        </is>
      </c>
      <c r="E9" s="32" t="inlineStr">
        <is>
          <t>Ahead of Target</t>
        </is>
      </c>
      <c r="F9" s="37" t="inlineStr">
        <is>
          <t>Deleveraging on track with 1.44x buffer below covenant limit.
[QUESTION TO CFO TO VERIFY]: You previously committed to a Net Leverage ceiling of &lt; 3.25x Net Debt / EBITDA. Current actual leverage stands at 2.31x.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$385.9M (Maximum growth and sustaining envelope)</t>
        </is>
      </c>
      <c r="D10" s="35" t="inlineStr">
        <is>
          <t>$355.0M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$385.9M (Maximum growth and sustaining envelope). Current commitments stand at $355.0M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$367.5M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$787.5M in liquid bank deposits</t>
        </is>
      </c>
    </row>
    <row r="35">
      <c r="B35" s="9" t="inlineStr">
        <is>
          <t>Undrawn Committed Credit Lines</t>
        </is>
      </c>
      <c r="C35" s="37" t="inlineStr">
        <is>
          <t>$1124.5M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2026-11-04</t>
        </is>
      </c>
    </row>
    <row r="47">
      <c r="B47" s="9" t="inlineStr">
        <is>
          <t>Reporting Period</t>
        </is>
      </c>
      <c r="C47" s="37" t="inlineStr">
        <is>
          <t>Q3 2026 Earnings Release &amp; Webcast</t>
        </is>
      </c>
    </row>
    <row r="48">
      <c r="B48" s="9" t="inlineStr">
        <is>
          <t>Confirmation Status</t>
        </is>
      </c>
      <c r="C48" s="37" t="inlineStr">
        <is>
          <t>Confirmed</t>
        </is>
      </c>
    </row>
    <row r="49">
      <c r="B49" s="9" t="inlineStr">
        <is>
          <t>Conference Call &amp; Webcast Schedule</t>
        </is>
      </c>
      <c r="C49" s="37" t="inlineStr">
        <is>
          <t>16:00 London / 11:00 EST</t>
        </is>
      </c>
    </row>
    <row r="50">
      <c r="B50" s="9" t="inlineStr">
        <is>
          <t>Official IR Portal / Webcast URL</t>
        </is>
      </c>
      <c r="C50" s="37" t="inlineStr">
        <is>
          <t>https://investors.kosmosenergy.com/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2026-10-30T05:16:57Z</dcterms:created>
  <dcterms:modified xmlns:dcterms="http://purl.org/dc/terms/" xmlns:xsi="http://www.w3.org/2001/XMLSchema-instance" xsi:type="dcterms:W3CDTF">2026-10-30T05:16:57Z</dcterms:modified>
</cp:coreProperties>
</file>