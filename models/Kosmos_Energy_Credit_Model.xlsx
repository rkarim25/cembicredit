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Institutional Credit Model</t>
        </is>
      </c>
    </row>
    <row r="3">
      <c r="B3" s="2" t="inlineStr">
        <is>
          <t>Sector: Energy | Country: Ghana | Rating: B- / B3 | Benchmark: KOS 10.45% 2027 @ $89.50 (10.45%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Jubilee (&lt;$12/boe lifting cost) &amp; TEN fields + GTA FLNG Phase 1 startup (2.5 mtpa); multi-year FCF inflection.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KOS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1445.85</v>
      </c>
      <c r="F26" s="7" t="inlineStr">
        <is>
          <t>10.45%</t>
        </is>
      </c>
      <c r="G26" s="7" t="inlineStr">
        <is>
          <t>$89.50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KOS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963.9</v>
      </c>
      <c r="F27" s="7" t="inlineStr">
        <is>
          <t>9.70%</t>
        </is>
      </c>
      <c r="G27" s="7" t="inlineStr">
        <is>
          <t>$92.00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803.25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618.8</v>
      </c>
      <c r="D16" s="8" t="n">
        <v>746.2</v>
      </c>
      <c r="E16" s="8" t="n">
        <v>837.2</v>
      </c>
      <c r="F16" s="8" t="n">
        <v>910</v>
      </c>
      <c r="G16" s="8" t="n">
        <v>982.8</v>
      </c>
      <c r="H16" s="8" t="n">
        <v>1046.5</v>
      </c>
      <c r="I16" s="8" t="n">
        <v>1092</v>
      </c>
    </row>
    <row r="17">
      <c r="B17" s="7" t="inlineStr">
        <is>
          <t>Downstream Refining &amp; Fuel Marketing</t>
        </is>
      </c>
      <c r="C17" s="8" t="n">
        <v>392.7</v>
      </c>
      <c r="D17" s="8" t="n">
        <v>473.6</v>
      </c>
      <c r="E17" s="8" t="n">
        <v>531.3</v>
      </c>
      <c r="F17" s="8" t="n">
        <v>577.5</v>
      </c>
      <c r="G17" s="8" t="n">
        <v>623.7</v>
      </c>
      <c r="H17" s="8" t="n">
        <v>664.1</v>
      </c>
      <c r="I17" s="8" t="n">
        <v>693</v>
      </c>
    </row>
    <row r="18">
      <c r="B18" s="7" t="inlineStr">
        <is>
          <t>Petrochemicals &amp; Gas Processing</t>
        </is>
      </c>
      <c r="C18" s="8" t="n">
        <v>178.5</v>
      </c>
      <c r="D18" s="8" t="n">
        <v>215.2</v>
      </c>
      <c r="E18" s="8" t="n">
        <v>241.5</v>
      </c>
      <c r="F18" s="8" t="n">
        <v>262.5</v>
      </c>
      <c r="G18" s="8" t="n">
        <v>283.5</v>
      </c>
      <c r="H18" s="8" t="n">
        <v>301.9</v>
      </c>
      <c r="I18" s="8" t="n">
        <v>315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1785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416.5</v>
      </c>
      <c r="D36" s="8" t="n">
        <v>416.5</v>
      </c>
      <c r="E36" s="8" t="n">
        <v>416.5</v>
      </c>
      <c r="F36" s="8" t="n">
        <v>416.5</v>
      </c>
      <c r="G36" s="8" t="n">
        <v>416.5</v>
      </c>
      <c r="H36" s="8" t="n">
        <v>416.5</v>
      </c>
      <c r="I36" s="8" t="n">
        <v>416.5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-257.2</v>
      </c>
      <c r="D16" s="8" t="n">
        <v>-312.4</v>
      </c>
      <c r="E16" s="8" t="n">
        <v>-349.1</v>
      </c>
      <c r="F16" s="8" t="n">
        <v>-367.5</v>
      </c>
      <c r="G16" s="8" t="n">
        <v>-385.9</v>
      </c>
      <c r="H16" s="8" t="n">
        <v>-374.9</v>
      </c>
      <c r="I16" s="8" t="n">
        <v>-360.1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433.1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KOS Benchmark Eurobond Notes</t>
        </is>
      </c>
    </row>
    <row r="7">
      <c r="B7" s="7" t="inlineStr">
        <is>
          <t xml:space="preserve">  Beginning Principal Balance</t>
        </is>
      </c>
      <c r="C7" s="8" t="n">
        <v>1229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0.1045</f>
        <v/>
      </c>
      <c r="D11" s="8">
        <f>D10 * 0.1045</f>
        <v/>
      </c>
      <c r="E11" s="8">
        <f>E10 * 0.1045</f>
        <v/>
      </c>
      <c r="F11" s="8">
        <f>F10 * 0.1045</f>
        <v/>
      </c>
      <c r="G11" s="8">
        <f>G10 * 0.1045</f>
        <v/>
      </c>
      <c r="H11" s="8">
        <f>H10 * 0.1045</f>
        <v/>
      </c>
      <c r="I11" s="8">
        <f>I10 * 0.1045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1502.1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385.6</v>
      </c>
      <c r="C32" s="8" t="n">
        <v>706.9</v>
      </c>
      <c r="D32" s="8" t="n">
        <v>899.6</v>
      </c>
      <c r="E32" s="8" t="n">
        <v>578.3</v>
      </c>
      <c r="F32" s="8" t="n">
        <v>385.6</v>
      </c>
      <c r="G32" s="8" t="n">
        <v>257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10.45%</t>
        </is>
      </c>
      <c r="F6" s="26" t="inlineStr">
        <is>
          <t>4.2x</t>
        </is>
      </c>
      <c r="G6" s="26" t="inlineStr">
        <is>
          <t>$98.00</t>
        </is>
      </c>
      <c r="H6" s="26" t="inlineStr">
        <is>
          <t>+9.5%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12.45%</t>
        </is>
      </c>
      <c r="F7" s="27" t="inlineStr">
        <is>
          <t>3.2x</t>
        </is>
      </c>
      <c r="G7" s="27" t="inlineStr">
        <is>
          <t>$80.00</t>
        </is>
      </c>
      <c r="H7" s="27" t="inlineStr">
        <is>
          <t>-10.6%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$62.00</t>
        </is>
      </c>
      <c r="H8" s="27" t="inlineStr">
        <is>
          <t>-30.7%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8.95%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+17.3%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803.2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KOS Senior Unsecured Eurobonds</t>
        </is>
      </c>
      <c r="C15" s="8" t="n">
        <v>2409.8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62.0%</t>
        </is>
      </c>
      <c r="G15" s="27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481.9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1285.2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Earnings Presentation &amp; Management Guidance</t>
        </is>
      </c>
    </row>
    <row r="3">
      <c r="B3" s="2" t="inlineStr">
        <is>
          <t>Source: Kosmos Energy FY2024 Earnings Conference Call &amp; Strategy Day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Cost Curve Positioning</t>
        </is>
      </c>
      <c r="C7" s="28" t="inlineStr">
        <is>
          <t>First-quartile global cash cost producer ($/boe or $/tonne)</t>
        </is>
      </c>
    </row>
    <row r="8">
      <c r="B8" s="9" t="inlineStr">
        <is>
          <t>Through Cycle Net Leverage</t>
        </is>
      </c>
      <c r="C8" s="28" t="inlineStr">
        <is>
          <t>&lt; 1.5x - 2.0x Net Debt / EBITDA at mid-cycle commodity pricing</t>
        </is>
      </c>
    </row>
    <row r="9">
      <c r="B9" s="9" t="inlineStr">
        <is>
          <t>Free Cash Flow Breakeven</t>
        </is>
      </c>
      <c r="C9" s="28" t="inlineStr">
        <is>
          <t>Positive corporate free cash flow preserved down to conservative trough prices</t>
        </is>
      </c>
    </row>
    <row r="10">
      <c r="B10" s="9" t="inlineStr">
        <is>
          <t>Dividend Distribution Framework</t>
        </is>
      </c>
      <c r="C10" s="28" t="inlineStr">
        <is>
          <t>Base dividend + 40% - 50% variable payout of surplus free cash flow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Growth And Efficiency Projects</t>
        </is>
      </c>
      <c r="C14" s="28" t="inlineStr">
        <is>
          <t>Field Modernization, Value-Added Processing Facilities &amp; Industrial Decarbonization</t>
        </is>
      </c>
    </row>
    <row r="15">
      <c r="B15" s="9" t="inlineStr">
        <is>
          <t>Annual Capex Envelope</t>
        </is>
      </c>
      <c r="C15" s="28" t="inlineStr">
        <is>
          <t>$367.5M (55% sustaining maintenance / 45% strategic growth)</t>
        </is>
      </c>
    </row>
    <row r="16">
      <c r="B16" s="9" t="inlineStr">
        <is>
          <t>Project Execution Milestones</t>
        </is>
      </c>
      <c r="C16" s="28" t="inlineStr">
        <is>
          <t>Advanced commercial completion scheduled across key processing units through 2026</t>
        </is>
      </c>
    </row>
    <row r="17">
      <c r="B17" s="9" t="inlineStr">
        <is>
          <t>Decarbonization Capex</t>
        </is>
      </c>
      <c r="C17" s="28" t="inlineStr">
        <is>
          <t>Energy efficiency and carbon abatement investments targeting 25% Scope 1/2 reduction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Export Share</t>
        </is>
      </c>
      <c r="C21" s="28" t="inlineStr">
        <is>
          <t>78.0% of revenues generated from US Dollar international sales</t>
        </is>
      </c>
    </row>
    <row r="22">
      <c r="B22" s="9" t="inlineStr">
        <is>
          <t>Natural Operating Hedge</t>
        </is>
      </c>
      <c r="C22" s="28" t="inlineStr">
        <is>
          <t>Over 65% of cash production costs denominated in local operating currencies</t>
        </is>
      </c>
    </row>
    <row r="23">
      <c r="B23" s="9" t="inlineStr">
        <is>
          <t>Debt Service Currency Matching</t>
        </is>
      </c>
      <c r="C23" s="28" t="inlineStr">
        <is>
          <t>100.0% of Eurobond debt service met directly from USD export revenues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Proved Reserve Life Rli</t>
        </is>
      </c>
      <c r="C27" s="28" t="inlineStr">
        <is>
          <t>18.5 years of economic reserves at current annual production run-rates</t>
        </is>
      </c>
    </row>
    <row r="28">
      <c r="B28" s="9" t="inlineStr">
        <is>
          <t>Offtake Agreements</t>
        </is>
      </c>
      <c r="C28" s="28" t="inlineStr">
        <is>
          <t>Multi-year frame contracts with top-tier industrial conglomerates and trading houses</t>
        </is>
      </c>
    </row>
    <row r="29">
      <c r="B29" s="9" t="inlineStr">
        <is>
          <t>Capacity Utilization</t>
        </is>
      </c>
      <c r="C29" s="28" t="inlineStr">
        <is>
          <t>88.2% across primary extraction and refining complexes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Cash And Short Term Placements</t>
        </is>
      </c>
      <c r="C33" s="28" t="inlineStr">
        <is>
          <t>$787.5M in liquid bank deposits</t>
        </is>
      </c>
    </row>
    <row r="34">
      <c r="B34" s="9" t="inlineStr">
        <is>
          <t>Undrawn Committed Credit Lines</t>
        </is>
      </c>
      <c r="C34" s="28" t="inlineStr">
        <is>
          <t>$1124.5M in revolving bank facilities</t>
        </is>
      </c>
    </row>
    <row r="35">
      <c r="B35" s="9" t="inlineStr">
        <is>
          <t>Net Debt Headroom</t>
        </is>
      </c>
      <c r="C35" s="28" t="inlineStr">
        <is>
          <t>Conservative liquidity buffer providing over 30 months of debt service coverage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2026-09-19T21:07:22Z</dcterms:created>
  <dcterms:modified xmlns:dcterms="http://purl.org/dc/terms/" xmlns:xsi="http://www.w3.org/2001/XMLSchema-instance" xsi:type="dcterms:W3CDTF">2026-09-19T21:07:22Z</dcterms:modified>
</cp:coreProperties>
</file>