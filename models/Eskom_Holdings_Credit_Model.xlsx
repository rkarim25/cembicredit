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(+$21.4M)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(+$26.4M)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(+$29.7M)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(+$36.3M)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(+$38.9M)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(+$40.9M)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(+$21.4M)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(+$26.4M)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(+$29.7M)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(+$36.3M)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(+$38.9M)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(+$40.9M)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Institutional Credit Model</t>
        </is>
      </c>
    </row>
    <row r="3">
      <c r="B3" s="2" t="inlineStr">
        <is>
          <t>Sector: Utilities | Country: South Africa | Rating: B / B- | Benchmark: ESKOM 7.125% 2025 @ $99.00 (8.50% YTM / +445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South Africa's power utility; sovereign debt relief package transferred R254B of debt to national treasury.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ESKOM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7474.5</v>
      </c>
      <c r="F26" s="7" t="inlineStr">
        <is>
          <t>8.50%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ESKOM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4983</v>
      </c>
      <c r="F27" s="7" t="inlineStr">
        <is>
          <t>7.75%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4152.5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6704.8</v>
      </c>
      <c r="D15" s="8" t="n">
        <v>8085.2</v>
      </c>
      <c r="E15" s="8" t="n">
        <v>9071.200000000001</v>
      </c>
      <c r="F15" s="8" t="n">
        <v>9860</v>
      </c>
      <c r="G15" s="8" t="n">
        <v>10648.8</v>
      </c>
      <c r="H15" s="8" t="n">
        <v>11339</v>
      </c>
      <c r="I15" s="8" t="n">
        <v>11832</v>
      </c>
    </row>
    <row r="16">
      <c r="B16" s="7" t="inlineStr">
        <is>
          <t>Regulated Power Distribution &amp; Grid</t>
        </is>
      </c>
      <c r="C16" s="8" t="n">
        <v>2169.2</v>
      </c>
      <c r="D16" s="8" t="n">
        <v>2615.8</v>
      </c>
      <c r="E16" s="8" t="n">
        <v>2934.8</v>
      </c>
      <c r="F16" s="8" t="n">
        <v>3190</v>
      </c>
      <c r="G16" s="8" t="n">
        <v>3445.2</v>
      </c>
      <c r="H16" s="8" t="n">
        <v>3668.5</v>
      </c>
      <c r="I16" s="8" t="n">
        <v>3828</v>
      </c>
    </row>
    <row r="17">
      <c r="B17" s="7" t="inlineStr">
        <is>
          <t>Merchant &amp; Capacity Balancing Services</t>
        </is>
      </c>
      <c r="C17" s="8" t="n">
        <v>986</v>
      </c>
      <c r="D17" s="8" t="n">
        <v>1189</v>
      </c>
      <c r="E17" s="8" t="n">
        <v>1334</v>
      </c>
      <c r="F17" s="8" t="n">
        <v>1450</v>
      </c>
      <c r="G17" s="8" t="n">
        <v>1566</v>
      </c>
      <c r="H17" s="8" t="n">
        <v>1667.5</v>
      </c>
      <c r="I17" s="8" t="n">
        <v>1740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21.4</v>
      </c>
      <c r="D35" s="24" t="n">
        <v>26.4</v>
      </c>
      <c r="E35" s="24" t="n">
        <v>29.7</v>
      </c>
      <c r="F35" s="24" t="n">
        <v>33</v>
      </c>
      <c r="G35" s="24" t="n">
        <v>36.3</v>
      </c>
      <c r="H35" s="24" t="n">
        <v>38.9</v>
      </c>
      <c r="I35" s="24" t="n">
        <v>40.9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(+$21.4M)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(+$26.4M)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(+$29.7M)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(+$33.0M)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(+$36.3M)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(+$38.9M)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(+$40.9M)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14790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3451</v>
      </c>
      <c r="D36" s="8" t="n">
        <v>3451</v>
      </c>
      <c r="E36" s="8" t="n">
        <v>3451</v>
      </c>
      <c r="F36" s="8" t="n">
        <v>3451</v>
      </c>
      <c r="G36" s="8" t="n">
        <v>3451</v>
      </c>
      <c r="H36" s="8" t="n">
        <v>3451</v>
      </c>
      <c r="I36" s="8" t="n">
        <v>3451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-1154.7</v>
      </c>
      <c r="D16" s="8" t="n">
        <v>-2019.6</v>
      </c>
      <c r="E16" s="8" t="n">
        <v>-2272.1</v>
      </c>
      <c r="F16" s="8" t="n">
        <v>-2150.5</v>
      </c>
      <c r="G16" s="8" t="n">
        <v>-1954.1</v>
      </c>
      <c r="H16" s="8" t="n">
        <v>-2096.3</v>
      </c>
      <c r="I16" s="8" t="n">
        <v>-2202.9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907.5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337.5</v>
      </c>
      <c r="D32" s="8" t="n">
        <v>661.3</v>
      </c>
      <c r="E32" s="8" t="n">
        <v>755.6</v>
      </c>
      <c r="F32" s="8" t="n">
        <v>520.6</v>
      </c>
      <c r="G32" s="8" t="n">
        <v>534</v>
      </c>
      <c r="H32" s="8" t="n">
        <v>544.7</v>
      </c>
      <c r="I32" s="8" t="n">
        <v>550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4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ESKOM Benchmark Eurobond Notes</t>
        </is>
      </c>
    </row>
    <row r="7">
      <c r="B7" s="7" t="inlineStr">
        <is>
          <t xml:space="preserve">  Beginning Principal Balance</t>
        </is>
      </c>
      <c r="C7" s="8" t="n">
        <v>6353.3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2117.8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1411.9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0.0850</f>
        <v/>
      </c>
      <c r="D11" s="8">
        <f>D10 * 0.0850</f>
        <v/>
      </c>
      <c r="E11" s="8">
        <f>E10 * 0.0850</f>
        <v/>
      </c>
      <c r="F11" s="8">
        <f>F10 * 0.0850</f>
        <v/>
      </c>
      <c r="G11" s="8">
        <f>G10 * 0.0850</f>
        <v/>
      </c>
      <c r="H11" s="8">
        <f>H10 * 0.0850</f>
        <v/>
      </c>
      <c r="I11" s="8">
        <f>I10 * 0.0850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7765.2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1993.2</v>
      </c>
      <c r="C32" s="8" t="n">
        <v>3654.2</v>
      </c>
      <c r="D32" s="8" t="n">
        <v>4650.8</v>
      </c>
      <c r="E32" s="8" t="n">
        <v>2989.8</v>
      </c>
      <c r="F32" s="8" t="n">
        <v>1993.2</v>
      </c>
      <c r="G32" s="8" t="n">
        <v>1328.8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ESKOM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7474.5</v>
      </c>
      <c r="F37" s="30" t="inlineStr">
        <is>
          <t>8.500%</t>
        </is>
      </c>
      <c r="G37" s="31" t="n">
        <v>99</v>
      </c>
      <c r="H37" s="32" t="n">
        <v>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ESKOM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4983</v>
      </c>
      <c r="F38" s="30" t="inlineStr">
        <is>
          <t>7.850%</t>
        </is>
      </c>
      <c r="G38" s="31" t="n">
        <v>101</v>
      </c>
      <c r="H38" s="32" t="n">
        <v>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2491.5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1661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ESKOM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4650.8</v>
      </c>
    </row>
    <row r="45">
      <c r="B45" s="7" t="inlineStr">
        <is>
          <t>Drawn Amount ($M)</t>
        </is>
      </c>
      <c r="C45" s="8" t="n">
        <v>1661</v>
      </c>
    </row>
    <row r="46">
      <c r="B46" s="19" t="inlineStr">
        <is>
          <t>AVAILABLE UNDRAWN HEADROOM ($M)</t>
        </is>
      </c>
      <c r="C46" s="20" t="n">
        <v>2989.8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6.80x</t>
        </is>
      </c>
      <c r="E55" s="33" t="inlineStr">
        <is>
          <t>-2.30x leverage buffer ($-5060.0M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1.45x</t>
        </is>
      </c>
      <c r="E56" s="33" t="inlineStr">
        <is>
          <t>+-1.05x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9.5% of Assets</t>
        </is>
      </c>
      <c r="E57" s="33" t="inlineStr">
        <is>
          <t>$3190.0M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8.50%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10.50%</t>
        </is>
      </c>
      <c r="F7" s="30" t="inlineStr">
        <is>
          <t>3.2x</t>
        </is>
      </c>
      <c r="G7" s="30" t="inlineStr">
        <is>
          <t>$80.00</t>
        </is>
      </c>
      <c r="H7" s="30" t="inlineStr">
        <is>
          <t>-19.2%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4152.5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ESKOM Senior Unsecured Eurobonds</t>
        </is>
      </c>
      <c r="C15" s="8" t="n">
        <v>12457.5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2491.5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Eskom Holdings (ESKOM) — Earnings Presentation &amp; Management Guidance</t>
        </is>
      </c>
    </row>
    <row r="3">
      <c r="B3" s="2" t="inlineStr">
        <is>
          <t>Source: Eskom Holdings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$15660.0M (+8.0% YoY growth)</t>
        </is>
      </c>
      <c r="D7" s="36" t="inlineStr">
        <is>
          <t>$15442.5M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$15660.0M (+8.0% YoY growth). With current run-rate at $15442.5M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$2420.0M (15.5% margin)</t>
        </is>
      </c>
      <c r="D8" s="36" t="inlineStr">
        <is>
          <t>$2376.0M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$2420.0M (15.5%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6.80x</t>
        </is>
      </c>
      <c r="E9" s="37" t="inlineStr">
        <is>
          <t>On Track</t>
        </is>
      </c>
      <c r="F9" s="38" t="inlineStr">
        <is>
          <t>Deleveraging on track with -2.30x buffer below covenant limit.
[QUESTION TO CFO TO VERIFY]: You previously committed to a Net Leverage ceiling of &lt; 4.00x Net Debt / EBITDA. Current actual leverage stands at 6.80x.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$808.5M (Maximum growth and sustaining envelope)</t>
        </is>
      </c>
      <c r="D10" s="36" t="inlineStr">
        <is>
          <t>$743.8M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$808.5M (Maximum growth and sustaining envelope). Current commitments stand at $743.8M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$2695.0M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$261000.0M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$1650.0M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$6644.0M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2026-11-30</t>
        </is>
      </c>
    </row>
    <row r="47">
      <c r="B47" s="9" t="inlineStr">
        <is>
          <t>Reporting Period</t>
        </is>
      </c>
      <c r="C47" s="38" t="inlineStr">
        <is>
          <t>Interim Financial Statements FY27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11:00 Johannesburg</t>
        </is>
      </c>
    </row>
    <row r="50">
      <c r="B50" s="9" t="inlineStr">
        <is>
          <t>Official IR Portal / Webcast URL</t>
        </is>
      </c>
      <c r="C50" s="38" t="inlineStr">
        <is>
          <t>https://www.eskom.co.za/investor-relations/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2026-10-30T05:16:49Z</dcterms:created>
  <dcterms:modified xmlns:dcterms="http://purl.org/dc/terms/" xmlns:xsi="http://www.w3.org/2001/XMLSchema-instance" xsi:type="dcterms:W3CDTF">2026-10-30T05:16:50Z</dcterms:modified>
</cp:coreProperties>
</file>