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Eskom Holdings</t>
        </is>
      </c>
    </row>
    <row r="3">
      <c r="B3" s="2" t="inlineStr">
        <is>
          <t>CEMBI CEEMEA Institutional Credit Assessment | Country: South Africa (Africa) | Sector: Utilities | Benchmark: ESKOM 7.125% 2025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ESKOM 7.125% 2025</t>
        </is>
      </c>
      <c r="C6" s="5" t="inlineStr">
        <is>
          <t>8.50% (+445 bp)</t>
        </is>
      </c>
      <c r="D6" s="4" t="inlineStr">
        <is>
          <t>B / B- | Tier-2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$60.00</t>
        </is>
      </c>
      <c r="D7" s="4" t="inlineStr">
        <is>
          <t>Base Case Fair Value</t>
        </is>
      </c>
      <c r="E7" s="5" t="inlineStr">
        <is>
          <t>$100.00</t>
        </is>
      </c>
    </row>
    <row r="9">
      <c r="B9" s="6" t="inlineStr">
        <is>
          <t>INSTITUTIONAL INVESTMENT THESIS</t>
        </is>
      </c>
    </row>
    <row r="10">
      <c r="B10" s="7" t="inlineStr">
        <is>
          <t>South Africa's power utility; sovereign debt relief package transferred R254B of debt to national treasury.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Eskom Holdings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9860</v>
      </c>
      <c r="D7" s="13" t="n">
        <v>11890</v>
      </c>
      <c r="E7" s="13" t="n">
        <v>13340</v>
      </c>
      <c r="F7" s="13" t="n">
        <v>14500</v>
      </c>
      <c r="G7" s="14" t="n">
        <v>15660</v>
      </c>
      <c r="H7" s="14" t="n">
        <v>16675</v>
      </c>
      <c r="I7" s="14" t="n">
        <v>17400</v>
      </c>
    </row>
    <row r="8">
      <c r="B8" s="12" t="inlineStr">
        <is>
          <t>EBITDA</t>
        </is>
      </c>
      <c r="C8" s="13" t="n">
        <v>1430</v>
      </c>
      <c r="D8" s="13" t="n">
        <v>1760</v>
      </c>
      <c r="E8" s="13" t="n">
        <v>1980</v>
      </c>
      <c r="F8" s="13" t="n">
        <v>2200</v>
      </c>
      <c r="G8" s="14" t="n">
        <v>2420</v>
      </c>
      <c r="H8" s="14" t="n">
        <v>2596</v>
      </c>
      <c r="I8" s="14" t="n">
        <v>2728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910.3</v>
      </c>
      <c r="D10" s="17" t="n">
        <v>1137.9</v>
      </c>
      <c r="E10" s="17" t="n">
        <v>1365.5</v>
      </c>
      <c r="F10" s="17" t="n">
        <v>1517.2</v>
      </c>
      <c r="G10" s="18" t="n">
        <v>1456.6</v>
      </c>
      <c r="H10" s="18" t="n">
        <v>1395.9</v>
      </c>
      <c r="I10" s="18" t="n">
        <v>1335.2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1159.4</v>
      </c>
      <c r="D12" s="13" t="n">
        <v>1458.6</v>
      </c>
      <c r="E12" s="13" t="n">
        <v>1645.6</v>
      </c>
      <c r="F12" s="13" t="n">
        <v>1870</v>
      </c>
      <c r="G12" s="14" t="n">
        <v>2057</v>
      </c>
      <c r="H12" s="14" t="n">
        <v>2206.6</v>
      </c>
      <c r="I12" s="14" t="n">
        <v>2337.5</v>
      </c>
    </row>
    <row r="13">
      <c r="B13" s="5" t="inlineStr">
        <is>
          <t>Capital Expenditures (Capex)</t>
        </is>
      </c>
      <c r="C13" s="17" t="n">
        <v>539</v>
      </c>
      <c r="D13" s="17" t="n">
        <v>654.5</v>
      </c>
      <c r="E13" s="17" t="n">
        <v>731.5</v>
      </c>
      <c r="F13" s="17" t="n">
        <v>770</v>
      </c>
      <c r="G13" s="18" t="n">
        <v>808.5</v>
      </c>
      <c r="H13" s="18" t="n">
        <v>785.4</v>
      </c>
      <c r="I13" s="18" t="n">
        <v>754.6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907.5</v>
      </c>
      <c r="D16" s="13" t="n">
        <v>1155</v>
      </c>
      <c r="E16" s="13" t="n">
        <v>1402.5</v>
      </c>
      <c r="F16" s="13" t="n">
        <v>1650</v>
      </c>
      <c r="G16" s="14" t="n">
        <v>1947</v>
      </c>
      <c r="H16" s="14" t="n">
        <v>2227.5</v>
      </c>
      <c r="I16" s="14" t="n">
        <v>2475</v>
      </c>
    </row>
    <row r="17">
      <c r="B17" s="12" t="inlineStr">
        <is>
          <t>Gross Total Debt</t>
        </is>
      </c>
      <c r="C17" s="13" t="n">
        <v>14118.5</v>
      </c>
      <c r="D17" s="13" t="n">
        <v>15281.2</v>
      </c>
      <c r="E17" s="13" t="n">
        <v>16277.8</v>
      </c>
      <c r="F17" s="13" t="n">
        <v>16610</v>
      </c>
      <c r="G17" s="14" t="n">
        <v>16277.8</v>
      </c>
      <c r="H17" s="14" t="n">
        <v>15779.5</v>
      </c>
      <c r="I17" s="14" t="n">
        <v>14949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Eskom Holdings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8.50%</t>
        </is>
      </c>
      <c r="F6" s="21" t="inlineStr">
        <is>
          <t>2028 / 2029</t>
        </is>
      </c>
      <c r="G6" s="17" t="n">
        <v>7474.5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4152.5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2491.5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1661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830.5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1402.5</v>
      </c>
    </row>
    <row r="15">
      <c r="B15" t="inlineStr">
        <is>
          <t>Committed Undrawn RCF Capacity</t>
        </is>
      </c>
      <c r="C15" s="22" t="n">
        <v>880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3510.4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Eskom Holdings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2200</v>
      </c>
      <c r="D6" s="17" t="n">
        <v>1870</v>
      </c>
      <c r="E6" s="25" t="n">
        <v>1430</v>
      </c>
    </row>
    <row r="7">
      <c r="B7" s="5" t="inlineStr">
        <is>
          <t>Free Cash Flow ($M)</t>
        </is>
      </c>
      <c r="C7" s="17" t="n">
        <v>1100</v>
      </c>
      <c r="D7" s="17" t="n">
        <v>660</v>
      </c>
      <c r="E7" s="25" t="n">
        <v>165</v>
      </c>
    </row>
    <row r="8">
      <c r="B8" s="12" t="inlineStr">
        <is>
          <t>Net Leverage Ratio (x)</t>
        </is>
      </c>
      <c r="C8" s="26" t="n">
        <v>6.8</v>
      </c>
      <c r="D8" s="26" t="n">
        <v>8.5</v>
      </c>
      <c r="E8" s="27" t="n">
        <v>12.58</v>
      </c>
    </row>
    <row r="9">
      <c r="B9" s="5" t="inlineStr">
        <is>
          <t>Interest Coverage Ratio (x)</t>
        </is>
      </c>
      <c r="C9" s="26" t="n">
        <v>1.45</v>
      </c>
      <c r="D9" s="26" t="n">
        <v>1.13</v>
      </c>
      <c r="E9" s="27" t="n">
        <v>0.65</v>
      </c>
    </row>
    <row r="10">
      <c r="B10" s="12" t="inlineStr">
        <is>
          <t>Implied Senior Paper Trading / Recovery ($)</t>
        </is>
      </c>
      <c r="C10" s="12" t="inlineStr">
        <is>
          <t>$100.00</t>
        </is>
      </c>
      <c r="D10" s="12" t="inlineStr">
        <is>
          <t>$72.00</t>
        </is>
      </c>
      <c r="E10" s="28" t="inlineStr">
        <is>
          <t>$60.00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