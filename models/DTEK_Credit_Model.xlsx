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Institutional Credit Model</t>
        </is>
      </c>
    </row>
    <row r="3">
      <c r="B3" s="2" t="inlineStr">
        <is>
          <t>Sector: Utilities | Country: Ukraine | Rating: CCC / Caa3 | Benchmark: DTEK 18.50% 2027 @ $68.50 (18.50% YTM / +1410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Critical national power utility; 500MW+ renewables + domestic gas upstream; ENTSO-E EU grid connectivity.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DTEKUA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712.5300000000001</v>
      </c>
      <c r="F26" s="7" t="inlineStr">
        <is>
          <t>18.50%</t>
        </is>
      </c>
      <c r="G26" s="7" t="inlineStr">
        <is>
          <t>$68.50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DTEKUA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475.02</v>
      </c>
      <c r="F27" s="7" t="inlineStr">
        <is>
          <t>17.75%</t>
        </is>
      </c>
      <c r="G27" s="7" t="inlineStr">
        <is>
          <t>$71.00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395.85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1109.8</v>
      </c>
      <c r="D15" s="8" t="n">
        <v>1338.2</v>
      </c>
      <c r="E15" s="8" t="n">
        <v>1501.4</v>
      </c>
      <c r="F15" s="8" t="n">
        <v>1632</v>
      </c>
      <c r="G15" s="8" t="n">
        <v>1762.6</v>
      </c>
      <c r="H15" s="8" t="n">
        <v>1876.8</v>
      </c>
      <c r="I15" s="8" t="n">
        <v>1958.4</v>
      </c>
    </row>
    <row r="16">
      <c r="B16" s="7" t="inlineStr">
        <is>
          <t>Regulated Power Distribution &amp; Grid</t>
        </is>
      </c>
      <c r="C16" s="8" t="n">
        <v>359</v>
      </c>
      <c r="D16" s="8" t="n">
        <v>433</v>
      </c>
      <c r="E16" s="8" t="n">
        <v>485.8</v>
      </c>
      <c r="F16" s="8" t="n">
        <v>528</v>
      </c>
      <c r="G16" s="8" t="n">
        <v>570.2</v>
      </c>
      <c r="H16" s="8" t="n">
        <v>607.2</v>
      </c>
      <c r="I16" s="8" t="n">
        <v>633.6</v>
      </c>
    </row>
    <row r="17">
      <c r="B17" s="7" t="inlineStr">
        <is>
          <t>Merchant &amp; Capacity Balancing Services</t>
        </is>
      </c>
      <c r="C17" s="8" t="n">
        <v>163.2</v>
      </c>
      <c r="D17" s="8" t="n">
        <v>196.8</v>
      </c>
      <c r="E17" s="8" t="n">
        <v>220.8</v>
      </c>
      <c r="F17" s="8" t="n">
        <v>240</v>
      </c>
      <c r="G17" s="8" t="n">
        <v>259.2</v>
      </c>
      <c r="H17" s="8" t="n">
        <v>276</v>
      </c>
      <c r="I17" s="8" t="n">
        <v>288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571.2</v>
      </c>
      <c r="D36" s="8" t="n">
        <v>571.2</v>
      </c>
      <c r="E36" s="8" t="n">
        <v>571.2</v>
      </c>
      <c r="F36" s="8" t="n">
        <v>571.2</v>
      </c>
      <c r="G36" s="8" t="n">
        <v>571.2</v>
      </c>
      <c r="H36" s="8" t="n">
        <v>571.2</v>
      </c>
      <c r="I36" s="8" t="n">
        <v>571.2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-102.9</v>
      </c>
      <c r="D16" s="8" t="n">
        <v>-125</v>
      </c>
      <c r="E16" s="8" t="n">
        <v>-139.7</v>
      </c>
      <c r="F16" s="8" t="n">
        <v>-147</v>
      </c>
      <c r="G16" s="8" t="n">
        <v>-154.3</v>
      </c>
      <c r="H16" s="8" t="n">
        <v>-149.9</v>
      </c>
      <c r="I16" s="8" t="n">
        <v>-144.1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DTEKUA Benchmark Eurobond Notes</t>
        </is>
      </c>
    </row>
    <row r="7">
      <c r="B7" s="7" t="inlineStr">
        <is>
          <t xml:space="preserve">  Beginning Principal Balance</t>
        </is>
      </c>
      <c r="C7" s="8" t="n">
        <v>605.7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201.9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134.6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0.1850</f>
        <v/>
      </c>
      <c r="D11" s="8">
        <f>D10 * 0.1850</f>
        <v/>
      </c>
      <c r="E11" s="8">
        <f>E10 * 0.1850</f>
        <v/>
      </c>
      <c r="F11" s="8">
        <f>F10 * 0.1850</f>
        <v/>
      </c>
      <c r="G11" s="8">
        <f>G10 * 0.1850</f>
        <v/>
      </c>
      <c r="H11" s="8">
        <f>H10 * 0.1850</f>
        <v/>
      </c>
      <c r="I11" s="8">
        <f>I10 * 0.1850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740.2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190</v>
      </c>
      <c r="C32" s="8" t="n">
        <v>348.3</v>
      </c>
      <c r="D32" s="8" t="n">
        <v>443.4</v>
      </c>
      <c r="E32" s="8" t="n">
        <v>285</v>
      </c>
      <c r="F32" s="8" t="n">
        <v>190</v>
      </c>
      <c r="G32" s="8" t="n">
        <v>126.7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18.50%</t>
        </is>
      </c>
      <c r="F6" s="27" t="inlineStr">
        <is>
          <t>4.2x</t>
        </is>
      </c>
      <c r="G6" s="27" t="inlineStr">
        <is>
          <t>$80.00</t>
        </is>
      </c>
      <c r="H6" s="27" t="inlineStr">
        <is>
          <t>+16.8%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20.50%</t>
        </is>
      </c>
      <c r="F7" s="28" t="inlineStr">
        <is>
          <t>3.2x</t>
        </is>
      </c>
      <c r="G7" s="28" t="inlineStr">
        <is>
          <t>$60.00</t>
        </is>
      </c>
      <c r="H7" s="28" t="inlineStr">
        <is>
          <t>-12.4%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$40.00</t>
        </is>
      </c>
      <c r="H8" s="28" t="inlineStr">
        <is>
          <t>-41.6%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17.00%</t>
        </is>
      </c>
      <c r="F9" s="28" t="inlineStr">
        <is>
          <t>5.7x</t>
        </is>
      </c>
      <c r="G9" s="28" t="inlineStr">
        <is>
          <t>$94.40</t>
        </is>
      </c>
      <c r="H9" s="28" t="inlineStr">
        <is>
          <t>+37.8%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395.9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DTEKUA Senior Unsecured Eurobonds</t>
        </is>
      </c>
      <c r="C15" s="8" t="n">
        <v>1187.6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40.0%</t>
        </is>
      </c>
      <c r="G15" s="28" t="inlineStr">
        <is>
          <t>80.0%</t>
        </is>
      </c>
    </row>
    <row r="16">
      <c r="B16" s="7" t="inlineStr">
        <is>
          <t>Subordinated Debt &amp; Intercompany Notes</t>
        </is>
      </c>
      <c r="C16" s="8" t="n">
        <v>237.5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633.4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2026-09-19T21:03:33Z</dcterms:created>
  <dcterms:modified xmlns:dcterms="http://purl.org/dc/terms/" xmlns:xsi="http://www.w3.org/2001/XMLSchema-instance" xsi:type="dcterms:W3CDTF">2026-09-19T21:03:33Z</dcterms:modified>
</cp:coreProperties>
</file>