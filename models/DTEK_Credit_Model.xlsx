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(+$4.1M)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(+$5.7M)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(+$6.3M)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(+$6.9M)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(+$7.4M)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(+$7.8M)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(+$4.1M)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(+$5.7M)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(+$6.3M)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(+$6.9M)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(+$7.4M)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(+$7.8M)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1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(DTEKUA) — Institutional Credit Model</t>
        </is>
      </c>
    </row>
    <row r="3">
      <c r="B3" s="2" t="inlineStr">
        <is>
          <t>Sector: Utilities | Country: Ukraine | Rating: CCC / Caa3 | Benchmark: DTEK 18.50% 2027 @ $68.50 (18.50% YTM / +1410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Critical national power utility; 500MW+ renewables + domestic gas upstream; ENTSO-E EU grid connectivity.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DTEKUA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712.5300000000001</v>
      </c>
      <c r="F26" s="7" t="inlineStr">
        <is>
          <t>18.50%</t>
        </is>
      </c>
      <c r="G26" s="7" t="inlineStr">
        <is>
          <t>$68.50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DTEKUA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475.02</v>
      </c>
      <c r="F27" s="7" t="inlineStr">
        <is>
          <t>17.75%</t>
        </is>
      </c>
      <c r="G27" s="7" t="inlineStr">
        <is>
          <t>$71.00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395.85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1496</v>
      </c>
      <c r="D15" s="8" t="n">
        <v>1122</v>
      </c>
      <c r="E15" s="8" t="n">
        <v>1074.4</v>
      </c>
      <c r="F15" s="8" t="n">
        <v>1169.6</v>
      </c>
      <c r="G15" s="8" t="n">
        <v>1285.2</v>
      </c>
      <c r="H15" s="8" t="n">
        <v>1394</v>
      </c>
      <c r="I15" s="8" t="n">
        <v>1496</v>
      </c>
    </row>
    <row r="16">
      <c r="B16" s="7" t="inlineStr">
        <is>
          <t>Regulated Power Distribution &amp; Grid</t>
        </is>
      </c>
      <c r="C16" s="8" t="n">
        <v>484</v>
      </c>
      <c r="D16" s="8" t="n">
        <v>363</v>
      </c>
      <c r="E16" s="8" t="n">
        <v>347.6</v>
      </c>
      <c r="F16" s="8" t="n">
        <v>378.4</v>
      </c>
      <c r="G16" s="8" t="n">
        <v>415.8</v>
      </c>
      <c r="H16" s="8" t="n">
        <v>451</v>
      </c>
      <c r="I16" s="8" t="n">
        <v>484</v>
      </c>
    </row>
    <row r="17">
      <c r="B17" s="7" t="inlineStr">
        <is>
          <t>Merchant &amp; Capacity Balancing Services</t>
        </is>
      </c>
      <c r="C17" s="8" t="n">
        <v>220</v>
      </c>
      <c r="D17" s="8" t="n">
        <v>165</v>
      </c>
      <c r="E17" s="8" t="n">
        <v>158</v>
      </c>
      <c r="F17" s="8" t="n">
        <v>172</v>
      </c>
      <c r="G17" s="8" t="n">
        <v>189</v>
      </c>
      <c r="H17" s="8" t="n">
        <v>205</v>
      </c>
      <c r="I17" s="8" t="n">
        <v>220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4.1</v>
      </c>
      <c r="D35" s="24" t="n">
        <v>5</v>
      </c>
      <c r="E35" s="24" t="n">
        <v>5.7</v>
      </c>
      <c r="F35" s="24" t="n">
        <v>6.3</v>
      </c>
      <c r="G35" s="24" t="n">
        <v>6.9</v>
      </c>
      <c r="H35" s="24" t="n">
        <v>7.4</v>
      </c>
      <c r="I35" s="24" t="n">
        <v>7.8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(+$4.1M)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(+$5.0M)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(+$5.7M)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(+$6.3M)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(+$6.9M)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(+$7.4M)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(+$7.8M)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3300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770</v>
      </c>
      <c r="D36" s="8" t="n">
        <v>770</v>
      </c>
      <c r="E36" s="8" t="n">
        <v>770</v>
      </c>
      <c r="F36" s="8" t="n">
        <v>770</v>
      </c>
      <c r="G36" s="8" t="n">
        <v>770</v>
      </c>
      <c r="H36" s="8" t="n">
        <v>770</v>
      </c>
      <c r="I36" s="8" t="n">
        <v>770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-240</v>
      </c>
      <c r="D16" s="8" t="n">
        <v>-290</v>
      </c>
      <c r="E16" s="8" t="n">
        <v>-280</v>
      </c>
      <c r="F16" s="8" t="n">
        <v>-310</v>
      </c>
      <c r="G16" s="8" t="n">
        <v>-260</v>
      </c>
      <c r="H16" s="8" t="n">
        <v>-240</v>
      </c>
      <c r="I16" s="8" t="n">
        <v>-220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173.2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8.4</v>
      </c>
      <c r="D32" s="8" t="n">
        <v>146</v>
      </c>
      <c r="E32" s="8" t="n">
        <v>99.8</v>
      </c>
      <c r="F32" s="8" t="n">
        <v>55.4</v>
      </c>
      <c r="G32" s="8" t="n">
        <v>36</v>
      </c>
      <c r="H32" s="8" t="n">
        <v>21.2</v>
      </c>
      <c r="I32" s="8" t="n">
        <v>1.1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DTEKUA Benchmark Eurobond Notes</t>
        </is>
      </c>
    </row>
    <row r="7">
      <c r="B7" s="7" t="inlineStr">
        <is>
          <t xml:space="preserve">  Beginning Principal Balance</t>
        </is>
      </c>
      <c r="C7" s="8" t="n">
        <v>605.7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201.9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134.6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0.1850</f>
        <v/>
      </c>
      <c r="D11" s="8">
        <f>D10 * 0.1850</f>
        <v/>
      </c>
      <c r="E11" s="8">
        <f>E10 * 0.1850</f>
        <v/>
      </c>
      <c r="F11" s="8">
        <f>F10 * 0.1850</f>
        <v/>
      </c>
      <c r="G11" s="8">
        <f>G10 * 0.1850</f>
        <v/>
      </c>
      <c r="H11" s="8">
        <f>H10 * 0.1850</f>
        <v/>
      </c>
      <c r="I11" s="8">
        <f>I10 * 0.1850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740.2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190</v>
      </c>
      <c r="C32" s="8" t="n">
        <v>348.3</v>
      </c>
      <c r="D32" s="8" t="n">
        <v>443.4</v>
      </c>
      <c r="E32" s="8" t="n">
        <v>285</v>
      </c>
      <c r="F32" s="8" t="n">
        <v>190</v>
      </c>
      <c r="G32" s="8" t="n">
        <v>126.7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DTEKUA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712.5</v>
      </c>
      <c r="F37" s="30" t="inlineStr">
        <is>
          <t>18.500%</t>
        </is>
      </c>
      <c r="G37" s="31" t="n">
        <v>68.5</v>
      </c>
      <c r="H37" s="32" t="n">
        <v>18.5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DTEKUA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475</v>
      </c>
      <c r="F38" s="30" t="inlineStr">
        <is>
          <t>17.850%</t>
        </is>
      </c>
      <c r="G38" s="31" t="n">
        <v>70.5</v>
      </c>
      <c r="H38" s="32" t="n">
        <v>17.85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237.5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158.4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DTEKUA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443.4</v>
      </c>
    </row>
    <row r="45">
      <c r="B45" s="7" t="inlineStr">
        <is>
          <t>Drawn Amount ($M)</t>
        </is>
      </c>
      <c r="C45" s="8" t="n">
        <v>158.4</v>
      </c>
    </row>
    <row r="46">
      <c r="B46" s="19" t="inlineStr">
        <is>
          <t>AVAILABLE UNDRAWN HEADROOM ($M)</t>
        </is>
      </c>
      <c r="C46" s="20" t="n">
        <v>285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3.02x</t>
        </is>
      </c>
      <c r="E55" s="33" t="inlineStr">
        <is>
          <t>1.48x leverage buffer ($621.6M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3.23x</t>
        </is>
      </c>
      <c r="E56" s="33" t="inlineStr">
        <is>
          <t>+0.73x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5.5% of Assets</t>
        </is>
      </c>
      <c r="E57" s="33" t="inlineStr">
        <is>
          <t>$528.0M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18.50%</t>
        </is>
      </c>
      <c r="F6" s="35" t="inlineStr">
        <is>
          <t>4.2x</t>
        </is>
      </c>
      <c r="G6" s="35" t="inlineStr">
        <is>
          <t>$80.00</t>
        </is>
      </c>
      <c r="H6" s="35" t="inlineStr">
        <is>
          <t>+16.8%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20.50%</t>
        </is>
      </c>
      <c r="F7" s="30" t="inlineStr">
        <is>
          <t>3.2x</t>
        </is>
      </c>
      <c r="G7" s="30" t="inlineStr">
        <is>
          <t>$60.00</t>
        </is>
      </c>
      <c r="H7" s="30" t="inlineStr">
        <is>
          <t>-12.4%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$40.00</t>
        </is>
      </c>
      <c r="H8" s="30" t="inlineStr">
        <is>
          <t>-41.6%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17.00%</t>
        </is>
      </c>
      <c r="F9" s="30" t="inlineStr">
        <is>
          <t>5.7x</t>
        </is>
      </c>
      <c r="G9" s="30" t="inlineStr">
        <is>
          <t>$94.40</t>
        </is>
      </c>
      <c r="H9" s="30" t="inlineStr">
        <is>
          <t>+37.8%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395.9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DTEKUA Senior Unsecured Eurobonds</t>
        </is>
      </c>
      <c r="C15" s="8" t="n">
        <v>1187.6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40.0%</t>
        </is>
      </c>
      <c r="G15" s="30" t="inlineStr">
        <is>
          <t>80.0%</t>
        </is>
      </c>
    </row>
    <row r="16">
      <c r="B16" s="7" t="inlineStr">
        <is>
          <t>Subordinated Debt &amp; Intercompany Notes</t>
        </is>
      </c>
      <c r="C16" s="8" t="n">
        <v>237.5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633.4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Ukraine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DTEK Energy (DTEKUA) — Earnings Presentation &amp; Management Guidance</t>
        </is>
      </c>
    </row>
    <row r="3">
      <c r="B3" s="2" t="inlineStr">
        <is>
          <t>Source: DTEK Energy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$2592.0M (+8.0% YoY growth)</t>
        </is>
      </c>
      <c r="D7" s="36" t="inlineStr">
        <is>
          <t>$2556.0M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$2592.0M (+8.0% YoY growth). With current run-rate at $2556.0M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$462.0M (17.8% margin)</t>
        </is>
      </c>
      <c r="D8" s="36" t="inlineStr">
        <is>
          <t>$453.6M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$462.0M (17.8%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3.02x</t>
        </is>
      </c>
      <c r="E9" s="33" t="inlineStr">
        <is>
          <t>Ahead of Target</t>
        </is>
      </c>
      <c r="F9" s="38" t="inlineStr">
        <is>
          <t>Deleveraging on track with 1.48x buffer below covenant limit.
[QUESTION TO CFO TO VERIFY]: You previously committed to a Net Leverage ceiling of &lt; 4.00x Net Debt / EBITDA. Current actual leverage stands at 3.02x.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$154.3M (Maximum growth and sustaining envelope)</t>
        </is>
      </c>
      <c r="D10" s="36" t="inlineStr">
        <is>
          <t>$142.0M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$154.3M (Maximum growth and sustaining envelope). Current commitments stand at $142.0M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$514.5M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$43200.0M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$315.0M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$633.4M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https://www.google.com/finance/quote/DTEKUA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2026-10-24T04:15:40Z</dcterms:created>
  <dcterms:modified xmlns:dcterms="http://purl.org/dc/terms/" xmlns:xsi="http://www.w3.org/2001/XMLSchema-instance" xsi:type="dcterms:W3CDTF">2026-10-24T04:15:40Z</dcterms:modified>
</cp:coreProperties>
</file>