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Limak Cement</t>
        </is>
      </c>
    </row>
    <row r="3">
      <c r="B3" s="2" t="inlineStr">
        <is>
          <t>CEMBI CEEMEA Institutional Credit Assessment | Country: Turkey (CEEMEA) | Sector: Materials | Benchmark: LIMAKC 8.25% 2028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LIMAKC 8.25% 2028</t>
        </is>
      </c>
      <c r="C6" s="5" t="inlineStr">
        <is>
          <t>8.25% (+385 bp)</t>
        </is>
      </c>
      <c r="D6" s="4" t="inlineStr">
        <is>
          <t>B+ / B | B</t>
        </is>
      </c>
      <c r="E6" s="5" t="inlineStr">
        <is>
          <t>Overweight / Core Anchor</t>
        </is>
      </c>
    </row>
    <row r="7">
      <c r="B7" s="4" t="inlineStr">
        <is>
          <t>Downside Recovery Floor</t>
        </is>
      </c>
      <c r="C7" s="5" t="inlineStr">
        <is>
          <t>$68.00</t>
        </is>
      </c>
      <c r="D7" s="4" t="inlineStr">
        <is>
          <t>Base Case Fair Value</t>
        </is>
      </c>
      <c r="E7" s="5" t="inlineStr">
        <is>
          <t>$98.00</t>
        </is>
      </c>
    </row>
    <row r="9">
      <c r="B9" s="6" t="inlineStr">
        <is>
          <t>INSTITUTIONAL INVESTMENT THESIS</t>
        </is>
      </c>
    </row>
    <row r="10">
      <c r="B10" s="7" t="inlineStr">
        <is>
          <t>Integrated Turkish plants + West Africa exports; major supplier for earthquake reconstruction.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Limak Cement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448.8</v>
      </c>
      <c r="D7" s="13" t="n">
        <v>541.2</v>
      </c>
      <c r="E7" s="13" t="n">
        <v>607.2</v>
      </c>
      <c r="F7" s="13" t="n">
        <v>660</v>
      </c>
      <c r="G7" s="14" t="n">
        <v>712.8</v>
      </c>
      <c r="H7" s="14" t="n">
        <v>759</v>
      </c>
      <c r="I7" s="14" t="n">
        <v>792</v>
      </c>
    </row>
    <row r="8">
      <c r="B8" s="12" t="inlineStr">
        <is>
          <t>EBITDA</t>
        </is>
      </c>
      <c r="C8" s="13" t="n">
        <v>120.2</v>
      </c>
      <c r="D8" s="13" t="n">
        <v>148</v>
      </c>
      <c r="E8" s="13" t="n">
        <v>166.5</v>
      </c>
      <c r="F8" s="13" t="n">
        <v>185</v>
      </c>
      <c r="G8" s="14" t="n">
        <v>203.5</v>
      </c>
      <c r="H8" s="14" t="n">
        <v>218.3</v>
      </c>
      <c r="I8" s="14" t="n">
        <v>229.4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23.1</v>
      </c>
      <c r="D10" s="17" t="n">
        <v>28.9</v>
      </c>
      <c r="E10" s="17" t="n">
        <v>34.7</v>
      </c>
      <c r="F10" s="17" t="n">
        <v>38.5</v>
      </c>
      <c r="G10" s="18" t="n">
        <v>37</v>
      </c>
      <c r="H10" s="18" t="n">
        <v>35.5</v>
      </c>
      <c r="I10" s="18" t="n">
        <v>33.9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97.5</v>
      </c>
      <c r="D12" s="13" t="n">
        <v>122.7</v>
      </c>
      <c r="E12" s="13" t="n">
        <v>138.4</v>
      </c>
      <c r="F12" s="13" t="n">
        <v>157.2</v>
      </c>
      <c r="G12" s="14" t="n">
        <v>173</v>
      </c>
      <c r="H12" s="14" t="n">
        <v>185.6</v>
      </c>
      <c r="I12" s="14" t="n">
        <v>196.6</v>
      </c>
    </row>
    <row r="13">
      <c r="B13" s="5" t="inlineStr">
        <is>
          <t>Capital Expenditures (Capex)</t>
        </is>
      </c>
      <c r="C13" s="17" t="n">
        <v>45.3</v>
      </c>
      <c r="D13" s="17" t="n">
        <v>55</v>
      </c>
      <c r="E13" s="17" t="n">
        <v>61.5</v>
      </c>
      <c r="F13" s="17" t="n">
        <v>64.8</v>
      </c>
      <c r="G13" s="18" t="n">
        <v>68</v>
      </c>
      <c r="H13" s="18" t="n">
        <v>66</v>
      </c>
      <c r="I13" s="18" t="n">
        <v>63.5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76.3</v>
      </c>
      <c r="D16" s="13" t="n">
        <v>97.09999999999999</v>
      </c>
      <c r="E16" s="13" t="n">
        <v>117.9</v>
      </c>
      <c r="F16" s="13" t="n">
        <v>138.8</v>
      </c>
      <c r="G16" s="14" t="n">
        <v>163.7</v>
      </c>
      <c r="H16" s="14" t="n">
        <v>187.3</v>
      </c>
      <c r="I16" s="14" t="n">
        <v>208.1</v>
      </c>
    </row>
    <row r="17">
      <c r="B17" s="12" t="inlineStr">
        <is>
          <t>Gross Total Debt</t>
        </is>
      </c>
      <c r="C17" s="13" t="n">
        <v>474.9</v>
      </c>
      <c r="D17" s="13" t="n">
        <v>514</v>
      </c>
      <c r="E17" s="13" t="n">
        <v>547.5</v>
      </c>
      <c r="F17" s="13" t="n">
        <v>558.7</v>
      </c>
      <c r="G17" s="14" t="n">
        <v>547.5</v>
      </c>
      <c r="H17" s="14" t="n">
        <v>530.8</v>
      </c>
      <c r="I17" s="14" t="n">
        <v>502.8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Limak Cement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8.25%</t>
        </is>
      </c>
      <c r="F6" s="21" t="inlineStr">
        <is>
          <t>2028 / 2029</t>
        </is>
      </c>
      <c r="G6" s="17" t="n">
        <v>251.4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139.7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83.8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55.9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27.9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117.9</v>
      </c>
    </row>
    <row r="15">
      <c r="B15" t="inlineStr">
        <is>
          <t>Committed Undrawn RCF Capacity</t>
        </is>
      </c>
      <c r="C15" s="22" t="n">
        <v>74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105.6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Limak Cement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185</v>
      </c>
      <c r="D6" s="17" t="n">
        <v>157.2</v>
      </c>
      <c r="E6" s="25" t="n">
        <v>120.2</v>
      </c>
    </row>
    <row r="7">
      <c r="B7" s="5" t="inlineStr">
        <is>
          <t>Free Cash Flow ($M)</t>
        </is>
      </c>
      <c r="C7" s="17" t="n">
        <v>92.5</v>
      </c>
      <c r="D7" s="17" t="n">
        <v>55.5</v>
      </c>
      <c r="E7" s="25" t="n">
        <v>13.9</v>
      </c>
    </row>
    <row r="8">
      <c r="B8" s="12" t="inlineStr">
        <is>
          <t>Net Leverage Ratio (x)</t>
        </is>
      </c>
      <c r="C8" s="26" t="n">
        <v>2.27</v>
      </c>
      <c r="D8" s="26" t="n">
        <v>2.84</v>
      </c>
      <c r="E8" s="27" t="n">
        <v>4.2</v>
      </c>
    </row>
    <row r="9">
      <c r="B9" s="5" t="inlineStr">
        <is>
          <t>Interest Coverage Ratio (x)</t>
        </is>
      </c>
      <c r="C9" s="26" t="n">
        <v>4.8</v>
      </c>
      <c r="D9" s="26" t="n">
        <v>3.74</v>
      </c>
      <c r="E9" s="27" t="n">
        <v>2.16</v>
      </c>
    </row>
    <row r="10">
      <c r="B10" s="12" t="inlineStr">
        <is>
          <t>Implied Senior Paper Trading / Recovery ($)</t>
        </is>
      </c>
      <c r="C10" s="12" t="inlineStr">
        <is>
          <t>$98.00</t>
        </is>
      </c>
      <c r="D10" s="12" t="inlineStr">
        <is>
          <t>$80.00</t>
        </is>
      </c>
      <c r="E10" s="28" t="inlineStr">
        <is>
          <t>$68.00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2026-09-19T18:23:30Z</dcterms:created>
  <dcterms:modified xmlns:dcterms="http://purl.org/dc/terms/" xmlns:xsi="http://www.w3.org/2001/XMLSchema-instance" xsi:type="dcterms:W3CDTF">2026-09-19T18:23:30Z</dcterms:modified>
</cp:coreProperties>
</file>