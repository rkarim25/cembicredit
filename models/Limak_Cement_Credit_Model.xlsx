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(+$3.3M)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(+$3.4M)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(+$8.1M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(+$9.2M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(+$3.3M)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(+$3.4M)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Institutional Credit Model</t>
        </is>
      </c>
    </row>
    <row r="3">
      <c r="B3" s="2" t="inlineStr">
        <is>
          <t>Sector: Materials | Country: Turkey | Rating: B+ / B | Benchmark: LIMAKC 8.25% 2028 @ $98.80 (8.25% YTM / +385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Integrated Turkish plants + West Africa exports; major supplier for earthquake reconstruction.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LMKCEM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251.415</v>
      </c>
      <c r="F26" s="7" t="inlineStr">
        <is>
          <t>8.25%</t>
        </is>
      </c>
      <c r="G26" s="7" t="inlineStr">
        <is>
          <t>$98.80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LMKCEM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167.61</v>
      </c>
      <c r="F27" s="7" t="inlineStr">
        <is>
          <t>7.50%</t>
        </is>
      </c>
      <c r="G27" s="7" t="inlineStr">
        <is>
          <t>$101.30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139.675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Run-of-Mine Ore / Material Output (Mt)</t>
        </is>
      </c>
      <c r="C6" s="13" t="n">
        <v>14.5</v>
      </c>
      <c r="D6" s="13" t="n">
        <v>15.2</v>
      </c>
      <c r="E6" s="13" t="n">
        <v>16</v>
      </c>
      <c r="F6" s="13" t="n">
        <v>16.8</v>
      </c>
      <c r="G6" s="13" t="n">
        <v>17.5</v>
      </c>
      <c r="H6" s="13" t="n">
        <v>18.2</v>
      </c>
      <c r="I6" s="13" t="n">
        <v>19</v>
      </c>
    </row>
    <row r="7">
      <c r="B7" s="7" t="inlineStr">
        <is>
          <t>Finished Commercial Shipments (Mt)</t>
        </is>
      </c>
      <c r="C7" s="13" t="n">
        <v>9.800000000000001</v>
      </c>
      <c r="D7" s="13" t="n">
        <v>10.4</v>
      </c>
      <c r="E7" s="13" t="n">
        <v>11.1</v>
      </c>
      <c r="F7" s="13" t="n">
        <v>11.8</v>
      </c>
      <c r="G7" s="13" t="n">
        <v>12.4</v>
      </c>
      <c r="H7" s="13" t="n">
        <v>13</v>
      </c>
      <c r="I7" s="13" t="n">
        <v>13.6</v>
      </c>
    </row>
    <row r="8">
      <c r="B8" s="7" t="inlineStr">
        <is>
          <t>Realized Average Selling Price ($/t)</t>
        </is>
      </c>
      <c r="C8" s="14" t="n">
        <v>480</v>
      </c>
      <c r="D8" s="14" t="n">
        <v>640</v>
      </c>
      <c r="E8" s="14" t="n">
        <v>520</v>
      </c>
      <c r="F8" s="14" t="n">
        <v>510</v>
      </c>
      <c r="G8" s="14" t="n">
        <v>500</v>
      </c>
      <c r="H8" s="14" t="n">
        <v>490</v>
      </c>
      <c r="I8" s="14" t="n">
        <v>485</v>
      </c>
    </row>
    <row r="9">
      <c r="B9" s="7" t="inlineStr">
        <is>
          <t>Cash Production Cost ($/t)</t>
        </is>
      </c>
      <c r="C9" s="14" t="n">
        <v>290</v>
      </c>
      <c r="D9" s="14" t="n">
        <v>345</v>
      </c>
      <c r="E9" s="14" t="n">
        <v>330</v>
      </c>
      <c r="F9" s="14" t="n">
        <v>325</v>
      </c>
      <c r="G9" s="14" t="n">
        <v>320</v>
      </c>
      <c r="H9" s="14" t="n">
        <v>315</v>
      </c>
      <c r="I9" s="14" t="n">
        <v>310</v>
      </c>
    </row>
    <row r="10">
      <c r="B10" s="7" t="inlineStr">
        <is>
          <t>Capacity Utilization Rate (%)</t>
        </is>
      </c>
      <c r="C10" s="13" t="n">
        <v>84</v>
      </c>
      <c r="D10" s="13" t="n">
        <v>86.5</v>
      </c>
      <c r="E10" s="13" t="n">
        <v>88</v>
      </c>
      <c r="F10" s="13" t="n">
        <v>89.5</v>
      </c>
      <c r="G10" s="13" t="n">
        <v>90.5</v>
      </c>
      <c r="H10" s="13" t="n">
        <v>91.5</v>
      </c>
      <c r="I10" s="13" t="n">
        <v>92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Primary Industrial Commodities</t>
        </is>
      </c>
      <c r="C15" s="8" t="n">
        <v>269.3</v>
      </c>
      <c r="D15" s="8" t="n">
        <v>324.7</v>
      </c>
      <c r="E15" s="8" t="n">
        <v>364.3</v>
      </c>
      <c r="F15" s="8" t="n">
        <v>396</v>
      </c>
      <c r="G15" s="8" t="n">
        <v>427.7</v>
      </c>
      <c r="H15" s="8" t="n">
        <v>455.4</v>
      </c>
      <c r="I15" s="8" t="n">
        <v>475.2</v>
      </c>
    </row>
    <row r="16">
      <c r="B16" s="7" t="inlineStr">
        <is>
          <t>High-Margin Value-Added Products</t>
        </is>
      </c>
      <c r="C16" s="8" t="n">
        <v>125.7</v>
      </c>
      <c r="D16" s="8" t="n">
        <v>151.5</v>
      </c>
      <c r="E16" s="8" t="n">
        <v>170</v>
      </c>
      <c r="F16" s="8" t="n">
        <v>184.8</v>
      </c>
      <c r="G16" s="8" t="n">
        <v>199.6</v>
      </c>
      <c r="H16" s="8" t="n">
        <v>212.5</v>
      </c>
      <c r="I16" s="8" t="n">
        <v>221.8</v>
      </c>
    </row>
    <row r="17">
      <c r="B17" s="7" t="inlineStr">
        <is>
          <t>By-Product Processing &amp; Industrial Logistics</t>
        </is>
      </c>
      <c r="C17" s="8" t="n">
        <v>53.9</v>
      </c>
      <c r="D17" s="8" t="n">
        <v>64.90000000000001</v>
      </c>
      <c r="E17" s="8" t="n">
        <v>72.90000000000001</v>
      </c>
      <c r="F17" s="8" t="n">
        <v>79.2</v>
      </c>
      <c r="G17" s="8" t="n">
        <v>85.5</v>
      </c>
      <c r="H17" s="8" t="n">
        <v>91.09999999999999</v>
      </c>
      <c r="I17" s="8" t="n">
        <v>95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Primary Industrial Commodities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High-Margin Value-Added Products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By-Product Processing &amp; Industrial Logistics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1.8</v>
      </c>
      <c r="D35" s="24" t="n">
        <v>8.1</v>
      </c>
      <c r="E35" s="24" t="n">
        <v>9.199999999999999</v>
      </c>
      <c r="F35" s="24" t="n">
        <v>10.2</v>
      </c>
      <c r="G35" s="24" t="n">
        <v>3.1</v>
      </c>
      <c r="H35" s="24" t="n">
        <v>3.3</v>
      </c>
      <c r="I35" s="24" t="n">
        <v>3.4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(+$8.1M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(+$9.2M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(+$3.3M)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(+$3.4M)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673.2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157.1</v>
      </c>
      <c r="D36" s="8" t="n">
        <v>157.1</v>
      </c>
      <c r="E36" s="8" t="n">
        <v>157.1</v>
      </c>
      <c r="F36" s="8" t="n">
        <v>157.1</v>
      </c>
      <c r="G36" s="8" t="n">
        <v>157.1</v>
      </c>
      <c r="H36" s="8" t="n">
        <v>157.1</v>
      </c>
      <c r="I36" s="8" t="n">
        <v>157.1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-57.1</v>
      </c>
      <c r="D16" s="8" t="n">
        <v>-99.90000000000001</v>
      </c>
      <c r="E16" s="8" t="n">
        <v>-112.4</v>
      </c>
      <c r="F16" s="8" t="n">
        <v>-106.4</v>
      </c>
      <c r="G16" s="8" t="n">
        <v>-96.7</v>
      </c>
      <c r="H16" s="8" t="n">
        <v>-103.7</v>
      </c>
      <c r="I16" s="8" t="n">
        <v>-109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76.3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20.8</v>
      </c>
      <c r="D32" s="8" t="n">
        <v>44.2</v>
      </c>
      <c r="E32" s="8" t="n">
        <v>49.9</v>
      </c>
      <c r="F32" s="8" t="n">
        <v>31.2</v>
      </c>
      <c r="G32" s="8" t="n">
        <v>33.1</v>
      </c>
      <c r="H32" s="8" t="n">
        <v>34.6</v>
      </c>
      <c r="I32" s="8" t="n">
        <v>35.6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LMKCEM Benchmark Eurobond Notes</t>
        </is>
      </c>
    </row>
    <row r="7">
      <c r="B7" s="7" t="inlineStr">
        <is>
          <t xml:space="preserve">  Beginning Principal Balance</t>
        </is>
      </c>
      <c r="C7" s="8" t="n">
        <v>213.7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71.2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47.5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0.0825</f>
        <v/>
      </c>
      <c r="D11" s="8">
        <f>D10 * 0.0825</f>
        <v/>
      </c>
      <c r="E11" s="8">
        <f>E10 * 0.0825</f>
        <v/>
      </c>
      <c r="F11" s="8">
        <f>F10 * 0.0825</f>
        <v/>
      </c>
      <c r="G11" s="8">
        <f>G10 * 0.0825</f>
        <v/>
      </c>
      <c r="H11" s="8">
        <f>H10 * 0.0825</f>
        <v/>
      </c>
      <c r="I11" s="8">
        <f>I10 * 0.0825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261.2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67</v>
      </c>
      <c r="C32" s="8" t="n">
        <v>122.9</v>
      </c>
      <c r="D32" s="8" t="n">
        <v>156.4</v>
      </c>
      <c r="E32" s="8" t="n">
        <v>100.6</v>
      </c>
      <c r="F32" s="8" t="n">
        <v>67</v>
      </c>
      <c r="G32" s="8" t="n">
        <v>44.7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LMKCEM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251.4</v>
      </c>
      <c r="F37" s="30" t="inlineStr">
        <is>
          <t>8.250%</t>
        </is>
      </c>
      <c r="G37" s="31" t="n">
        <v>98.8</v>
      </c>
      <c r="H37" s="32" t="n">
        <v>8.25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LMKCEM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167.6</v>
      </c>
      <c r="F38" s="30" t="inlineStr">
        <is>
          <t>7.600%</t>
        </is>
      </c>
      <c r="G38" s="31" t="n">
        <v>100.8</v>
      </c>
      <c r="H38" s="32" t="n">
        <v>7.6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83.8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55.9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LMKCEM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156.4</v>
      </c>
    </row>
    <row r="45">
      <c r="B45" s="7" t="inlineStr">
        <is>
          <t>Drawn Amount ($M)</t>
        </is>
      </c>
      <c r="C45" s="8" t="n">
        <v>55.9</v>
      </c>
    </row>
    <row r="46">
      <c r="B46" s="19" t="inlineStr">
        <is>
          <t>AVAILABLE UNDRAWN HEADROOM ($M)</t>
        </is>
      </c>
      <c r="C46" s="20" t="n">
        <v>100.5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2.27x</t>
        </is>
      </c>
      <c r="E55" s="33" t="inlineStr">
        <is>
          <t>1.48x leverage buffer ($273.8M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4.80x</t>
        </is>
      </c>
      <c r="E56" s="33" t="inlineStr">
        <is>
          <t>+2.30x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$145.2M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8.25%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-0.8%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10.25%</t>
        </is>
      </c>
      <c r="F7" s="30" t="inlineStr">
        <is>
          <t>3.2x</t>
        </is>
      </c>
      <c r="G7" s="30" t="inlineStr">
        <is>
          <t>$83.00</t>
        </is>
      </c>
      <c r="H7" s="30" t="inlineStr">
        <is>
          <t>-16.0%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$68.00</t>
        </is>
      </c>
      <c r="H8" s="30" t="inlineStr">
        <is>
          <t>-31.2%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6.75%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+6.3%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139.7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LMKCEM Senior Unsecured Eurobonds</t>
        </is>
      </c>
      <c r="C15" s="8" t="n">
        <v>419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68.0%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83.8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223.5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 Cement (LMKCEM) — Earnings Presentation &amp; Management Guidance</t>
        </is>
      </c>
    </row>
    <row r="3">
      <c r="B3" s="2" t="inlineStr">
        <is>
          <t>Source: Limak Cement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$712.8M (+8.0% YoY growth)</t>
        </is>
      </c>
      <c r="D7" s="36" t="inlineStr">
        <is>
          <t>$702.9M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$712.8M (+8.0% YoY growth). With current run-rate at $702.9M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$203.5M (28.5% margin)</t>
        </is>
      </c>
      <c r="D8" s="36" t="inlineStr">
        <is>
          <t>$199.8M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$203.5M (28.5%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2.27x</t>
        </is>
      </c>
      <c r="E9" s="33" t="inlineStr">
        <is>
          <t>Ahead of Target</t>
        </is>
      </c>
      <c r="F9" s="38" t="inlineStr">
        <is>
          <t>Deleveraging on track with 1.48x buffer below covenant limit.
[QUESTION TO CFO TO VERIFY]: You previously committed to a Net Leverage ceiling of &lt; 3.25x Net Debt / EBITDA. Current actual leverage stands at 2.27x.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$68.0M (Maximum growth and sustaining envelope)</t>
        </is>
      </c>
      <c r="D10" s="36" t="inlineStr">
        <is>
          <t>$62.6M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$68.0M (Maximum growth and sustaining envelope). Current commitments stand at $62.6M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8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8" t="inlineStr">
        <is>
          <t>$64.8M (55% sustaining maintenance / 45% strategic growth)</t>
        </is>
      </c>
    </row>
    <row r="17">
      <c r="B17" s="9" t="inlineStr">
        <is>
          <t>Project Execution Milestones</t>
        </is>
      </c>
      <c r="C17" s="38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8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8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8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8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8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8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8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8" t="inlineStr">
        <is>
          <t>$138.8M in liquid bank deposits</t>
        </is>
      </c>
    </row>
    <row r="35">
      <c r="B35" s="9" t="inlineStr">
        <is>
          <t>Undrawn Committed Credit Lines</t>
        </is>
      </c>
      <c r="C35" s="38" t="inlineStr">
        <is>
          <t>$195.5M in revolving bank facilities</t>
        </is>
      </c>
    </row>
    <row r="36">
      <c r="B36" s="9" t="inlineStr">
        <is>
          <t>Net Debt Headroom</t>
        </is>
      </c>
      <c r="C36" s="38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https://www.google.com/finance/quote/LMKCEM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2026-10-16T04:17:12Z</dcterms:created>
  <dcterms:modified xmlns:dcterms="http://purl.org/dc/terms/" xmlns:xsi="http://www.w3.org/2001/XMLSchema-instance" xsi:type="dcterms:W3CDTF">2026-10-16T04:17:12Z</dcterms:modified>
</cp:coreProperties>
</file>