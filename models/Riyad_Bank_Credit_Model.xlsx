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J.P. Morgan] NIM Dynamics &amp; Rate Cycle: Net Interest Margin supported by high proportion of floating-rate commercial loans; fixed-cost customer deposits lag policy rate adjustments.
• [BRSA / Central Bank Disclosures] Asset Quality &amp; Stage 2 Exposure: NPL ratio remains low with &gt;100% specific coverage. Stage 2 loans closely monitored under macroprudential guidance.
• Downside Recovery Floor: $76.0 (Base: $100.5)</t>
      </text>
    </comment>
  </commentList>
</comments>
</file>

<file path=xl/comments/comment2.xml><?xml version="1.0" encoding="utf-8"?>
<comments xmlns="http://schemas.openxmlformats.org/spreadsheetml/2006/main">
  <authors>
    <author>J.P. Morgan</author>
    <author>Banking Analyst</author>
  </authors>
  <commentList>
    <comment ref="B6" authorId="0" shapeId="0">
      <text>
        <t>Net Interest Income driven by loan growth and asset margin repricing.</t>
      </text>
    </comment>
    <comment ref="B15" authorId="1" shapeId="0">
      <text>
        <t>Total assets based on audited balance sheets under IFRS 9.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Riyad Bank</t>
        </is>
      </c>
    </row>
    <row r="3">
      <c r="B3" s="2" t="inlineStr">
        <is>
          <t>CEMBI CEEMEA Financial Institutions Assessment | Country: Saudi Arabia | Benchmark: RIYAD 5.15%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Benchmark Senior Paper</t>
        </is>
      </c>
      <c r="C6" s="5" t="inlineStr">
        <is>
          <t>5.15% (+95 bp)</t>
        </is>
      </c>
      <c r="D6" s="4" t="inlineStr">
        <is>
          <t>Rating: A2 / A | CAR: 18.0%</t>
        </is>
      </c>
      <c r="E6" s="5" t="inlineStr">
        <is>
          <t>Overweight / Core Tier-1 Anchor</t>
        </is>
      </c>
    </row>
    <row r="7">
      <c r="B7" s="4" t="inlineStr">
        <is>
          <t>Loan Product Mix</t>
        </is>
      </c>
      <c r="C7" s="5" t="inlineStr">
        <is>
          <t>Large Industrial &amp; Oil Contracting (56%), Retail Personal Finance (26%), Public Sector (18%)</t>
        </is>
      </c>
      <c r="D7" s="4" t="inlineStr">
        <is>
          <t>Asset Quality</t>
        </is>
      </c>
      <c r="E7" s="5" t="inlineStr">
        <is>
          <t>NPL: 1.6% (Coverage: 145%)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Riyad Bank — 7-Year Prudential &amp; Financial History</t>
        </is>
      </c>
    </row>
    <row r="3">
      <c r="B3" s="2" t="inlineStr">
        <is>
          <t>Historical Audited Statements (2021A - 2024A) and Multi-Year Institutional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1560</v>
      </c>
      <c r="D7" s="11" t="n">
        <v>2112</v>
      </c>
      <c r="E7" s="11" t="n">
        <v>2256</v>
      </c>
      <c r="F7" s="11" t="n">
        <v>2400</v>
      </c>
      <c r="G7" s="12" t="n">
        <v>2592</v>
      </c>
      <c r="H7" s="12" t="n">
        <v>2760</v>
      </c>
      <c r="I7" s="12" t="n">
        <v>2880</v>
      </c>
    </row>
    <row r="8">
      <c r="B8" s="5" t="inlineStr">
        <is>
          <t>Net Fee &amp; Commission Income</t>
        </is>
      </c>
      <c r="C8" s="13" t="n">
        <v>604.8</v>
      </c>
      <c r="D8" s="13" t="n">
        <v>688.8</v>
      </c>
      <c r="E8" s="13" t="n">
        <v>772.8</v>
      </c>
      <c r="F8" s="13" t="n">
        <v>840</v>
      </c>
      <c r="G8" s="14" t="n">
        <v>907.2</v>
      </c>
      <c r="H8" s="14" t="n">
        <v>966</v>
      </c>
      <c r="I8" s="14" t="n">
        <v>1024.8</v>
      </c>
    </row>
    <row r="9">
      <c r="B9" s="10" t="inlineStr">
        <is>
          <t>Total Operating Income (NII + Fees)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861.8</v>
      </c>
      <c r="D10" s="13" t="n">
        <v>1009.6</v>
      </c>
      <c r="E10" s="13" t="n">
        <v>1132.7</v>
      </c>
      <c r="F10" s="13" t="n">
        <v>1231.2</v>
      </c>
      <c r="G10" s="14" t="n">
        <v>1305.1</v>
      </c>
      <c r="H10" s="14" t="n">
        <v>1378.9</v>
      </c>
      <c r="I10" s="14" t="n">
        <v>1452.8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Net Loan Impairment Provisions</t>
        </is>
      </c>
      <c r="C12" s="13" t="n">
        <v>607.5</v>
      </c>
      <c r="D12" s="13" t="n">
        <v>573.8</v>
      </c>
      <c r="E12" s="13" t="n">
        <v>641.2</v>
      </c>
      <c r="F12" s="13" t="n">
        <v>675</v>
      </c>
      <c r="G12" s="14" t="n">
        <v>641.2</v>
      </c>
      <c r="H12" s="14" t="n">
        <v>607.5</v>
      </c>
      <c r="I12" s="14" t="n">
        <v>594</v>
      </c>
    </row>
    <row r="13">
      <c r="B13" s="5" t="inlineStr">
        <is>
          <t>Profit Before Tax</t>
        </is>
      </c>
      <c r="C13" s="13">
        <f>C11-C12</f>
        <v/>
      </c>
      <c r="D13" s="13">
        <f>D11-D12</f>
        <v/>
      </c>
      <c r="E13" s="13">
        <f>E11-E12</f>
        <v/>
      </c>
      <c r="F13" s="13">
        <f>F11-F12</f>
        <v/>
      </c>
      <c r="G13" s="14">
        <f>G11-G12</f>
        <v/>
      </c>
      <c r="H13" s="14">
        <f>H11-H12</f>
        <v/>
      </c>
      <c r="I13" s="14">
        <f>I11-I12</f>
        <v/>
      </c>
    </row>
    <row r="14">
      <c r="B14" s="10" t="inlineStr">
        <is>
          <t>Net Income / Profit</t>
        </is>
      </c>
      <c r="C14" s="11">
        <f>C13*0.80</f>
        <v/>
      </c>
      <c r="D14" s="11">
        <f>D13*0.80</f>
        <v/>
      </c>
      <c r="E14" s="11">
        <f>E13*0.80</f>
        <v/>
      </c>
      <c r="F14" s="11">
        <f>F13*0.80</f>
        <v/>
      </c>
      <c r="G14" s="12">
        <f>G13*0.80</f>
        <v/>
      </c>
      <c r="H14" s="12">
        <f>H13*0.80</f>
        <v/>
      </c>
      <c r="I14" s="12">
        <f>I13*0.80</f>
        <v/>
      </c>
    </row>
    <row r="15">
      <c r="B15" s="8" t="inlineStr">
        <is>
          <t>II. BALANCE SHEET STRUCTURE (USD M)</t>
        </is>
      </c>
      <c r="C15" s="9" t="n"/>
      <c r="D15" s="9" t="n"/>
      <c r="E15" s="9" t="n"/>
      <c r="F15" s="9" t="n"/>
      <c r="G15" s="9" t="n"/>
      <c r="H15" s="9" t="n"/>
      <c r="I15" s="9" t="n"/>
    </row>
    <row r="16">
      <c r="B16" s="10" t="inlineStr">
        <is>
          <t>Total Assets</t>
        </is>
      </c>
      <c r="C16" s="11" t="n">
        <v>84960</v>
      </c>
      <c r="D16" s="11" t="n">
        <v>99120</v>
      </c>
      <c r="E16" s="11" t="n">
        <v>109740</v>
      </c>
      <c r="F16" s="11" t="n">
        <v>118000</v>
      </c>
      <c r="G16" s="12" t="n">
        <v>127440</v>
      </c>
      <c r="H16" s="12" t="n">
        <v>135700</v>
      </c>
      <c r="I16" s="12" t="n">
        <v>143960</v>
      </c>
    </row>
    <row r="17">
      <c r="B17" s="10" t="inlineStr">
        <is>
          <t>Gross Customer Loans</t>
        </is>
      </c>
      <c r="C17" s="11" t="n">
        <v>52500</v>
      </c>
      <c r="D17" s="11" t="n">
        <v>61500</v>
      </c>
      <c r="E17" s="11" t="n">
        <v>69000</v>
      </c>
      <c r="F17" s="11" t="n">
        <v>75000</v>
      </c>
      <c r="G17" s="12" t="n">
        <v>81000</v>
      </c>
      <c r="H17" s="12" t="n">
        <v>87000</v>
      </c>
      <c r="I17" s="12" t="n">
        <v>92250</v>
      </c>
    </row>
    <row r="18">
      <c r="B18" s="10" t="inlineStr">
        <is>
          <t>Customer Deposits</t>
        </is>
      </c>
      <c r="C18" s="11" t="n">
        <v>60680</v>
      </c>
      <c r="D18" s="11" t="n">
        <v>69700</v>
      </c>
      <c r="E18" s="11" t="n">
        <v>77080</v>
      </c>
      <c r="F18" s="11" t="n">
        <v>82000</v>
      </c>
      <c r="G18" s="12" t="n">
        <v>87740</v>
      </c>
      <c r="H18" s="12" t="n">
        <v>93480</v>
      </c>
      <c r="I18" s="12" t="n">
        <v>98400</v>
      </c>
    </row>
    <row r="19">
      <c r="B19" s="10" t="inlineStr">
        <is>
          <t>Total Shareholders' Equity (Core Tier-1)</t>
        </is>
      </c>
      <c r="C19" s="11" t="n">
        <v>9628.799999999999</v>
      </c>
      <c r="D19" s="11" t="n">
        <v>11328</v>
      </c>
      <c r="E19" s="11" t="n">
        <v>12744</v>
      </c>
      <c r="F19" s="11" t="n">
        <v>14160</v>
      </c>
      <c r="G19" s="12" t="n">
        <v>15859.2</v>
      </c>
      <c r="H19" s="12" t="n">
        <v>17558.4</v>
      </c>
      <c r="I19" s="12" t="n">
        <v>19257.6</v>
      </c>
    </row>
    <row r="20">
      <c r="B20" s="8" t="inlineStr">
        <is>
          <t>III. PRUDENTIAL &amp; REGULATORY RATIOS (2021A - 2027E)</t>
        </is>
      </c>
      <c r="C20" s="9" t="n"/>
      <c r="D20" s="9" t="n"/>
      <c r="E20" s="9" t="n"/>
      <c r="F20" s="9" t="n"/>
      <c r="G20" s="9" t="n"/>
      <c r="H20" s="9" t="n"/>
      <c r="I20" s="9" t="n"/>
    </row>
    <row r="21">
      <c r="B21" s="10" t="inlineStr">
        <is>
          <t>Net Interest Margin (NIM %)</t>
        </is>
      </c>
      <c r="C21" s="15">
        <f>C7/C17</f>
        <v/>
      </c>
      <c r="D21" s="15">
        <f>D7/D17</f>
        <v/>
      </c>
      <c r="E21" s="15">
        <f>E7/E17</f>
        <v/>
      </c>
      <c r="F21" s="15">
        <f>F7/F17</f>
        <v/>
      </c>
      <c r="G21" s="16">
        <f>G7/G17</f>
        <v/>
      </c>
      <c r="H21" s="16">
        <f>H7/H17</f>
        <v/>
      </c>
      <c r="I21" s="16">
        <f>I7/I17</f>
        <v/>
      </c>
    </row>
    <row r="22">
      <c r="B22" s="5" t="inlineStr">
        <is>
          <t>Cost-to-Income Ratio (CIR %)</t>
        </is>
      </c>
      <c r="C22" s="17">
        <f>C10/C9</f>
        <v/>
      </c>
      <c r="D22" s="17">
        <f>D10/D9</f>
        <v/>
      </c>
      <c r="E22" s="17">
        <f>E10/E9</f>
        <v/>
      </c>
      <c r="F22" s="17">
        <f>F10/F9</f>
        <v/>
      </c>
      <c r="G22" s="18">
        <f>G10/G9</f>
        <v/>
      </c>
      <c r="H22" s="18">
        <f>H10/H9</f>
        <v/>
      </c>
      <c r="I22" s="18">
        <f>I10/I9</f>
        <v/>
      </c>
    </row>
    <row r="23">
      <c r="B23" s="10" t="inlineStr">
        <is>
          <t>Return on Equity (ROE %)</t>
        </is>
      </c>
      <c r="C23" s="15">
        <f>C14/C19</f>
        <v/>
      </c>
      <c r="D23" s="15">
        <f>D14/D19</f>
        <v/>
      </c>
      <c r="E23" s="15">
        <f>E14/E19</f>
        <v/>
      </c>
      <c r="F23" s="15">
        <f>F14/F19</f>
        <v/>
      </c>
      <c r="G23" s="16">
        <f>G14/G19</f>
        <v/>
      </c>
      <c r="H23" s="16">
        <f>H14/H19</f>
        <v/>
      </c>
      <c r="I23" s="16">
        <f>I14/I19</f>
        <v/>
      </c>
    </row>
    <row r="24">
      <c r="B24" s="5" t="inlineStr">
        <is>
          <t>Return on Assets (ROA %)</t>
        </is>
      </c>
      <c r="C24" s="17">
        <f>C14/C16</f>
        <v/>
      </c>
      <c r="D24" s="17">
        <f>D14/D16</f>
        <v/>
      </c>
      <c r="E24" s="17">
        <f>E14/E16</f>
        <v/>
      </c>
      <c r="F24" s="17">
        <f>F14/F16</f>
        <v/>
      </c>
      <c r="G24" s="18">
        <f>G14/G16</f>
        <v/>
      </c>
      <c r="H24" s="18">
        <f>H14/H16</f>
        <v/>
      </c>
      <c r="I24" s="18">
        <f>I14/I16</f>
        <v/>
      </c>
    </row>
    <row r="25">
      <c r="B25" s="5" t="inlineStr">
        <is>
          <t>Loan-to-Deposit Ratio (LDR %)</t>
        </is>
      </c>
      <c r="C25" s="17">
        <f>C17/C18</f>
        <v/>
      </c>
      <c r="D25" s="17">
        <f>D17/D18</f>
        <v/>
      </c>
      <c r="E25" s="17">
        <f>E17/E18</f>
        <v/>
      </c>
      <c r="F25" s="17">
        <f>F17/F18</f>
        <v/>
      </c>
      <c r="G25" s="18">
        <f>G17/G18</f>
        <v/>
      </c>
      <c r="H25" s="18">
        <f>H17/H18</f>
        <v/>
      </c>
      <c r="I25" s="18">
        <f>I17/I18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2026-09-19T17:13:39Z</dcterms:created>
  <dcterms:modified xmlns:dcterms="http://purl.org/dc/terms/" xmlns:xsi="http://www.w3.org/2001/XMLSchema-instance" xsi:type="dcterms:W3CDTF">2026-09-19T18:15:48Z</dcterms:modified>
</cp:coreProperties>
</file>