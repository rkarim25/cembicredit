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(+$49.7M)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(+$61.2M)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(+$68.8M)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(+$76.5M)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(+$84.1M)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(+$90.3M)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(+$94.9M)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(+$49.7M)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(+$61.2M)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(+$68.8M)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(+$76.5M)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(+$84.1M)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(+$90.3M)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(+$94.9M)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DP World (DPW) — Institutional Credit Model</t>
        </is>
      </c>
    </row>
    <row r="3">
      <c r="B3" s="2" t="inlineStr">
        <is>
          <t>Sector: Infrastructure | Country: UAE | Rating: BBB+ / Baa2 | Benchmark: DPW 5.35% 2033 @ $98.00 (5.35% YTM / +120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Global port monopoly across 73 countries; 85M+ TEU volume; Dubai Inc. crown jewel; hybrids yield 6.85%.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DPW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9134.1</v>
      </c>
      <c r="F26" s="7" t="inlineStr">
        <is>
          <t>5.35%</t>
        </is>
      </c>
      <c r="G26" s="7" t="inlineStr">
        <is>
          <t>$98.00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DPW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6089.4</v>
      </c>
      <c r="F27" s="7" t="inlineStr">
        <is>
          <t>4.60%</t>
        </is>
      </c>
      <c r="G27" s="7" t="inlineStr">
        <is>
          <t>$100.50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5074.5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DP World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Container Throughput (M TEU)</t>
        </is>
      </c>
      <c r="C6" s="13" t="n">
        <v>72</v>
      </c>
      <c r="D6" s="13" t="n">
        <v>78.5</v>
      </c>
      <c r="E6" s="13" t="n">
        <v>82.40000000000001</v>
      </c>
      <c r="F6" s="13" t="n">
        <v>86.8</v>
      </c>
      <c r="G6" s="13" t="n">
        <v>91.5</v>
      </c>
      <c r="H6" s="13" t="n">
        <v>96</v>
      </c>
      <c r="I6" s="13" t="n">
        <v>101</v>
      </c>
    </row>
    <row r="7">
      <c r="B7" s="7" t="inlineStr">
        <is>
          <t>Consolidated Terminal Volume (M TEU)</t>
        </is>
      </c>
      <c r="C7" s="13" t="n">
        <v>45</v>
      </c>
      <c r="D7" s="13" t="n">
        <v>49.2</v>
      </c>
      <c r="E7" s="13" t="n">
        <v>52</v>
      </c>
      <c r="F7" s="13" t="n">
        <v>55.4</v>
      </c>
      <c r="G7" s="13" t="n">
        <v>58.8</v>
      </c>
      <c r="H7" s="13" t="n">
        <v>62</v>
      </c>
      <c r="I7" s="13" t="n">
        <v>65.5</v>
      </c>
    </row>
    <row r="8">
      <c r="B8" s="7" t="inlineStr">
        <is>
          <t>Average Revenue per TEU ($/TEU)</t>
        </is>
      </c>
      <c r="C8" s="14" t="n">
        <v>142</v>
      </c>
      <c r="D8" s="14" t="n">
        <v>158</v>
      </c>
      <c r="E8" s="14" t="n">
        <v>152</v>
      </c>
      <c r="F8" s="14" t="n">
        <v>149</v>
      </c>
      <c r="G8" s="14" t="n">
        <v>148</v>
      </c>
      <c r="H8" s="14" t="n">
        <v>147</v>
      </c>
      <c r="I8" s="14" t="n">
        <v>146</v>
      </c>
    </row>
    <row r="9">
      <c r="B9" s="7" t="inlineStr">
        <is>
          <t>Concession Life Remaining (Years)</t>
        </is>
      </c>
      <c r="C9" s="14" t="n">
        <v>28</v>
      </c>
      <c r="D9" s="14" t="n">
        <v>27</v>
      </c>
      <c r="E9" s="14" t="n">
        <v>26</v>
      </c>
      <c r="F9" s="14" t="n">
        <v>25</v>
      </c>
      <c r="G9" s="14" t="n">
        <v>24</v>
      </c>
      <c r="H9" s="14" t="n">
        <v>23</v>
      </c>
      <c r="I9" s="14" t="n">
        <v>22</v>
      </c>
    </row>
    <row r="10">
      <c r="B10" s="7" t="inlineStr">
        <is>
          <t>Terminal Utilization Rate (%)</t>
        </is>
      </c>
      <c r="C10" s="13" t="n">
        <v>78.5</v>
      </c>
      <c r="D10" s="13" t="n">
        <v>81.2</v>
      </c>
      <c r="E10" s="13" t="n">
        <v>82.8</v>
      </c>
      <c r="F10" s="13" t="n">
        <v>84.5</v>
      </c>
      <c r="G10" s="13" t="n">
        <v>85.8</v>
      </c>
      <c r="H10" s="13" t="n">
        <v>87</v>
      </c>
      <c r="I10" s="13" t="n">
        <v>88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Container Terminal Handling</t>
        </is>
      </c>
      <c r="C15" s="8" t="n">
        <v>7673.1</v>
      </c>
      <c r="D15" s="8" t="n">
        <v>9252.9</v>
      </c>
      <c r="E15" s="8" t="n">
        <v>10381.3</v>
      </c>
      <c r="F15" s="8" t="n">
        <v>11284</v>
      </c>
      <c r="G15" s="8" t="n">
        <v>12186.7</v>
      </c>
      <c r="H15" s="8" t="n">
        <v>12976.6</v>
      </c>
      <c r="I15" s="8" t="n">
        <v>13540.8</v>
      </c>
    </row>
    <row r="16">
      <c r="B16" s="7" t="inlineStr">
        <is>
          <t>Non-Container &amp; Marine Services</t>
        </is>
      </c>
      <c r="C16" s="8" t="n">
        <v>2846.5</v>
      </c>
      <c r="D16" s="8" t="n">
        <v>3432.5</v>
      </c>
      <c r="E16" s="8" t="n">
        <v>3851.1</v>
      </c>
      <c r="F16" s="8" t="n">
        <v>4186</v>
      </c>
      <c r="G16" s="8" t="n">
        <v>4520.9</v>
      </c>
      <c r="H16" s="8" t="n">
        <v>4813.9</v>
      </c>
      <c r="I16" s="8" t="n">
        <v>5023.2</v>
      </c>
    </row>
    <row r="17">
      <c r="B17" s="7" t="inlineStr">
        <is>
          <t>Logistics, Free Zones &amp; Industrial Parks</t>
        </is>
      </c>
      <c r="C17" s="8" t="n">
        <v>1856.4</v>
      </c>
      <c r="D17" s="8" t="n">
        <v>2238.6</v>
      </c>
      <c r="E17" s="8" t="n">
        <v>2511.6</v>
      </c>
      <c r="F17" s="8" t="n">
        <v>2730</v>
      </c>
      <c r="G17" s="8" t="n">
        <v>2948.4</v>
      </c>
      <c r="H17" s="8" t="n">
        <v>3139.5</v>
      </c>
      <c r="I17" s="8" t="n">
        <v>3276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DP World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Container Terminal Handling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Non-Container &amp; Marine Services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Logistics, Free Zones &amp; Industrial Parks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49.7</v>
      </c>
      <c r="D35" s="24" t="n">
        <v>61.2</v>
      </c>
      <c r="E35" s="24" t="n">
        <v>68.8</v>
      </c>
      <c r="F35" s="24" t="n">
        <v>76.5</v>
      </c>
      <c r="G35" s="24" t="n">
        <v>84.09999999999999</v>
      </c>
      <c r="H35" s="24" t="n">
        <v>90.3</v>
      </c>
      <c r="I35" s="24" t="n">
        <v>94.90000000000001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(+$49.7M)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(+$61.2M)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(+$68.8M)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(+$76.5M)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(+$84.1M)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(+$90.3M)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(+$94.9M)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DP World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18564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4331.6</v>
      </c>
      <c r="D36" s="8" t="n">
        <v>4331.6</v>
      </c>
      <c r="E36" s="8" t="n">
        <v>4331.6</v>
      </c>
      <c r="F36" s="8" t="n">
        <v>4331.6</v>
      </c>
      <c r="G36" s="8" t="n">
        <v>4331.6</v>
      </c>
      <c r="H36" s="8" t="n">
        <v>4331.6</v>
      </c>
      <c r="I36" s="8" t="n">
        <v>4331.6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DP World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-1322.7</v>
      </c>
      <c r="D16" s="8" t="n">
        <v>-2313.4</v>
      </c>
      <c r="E16" s="8" t="n">
        <v>-2602.5</v>
      </c>
      <c r="F16" s="8" t="n">
        <v>-2463.3</v>
      </c>
      <c r="G16" s="8" t="n">
        <v>-2238.4</v>
      </c>
      <c r="H16" s="8" t="n">
        <v>-2401.2</v>
      </c>
      <c r="I16" s="8" t="n">
        <v>-2523.3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2103.8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630.2</v>
      </c>
      <c r="D32" s="8" t="n">
        <v>1287.3</v>
      </c>
      <c r="E32" s="8" t="n">
        <v>1452.9</v>
      </c>
      <c r="F32" s="8" t="n">
        <v>947</v>
      </c>
      <c r="G32" s="8" t="n">
        <v>1007.2</v>
      </c>
      <c r="H32" s="8" t="n">
        <v>1058.5</v>
      </c>
      <c r="I32" s="8" t="n">
        <v>1093.8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DP World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DPW Benchmark Eurobond Notes</t>
        </is>
      </c>
    </row>
    <row r="7">
      <c r="B7" s="7" t="inlineStr">
        <is>
          <t xml:space="preserve">  Beginning Principal Balance</t>
        </is>
      </c>
      <c r="C7" s="8" t="n">
        <v>7764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2588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1725.3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0.0535</f>
        <v/>
      </c>
      <c r="D11" s="8">
        <f>D10 * 0.0535</f>
        <v/>
      </c>
      <c r="E11" s="8">
        <f>E10 * 0.0535</f>
        <v/>
      </c>
      <c r="F11" s="8">
        <f>F10 * 0.0535</f>
        <v/>
      </c>
      <c r="G11" s="8">
        <f>G10 * 0.0535</f>
        <v/>
      </c>
      <c r="H11" s="8">
        <f>H10 * 0.0535</f>
        <v/>
      </c>
      <c r="I11" s="8">
        <f>I10 * 0.0535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9489.299999999999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2435.8</v>
      </c>
      <c r="C32" s="8" t="n">
        <v>4465.6</v>
      </c>
      <c r="D32" s="8" t="n">
        <v>5683.4</v>
      </c>
      <c r="E32" s="8" t="n">
        <v>3653.6</v>
      </c>
      <c r="F32" s="8" t="n">
        <v>2435.8</v>
      </c>
      <c r="G32" s="8" t="n">
        <v>1623.8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DPW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9134.1</v>
      </c>
      <c r="F37" s="30" t="inlineStr">
        <is>
          <t>5.350%</t>
        </is>
      </c>
      <c r="G37" s="31" t="n">
        <v>98</v>
      </c>
      <c r="H37" s="32" t="n">
        <v>5.35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DPW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6089.4</v>
      </c>
      <c r="F38" s="30" t="inlineStr">
        <is>
          <t>4.700%</t>
        </is>
      </c>
      <c r="G38" s="31" t="n">
        <v>100</v>
      </c>
      <c r="H38" s="32" t="n">
        <v>4.699999999999999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3044.7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2029.8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DPW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5683.4</v>
      </c>
    </row>
    <row r="45">
      <c r="B45" s="7" t="inlineStr">
        <is>
          <t>Drawn Amount ($M)</t>
        </is>
      </c>
      <c r="C45" s="8" t="n">
        <v>2029.8</v>
      </c>
    </row>
    <row r="46">
      <c r="B46" s="19" t="inlineStr">
        <is>
          <t>AVAILABLE UNDRAWN HEADROOM ($M)</t>
        </is>
      </c>
      <c r="C46" s="20" t="n">
        <v>3653.6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3.23x</t>
        </is>
      </c>
      <c r="E55" s="33" t="inlineStr">
        <is>
          <t>0.52x leverage buffer ($2652.0M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5.37x</t>
        </is>
      </c>
      <c r="E56" s="33" t="inlineStr">
        <is>
          <t>+2.87x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9.3% of Assets</t>
        </is>
      </c>
      <c r="E57" s="33" t="inlineStr">
        <is>
          <t>$4004.0M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DP World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DP World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5.35%</t>
        </is>
      </c>
      <c r="F6" s="35" t="inlineStr">
        <is>
          <t>4.2x</t>
        </is>
      </c>
      <c r="G6" s="35" t="inlineStr">
        <is>
          <t>$102.50</t>
        </is>
      </c>
      <c r="H6" s="35" t="inlineStr">
        <is>
          <t>+4.6%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7.35%</t>
        </is>
      </c>
      <c r="F7" s="30" t="inlineStr">
        <is>
          <t>3.2x</t>
        </is>
      </c>
      <c r="G7" s="30" t="inlineStr">
        <is>
          <t>$87.25</t>
        </is>
      </c>
      <c r="H7" s="30" t="inlineStr">
        <is>
          <t>-11.0%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$72.00</t>
        </is>
      </c>
      <c r="H8" s="30" t="inlineStr">
        <is>
          <t>-26.5%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3.85%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+7.1%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5074.5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DPW Senior Unsecured Eurobonds</t>
        </is>
      </c>
      <c r="C15" s="8" t="n">
        <v>15223.5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72.0%</t>
        </is>
      </c>
      <c r="G15" s="30" t="inlineStr">
        <is>
          <t>102.5%</t>
        </is>
      </c>
    </row>
    <row r="16">
      <c r="B16" s="7" t="inlineStr">
        <is>
          <t>Subordinated Debt &amp; Intercompany Notes</t>
        </is>
      </c>
      <c r="C16" s="8" t="n">
        <v>3044.7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8119.2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UAE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8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DP World (DPW) — Earnings Presentation &amp; Management Guidance</t>
        </is>
      </c>
    </row>
    <row r="3">
      <c r="B3" s="2" t="inlineStr">
        <is>
          <t>Source: DP World FY2024 Global Investor Presentation &amp; Infrastructure Review | Reporting Currency: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$19656.0M (+8.0% YoY growth)</t>
        </is>
      </c>
      <c r="D7" s="36" t="inlineStr">
        <is>
          <t>$19383.0M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$19656.0M (+8.0% YoY growth). With current run-rate at $19383.0M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$5610.0M (28.5% margin)</t>
        </is>
      </c>
      <c r="D8" s="36" t="inlineStr">
        <is>
          <t>$5508.0M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$5610.0M (28.5%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3.23x</t>
        </is>
      </c>
      <c r="E9" s="37" t="inlineStr">
        <is>
          <t>On Track</t>
        </is>
      </c>
      <c r="F9" s="38" t="inlineStr">
        <is>
          <t>Deleveraging on track with 0.52x buffer below covenant limit.
[QUESTION TO CFO TO VERIFY]: You previously committed to a Net Leverage ceiling of &lt; 3.25x Net Debt / EBITDA. Current actual leverage stands at 3.23x.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$1874.2M (Maximum growth and sustaining envelope)</t>
        </is>
      </c>
      <c r="D10" s="36" t="inlineStr">
        <is>
          <t>$1724.3M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$1874.2M (Maximum growth and sustaining envelope). Current commitments stand at $1724.3M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Infrastructure Expansion Projects</t>
        </is>
      </c>
      <c r="C15" s="38" t="inlineStr">
        <is>
          <t>Deep-Water Terminal Berth Deepening, Automated Quay Cranes, Logistics Free Zones</t>
        </is>
      </c>
    </row>
    <row r="16">
      <c r="B16" s="9" t="inlineStr">
        <is>
          <t>Multi Year Capex Program</t>
        </is>
      </c>
      <c r="C16" s="38" t="inlineStr">
        <is>
          <t>$5355.0M across gateway port and logistics infrastructure</t>
        </is>
      </c>
    </row>
    <row r="17">
      <c r="B17" s="9" t="inlineStr">
        <is>
          <t>Concession Duration Profile</t>
        </is>
      </c>
      <c r="C17" s="38" t="inlineStr">
        <is>
          <t>26.8 years weighted average remaining life on port and terminal concessions</t>
        </is>
      </c>
    </row>
    <row r="18">
      <c r="B18" s="9" t="inlineStr">
        <is>
          <t>Automation Efficiency Gains</t>
        </is>
      </c>
      <c r="C18" s="38" t="inlineStr">
        <is>
          <t>Terminal electrification reducing carbon emissions per gross move by 22%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Tariff Share</t>
        </is>
      </c>
      <c r="C22" s="38" t="inlineStr">
        <is>
          <t>74.0% of revenue collected in USD or currencies pegged to the USD</t>
        </is>
      </c>
    </row>
    <row r="23">
      <c r="B23" s="9" t="inlineStr">
        <is>
          <t>Global Diversification</t>
        </is>
      </c>
      <c r="C23" s="38" t="inlineStr">
        <is>
          <t>Operations spanning strategic global maritime bottlenecks and trade arteries</t>
        </is>
      </c>
    </row>
    <row r="24">
      <c r="B24" s="9" t="inlineStr">
        <is>
          <t>Contractual Tariff Indexation</t>
        </is>
      </c>
      <c r="C24" s="38" t="inlineStr">
        <is>
          <t>Statutory concession agreements permit annual tariff adjustments linked to US/local CPI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Terminal Utilization Rate</t>
        </is>
      </c>
      <c r="C28" s="38" t="inlineStr">
        <is>
          <t>84.5% across primary gateway facilities (Optimal operating efficiency band)</t>
        </is>
      </c>
    </row>
    <row r="29">
      <c r="B29" s="9" t="inlineStr">
        <is>
          <t>Shipping Alliance Concentration</t>
        </is>
      </c>
      <c r="C29" s="38" t="inlineStr">
        <is>
          <t>Balanced volume allocation across top global maritime shipping alliances</t>
        </is>
      </c>
    </row>
    <row r="30">
      <c r="B30" s="9" t="inlineStr">
        <is>
          <t>Ancillary Logistics Share</t>
        </is>
      </c>
      <c r="C30" s="38" t="inlineStr">
        <is>
          <t>Expanding end-to-end supply chain logistics services to 28% of group revenue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Deposits</t>
        </is>
      </c>
      <c r="C34" s="38" t="inlineStr">
        <is>
          <t>$3825.0M</t>
        </is>
      </c>
    </row>
    <row r="35">
      <c r="B35" s="9" t="inlineStr">
        <is>
          <t>Undrawn Committed Bank Rcfs</t>
        </is>
      </c>
      <c r="C35" s="38" t="inlineStr">
        <is>
          <t>$9134.1M in long-term syndicated revolving facilities</t>
        </is>
      </c>
    </row>
    <row r="36">
      <c r="B36" s="9" t="inlineStr">
        <is>
          <t>Liquidity Coverage Ratio</t>
        </is>
      </c>
      <c r="C36" s="38" t="inlineStr">
        <is>
          <t>Available liquidity covers 36+ months of upcoming bond and loan maturities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2026-11-26</t>
        </is>
      </c>
    </row>
    <row r="47">
      <c r="B47" s="9" t="inlineStr">
        <is>
          <t>Reporting Period</t>
        </is>
      </c>
      <c r="C47" s="38" t="inlineStr">
        <is>
          <t>9M 2026 Container Throughput &amp; Interim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Dubai / 10:00 UK</t>
        </is>
      </c>
    </row>
    <row r="50">
      <c r="B50" s="9" t="inlineStr">
        <is>
          <t>Official IR Portal / Webcast URL</t>
        </is>
      </c>
      <c r="C50" s="38" t="inlineStr">
        <is>
          <t>https://www.dpworld.com/investors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2026-10-16T04:17:03Z</dcterms:created>
  <dcterms:modified xmlns:dcterms="http://purl.org/dc/terms/" xmlns:xsi="http://www.w3.org/2001/XMLSchema-instance" xsi:type="dcterms:W3CDTF">2026-10-16T04:17:03Z</dcterms:modified>
</cp:coreProperties>
</file>