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DP World</t>
        </is>
      </c>
    </row>
    <row r="3">
      <c r="B3" s="2" t="inlineStr">
        <is>
          <t>CEMBI CEEMEA Institutional Credit Assessment | Country: UAE (Middle East) | Sector: Infrastructure | Benchmark: DPW 5.35% 2033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DPW 5.35% 2033</t>
        </is>
      </c>
      <c r="C6" s="5" t="inlineStr">
        <is>
          <t>5.35% (+120 bp)</t>
        </is>
      </c>
      <c r="D6" s="4" t="inlineStr">
        <is>
          <t>BBB+ / Baa2 | IG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$72.00</t>
        </is>
      </c>
      <c r="D7" s="4" t="inlineStr">
        <is>
          <t>Base Case Fair Value</t>
        </is>
      </c>
      <c r="E7" s="5" t="inlineStr">
        <is>
          <t>$102.50</t>
        </is>
      </c>
    </row>
    <row r="9">
      <c r="B9" s="6" t="inlineStr">
        <is>
          <t>INSTITUTIONAL INVESTMENT THESIS</t>
        </is>
      </c>
    </row>
    <row r="10">
      <c r="B10" s="7" t="inlineStr">
        <is>
          <t>Global port monopoly across 73 countries; 85M+ TEU volume; Dubai Inc. crown jewel; hybrids yield 6.85%.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DP World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12376</v>
      </c>
      <c r="D7" s="13" t="n">
        <v>14924</v>
      </c>
      <c r="E7" s="13" t="n">
        <v>16744</v>
      </c>
      <c r="F7" s="13" t="n">
        <v>18200</v>
      </c>
      <c r="G7" s="14" t="n">
        <v>19656</v>
      </c>
      <c r="H7" s="14" t="n">
        <v>20930</v>
      </c>
      <c r="I7" s="14" t="n">
        <v>21840</v>
      </c>
    </row>
    <row r="8">
      <c r="B8" s="12" t="inlineStr">
        <is>
          <t>EBITDA</t>
        </is>
      </c>
      <c r="C8" s="13" t="n">
        <v>3315</v>
      </c>
      <c r="D8" s="13" t="n">
        <v>4080</v>
      </c>
      <c r="E8" s="13" t="n">
        <v>4590</v>
      </c>
      <c r="F8" s="13" t="n">
        <v>5100</v>
      </c>
      <c r="G8" s="14" t="n">
        <v>5610</v>
      </c>
      <c r="H8" s="14" t="n">
        <v>6018</v>
      </c>
      <c r="I8" s="14" t="n">
        <v>6324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569.8</v>
      </c>
      <c r="D10" s="17" t="n">
        <v>712.3</v>
      </c>
      <c r="E10" s="17" t="n">
        <v>854.7</v>
      </c>
      <c r="F10" s="17" t="n">
        <v>949.7</v>
      </c>
      <c r="G10" s="18" t="n">
        <v>911.7</v>
      </c>
      <c r="H10" s="18" t="n">
        <v>873.7</v>
      </c>
      <c r="I10" s="18" t="n">
        <v>835.8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2687.7</v>
      </c>
      <c r="D12" s="13" t="n">
        <v>3381.3</v>
      </c>
      <c r="E12" s="13" t="n">
        <v>3814.8</v>
      </c>
      <c r="F12" s="13" t="n">
        <v>4335</v>
      </c>
      <c r="G12" s="14" t="n">
        <v>4768.5</v>
      </c>
      <c r="H12" s="14" t="n">
        <v>5115.3</v>
      </c>
      <c r="I12" s="14" t="n">
        <v>5418.8</v>
      </c>
    </row>
    <row r="13">
      <c r="B13" s="5" t="inlineStr">
        <is>
          <t>Capital Expenditures (Capex)</t>
        </is>
      </c>
      <c r="C13" s="17" t="n">
        <v>1249.5</v>
      </c>
      <c r="D13" s="17" t="n">
        <v>1517.2</v>
      </c>
      <c r="E13" s="17" t="n">
        <v>1695.8</v>
      </c>
      <c r="F13" s="17" t="n">
        <v>1785</v>
      </c>
      <c r="G13" s="18" t="n">
        <v>1874.2</v>
      </c>
      <c r="H13" s="18" t="n">
        <v>1820.7</v>
      </c>
      <c r="I13" s="18" t="n">
        <v>1749.3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2103.8</v>
      </c>
      <c r="D16" s="13" t="n">
        <v>2677.5</v>
      </c>
      <c r="E16" s="13" t="n">
        <v>3251.2</v>
      </c>
      <c r="F16" s="13" t="n">
        <v>3825</v>
      </c>
      <c r="G16" s="14" t="n">
        <v>4513.5</v>
      </c>
      <c r="H16" s="14" t="n">
        <v>5163.8</v>
      </c>
      <c r="I16" s="14" t="n">
        <v>5737.5</v>
      </c>
    </row>
    <row r="17">
      <c r="B17" s="12" t="inlineStr">
        <is>
          <t>Gross Total Debt</t>
        </is>
      </c>
      <c r="C17" s="13" t="n">
        <v>17253.3</v>
      </c>
      <c r="D17" s="13" t="n">
        <v>18674.2</v>
      </c>
      <c r="E17" s="13" t="n">
        <v>19892</v>
      </c>
      <c r="F17" s="13" t="n">
        <v>20298</v>
      </c>
      <c r="G17" s="14" t="n">
        <v>19892</v>
      </c>
      <c r="H17" s="14" t="n">
        <v>19283.1</v>
      </c>
      <c r="I17" s="14" t="n">
        <v>18268.2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DP World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5.35%</t>
        </is>
      </c>
      <c r="F6" s="21" t="inlineStr">
        <is>
          <t>2028 / 2029</t>
        </is>
      </c>
      <c r="G6" s="17" t="n">
        <v>9134.1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5074.5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3044.7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2029.8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1014.9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3251.2</v>
      </c>
    </row>
    <row r="15">
      <c r="B15" t="inlineStr">
        <is>
          <t>Committed Undrawn RCF Capacity</t>
        </is>
      </c>
      <c r="C15" s="22" t="n">
        <v>2040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3385.5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DP World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5100</v>
      </c>
      <c r="D6" s="17" t="n">
        <v>4335</v>
      </c>
      <c r="E6" s="25" t="n">
        <v>3315</v>
      </c>
    </row>
    <row r="7">
      <c r="B7" s="5" t="inlineStr">
        <is>
          <t>Free Cash Flow ($M)</t>
        </is>
      </c>
      <c r="C7" s="17" t="n">
        <v>2550</v>
      </c>
      <c r="D7" s="17" t="n">
        <v>1530</v>
      </c>
      <c r="E7" s="25" t="n">
        <v>382.5</v>
      </c>
    </row>
    <row r="8">
      <c r="B8" s="12" t="inlineStr">
        <is>
          <t>Net Leverage Ratio (x)</t>
        </is>
      </c>
      <c r="C8" s="26" t="n">
        <v>3.23</v>
      </c>
      <c r="D8" s="26" t="n">
        <v>4.04</v>
      </c>
      <c r="E8" s="27" t="n">
        <v>5.98</v>
      </c>
    </row>
    <row r="9">
      <c r="B9" s="5" t="inlineStr">
        <is>
          <t>Interest Coverage Ratio (x)</t>
        </is>
      </c>
      <c r="C9" s="26" t="n">
        <v>5.37</v>
      </c>
      <c r="D9" s="26" t="n">
        <v>4.19</v>
      </c>
      <c r="E9" s="27" t="n">
        <v>2.42</v>
      </c>
    </row>
    <row r="10">
      <c r="B10" s="12" t="inlineStr">
        <is>
          <t>Implied Senior Paper Trading / Recovery ($)</t>
        </is>
      </c>
      <c r="C10" s="12" t="inlineStr">
        <is>
          <t>$102.50</t>
        </is>
      </c>
      <c r="D10" s="12" t="inlineStr">
        <is>
          <t>$84.00</t>
        </is>
      </c>
      <c r="E10" s="28" t="inlineStr">
        <is>
          <t>$72.00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