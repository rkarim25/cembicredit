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$99.66 (8.13% YTM / +329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943.65</v>
      </c>
      <c r="F26" s="7" t="inlineStr">
        <is>
          <t>8.13%</t>
        </is>
      </c>
      <c r="G26" s="7" t="inlineStr">
        <is>
          <t>$99.66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629.1</v>
      </c>
      <c r="F27" s="7" t="inlineStr">
        <is>
          <t>7.38%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524.25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1027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347.6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205.4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-91.7</v>
      </c>
      <c r="D16" s="8" t="n">
        <v>-160.4</v>
      </c>
      <c r="E16" s="8" t="n">
        <v>-180.4</v>
      </c>
      <c r="F16" s="8" t="n">
        <v>95</v>
      </c>
      <c r="G16" s="8" t="n">
        <v>-155.2</v>
      </c>
      <c r="H16" s="8" t="n">
        <v>-166.5</v>
      </c>
      <c r="I16" s="8" t="n">
        <v>-174.9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71.3</v>
      </c>
      <c r="D32" s="8" t="n">
        <v>165.1</v>
      </c>
      <c r="E32" s="8" t="n">
        <v>185.9</v>
      </c>
      <c r="F32" s="8" t="n">
        <v>586.8</v>
      </c>
      <c r="G32" s="8" t="n">
        <v>112.3</v>
      </c>
      <c r="H32" s="8" t="n">
        <v>118.4</v>
      </c>
      <c r="I32" s="8" t="n">
        <v>122.6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0.0813</f>
        <v/>
      </c>
      <c r="D11" s="8">
        <f>D10 * 0.0813</f>
        <v/>
      </c>
      <c r="E11" s="8">
        <f>E10 * 0.0813</f>
        <v/>
      </c>
      <c r="F11" s="8">
        <f>F10 * 0.0813</f>
        <v/>
      </c>
      <c r="G11" s="8">
        <f>G10 * 0.0813</f>
        <v/>
      </c>
      <c r="H11" s="8">
        <f>H10 * 0.0813</f>
        <v/>
      </c>
      <c r="I11" s="8">
        <f>I10 * 0.0813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251.6</v>
      </c>
      <c r="C32" s="8" t="n">
        <v>461.3</v>
      </c>
      <c r="D32" s="8" t="n">
        <v>587.2</v>
      </c>
      <c r="E32" s="8" t="n">
        <v>377.5</v>
      </c>
      <c r="F32" s="8" t="n">
        <v>251.6</v>
      </c>
      <c r="G32" s="8" t="n">
        <v>167.8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8.13%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+0.8%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10.13%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-17.0%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-34.8%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6.63%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524.2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1572.8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314.6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838.8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$993.6M (+8.0% YoY growth). With current run-rate at $979.8M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$297.0M (29.9%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
[QUESTION TO CFO TO VERIFY]: You previously committed to a Net Leverage ceiling of &lt; 3.00x Net Debt / EBITDA. Current actual leverage stands at 1.89x.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$99.2M (Maximum growth and sustaining envelope). Current commitments stand at $91.3M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2026-11-18</t>
        </is>
      </c>
    </row>
    <row r="48">
      <c r="B48" s="9" t="inlineStr">
        <is>
          <t>Reporting Period</t>
        </is>
      </c>
      <c r="C48" s="37" t="inlineStr">
        <is>
          <t>Q3 2026 Sukuk Covenants &amp; Sales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Dubai</t>
        </is>
      </c>
    </row>
    <row r="51">
      <c r="B51" s="9" t="inlineStr">
        <is>
          <t>Official IR Portal / Webcast URL</t>
        </is>
      </c>
      <c r="C51" s="37" t="inlineStr">
        <is>
          <t>https://arada.com/en/investor-relations/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2026-09-27T04:14:44Z</dcterms:created>
  <dcterms:modified xmlns:dcterms="http://purl.org/dc/terms/" xmlns:xsi="http://www.w3.org/2001/XMLSchema-instance" xsi:type="dcterms:W3CDTF">2026-09-27T04:14:44Z</dcterms:modified>
</cp:coreProperties>
</file>