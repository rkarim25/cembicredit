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Arada Developments</t>
        </is>
      </c>
    </row>
    <row r="3">
      <c r="B3" s="2" t="inlineStr">
        <is>
          <t>CEMBI CEEMEA Institutional Credit Assessment | Country: UAE (Middle East) | Sector: Real Estate | Benchmark: ARADA 8.05%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ARADA 8.05% 2029</t>
        </is>
      </c>
      <c r="C6" s="5" t="inlineStr">
        <is>
          <t>8.05% (+400 bp)</t>
        </is>
      </c>
      <c r="D6" s="4" t="inlineStr">
        <is>
          <t>B+ / B1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$65.00</t>
        </is>
      </c>
      <c r="D7" s="4" t="inlineStr">
        <is>
          <t>Base Case Fair Value</t>
        </is>
      </c>
      <c r="E7" s="5" t="inlineStr">
        <is>
          <t>$100.50</t>
        </is>
      </c>
    </row>
    <row r="9">
      <c r="B9" s="6" t="inlineStr">
        <is>
          <t>INSTITUTIONAL INVESTMENT THESIS</t>
        </is>
      </c>
    </row>
    <row r="10">
      <c r="B10" s="7" t="inlineStr">
        <is>
          <t>Royal shareholding (Sharjah ruling family); Sharjah master development monopoly + Dubai expansion.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Arada Developments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625.6</v>
      </c>
      <c r="D7" s="13" t="n">
        <v>754.4</v>
      </c>
      <c r="E7" s="13" t="n">
        <v>846.4</v>
      </c>
      <c r="F7" s="13" t="n">
        <v>920</v>
      </c>
      <c r="G7" s="14" t="n">
        <v>993.6</v>
      </c>
      <c r="H7" s="14" t="n">
        <v>1058</v>
      </c>
      <c r="I7" s="14" t="n">
        <v>1104</v>
      </c>
    </row>
    <row r="8">
      <c r="B8" s="12" t="inlineStr">
        <is>
          <t>EBITDA</t>
        </is>
      </c>
      <c r="C8" s="13" t="n">
        <v>175.5</v>
      </c>
      <c r="D8" s="13" t="n">
        <v>216</v>
      </c>
      <c r="E8" s="13" t="n">
        <v>243</v>
      </c>
      <c r="F8" s="13" t="n">
        <v>270</v>
      </c>
      <c r="G8" s="14" t="n">
        <v>297</v>
      </c>
      <c r="H8" s="14" t="n">
        <v>318.6</v>
      </c>
      <c r="I8" s="14" t="n">
        <v>334.8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39</v>
      </c>
      <c r="D10" s="17" t="n">
        <v>48.8</v>
      </c>
      <c r="E10" s="17" t="n">
        <v>58.6</v>
      </c>
      <c r="F10" s="17" t="n">
        <v>65.09999999999999</v>
      </c>
      <c r="G10" s="18" t="n">
        <v>62.5</v>
      </c>
      <c r="H10" s="18" t="n">
        <v>59.9</v>
      </c>
      <c r="I10" s="18" t="n">
        <v>57.3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142.3</v>
      </c>
      <c r="D12" s="13" t="n">
        <v>179</v>
      </c>
      <c r="E12" s="13" t="n">
        <v>202</v>
      </c>
      <c r="F12" s="13" t="n">
        <v>229.5</v>
      </c>
      <c r="G12" s="14" t="n">
        <v>252.5</v>
      </c>
      <c r="H12" s="14" t="n">
        <v>270.8</v>
      </c>
      <c r="I12" s="14" t="n">
        <v>286.9</v>
      </c>
    </row>
    <row r="13">
      <c r="B13" s="5" t="inlineStr">
        <is>
          <t>Capital Expenditures (Capex)</t>
        </is>
      </c>
      <c r="C13" s="17" t="n">
        <v>66.09999999999999</v>
      </c>
      <c r="D13" s="17" t="n">
        <v>80.3</v>
      </c>
      <c r="E13" s="17" t="n">
        <v>89.8</v>
      </c>
      <c r="F13" s="17" t="n">
        <v>94.5</v>
      </c>
      <c r="G13" s="18" t="n">
        <v>99.2</v>
      </c>
      <c r="H13" s="18" t="n">
        <v>96.40000000000001</v>
      </c>
      <c r="I13" s="18" t="n">
        <v>92.59999999999999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111.4</v>
      </c>
      <c r="D16" s="13" t="n">
        <v>141.8</v>
      </c>
      <c r="E16" s="13" t="n">
        <v>172.1</v>
      </c>
      <c r="F16" s="13" t="n">
        <v>202.5</v>
      </c>
      <c r="G16" s="14" t="n">
        <v>238.9</v>
      </c>
      <c r="H16" s="14" t="n">
        <v>273.4</v>
      </c>
      <c r="I16" s="14" t="n">
        <v>303.8</v>
      </c>
    </row>
    <row r="17">
      <c r="B17" s="12" t="inlineStr">
        <is>
          <t>Gross Total Debt</t>
        </is>
      </c>
      <c r="C17" s="13" t="n">
        <v>605.9</v>
      </c>
      <c r="D17" s="13" t="n">
        <v>655.8</v>
      </c>
      <c r="E17" s="13" t="n">
        <v>698.5</v>
      </c>
      <c r="F17" s="13" t="n">
        <v>712.8</v>
      </c>
      <c r="G17" s="14" t="n">
        <v>698.5</v>
      </c>
      <c r="H17" s="14" t="n">
        <v>677.2</v>
      </c>
      <c r="I17" s="14" t="n">
        <v>641.5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Arada Developments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8.05%</t>
        </is>
      </c>
      <c r="F6" s="21" t="inlineStr">
        <is>
          <t>2028 / 2029</t>
        </is>
      </c>
      <c r="G6" s="17" t="n">
        <v>320.8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178.2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106.9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71.3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35.6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172.1</v>
      </c>
    </row>
    <row r="15">
      <c r="B15" t="inlineStr">
        <is>
          <t>Committed Undrawn RCF Capacity</t>
        </is>
      </c>
      <c r="C15" s="22" t="n">
        <v>108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150.6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Arada Developments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270</v>
      </c>
      <c r="D6" s="17" t="n">
        <v>229.5</v>
      </c>
      <c r="E6" s="25" t="n">
        <v>175.5</v>
      </c>
    </row>
    <row r="7">
      <c r="B7" s="5" t="inlineStr">
        <is>
          <t>Free Cash Flow ($M)</t>
        </is>
      </c>
      <c r="C7" s="17" t="n">
        <v>135</v>
      </c>
      <c r="D7" s="17" t="n">
        <v>81</v>
      </c>
      <c r="E7" s="25" t="n">
        <v>20.2</v>
      </c>
    </row>
    <row r="8">
      <c r="B8" s="12" t="inlineStr">
        <is>
          <t>Net Leverage Ratio (x)</t>
        </is>
      </c>
      <c r="C8" s="26" t="n">
        <v>1.89</v>
      </c>
      <c r="D8" s="26" t="n">
        <v>2.36</v>
      </c>
      <c r="E8" s="27" t="n">
        <v>3.5</v>
      </c>
    </row>
    <row r="9">
      <c r="B9" s="5" t="inlineStr">
        <is>
          <t>Interest Coverage Ratio (x)</t>
        </is>
      </c>
      <c r="C9" s="26" t="n">
        <v>4.15</v>
      </c>
      <c r="D9" s="26" t="n">
        <v>3.24</v>
      </c>
      <c r="E9" s="27" t="n">
        <v>1.87</v>
      </c>
    </row>
    <row r="10">
      <c r="B10" s="12" t="inlineStr">
        <is>
          <t>Implied Senior Paper Trading / Recovery ($)</t>
        </is>
      </c>
      <c r="C10" s="12" t="inlineStr">
        <is>
          <t>$100.50</t>
        </is>
      </c>
      <c r="D10" s="12" t="inlineStr">
        <is>
          <t>$77.00</t>
        </is>
      </c>
      <c r="E10" s="28" t="inlineStr">
        <is>
          <t>$65.00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2026-09-19T18:23:30Z</dcterms:created>
  <dcterms:modified xmlns:dcterms="http://purl.org/dc/terms/" xmlns:xsi="http://www.w3.org/2001/XMLSchema-instance" xsi:type="dcterms:W3CDTF">2026-09-19T18:23:30Z</dcterms:modified>
</cp:coreProperties>
</file>