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Institutional Credit Model</t>
        </is>
      </c>
    </row>
    <row r="3">
      <c r="B3" s="2" t="inlineStr">
        <is>
          <t>Sector: Real Estate | Country: UAE | Rating: B+ / B1 | Benchmark: ARADA 8.05% 2029 @ $99.66 (8.13% YTM / +329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Royal shareholding (Sharjah ruling family); Sharjah master development monopoly + Dubai expansion.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ARADA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943.65</v>
      </c>
      <c r="F26" s="7" t="inlineStr">
        <is>
          <t>8.13%</t>
        </is>
      </c>
      <c r="G26" s="7" t="inlineStr">
        <is>
          <t>$99.66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ARADA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629.1</v>
      </c>
      <c r="F27" s="7" t="inlineStr">
        <is>
          <t>7.38%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524.25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406.6</v>
      </c>
      <c r="D15" s="8" t="n">
        <v>490.4</v>
      </c>
      <c r="E15" s="8" t="n">
        <v>550.2</v>
      </c>
      <c r="F15" s="8" t="n">
        <v>1027</v>
      </c>
      <c r="G15" s="8" t="n">
        <v>645.8</v>
      </c>
      <c r="H15" s="8" t="n">
        <v>687.7</v>
      </c>
      <c r="I15" s="8" t="n">
        <v>717.6</v>
      </c>
    </row>
    <row r="16">
      <c r="B16" s="7" t="inlineStr">
        <is>
          <t>Completed Ready Property Sales</t>
        </is>
      </c>
      <c r="C16" s="8" t="n">
        <v>137.6</v>
      </c>
      <c r="D16" s="8" t="n">
        <v>166</v>
      </c>
      <c r="E16" s="8" t="n">
        <v>186.2</v>
      </c>
      <c r="F16" s="8" t="n">
        <v>347.6</v>
      </c>
      <c r="G16" s="8" t="n">
        <v>218.6</v>
      </c>
      <c r="H16" s="8" t="n">
        <v>232.8</v>
      </c>
      <c r="I16" s="8" t="n">
        <v>242.9</v>
      </c>
    </row>
    <row r="17">
      <c r="B17" s="7" t="inlineStr">
        <is>
          <t>Commercial Leasing &amp; Hospitality</t>
        </is>
      </c>
      <c r="C17" s="8" t="n">
        <v>81.3</v>
      </c>
      <c r="D17" s="8" t="n">
        <v>98.09999999999999</v>
      </c>
      <c r="E17" s="8" t="n">
        <v>110</v>
      </c>
      <c r="F17" s="8" t="n">
        <v>205.4</v>
      </c>
      <c r="G17" s="8" t="n">
        <v>129.2</v>
      </c>
      <c r="H17" s="8" t="n">
        <v>137.5</v>
      </c>
      <c r="I17" s="8" t="n">
        <v>143.5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11.4</v>
      </c>
      <c r="D35" s="23" t="n">
        <v>14</v>
      </c>
      <c r="E35" s="23" t="n">
        <v>15.8</v>
      </c>
      <c r="F35" s="23" t="n">
        <v>17.6</v>
      </c>
      <c r="G35" s="23" t="n">
        <v>19.3</v>
      </c>
      <c r="H35" s="23" t="n">
        <v>20.7</v>
      </c>
      <c r="I35" s="23" t="n">
        <v>21.8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+$11.4M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+$14.0M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+$15.8M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+$17.6M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+$19.3M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+$20.7M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+$21.8M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938.4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219</v>
      </c>
      <c r="D36" s="8" t="n">
        <v>219</v>
      </c>
      <c r="E36" s="8" t="n">
        <v>219</v>
      </c>
      <c r="F36" s="8" t="n">
        <v>219</v>
      </c>
      <c r="G36" s="8" t="n">
        <v>219</v>
      </c>
      <c r="H36" s="8" t="n">
        <v>219</v>
      </c>
      <c r="I36" s="8" t="n">
        <v>219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-91.7</v>
      </c>
      <c r="D16" s="8" t="n">
        <v>-160.4</v>
      </c>
      <c r="E16" s="8" t="n">
        <v>-180.4</v>
      </c>
      <c r="F16" s="8" t="n">
        <v>95</v>
      </c>
      <c r="G16" s="8" t="n">
        <v>-155.2</v>
      </c>
      <c r="H16" s="8" t="n">
        <v>-166.5</v>
      </c>
      <c r="I16" s="8" t="n">
        <v>-174.9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111.4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71.3</v>
      </c>
      <c r="D32" s="8" t="n">
        <v>165.1</v>
      </c>
      <c r="E32" s="8" t="n">
        <v>185.9</v>
      </c>
      <c r="F32" s="8" t="n">
        <v>586.8</v>
      </c>
      <c r="G32" s="8" t="n">
        <v>112.3</v>
      </c>
      <c r="H32" s="8" t="n">
        <v>118.4</v>
      </c>
      <c r="I32" s="8" t="n">
        <v>122.6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ARADA Benchmark Eurobond Notes</t>
        </is>
      </c>
    </row>
    <row r="7">
      <c r="B7" s="7" t="inlineStr">
        <is>
          <t xml:space="preserve">  Beginning Principal Balance</t>
        </is>
      </c>
      <c r="C7" s="8" t="n">
        <v>272.7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90.90000000000001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0.0813</f>
        <v/>
      </c>
      <c r="D11" s="8">
        <f>D10 * 0.0813</f>
        <v/>
      </c>
      <c r="E11" s="8">
        <f>E10 * 0.0813</f>
        <v/>
      </c>
      <c r="F11" s="8">
        <f>F10 * 0.0813</f>
        <v/>
      </c>
      <c r="G11" s="8">
        <f>G10 * 0.0813</f>
        <v/>
      </c>
      <c r="H11" s="8">
        <f>H10 * 0.0813</f>
        <v/>
      </c>
      <c r="I11" s="8">
        <f>I10 * 0.0813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251.6</v>
      </c>
      <c r="C32" s="8" t="n">
        <v>461.3</v>
      </c>
      <c r="D32" s="8" t="n">
        <v>587.2</v>
      </c>
      <c r="E32" s="8" t="n">
        <v>377.5</v>
      </c>
      <c r="F32" s="8" t="n">
        <v>251.6</v>
      </c>
      <c r="G32" s="8" t="n">
        <v>167.8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ARADA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320.8</v>
      </c>
      <c r="F37" s="29" t="inlineStr">
        <is>
          <t>8.050%</t>
        </is>
      </c>
      <c r="G37" s="30" t="n">
        <v>100.5</v>
      </c>
      <c r="H37" s="31" t="n">
        <v>8.050000000000001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ARADA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213.8</v>
      </c>
      <c r="F38" s="29" t="inlineStr">
        <is>
          <t>7.400%</t>
        </is>
      </c>
      <c r="G38" s="30" t="n">
        <v>101.5</v>
      </c>
      <c r="H38" s="31" t="n">
        <v>7.4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ARADA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199.6</v>
      </c>
    </row>
    <row r="45">
      <c r="B45" s="7" t="inlineStr">
        <is>
          <t>Drawn Amount ($M)</t>
        </is>
      </c>
      <c r="C45" s="8" t="n">
        <v>71.3</v>
      </c>
    </row>
    <row r="46">
      <c r="B46" s="18" t="inlineStr">
        <is>
          <t>AVAILABLE UNDRAWN HEADROOM ($M)</t>
        </is>
      </c>
      <c r="C46" s="19" t="n">
        <v>128.3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1.89x</t>
        </is>
      </c>
      <c r="E55" s="32" t="inlineStr">
        <is>
          <t>1.61x leverage buffer ($434.7M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4.15x</t>
        </is>
      </c>
      <c r="E56" s="32" t="inlineStr">
        <is>
          <t>+1.65x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$202.4M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8.13%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10.13%</t>
        </is>
      </c>
      <c r="F7" s="29" t="inlineStr">
        <is>
          <t>3.2x</t>
        </is>
      </c>
      <c r="G7" s="29" t="inlineStr">
        <is>
          <t>$82.75</t>
        </is>
      </c>
      <c r="H7" s="29" t="inlineStr">
        <is>
          <t>-17.0%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6.63%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524.2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ARADA Senior Unsecured Eurobonds</t>
        </is>
      </c>
      <c r="C15" s="8" t="n">
        <v>1572.8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314.6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838.8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Earnings Presentation &amp; Management Guidance</t>
        </is>
      </c>
    </row>
    <row r="3">
      <c r="B3" s="2" t="inlineStr">
        <is>
          <t>Source: Arada Developments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$993.6M (+8.0% YoY growth)</t>
        </is>
      </c>
      <c r="D7" s="35" t="inlineStr">
        <is>
          <t>$979.8M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$993.6M (+8.0% YoY growth). With current run-rate at $979.8M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$297.0M (29.9% margin)</t>
        </is>
      </c>
      <c r="D8" s="35" t="inlineStr">
        <is>
          <t>$291.6M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$297.0M (29.9%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1.89x</t>
        </is>
      </c>
      <c r="E9" s="32" t="inlineStr">
        <is>
          <t>Ahead of Target</t>
        </is>
      </c>
      <c r="F9" s="37" t="inlineStr">
        <is>
          <t>Deleveraging on track with 1.61x buffer below covenant limit.
[QUESTION TO CFO TO VERIFY]: You previously committed to a Net Leverage ceiling of &lt; 3.00x Net Debt / EBITDA. Current actual leverage stands at 1.89x.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$99.2M (Maximum growth and sustaining envelope)</t>
        </is>
      </c>
      <c r="D10" s="35" t="inlineStr">
        <is>
          <t>$91.3M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$99.2M (Maximum growth and sustaining envelope). Current commitments stand at $91.3M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$2944.0M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4,140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$1702.0M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$131.6M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$172.1M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$249.5M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2026-11-18</t>
        </is>
      </c>
    </row>
    <row r="48">
      <c r="B48" s="9" t="inlineStr">
        <is>
          <t>Reporting Period</t>
        </is>
      </c>
      <c r="C48" s="37" t="inlineStr">
        <is>
          <t>Q3 2026 Sukuk Covenants &amp; Sales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https://arada.com/en/investor-relations/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2026-10-01T04:15:31Z</dcterms:created>
  <dcterms:modified xmlns:dcterms="http://purl.org/dc/terms/" xmlns:xsi="http://www.w3.org/2001/XMLSchema-instance" xsi:type="dcterms:W3CDTF">2026-10-01T04:15:31Z</dcterms:modified>
</cp:coreProperties>
</file>