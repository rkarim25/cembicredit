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(+$13.4M)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(+$15.1M)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(+$16.8M)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(+$18.5M)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(+$13.4M)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(+$15.1M)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(+$16.8M)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(+$18.5M)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Institutional Credit Model</t>
        </is>
      </c>
    </row>
    <row r="3">
      <c r="B3" s="2" t="inlineStr">
        <is>
          <t>Sector: Technology | Country: Nigeria | Rating: B+ / B2 | Benchmark: IHS 10.25% 2027 @ $91.50 (10.25% YTM / +590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Over 40,000 telecom towers across Africa and LatAm; renegotiated MTN contracts embed USD indexation.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IHS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1970.64</v>
      </c>
      <c r="F26" s="7" t="inlineStr">
        <is>
          <t>10.25%</t>
        </is>
      </c>
      <c r="G26" s="7" t="inlineStr">
        <is>
          <t>$91.50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IHS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1313.76</v>
      </c>
      <c r="F27" s="7" t="inlineStr">
        <is>
          <t>9.50%</t>
        </is>
      </c>
      <c r="G27" s="7" t="inlineStr">
        <is>
          <t>$94.00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1094.8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848</v>
      </c>
      <c r="D16" s="8" t="n">
        <v>1022.5</v>
      </c>
      <c r="E16" s="8" t="n">
        <v>1147.2</v>
      </c>
      <c r="F16" s="8" t="n">
        <v>1247</v>
      </c>
      <c r="G16" s="8" t="n">
        <v>1346.8</v>
      </c>
      <c r="H16" s="8" t="n">
        <v>1434</v>
      </c>
      <c r="I16" s="8" t="n">
        <v>1496.4</v>
      </c>
    </row>
    <row r="17">
      <c r="B17" s="7" t="inlineStr">
        <is>
          <t>Fixed Broadband &amp; Enterprise ICT</t>
        </is>
      </c>
      <c r="C17" s="8" t="n">
        <v>380.1</v>
      </c>
      <c r="D17" s="8" t="n">
        <v>458.4</v>
      </c>
      <c r="E17" s="8" t="n">
        <v>514.3</v>
      </c>
      <c r="F17" s="8" t="n">
        <v>559</v>
      </c>
      <c r="G17" s="8" t="n">
        <v>603.7</v>
      </c>
      <c r="H17" s="8" t="n">
        <v>642.9</v>
      </c>
      <c r="I17" s="8" t="n">
        <v>670.8</v>
      </c>
    </row>
    <row r="18">
      <c r="B18" s="7" t="inlineStr">
        <is>
          <t>Fintech, Media &amp; Digital Services</t>
        </is>
      </c>
      <c r="C18" s="8" t="n">
        <v>233.9</v>
      </c>
      <c r="D18" s="8" t="n">
        <v>282.1</v>
      </c>
      <c r="E18" s="8" t="n">
        <v>316.5</v>
      </c>
      <c r="F18" s="8" t="n">
        <v>344</v>
      </c>
      <c r="G18" s="8" t="n">
        <v>371.5</v>
      </c>
      <c r="H18" s="8" t="n">
        <v>395.6</v>
      </c>
      <c r="I18" s="8" t="n">
        <v>412.8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10.9</v>
      </c>
      <c r="D35" s="23" t="n">
        <v>13.4</v>
      </c>
      <c r="E35" s="23" t="n">
        <v>15.1</v>
      </c>
      <c r="F35" s="23" t="n">
        <v>16.8</v>
      </c>
      <c r="G35" s="23" t="n">
        <v>18.5</v>
      </c>
      <c r="H35" s="23" t="n">
        <v>19.8</v>
      </c>
      <c r="I35" s="23" t="n">
        <v>20.8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(+$13.4M)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(+$15.1M)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(+$16.8M)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(+$18.5M)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(+$20.8M)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2193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511.7</v>
      </c>
      <c r="D36" s="8" t="n">
        <v>511.7</v>
      </c>
      <c r="E36" s="8" t="n">
        <v>511.7</v>
      </c>
      <c r="F36" s="8" t="n">
        <v>511.7</v>
      </c>
      <c r="G36" s="8" t="n">
        <v>511.7</v>
      </c>
      <c r="H36" s="8" t="n">
        <v>511.7</v>
      </c>
      <c r="I36" s="8" t="n">
        <v>511.7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-274.4</v>
      </c>
      <c r="D16" s="8" t="n">
        <v>-333.2</v>
      </c>
      <c r="E16" s="8" t="n">
        <v>-372.4</v>
      </c>
      <c r="F16" s="8" t="n">
        <v>-392</v>
      </c>
      <c r="G16" s="8" t="n">
        <v>-411.6</v>
      </c>
      <c r="H16" s="8" t="n">
        <v>-399.8</v>
      </c>
      <c r="I16" s="8" t="n">
        <v>-384.2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-117</v>
      </c>
      <c r="D32" s="8" t="n">
        <v>-164.1</v>
      </c>
      <c r="E32" s="8" t="n">
        <v>-203.4</v>
      </c>
      <c r="F32" s="8" t="n">
        <v>-247.1</v>
      </c>
      <c r="G32" s="8" t="n">
        <v>-229.9</v>
      </c>
      <c r="H32" s="8" t="n">
        <v>-214.5</v>
      </c>
      <c r="I32" s="8" t="n">
        <v>-208.7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IHS Benchmark Eurobond Notes</t>
        </is>
      </c>
    </row>
    <row r="7">
      <c r="B7" s="7" t="inlineStr">
        <is>
          <t xml:space="preserve">  Beginning Principal Balance</t>
        </is>
      </c>
      <c r="C7" s="8" t="n">
        <v>1675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558.3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372.2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0.1025</f>
        <v/>
      </c>
      <c r="D11" s="8">
        <f>D10 * 0.1025</f>
        <v/>
      </c>
      <c r="E11" s="8">
        <f>E10 * 0.1025</f>
        <v/>
      </c>
      <c r="F11" s="8">
        <f>F10 * 0.1025</f>
        <v/>
      </c>
      <c r="G11" s="8">
        <f>G10 * 0.1025</f>
        <v/>
      </c>
      <c r="H11" s="8">
        <f>H10 * 0.1025</f>
        <v/>
      </c>
      <c r="I11" s="8">
        <f>I10 * 0.1025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2047.3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525.5</v>
      </c>
      <c r="C32" s="8" t="n">
        <v>963.4</v>
      </c>
      <c r="D32" s="8" t="n">
        <v>1226.2</v>
      </c>
      <c r="E32" s="8" t="n">
        <v>788.3</v>
      </c>
      <c r="F32" s="8" t="n">
        <v>525.5</v>
      </c>
      <c r="G32" s="8" t="n">
        <v>350.3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IHS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1970.6</v>
      </c>
      <c r="F37" s="29" t="inlineStr">
        <is>
          <t>10.250%</t>
        </is>
      </c>
      <c r="G37" s="30" t="n">
        <v>91.5</v>
      </c>
      <c r="H37" s="31" t="n">
        <v>10.25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IHS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1313.8</v>
      </c>
      <c r="F38" s="29" t="inlineStr">
        <is>
          <t>9.600%</t>
        </is>
      </c>
      <c r="G38" s="30" t="n">
        <v>93.5</v>
      </c>
      <c r="H38" s="31" t="n">
        <v>9.6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437.9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IHS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1226.2</v>
      </c>
    </row>
    <row r="45">
      <c r="B45" s="7" t="inlineStr">
        <is>
          <t>Drawn Amount ($M)</t>
        </is>
      </c>
      <c r="C45" s="8" t="n">
        <v>437.9</v>
      </c>
    </row>
    <row r="46">
      <c r="B46" s="18" t="inlineStr">
        <is>
          <t>AVAILABLE UNDRAWN HEADROOM ($M)</t>
        </is>
      </c>
      <c r="C46" s="19" t="n">
        <v>788.3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3.16x</t>
        </is>
      </c>
      <c r="E55" s="32" t="inlineStr">
        <is>
          <t>0.59x leverage buffer ($660.8M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3.20x</t>
        </is>
      </c>
      <c r="E56" s="32" t="inlineStr">
        <is>
          <t>+0.70x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17.0% of Assets</t>
        </is>
      </c>
      <c r="E57" s="32" t="inlineStr">
        <is>
          <t>$473.0M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10.25%</t>
        </is>
      </c>
      <c r="F6" s="34" t="inlineStr">
        <is>
          <t>4.2x</t>
        </is>
      </c>
      <c r="G6" s="34" t="inlineStr">
        <is>
          <t>$96.00</t>
        </is>
      </c>
      <c r="H6" s="34" t="inlineStr">
        <is>
          <t>+4.9%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12.25%</t>
        </is>
      </c>
      <c r="F7" s="29" t="inlineStr">
        <is>
          <t>3.2x</t>
        </is>
      </c>
      <c r="G7" s="29" t="inlineStr">
        <is>
          <t>$78.00</t>
        </is>
      </c>
      <c r="H7" s="29" t="inlineStr">
        <is>
          <t>-14.8%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$60.00</t>
        </is>
      </c>
      <c r="H8" s="29" t="inlineStr">
        <is>
          <t>-34.4%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1094.8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IHS Senior Unsecured Eurobonds</t>
        </is>
      </c>
      <c r="C15" s="8" t="n">
        <v>3284.4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60.0%</t>
        </is>
      </c>
      <c r="G15" s="29" t="inlineStr">
        <is>
          <t>96.0%</t>
        </is>
      </c>
    </row>
    <row r="16">
      <c r="B16" s="7" t="inlineStr">
        <is>
          <t>Subordinated Debt &amp; Intercompany Notes</t>
        </is>
      </c>
      <c r="C16" s="8" t="n">
        <v>656.9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1751.7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Earnings Presentation &amp; Management Guidance</t>
        </is>
      </c>
    </row>
    <row r="3">
      <c r="B3" s="2" t="inlineStr">
        <is>
          <t>Source: IHS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$2322.0M (+8.0% YoY growth)</t>
        </is>
      </c>
      <c r="D7" s="35" t="inlineStr">
        <is>
          <t>$2289.8M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$1232.0M (53.1% margin)</t>
        </is>
      </c>
      <c r="D8" s="35" t="inlineStr">
        <is>
          <t>$1209.6M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3.16x</t>
        </is>
      </c>
      <c r="E9" s="36" t="inlineStr">
        <is>
          <t>On Track</t>
        </is>
      </c>
      <c r="F9" s="37" t="inlineStr">
        <is>
          <t>Deleveraging on track with 0.59x buffer below covenant limit.</t>
        </is>
      </c>
    </row>
    <row r="10">
      <c r="B10" s="9" t="inlineStr">
        <is>
          <t>2025E Strategic Capex Envelope</t>
        </is>
      </c>
      <c r="C10" s="9" t="inlineStr">
        <is>
          <t>$411.6M (Maximum growth and sustaining envelope)</t>
        </is>
      </c>
      <c r="D10" s="35" t="inlineStr">
        <is>
          <t>$378.7M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$1097.6M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$967.5M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$840.0M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$1313.8M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7" t="inlineStr">
        <is>
          <t>2026-11-17</t>
        </is>
      </c>
    </row>
    <row r="41">
      <c r="B41" s="9" t="inlineStr">
        <is>
          <t>Reporting Period</t>
        </is>
      </c>
      <c r="C41" s="37" t="inlineStr">
        <is>
          <t>Q3 2026 Financial Results &amp; Call</t>
        </is>
      </c>
    </row>
    <row r="42">
      <c r="B42" s="9" t="inlineStr">
        <is>
          <t>Confirmation Status</t>
        </is>
      </c>
      <c r="C42" s="37" t="inlineStr">
        <is>
          <t>Confirmed</t>
        </is>
      </c>
    </row>
    <row r="43">
      <c r="B43" s="9" t="inlineStr">
        <is>
          <t>Conference Call &amp; Webcast Schedule</t>
        </is>
      </c>
      <c r="C43" s="37" t="inlineStr">
        <is>
          <t>14:30 London / 09:30 EST</t>
        </is>
      </c>
    </row>
    <row r="44">
      <c r="B44" s="9" t="inlineStr">
        <is>
          <t>Official IR Portal / Webcast URL</t>
        </is>
      </c>
      <c r="C44" s="37" t="inlineStr">
        <is>
          <t>https://www.ihstowers.com/investors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2026-09-20T17:21:34Z</dcterms:created>
  <dcterms:modified xmlns:dcterms="http://purl.org/dc/terms/" xmlns:xsi="http://www.w3.org/2001/XMLSchema-instance" xsi:type="dcterms:W3CDTF">2026-09-20T17:21:34Z</dcterms:modified>
</cp:coreProperties>
</file>