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  <sheet xmlns:r="http://schemas.openxmlformats.org/officeDocument/2006/relationships" name="Capital Adequacy &amp; Funding" sheetId="3" state="visible" r:id="rId3"/>
    <sheet xmlns:r="http://schemas.openxmlformats.org/officeDocument/2006/relationships" name="Asset Quality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0" fontId="0" fillId="0" borderId="1" pivotButton="0" quotePrefix="0" xfId="0"/>
    <xf numFmtId="0" fontId="0" fillId="5" borderId="1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VakıfBank</t>
        </is>
      </c>
    </row>
    <row r="3">
      <c r="B3" s="2" t="inlineStr">
        <is>
          <t>CEMBI CEEMEA Banking Institution Assessment | Country: Turkey (CEEMEA) | Benchmark: VAKBN 6.95%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VAKBN 6.95% 2029</t>
        </is>
      </c>
      <c r="C6" s="5" t="inlineStr">
        <is>
          <t>6.95% (+235 bp)</t>
        </is>
      </c>
      <c r="D6" s="4" t="inlineStr">
        <is>
          <t>Rating: BB- / B1 | CAR: 16.8%</t>
        </is>
      </c>
      <c r="E6" s="5" t="inlineStr">
        <is>
          <t>Overweight / Core Tier-1 Anchor</t>
        </is>
      </c>
    </row>
    <row r="7">
      <c r="B7" s="4" t="inlineStr">
        <is>
          <t>Downside Recovery Floor</t>
        </is>
      </c>
      <c r="C7" s="5" t="inlineStr">
        <is>
          <t>$65.00</t>
        </is>
      </c>
      <c r="D7" s="4" t="inlineStr">
        <is>
          <t>Asset Quality</t>
        </is>
      </c>
      <c r="E7" s="5" t="inlineStr">
        <is>
          <t>NPL: 2.4% | NIM: 4.9%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VakıfBank — 7-Year Prudential &amp; Financial History</t>
        </is>
      </c>
    </row>
    <row r="3">
      <c r="B3" s="2" t="inlineStr">
        <is>
          <t>Audited Statements (2021A - 2024A) and Multi-Year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1512.9</v>
      </c>
      <c r="D7" s="11" t="n">
        <v>2048.2</v>
      </c>
      <c r="E7" s="11" t="n">
        <v>2187.8</v>
      </c>
      <c r="F7" s="11" t="n">
        <v>2327.5</v>
      </c>
      <c r="G7" s="12" t="n">
        <v>2513.7</v>
      </c>
      <c r="H7" s="12" t="n">
        <v>2676.6</v>
      </c>
      <c r="I7" s="12" t="n">
        <v>2793</v>
      </c>
    </row>
    <row r="8">
      <c r="B8" s="5" t="inlineStr">
        <is>
          <t>Net Fee &amp; Commission Income</t>
        </is>
      </c>
      <c r="C8" s="13" t="n">
        <v>586.5</v>
      </c>
      <c r="D8" s="13" t="n">
        <v>668</v>
      </c>
      <c r="E8" s="13" t="n">
        <v>749.5</v>
      </c>
      <c r="F8" s="13" t="n">
        <v>814.6</v>
      </c>
      <c r="G8" s="14" t="n">
        <v>879.8</v>
      </c>
      <c r="H8" s="14" t="n">
        <v>936.8</v>
      </c>
      <c r="I8" s="14" t="n">
        <v>993.8</v>
      </c>
    </row>
    <row r="9">
      <c r="B9" s="10" t="inlineStr">
        <is>
          <t>Total Operating Income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835.8</v>
      </c>
      <c r="D10" s="13" t="n">
        <v>979.1</v>
      </c>
      <c r="E10" s="13" t="n">
        <v>1098.5</v>
      </c>
      <c r="F10" s="13" t="n">
        <v>1194</v>
      </c>
      <c r="G10" s="14" t="n">
        <v>1265.6</v>
      </c>
      <c r="H10" s="14" t="n">
        <v>1337.3</v>
      </c>
      <c r="I10" s="14" t="n">
        <v>1408.9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Loan Loss Provisions</t>
        </is>
      </c>
      <c r="C12" s="13" t="n">
        <v>491.6</v>
      </c>
      <c r="D12" s="13" t="n">
        <v>464.3</v>
      </c>
      <c r="E12" s="13" t="n">
        <v>518.9</v>
      </c>
      <c r="F12" s="13" t="n">
        <v>546.2</v>
      </c>
      <c r="G12" s="14" t="n">
        <v>518.9</v>
      </c>
      <c r="H12" s="14" t="n">
        <v>491.6</v>
      </c>
      <c r="I12" s="14" t="n">
        <v>480.7</v>
      </c>
    </row>
    <row r="13">
      <c r="B13" s="10" t="inlineStr">
        <is>
          <t>Net Profit</t>
        </is>
      </c>
      <c r="C13" s="11">
        <f>(C11-C12)*0.80</f>
        <v/>
      </c>
      <c r="D13" s="11">
        <f>(D11-D12)*0.80</f>
        <v/>
      </c>
      <c r="E13" s="11">
        <f>(E11-E12)*0.80</f>
        <v/>
      </c>
      <c r="F13" s="11">
        <f>(F11-F12)*0.80</f>
        <v/>
      </c>
      <c r="G13" s="12">
        <f>(G11-G12)*0.80</f>
        <v/>
      </c>
      <c r="H13" s="12">
        <f>(H11-H12)*0.80</f>
        <v/>
      </c>
      <c r="I13" s="12">
        <f>(I11-I12)*0.80</f>
        <v/>
      </c>
    </row>
    <row r="14">
      <c r="B14" s="8" t="inlineStr">
        <is>
          <t>II. BALANCE SHEET STRUCTURE (USD M)</t>
        </is>
      </c>
      <c r="C14" s="9" t="n"/>
      <c r="D14" s="9" t="n"/>
      <c r="E14" s="9" t="n"/>
      <c r="F14" s="9" t="n"/>
      <c r="G14" s="9" t="n"/>
      <c r="H14" s="9" t="n"/>
      <c r="I14" s="9" t="n"/>
    </row>
    <row r="15">
      <c r="B15" s="10" t="inlineStr">
        <is>
          <t>Total Assets</t>
        </is>
      </c>
      <c r="C15" s="11" t="n">
        <v>56160</v>
      </c>
      <c r="D15" s="11" t="n">
        <v>65520</v>
      </c>
      <c r="E15" s="11" t="n">
        <v>72540</v>
      </c>
      <c r="F15" s="11" t="n">
        <v>78000</v>
      </c>
      <c r="G15" s="12" t="n">
        <v>84240</v>
      </c>
      <c r="H15" s="12" t="n">
        <v>89700</v>
      </c>
      <c r="I15" s="12" t="n">
        <v>95160</v>
      </c>
    </row>
    <row r="16">
      <c r="B16" s="10" t="inlineStr">
        <is>
          <t>Gross Customer Loans</t>
        </is>
      </c>
      <c r="C16" s="11" t="n">
        <v>33250</v>
      </c>
      <c r="D16" s="11" t="n">
        <v>38950</v>
      </c>
      <c r="E16" s="11" t="n">
        <v>43700</v>
      </c>
      <c r="F16" s="11" t="n">
        <v>47500</v>
      </c>
      <c r="G16" s="12" t="n">
        <v>51300</v>
      </c>
      <c r="H16" s="12" t="n">
        <v>55100</v>
      </c>
      <c r="I16" s="12" t="n">
        <v>58425</v>
      </c>
    </row>
    <row r="17">
      <c r="B17" s="10" t="inlineStr">
        <is>
          <t>Customer Deposits</t>
        </is>
      </c>
      <c r="C17" s="11" t="n">
        <v>39960</v>
      </c>
      <c r="D17" s="11" t="n">
        <v>45900</v>
      </c>
      <c r="E17" s="11" t="n">
        <v>50760</v>
      </c>
      <c r="F17" s="11" t="n">
        <v>54000</v>
      </c>
      <c r="G17" s="12" t="n">
        <v>57780</v>
      </c>
      <c r="H17" s="12" t="n">
        <v>61560</v>
      </c>
      <c r="I17" s="12" t="n">
        <v>64800</v>
      </c>
    </row>
    <row r="18">
      <c r="B18" s="10" t="inlineStr">
        <is>
          <t>Shareholders' Equity (Tier-1)</t>
        </is>
      </c>
      <c r="C18" s="11" t="n">
        <v>6364.8</v>
      </c>
      <c r="D18" s="11" t="n">
        <v>7488</v>
      </c>
      <c r="E18" s="11" t="n">
        <v>8424</v>
      </c>
      <c r="F18" s="11" t="n">
        <v>9360</v>
      </c>
      <c r="G18" s="12" t="n">
        <v>10483.2</v>
      </c>
      <c r="H18" s="12" t="n">
        <v>11606.4</v>
      </c>
      <c r="I18" s="12" t="n">
        <v>12729.6</v>
      </c>
    </row>
    <row r="19">
      <c r="B19" s="8" t="inlineStr">
        <is>
          <t>III. KEY PRUDENTIAL &amp; REGULATORY RATIOS</t>
        </is>
      </c>
      <c r="C19" s="9" t="n"/>
      <c r="D19" s="9" t="n"/>
      <c r="E19" s="9" t="n"/>
      <c r="F19" s="9" t="n"/>
      <c r="G19" s="9" t="n"/>
      <c r="H19" s="9" t="n"/>
      <c r="I19" s="9" t="n"/>
    </row>
    <row r="20">
      <c r="B20" s="10" t="inlineStr">
        <is>
          <t>Net Interest Margin (NIM %)</t>
        </is>
      </c>
      <c r="C20" s="15">
        <f>C7/C16</f>
        <v/>
      </c>
      <c r="D20" s="15">
        <f>D7/D16</f>
        <v/>
      </c>
      <c r="E20" s="15">
        <f>E7/E16</f>
        <v/>
      </c>
      <c r="F20" s="15">
        <f>F7/F16</f>
        <v/>
      </c>
      <c r="G20" s="16">
        <f>G7/G16</f>
        <v/>
      </c>
      <c r="H20" s="16">
        <f>H7/H16</f>
        <v/>
      </c>
      <c r="I20" s="16">
        <f>I7/I16</f>
        <v/>
      </c>
    </row>
    <row r="21">
      <c r="B21" s="5" t="inlineStr">
        <is>
          <t>Cost-to-Income Ratio (CIR %)</t>
        </is>
      </c>
      <c r="C21" s="17">
        <f>C10/C9</f>
        <v/>
      </c>
      <c r="D21" s="17">
        <f>D10/D9</f>
        <v/>
      </c>
      <c r="E21" s="17">
        <f>E10/E9</f>
        <v/>
      </c>
      <c r="F21" s="17">
        <f>F10/F9</f>
        <v/>
      </c>
      <c r="G21" s="18">
        <f>G10/G9</f>
        <v/>
      </c>
      <c r="H21" s="18">
        <f>H10/H9</f>
        <v/>
      </c>
      <c r="I21" s="18">
        <f>I10/I9</f>
        <v/>
      </c>
    </row>
    <row r="22">
      <c r="B22" s="10" t="inlineStr">
        <is>
          <t>Return on Equity (ROE %)</t>
        </is>
      </c>
      <c r="C22" s="15">
        <f>C13/C18</f>
        <v/>
      </c>
      <c r="D22" s="15">
        <f>D13/D18</f>
        <v/>
      </c>
      <c r="E22" s="15">
        <f>E13/E18</f>
        <v/>
      </c>
      <c r="F22" s="15">
        <f>F13/F18</f>
        <v/>
      </c>
      <c r="G22" s="16">
        <f>G13/G18</f>
        <v/>
      </c>
      <c r="H22" s="16">
        <f>H13/H18</f>
        <v/>
      </c>
      <c r="I22" s="16">
        <f>I13/I18</f>
        <v/>
      </c>
    </row>
    <row r="23">
      <c r="B23" s="5" t="inlineStr">
        <is>
          <t>Loan-to-Deposit Ratio (LDR %)</t>
        </is>
      </c>
      <c r="C23" s="17">
        <f>C16/C17</f>
        <v/>
      </c>
      <c r="D23" s="17">
        <f>D16/D17</f>
        <v/>
      </c>
      <c r="E23" s="17">
        <f>E16/E17</f>
        <v/>
      </c>
      <c r="F23" s="17">
        <f>F16/F17</f>
        <v/>
      </c>
      <c r="G23" s="18">
        <f>G16/G17</f>
        <v/>
      </c>
      <c r="H23" s="18">
        <f>H16/H17</f>
        <v/>
      </c>
      <c r="I23" s="18">
        <f>I16/I17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VakıfBank — Capital Adequacy &amp; Wholesale Debt Profile</t>
        </is>
      </c>
    </row>
    <row r="3">
      <c r="B3" s="2" t="inlineStr">
        <is>
          <t>Regulatory capital tiers, subordinated debt tranches, and liquidity coverage buffers</t>
        </is>
      </c>
    </row>
    <row r="5">
      <c r="B5" s="3" t="inlineStr">
        <is>
          <t>REGULATORY CAPITAL TRANCHE</t>
        </is>
      </c>
      <c r="C5" s="3" t="inlineStr">
        <is>
          <t>AMOUNT ($M)</t>
        </is>
      </c>
      <c r="D5" s="3" t="inlineStr">
        <is>
          <t>RATIO (%)</t>
        </is>
      </c>
      <c r="E5" s="3" t="inlineStr">
        <is>
          <t>BASEL III MINIMUM</t>
        </is>
      </c>
      <c r="F5" s="3" t="inlineStr">
        <is>
          <t>SURPLUS BUFFER</t>
        </is>
      </c>
    </row>
    <row r="6">
      <c r="B6" s="19" t="inlineStr">
        <is>
          <t>Common Equity Tier 1 (CET1)</t>
        </is>
      </c>
      <c r="C6" s="19" t="n">
        <v>7956</v>
      </c>
      <c r="D6" s="19" t="inlineStr">
        <is>
          <t>14.2%</t>
        </is>
      </c>
      <c r="E6" s="19" t="inlineStr">
        <is>
          <t>8.5%</t>
        </is>
      </c>
      <c r="F6" s="19" t="inlineStr">
        <is>
          <t>+0.9% Cushion</t>
        </is>
      </c>
    </row>
    <row r="7">
      <c r="B7" s="19" t="inlineStr">
        <is>
          <t>Additional Tier 1 Capital (AT1 Notes)</t>
        </is>
      </c>
      <c r="C7" s="19" t="n">
        <v>1404</v>
      </c>
      <c r="D7" s="19" t="inlineStr">
        <is>
          <t>2.4%</t>
        </is>
      </c>
      <c r="E7" s="19" t="inlineStr">
        <is>
          <t>1.5%</t>
        </is>
      </c>
      <c r="F7" s="19" t="n"/>
    </row>
    <row r="8">
      <c r="B8" s="19" t="inlineStr">
        <is>
          <t>Tier 2 Subordinated Debt</t>
        </is>
      </c>
      <c r="C8" s="19" t="n">
        <v>1872</v>
      </c>
      <c r="D8" s="19" t="inlineStr">
        <is>
          <t>2.8%</t>
        </is>
      </c>
      <c r="E8" s="19" t="inlineStr">
        <is>
          <t>2.0%</t>
        </is>
      </c>
      <c r="F8" s="19" t="inlineStr">
        <is>
          <t>+0.8% Cushion</t>
        </is>
      </c>
    </row>
    <row r="9">
      <c r="B9" s="10" t="inlineStr">
        <is>
          <t>Total Capital Adequacy Ratio (CAR)</t>
        </is>
      </c>
      <c r="C9" s="10">
        <f>C6+C7+C8</f>
        <v/>
      </c>
      <c r="D9" s="10" t="inlineStr">
        <is>
          <t>16.8%</t>
        </is>
      </c>
      <c r="E9" s="10" t="inlineStr">
        <is>
          <t>12.0%</t>
        </is>
      </c>
      <c r="F9" s="10" t="inlineStr">
        <is>
          <t>Well Capitalized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VakıfBank — Credit Stress &amp; NPL Shock Modeling</t>
        </is>
      </c>
    </row>
    <row r="3">
      <c r="B3" s="2" t="inlineStr">
        <is>
          <t>Stress-testing NPL surges, credit cost shocks (CoR), and capital adequacy depletion</t>
        </is>
      </c>
    </row>
    <row r="5">
      <c r="B5" s="6" t="inlineStr">
        <is>
          <t>Prudential Metric</t>
        </is>
      </c>
      <c r="C5" s="6" t="inlineStr">
        <is>
          <t>Base Scenario</t>
        </is>
      </c>
      <c r="D5" s="6" t="inlineStr">
        <is>
          <t>Moderate Macro Shock</t>
        </is>
      </c>
      <c r="E5" s="6" t="inlineStr">
        <is>
          <t>Severe Sovereign / FX Crisis</t>
        </is>
      </c>
    </row>
    <row r="6">
      <c r="B6" s="10" t="inlineStr">
        <is>
          <t>NPL Ratio (%)</t>
        </is>
      </c>
      <c r="C6" s="19" t="inlineStr">
        <is>
          <t>2.4%</t>
        </is>
      </c>
      <c r="D6" s="19" t="inlineStr">
        <is>
          <t>4.5%</t>
        </is>
      </c>
      <c r="E6" s="20" t="inlineStr">
        <is>
          <t>7.8%</t>
        </is>
      </c>
    </row>
    <row r="7">
      <c r="B7" s="5" t="inlineStr">
        <is>
          <t>Cost of Risk (bp)</t>
        </is>
      </c>
      <c r="C7" s="19" t="inlineStr">
        <is>
          <t>115 bp</t>
        </is>
      </c>
      <c r="D7" s="19" t="inlineStr">
        <is>
          <t>165 bp</t>
        </is>
      </c>
      <c r="E7" s="20" t="inlineStr">
        <is>
          <t>280 bp</t>
        </is>
      </c>
    </row>
    <row r="8">
      <c r="B8" s="5" t="inlineStr">
        <is>
          <t>Annual Provisions ($M)</t>
        </is>
      </c>
      <c r="C8" s="19" t="n">
        <v>546.2</v>
      </c>
      <c r="D8" s="19" t="n">
        <v>983.2</v>
      </c>
      <c r="E8" s="20" t="n">
        <v>1693.4</v>
      </c>
    </row>
    <row r="9">
      <c r="B9" s="5" t="inlineStr">
        <is>
          <t>Net Profit Impact ($M)</t>
        </is>
      </c>
      <c r="C9" s="19" t="n">
        <v>1047.4</v>
      </c>
      <c r="D9" s="19" t="n">
        <v>651.7</v>
      </c>
      <c r="E9" s="20" t="n">
        <v>186.2</v>
      </c>
    </row>
    <row r="10">
      <c r="B10" s="10" t="inlineStr">
        <is>
          <t>Post-Stress CAR (%)</t>
        </is>
      </c>
      <c r="C10" s="10" t="inlineStr">
        <is>
          <t>16.8%</t>
        </is>
      </c>
      <c r="D10" s="10" t="inlineStr">
        <is>
          <t>16.2%</t>
        </is>
      </c>
      <c r="E10" s="21" t="inlineStr">
        <is>
          <t>14.1% (Above Minimum)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2026-09-19T18:23:28Z</dcterms:created>
  <dcterms:modified xmlns:dcterms="http://purl.org/dc/terms/" xmlns:xsi="http://www.w3.org/2001/XMLSchema-instance" xsi:type="dcterms:W3CDTF">2026-09-19T18:23:28Z</dcterms:modified>
</cp:coreProperties>
</file>