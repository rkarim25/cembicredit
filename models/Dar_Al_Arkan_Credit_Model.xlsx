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"/>
    <numFmt numFmtId="165" formatCode="0.0%"/>
    <numFmt numFmtId="166" formatCode="0.00x"/>
    <numFmt numFmtId="167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7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Post-COVID recovery in primary property sales; liquidity conserved across core development land banks.</t>
      </text>
    </comment>
    <comment ref="D10" authorId="0" shapeId="0">
      <text>
        <t>CEMBI Credit Analyst Observation (2022A):
Surge in international buyer inflows driven by safe-haven status and favorable visa reforms.</t>
      </text>
    </comment>
    <comment ref="E10" authorId="0" shapeId="0">
      <text>
        <t>CEMBI Credit Analyst Observation (2023A):
Record off-plan sales bookings and rapid inventory turnover across master communities.</t>
      </text>
    </comment>
    <comment ref="F10" authorId="0" shapeId="0">
      <text>
        <t>CEMBI Credit Analyst Observation (2024A):
Consolidation of market leadership; healthy demand supported by population growth and commercial expansion.</t>
      </text>
    </comment>
    <comment ref="G10" authorId="0" shapeId="0">
      <text>
        <t>CEMBI Credit Analyst Observation (2025E):
Anticipated stable delivery schedule of scheduled units; presales backlog provides 85%+ revenue visibility.</t>
      </text>
    </comment>
    <comment ref="H10" authorId="0" shapeId="0">
      <text>
        <t>CEMBI Credit Analyst Observation (2026E):
Peak handover cycle for high-value towers launched in 2023; substantial revenue recognition under IFRS 15.</t>
      </text>
    </comment>
    <comment ref="I10" authorId="0" shapeId="0">
      <text>
        <t>CEMBI Credit Analyst Observation (2027E):
Mature portfolio cash generation; recurring commercial leasing and retail assets augment development revenue.</t>
      </text>
    </comment>
    <comment ref="C22" authorId="0" shapeId="0">
      <text>
        <t>CEMBI Credit Analyst Observation (2021A):
Gross margins stable around 28-30% supported by low historical land acquisition costs.</t>
      </text>
    </comment>
    <comment ref="D22" authorId="0" shapeId="0">
      <text>
        <t>CEMBI Credit Analyst Observation (2022A):
Operating margins expand as average selling prices (ASP) outpace construction inflation.</t>
      </text>
    </comment>
    <comment ref="E22" authorId="0" shapeId="0">
      <text>
        <t>CEMBI Credit Analyst Observation (2023A):
Peak development margins achieved on high-density luxury and branded residences.</t>
      </text>
    </comment>
    <comment ref="F22" authorId="0" shapeId="0">
      <text>
        <t>CEMBI Credit Analyst Observation (2024A):
EBITDA margins normalize at sustainable high levels despite minor building material cost adjustments.</t>
      </text>
    </comment>
    <comment ref="G22" authorId="0" shapeId="0">
      <text>
        <t>CEMBI Credit Analyst Observation (2025E):
Operating profitability anchored by locked-in contract prices across existing order book.</t>
      </text>
    </comment>
    <comment ref="H22" authorId="0" shapeId="0">
      <text>
        <t>CEMBI Credit Analyst Observation (2026E):
EBITDA generation bolstered by final completion payments and property management services.</t>
      </text>
    </comment>
    <comment ref="I22" authorId="0" shapeId="0">
      <text>
        <t>CEMBI Credit Analyst Observation (2027E):
Resilient blended operating margin supported by premium brand recognition.</t>
      </text>
    </comment>
    <comment ref="C36" authorId="0" shapeId="0">
      <text>
        <t>CEMBI Credit Desk EBITDA Audit (2021A):
Fair Value Property Revaluations: Reported EBITDA reflects +$15.2M (+6.5%) non-cash fair value gains on commercial/retail investment properties (IAS 40); Credit Desk Calculated EBITDA strictly isolates real development cash margins and cash rental receipts.</t>
      </text>
    </comment>
    <comment ref="D36" authorId="0" shapeId="0">
      <text>
        <t>CEMBI Credit Desk EBITDA Audit (2022A):
Fair Value Property Revaluations: Reported EBITDA reflects +$18.7M (+6.5%) non-cash fair value gains on commercial/retail investment properties (IAS 40); Credit Desk Calculated EBITDA strictly isolates real development cash margins and cash rental receipts.</t>
      </text>
    </comment>
    <comment ref="E36" authorId="0" shapeId="0">
      <text>
        <t>CEMBI Credit Desk EBITDA Audit (2023A):
Fair Value Property Revaluations: Reported EBITDA reflects +$21.1M (+6.5%) non-cash fair value gains on commercial/retail investment properties (IAS 40); Credit Desk Calculated EBITDA strictly isolates real development cash margins and cash rental receipts.</t>
      </text>
    </comment>
    <comment ref="F36" authorId="0" shapeId="0">
      <text>
        <t>CEMBI Credit Desk EBITDA Audit (2024A):
Fair Value Property Revaluations: Reported EBITDA reflects +$23.4M (+6.5%) non-cash fair value gains on commercial/retail investment properties (IAS 40); Credit Desk Calculated EBITDA strictly isolates real development cash margins and cash rental receipts.</t>
      </text>
    </comment>
    <comment ref="G36" authorId="0" shapeId="0">
      <text>
        <t>CEMBI Credit Desk EBITDA Audit (2025E):
Fair Value Property Revaluations: Reported EBITDA reflects +$25.7M (+6.5%) non-cash fair value gains on commercial/retail investment properties (IAS 40); Credit Desk Calculated EBITDA strictly isolates real development cash margins and cash rental receipts.</t>
      </text>
    </comment>
    <comment ref="H36" authorId="0" shapeId="0">
      <text>
        <t>CEMBI Credit Desk EBITDA Audit (2026E):
Fair Value Property Revaluations: Reported EBITDA reflects +$27.6M (+6.5%) non-cash fair value gains on commercial/retail investment properties (IAS 40); Credit Desk Calculated EBITDA strictly isolates real development cash margins and cash rental receipts.</t>
      </text>
    </comment>
    <comment ref="I36" authorId="0" shapeId="0">
      <text>
        <t>CEMBI Credit Desk EBITDA Audit (2027E):
Fair Value Property Revaluations: Reported EBITDA reflects +$29.0M (+6.5%) non-cash fair value gains on commercial/retail investment properties (IAS 40); Credit Desk Calculated EBITDA strictly isolates real development cash margins and cash rental receipts.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Modest working capital absorption as new project construction commences.</t>
      </text>
    </comment>
    <comment ref="D34" authorId="0" shapeId="0">
      <text>
        <t>CEMBI Credit Desk FCF Bridge (2022A):
Formula: EBITDA - Capex - Cash Interest - ΔNWC - Tax
Operating cash flow inflects strongly positive on accelerated milestone installment receipts.</t>
      </text>
    </comment>
    <comment ref="E34" authorId="0" shapeId="0">
      <text>
        <t>CEMBI Credit Desk FCF Bridge (2023A):
Formula: EBITDA - Capex - Cash Interest - ΔNWC - Tax
Robust FCF generation; escrow disbursements unlocked upon verified completion milestones.</t>
      </text>
    </comment>
    <comment ref="F34" authorId="0" shapeId="0">
      <text>
        <t>CEMBI Credit Desk FCF Bridge (2024A):
Formula: EBITDA - Capex - Cash Interest - ΔNWC - Tax
FCF conversion remains superior, generating ample liquidity to service amortizing credit facilities.</t>
      </text>
    </comment>
    <comment ref="G34" authorId="0" shapeId="0">
      <text>
        <t>CEMBI Credit Desk FCF Bridge (2025E):
Formula: EBITDA - Capex - Cash Interest - ΔNWC - Tax
Solid positive free cash flow enabling debt pre-funding and dividend flexibility.</t>
      </text>
    </comment>
    <comment ref="H34" authorId="0" shapeId="0">
      <text>
        <t>CEMBI Credit Desk FCF Bridge (2026E):
Formula: EBITDA - Capex - Cash Interest - ΔNWC - Tax
Exceptional FCF surge from final 30-40% handover cash collections.</t>
      </text>
    </comment>
    <comment ref="I34" authorId="0" shapeId="0">
      <text>
        <t>CEMBI Credit Desk FCF Bridge (2027E):
Formula: EBITDA - Capex - Cash Interest - ΔNWC - Tax
Organic liquidity runway exceeding 36 months of corporate overhead and interest expenses.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Net leverage preserved within rating tolerance via presales escrow funding.</t>
      </text>
    </comment>
    <comment ref="D8" authorId="0" shapeId="0">
      <text>
        <t>CEMBI Credit Desk Calculated Leverage Commentary (2022A):
Deleveraging begins as cash collections build up in regulated escrow accounts.</t>
      </text>
    </comment>
    <comment ref="E8" authorId="0" shapeId="0">
      <text>
        <t>CEMBI Credit Desk Calculated Leverage Commentary (2023A):
Net debt contracts; leverage comfortably below bond covenant thresholds.</t>
      </text>
    </comment>
    <comment ref="F8" authorId="0" shapeId="0">
      <text>
        <t>CEMBI Credit Desk Calculated Leverage Commentary (2024A):
Conservative leverage profile providing substantial headroom under all debt incurrence tests.</t>
      </text>
    </comment>
    <comment ref="G8" authorId="0" shapeId="0">
      <text>
        <t>CEMBI Credit Desk Calculated Leverage Commentary (2025E):
Net leverage continues downward trajectory toward conservative investment-grade parameters.</t>
      </text>
    </comment>
    <comment ref="H8" authorId="0" shapeId="0">
      <text>
        <t>CEMBI Credit Desk Calculated Leverage Commentary (2026E):
Substantial net debt reduction providing full coverage for near-term debt maturities.</t>
      </text>
    </comment>
    <comment ref="I8" authorId="0" shapeId="0">
      <text>
        <t>CEMBI Credit Desk Calculated Leverage Commentary (2027E):
Minimal net leverage with net cash position achievable under base-case handover pacing.</t>
      </text>
    </comment>
    <comment ref="C9" authorId="0" shapeId="0">
      <text>
        <t>CEMBI Credit Desk Reported Leverage Commentary (2021A):
Fair Value Property Revaluations: Reported EBITDA reflects +$15.2M (+6.5%) non-cash fair value gains on commercial/retail investment properties (IAS 40); Credit Desk Calculated EBITDA strictly isolates real development cash margins and cash rental receipts.</t>
      </text>
    </comment>
    <comment ref="D9" authorId="0" shapeId="0">
      <text>
        <t>CEMBI Credit Desk Reported Leverage Commentary (2022A):
Fair Value Property Revaluations: Reported EBITDA reflects +$18.7M (+6.5%) non-cash fair value gains on commercial/retail investment properties (IAS 40); Credit Desk Calculated EBITDA strictly isolates real development cash margins and cash rental receipts.</t>
      </text>
    </comment>
    <comment ref="E9" authorId="0" shapeId="0">
      <text>
        <t>CEMBI Credit Desk Reported Leverage Commentary (2023A):
Fair Value Property Revaluations: Reported EBITDA reflects +$21.1M (+6.5%) non-cash fair value gains on commercial/retail investment properties (IAS 40); Credit Desk Calculated EBITDA strictly isolates real development cash margins and cash rental receipts.</t>
      </text>
    </comment>
    <comment ref="F9" authorId="0" shapeId="0">
      <text>
        <t>CEMBI Credit Desk Reported Leverage Commentary (2024A):
Fair Value Property Revaluations: Reported EBITDA reflects +$23.4M (+6.5%) non-cash fair value gains on commercial/retail investment properties (IAS 40); Credit Desk Calculated EBITDA strictly isolates real development cash margins and cash rental receipts.</t>
      </text>
    </comment>
    <comment ref="G9" authorId="0" shapeId="0">
      <text>
        <t>CEMBI Credit Desk Reported Leverage Commentary (2025E):
Fair Value Property Revaluations: Reported EBITDA reflects +$25.7M (+6.5%) non-cash fair value gains on commercial/retail investment properties (IAS 40); Credit Desk Calculated EBITDA strictly isolates real development cash margins and cash rental receipts.</t>
      </text>
    </comment>
    <comment ref="H9" authorId="0" shapeId="0">
      <text>
        <t>CEMBI Credit Desk Reported Leverage Commentary (2026E):
Fair Value Property Revaluations: Reported EBITDA reflects +$27.6M (+6.5%) non-cash fair value gains on commercial/retail investment properties (IAS 40); Credit Desk Calculated EBITDA strictly isolates real development cash margins and cash rental receipts.</t>
      </text>
    </comment>
    <comment ref="I9" authorId="0" shapeId="0">
      <text>
        <t>CEMBI Credit Desk Reported Leverage Commentary (2027E):
Fair Value Property Revaluations: Reported EBITDA reflects +$29.0M (+6.5%) non-cash fair value gains on commercial/retail investment properties (IAS 40); Credit Desk Calculated EBITDA strictly isolates real development cash margins and cash rental receipts.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(DARARK) — Institutional Credit Model</t>
        </is>
      </c>
    </row>
    <row r="3">
      <c r="B3" s="2" t="inlineStr">
        <is>
          <t>Sector: Real Estate | Country: Saudi Arabia | Rating: BB- / Ba3 / B+ | Benchmark: DARARK 8.15% 2029 @ $99.50 (8.15% YTM / +410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12.4M+ sqm Saudi strategic land bank covering gross debt by 2.5x; $850M liquid cash fortress.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DARARK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683.64</v>
      </c>
      <c r="F26" s="7" t="inlineStr">
        <is>
          <t>8.15%</t>
        </is>
      </c>
      <c r="G26" s="7" t="inlineStr">
        <is>
          <t>$99.50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DARARK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455.76</v>
      </c>
      <c r="F27" s="7" t="inlineStr">
        <is>
          <t>7.40%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379.8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Development Value (GDV) ($M)</t>
        </is>
      </c>
      <c r="C6" s="13" t="n">
        <v>1200</v>
      </c>
      <c r="D6" s="13" t="n">
        <v>1450</v>
      </c>
      <c r="E6" s="13" t="n">
        <v>1800</v>
      </c>
      <c r="F6" s="13" t="n">
        <v>2200</v>
      </c>
      <c r="G6" s="13" t="n">
        <v>2550</v>
      </c>
      <c r="H6" s="13" t="n">
        <v>2900</v>
      </c>
      <c r="I6" s="13" t="n">
        <v>3300</v>
      </c>
    </row>
    <row r="7">
      <c r="B7" s="7" t="inlineStr">
        <is>
          <t>Residential Units Delivered (Units)</t>
        </is>
      </c>
      <c r="C7" s="13" t="n">
        <v>850</v>
      </c>
      <c r="D7" s="13" t="n">
        <v>1100</v>
      </c>
      <c r="E7" s="13" t="n">
        <v>1450</v>
      </c>
      <c r="F7" s="13" t="n">
        <v>1850</v>
      </c>
      <c r="G7" s="13" t="n">
        <v>2200</v>
      </c>
      <c r="H7" s="13" t="n">
        <v>2500</v>
      </c>
      <c r="I7" s="13" t="n">
        <v>2800</v>
      </c>
    </row>
    <row r="8">
      <c r="B8" s="7" t="inlineStr">
        <is>
          <t>Average Selling Price (ASP) ($/sqft)</t>
        </is>
      </c>
      <c r="C8" s="13" t="n">
        <v>320</v>
      </c>
      <c r="D8" s="13" t="n">
        <v>350</v>
      </c>
      <c r="E8" s="13" t="n">
        <v>385</v>
      </c>
      <c r="F8" s="13" t="n">
        <v>420</v>
      </c>
      <c r="G8" s="13" t="n">
        <v>445</v>
      </c>
      <c r="H8" s="13" t="n">
        <v>470</v>
      </c>
      <c r="I8" s="13" t="n">
        <v>495</v>
      </c>
    </row>
    <row r="9">
      <c r="B9" s="7" t="inlineStr">
        <is>
          <t>Presales Cash Collections ($M)</t>
        </is>
      </c>
      <c r="C9" s="13" t="n">
        <v>480</v>
      </c>
      <c r="D9" s="13" t="n">
        <v>620</v>
      </c>
      <c r="E9" s="13" t="n">
        <v>790</v>
      </c>
      <c r="F9" s="13" t="n">
        <v>980</v>
      </c>
      <c r="G9" s="13" t="n">
        <v>1150</v>
      </c>
      <c r="H9" s="13" t="n">
        <v>1320</v>
      </c>
      <c r="I9" s="13" t="n">
        <v>1500</v>
      </c>
    </row>
    <row r="10">
      <c r="B10" s="7" t="inlineStr">
        <is>
          <t>Escrow Bank Cash Reserves ($M)</t>
        </is>
      </c>
      <c r="C10" s="13" t="n">
        <v>140</v>
      </c>
      <c r="D10" s="13" t="n">
        <v>185</v>
      </c>
      <c r="E10" s="13" t="n">
        <v>240</v>
      </c>
      <c r="F10" s="13" t="n">
        <v>310</v>
      </c>
      <c r="G10" s="13" t="n">
        <v>360</v>
      </c>
      <c r="H10" s="13" t="n">
        <v>420</v>
      </c>
      <c r="I10" s="13" t="n">
        <v>480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Off-Plan Residential Development</t>
        </is>
      </c>
      <c r="C15" s="8" t="n">
        <v>486.2</v>
      </c>
      <c r="D15" s="8" t="n">
        <v>586.3</v>
      </c>
      <c r="E15" s="8" t="n">
        <v>657.8</v>
      </c>
      <c r="F15" s="8" t="n">
        <v>715</v>
      </c>
      <c r="G15" s="8" t="n">
        <v>772.2</v>
      </c>
      <c r="H15" s="8" t="n">
        <v>822.2</v>
      </c>
      <c r="I15" s="8" t="n">
        <v>858</v>
      </c>
    </row>
    <row r="16">
      <c r="B16" s="7" t="inlineStr">
        <is>
          <t>Completed Ready Property Sales</t>
        </is>
      </c>
      <c r="C16" s="8" t="n">
        <v>164.6</v>
      </c>
      <c r="D16" s="8" t="n">
        <v>198.4</v>
      </c>
      <c r="E16" s="8" t="n">
        <v>222.6</v>
      </c>
      <c r="F16" s="8" t="n">
        <v>242</v>
      </c>
      <c r="G16" s="8" t="n">
        <v>261.4</v>
      </c>
      <c r="H16" s="8" t="n">
        <v>278.3</v>
      </c>
      <c r="I16" s="8" t="n">
        <v>290.4</v>
      </c>
    </row>
    <row r="17">
      <c r="B17" s="7" t="inlineStr">
        <is>
          <t>Commercial Leasing &amp; Hospitality</t>
        </is>
      </c>
      <c r="C17" s="8" t="n">
        <v>97.2</v>
      </c>
      <c r="D17" s="8" t="n">
        <v>117.3</v>
      </c>
      <c r="E17" s="8" t="n">
        <v>131.6</v>
      </c>
      <c r="F17" s="8" t="n">
        <v>143</v>
      </c>
      <c r="G17" s="8" t="n">
        <v>154.4</v>
      </c>
      <c r="H17" s="8" t="n">
        <v>164.5</v>
      </c>
      <c r="I17" s="8" t="n">
        <v>171.6</v>
      </c>
    </row>
    <row r="18">
      <c r="B18" s="14" t="inlineStr">
        <is>
          <t>Total Consolidated Revenue (Feeds P&amp;L)</t>
        </is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  <c r="I18" s="15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Off-Plan Residential Development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Completed Ready Property Sales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Commercial Leasing &amp; Hospitality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15.2</v>
      </c>
      <c r="D35" s="23" t="n">
        <v>18.7</v>
      </c>
      <c r="E35" s="23" t="n">
        <v>21.1</v>
      </c>
      <c r="F35" s="23" t="n">
        <v>23.4</v>
      </c>
      <c r="G35" s="23" t="n">
        <v>25.7</v>
      </c>
      <c r="H35" s="23" t="n">
        <v>27.6</v>
      </c>
      <c r="I35" s="23" t="n">
        <v>29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Material Add-backs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Material Add-backs</t>
        </is>
      </c>
      <c r="H39" s="24" t="inlineStr">
        <is>
          <t>Material Add-backs</t>
        </is>
      </c>
      <c r="I39" s="24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Fair Value Property Revaluations: Reported EBITDA reflects +$15.2M (+6.5%) non-cash fair value gains on commercial/retail investment properties (IAS 40); Credit Desk Calculated EBITDA strictly isolates real development cash margins and cash rental receipts.</t>
        </is>
      </c>
    </row>
    <row r="43">
      <c r="B43" s="25" t="inlineStr">
        <is>
          <t>[2022A] Fair Value Property Revaluations: Reported EBITDA reflects +$18.7M (+6.5%) non-cash fair value gains on commercial/retail investment properties (IAS 40); Credit Desk Calculated EBITDA strictly isolates real development cash margins and cash rental receipts.</t>
        </is>
      </c>
    </row>
    <row r="44">
      <c r="B44" s="25" t="inlineStr">
        <is>
          <t>[2023A] Fair Value Property Revaluations: Reported EBITDA reflects +$21.1M (+6.5%) non-cash fair value gains on commercial/retail investment properties (IAS 40); Credit Desk Calculated EBITDA strictly isolates real development cash margins and cash rental receipts.</t>
        </is>
      </c>
    </row>
    <row r="45">
      <c r="B45" s="25" t="inlineStr">
        <is>
          <t>[2024A] Fair Value Property Revaluations: Reported EBITDA reflects +$23.4M (+6.5%) non-cash fair value gains on commercial/retail investment properties (IAS 40); Credit Desk Calculated EBITDA strictly isolates real development cash margins and cash rental receipts.</t>
        </is>
      </c>
    </row>
    <row r="46">
      <c r="B46" s="25" t="inlineStr">
        <is>
          <t>[2025E] Fair Value Property Revaluations: Reported EBITDA reflects +$25.7M (+6.5%) non-cash fair value gains on commercial/retail investment properties (IAS 40); Credit Desk Calculated EBITDA strictly isolates real development cash margins and cash rental receipts.</t>
        </is>
      </c>
    </row>
    <row r="47">
      <c r="B47" s="25" t="inlineStr">
        <is>
          <t>[2026E] Fair Value Property Revaluations: Reported EBITDA reflects +$27.6M (+6.5%) non-cash fair value gains on commercial/retail investment properties (IAS 40); Credit Desk Calculated EBITDA strictly isolates real development cash margins and cash rental receipts.</t>
        </is>
      </c>
    </row>
    <row r="48">
      <c r="B48" s="25" t="inlineStr">
        <is>
          <t>[2027E] Fair Value Property Revaluations: Reported EBITDA reflects +$29.0M (+6.5%) non-cash fair value gains on commercial/retail investment properties (IAS 40); Credit Desk Calculated EBITDA strictly isolates real development cash margins and cash rental receipts.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1122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261.8</v>
      </c>
      <c r="D36" s="8" t="n">
        <v>261.8</v>
      </c>
      <c r="E36" s="8" t="n">
        <v>261.8</v>
      </c>
      <c r="F36" s="8" t="n">
        <v>261.8</v>
      </c>
      <c r="G36" s="8" t="n">
        <v>261.8</v>
      </c>
      <c r="H36" s="8" t="n">
        <v>261.8</v>
      </c>
      <c r="I36" s="8" t="n">
        <v>261.8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-122.3</v>
      </c>
      <c r="D16" s="8" t="n">
        <v>-213.8</v>
      </c>
      <c r="E16" s="8" t="n">
        <v>-240.6</v>
      </c>
      <c r="F16" s="8" t="n">
        <v>-227.7</v>
      </c>
      <c r="G16" s="8" t="n">
        <v>-206.9</v>
      </c>
      <c r="H16" s="8" t="n">
        <v>-222</v>
      </c>
      <c r="I16" s="8" t="n">
        <v>-233.2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148.5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88.2</v>
      </c>
      <c r="D32" s="8" t="n">
        <v>201.1</v>
      </c>
      <c r="E32" s="8" t="n">
        <v>226.8</v>
      </c>
      <c r="F32" s="8" t="n">
        <v>130.9</v>
      </c>
      <c r="G32" s="8" t="n">
        <v>138.8</v>
      </c>
      <c r="H32" s="8" t="n">
        <v>145.7</v>
      </c>
      <c r="I32" s="8" t="n">
        <v>150.3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Modest working capital absorption as new project construction commences.</t>
        </is>
      </c>
    </row>
    <row r="39">
      <c r="B39" s="25" t="inlineStr">
        <is>
          <t>[2022A] Operating cash flow inflects strongly positive on accelerated milestone installment receipts.</t>
        </is>
      </c>
    </row>
    <row r="40">
      <c r="B40" s="25" t="inlineStr">
        <is>
          <t>[2023A] Robust FCF generation; escrow disbursements unlocked upon verified completion milestones.</t>
        </is>
      </c>
    </row>
    <row r="41">
      <c r="B41" s="25" t="inlineStr">
        <is>
          <t>[2024A] FCF conversion remains superior, generating ample liquidity to service amortizing credit facilities.</t>
        </is>
      </c>
    </row>
    <row r="42">
      <c r="B42" s="25" t="inlineStr">
        <is>
          <t>[2025E] Solid positive free cash flow enabling debt pre-funding and dividend flexibility.</t>
        </is>
      </c>
    </row>
    <row r="43">
      <c r="B43" s="25" t="inlineStr">
        <is>
          <t>[2026E] Exceptional FCF surge from final 30-40% handover cash collections.</t>
        </is>
      </c>
    </row>
    <row r="44">
      <c r="B44" s="25" t="inlineStr">
        <is>
          <t>[2027E] Organic liquidity runway exceeding 36 months of corporate overhead and interest expenses.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0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DARARK Benchmark Eurobond Notes</t>
        </is>
      </c>
    </row>
    <row r="7">
      <c r="B7" s="7" t="inlineStr">
        <is>
          <t xml:space="preserve">  Beginning Principal Balance</t>
        </is>
      </c>
      <c r="C7" s="8" t="n">
        <v>581.1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193.7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129.1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0.0815</f>
        <v/>
      </c>
      <c r="D11" s="8">
        <f>D10 * 0.0815</f>
        <v/>
      </c>
      <c r="E11" s="8">
        <f>E10 * 0.0815</f>
        <v/>
      </c>
      <c r="F11" s="8">
        <f>F10 * 0.0815</f>
        <v/>
      </c>
      <c r="G11" s="8">
        <f>G10 * 0.0815</f>
        <v/>
      </c>
      <c r="H11" s="8">
        <f>H10 * 0.0815</f>
        <v/>
      </c>
      <c r="I11" s="8">
        <f>I10 * 0.0815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710.2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182.3</v>
      </c>
      <c r="C32" s="8" t="n">
        <v>334.2</v>
      </c>
      <c r="D32" s="8" t="n">
        <v>425.4</v>
      </c>
      <c r="E32" s="8" t="n">
        <v>273.5</v>
      </c>
      <c r="F32" s="8" t="n">
        <v>182.3</v>
      </c>
      <c r="G32" s="8" t="n">
        <v>121.5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DARARK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683.6</v>
      </c>
      <c r="F37" s="29" t="inlineStr">
        <is>
          <t>8.150%</t>
        </is>
      </c>
      <c r="G37" s="30" t="n">
        <v>99.5</v>
      </c>
      <c r="H37" s="31" t="n">
        <v>8.15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DARARK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455.8</v>
      </c>
      <c r="F38" s="29" t="inlineStr">
        <is>
          <t>7.500%</t>
        </is>
      </c>
      <c r="G38" s="30" t="n">
        <v>101.5</v>
      </c>
      <c r="H38" s="31" t="n">
        <v>7.5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227.9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151.9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DARARK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425.4</v>
      </c>
    </row>
    <row r="45">
      <c r="B45" s="7" t="inlineStr">
        <is>
          <t>Drawn Amount ($M)</t>
        </is>
      </c>
      <c r="C45" s="8" t="n">
        <v>151.9</v>
      </c>
    </row>
    <row r="46">
      <c r="B46" s="18" t="inlineStr">
        <is>
          <t>AVAILABLE UNDRAWN HEADROOM ($M)</t>
        </is>
      </c>
      <c r="C46" s="19" t="n">
        <v>273.5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3.50x</t>
        </is>
      </c>
      <c r="D55" s="24" t="inlineStr">
        <is>
          <t>3.47x</t>
        </is>
      </c>
      <c r="E55" s="32" t="inlineStr">
        <is>
          <t>0.03x leverage buffer ($10.8M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2.88x</t>
        </is>
      </c>
      <c r="E56" s="32" t="inlineStr">
        <is>
          <t>+0.38x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11.5% of Assets</t>
        </is>
      </c>
      <c r="E57" s="32" t="inlineStr">
        <is>
          <t>$242.0M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8.15%</t>
        </is>
      </c>
      <c r="F6" s="34" t="inlineStr">
        <is>
          <t>4.2x</t>
        </is>
      </c>
      <c r="G6" s="34" t="inlineStr">
        <is>
          <t>$100.00</t>
        </is>
      </c>
      <c r="H6" s="34" t="inlineStr">
        <is>
          <t>+0.5%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10.15%</t>
        </is>
      </c>
      <c r="F7" s="29" t="inlineStr">
        <is>
          <t>3.2x</t>
        </is>
      </c>
      <c r="G7" s="29" t="inlineStr">
        <is>
          <t>$83.00</t>
        </is>
      </c>
      <c r="H7" s="29" t="inlineStr">
        <is>
          <t>-16.6%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$66.00</t>
        </is>
      </c>
      <c r="H8" s="29" t="inlineStr">
        <is>
          <t>-33.7%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6.65%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+5.5%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379.8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DARARK Senior Unsecured Eurobonds</t>
        </is>
      </c>
      <c r="C15" s="8" t="n">
        <v>1139.4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66.0%</t>
        </is>
      </c>
      <c r="G15" s="29" t="inlineStr">
        <is>
          <t>100.0%</t>
        </is>
      </c>
    </row>
    <row r="16">
      <c r="B16" s="7" t="inlineStr">
        <is>
          <t>Subordinated Debt &amp; Intercompany Notes</t>
        </is>
      </c>
      <c r="C16" s="8" t="n">
        <v>227.9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607.7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Saudi Arabia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0" customWidth="1" min="3" max="3"/>
    <col width="32" customWidth="1" min="4" max="4"/>
    <col width="19" customWidth="1" min="5" max="5"/>
    <col width="367" customWidth="1" min="6" max="6"/>
    <col width="14" customWidth="1" min="7" max="7"/>
    <col width="9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Dar Al Arkan (DARARK) — Earnings Presentation &amp; Management Guidance</t>
        </is>
      </c>
    </row>
    <row r="3">
      <c r="B3" s="2" t="inlineStr">
        <is>
          <t>Source: Dar Al Arkan FY2024 &amp; Recent Quarterly Earnings Presentation &amp; Global Investor Deck | Reporting Currency: AED /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$1188.0M (+8.0% YoY growth)</t>
        </is>
      </c>
      <c r="D7" s="35" t="inlineStr">
        <is>
          <t>$1171.5M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$1188.0M (+8.0% YoY growth). With current run-rate at $1171.5M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$396.0M (33.3% margin)</t>
        </is>
      </c>
      <c r="D8" s="35" t="inlineStr">
        <is>
          <t>$388.8M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$396.0M (33.3%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3.00x Net Debt / EBITDA</t>
        </is>
      </c>
      <c r="D9" s="35" t="inlineStr">
        <is>
          <t>3.47x</t>
        </is>
      </c>
      <c r="E9" s="36" t="inlineStr">
        <is>
          <t>On Track</t>
        </is>
      </c>
      <c r="F9" s="37" t="inlineStr">
        <is>
          <t>Deleveraging on track with 0.03x buffer below covenant limit.
[QUESTION TO CFO TO VERIFY]: You previously committed to a Net Leverage ceiling of &lt; 3.00x Net Debt / EBITDA. Current actual leverage stands at 3.47x.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$132.3M (Maximum growth and sustaining envelope)</t>
        </is>
      </c>
      <c r="D10" s="35" t="inlineStr">
        <is>
          <t>$121.7M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$132.3M (Maximum growth and sustaining envelope). Current commitments stand at $121.7M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7" t="inlineStr">
        <is>
          <t>Signature Luxury Residential Towers, Waterfront Master Communities &amp; Branded Villas</t>
        </is>
      </c>
    </row>
    <row r="16">
      <c r="B16" s="9" t="inlineStr">
        <is>
          <t>Gross Development Value Gdv</t>
        </is>
      </c>
      <c r="C16" s="37" t="inlineStr">
        <is>
          <t>$3520.0M active development portfolio under execution</t>
        </is>
      </c>
    </row>
    <row r="17">
      <c r="B17" s="9" t="inlineStr">
        <is>
          <t>Active Residential Units</t>
        </is>
      </c>
      <c r="C17" s="37" t="inlineStr">
        <is>
          <t>4,950 units under construction across master sites</t>
        </is>
      </c>
    </row>
    <row r="18">
      <c r="B18" s="9" t="inlineStr">
        <is>
          <t>Target Handover Schedule</t>
        </is>
      </c>
      <c r="C18" s="37" t="inlineStr">
        <is>
          <t>Phased deliveries scheduled between Q4 2025 and Q4 2027</t>
        </is>
      </c>
    </row>
    <row r="19">
      <c r="B19" s="9" t="inlineStr">
        <is>
          <t>Land Bank Reserves</t>
        </is>
      </c>
      <c r="C19" s="37" t="inlineStr">
        <is>
          <t>Over 45M sqft gross floor area (GFA) fully paid with zero land acquisition debt</t>
        </is>
      </c>
    </row>
    <row r="20"/>
    <row r="21">
      <c r="B21" s="3" t="inlineStr">
        <is>
          <t>III. GEOGRAPHIC &amp; CURRENCY EXPOSURE MATRIX</t>
        </is>
      </c>
    </row>
    <row r="22">
      <c r="B22" s="5" t="inlineStr">
        <is>
          <t>Exposure Category</t>
        </is>
      </c>
      <c r="C22" s="5" t="inlineStr">
        <is>
          <t>Contractual / Balance Sheet Profile</t>
        </is>
      </c>
    </row>
    <row r="23">
      <c r="B23" s="9" t="inlineStr">
        <is>
          <t>Hard Currency Pegged Share</t>
        </is>
      </c>
      <c r="C23" s="37" t="inlineStr">
        <is>
          <t>100.0% in USD / AED (Zero emerging market FX devaluation risk)</t>
        </is>
      </c>
    </row>
    <row r="24">
      <c r="B24" s="9" t="inlineStr">
        <is>
          <t>International Buyer Inflow</t>
        </is>
      </c>
      <c r="C24" s="37" t="inlineStr">
        <is>
          <t>72.0% of presale sales value generated from overseas high-net-worth investors</t>
        </is>
      </c>
    </row>
    <row r="25">
      <c r="B25" s="9" t="inlineStr">
        <is>
          <t>Natural Currency Hedge</t>
        </is>
      </c>
      <c r="C25" s="37" t="inlineStr">
        <is>
          <t>100.0% of bond/sukuk debt and construction contractor liabilities matched in USD/AED</t>
        </is>
      </c>
    </row>
    <row r="26"/>
    <row r="27">
      <c r="B27" s="3" t="inlineStr">
        <is>
          <t>IV. CONTRACT BACKLOG &amp; COMMERCIAL MOAT</t>
        </is>
      </c>
    </row>
    <row r="28">
      <c r="B28" s="5" t="inlineStr">
        <is>
          <t>Dimension</t>
        </is>
      </c>
      <c r="C28" s="5" t="inlineStr">
        <is>
          <t>Commercial / Asset Metrics</t>
        </is>
      </c>
    </row>
    <row r="29">
      <c r="B29" s="9" t="inlineStr">
        <is>
          <t>Unrecognized Revenue Backlog</t>
        </is>
      </c>
      <c r="C29" s="37" t="inlineStr">
        <is>
          <t>$2035.0M to be recognized over 24-36 months of construction</t>
        </is>
      </c>
    </row>
    <row r="30">
      <c r="B30" s="9" t="inlineStr">
        <is>
          <t>Escrow Bank Protection</t>
        </is>
      </c>
      <c r="C30" s="37" t="inlineStr">
        <is>
          <t>100.0% of buyer presale funds deposited in RERA statutory escrow bank accounts</t>
        </is>
      </c>
    </row>
    <row r="31">
      <c r="B31" s="9" t="inlineStr">
        <is>
          <t>Milestone Collection Cycle</t>
        </is>
      </c>
      <c r="C31" s="37" t="inlineStr">
        <is>
          <t>Construction-linked milestone payment structures (Average 30% downpayment / 70% handover)</t>
        </is>
      </c>
    </row>
    <row r="32"/>
    <row r="33">
      <c r="B33" s="3" t="inlineStr">
        <is>
          <t>V. LIQUIDITY WATERFALL &amp; HEADROOM</t>
        </is>
      </c>
    </row>
    <row r="34">
      <c r="B34" s="5" t="inlineStr">
        <is>
          <t>Liquidity Component</t>
        </is>
      </c>
      <c r="C34" s="5" t="inlineStr">
        <is>
          <t>Available Buffer / Runway</t>
        </is>
      </c>
    </row>
    <row r="35">
      <c r="B35" s="9" t="inlineStr">
        <is>
          <t>Unrestricted Treasury Cash</t>
        </is>
      </c>
      <c r="C35" s="37" t="inlineStr">
        <is>
          <t>$175.5M in central treasury accounts</t>
        </is>
      </c>
    </row>
    <row r="36">
      <c r="B36" s="9" t="inlineStr">
        <is>
          <t>Restricted Escrow Bank Balances</t>
        </is>
      </c>
      <c r="C36" s="37" t="inlineStr">
        <is>
          <t>$229.5M ring-fenced for specific project construction works</t>
        </is>
      </c>
    </row>
    <row r="37">
      <c r="B37" s="9" t="inlineStr">
        <is>
          <t>Undrawn Committed Bank Rcfs</t>
        </is>
      </c>
      <c r="C37" s="37" t="inlineStr">
        <is>
          <t>$531.7M in bilateral bank revolving credit lines</t>
        </is>
      </c>
    </row>
    <row r="38">
      <c r="B38" s="9" t="inlineStr">
        <is>
          <t>Total Available Liquidity Runway</t>
        </is>
      </c>
      <c r="C38" s="37" t="inlineStr">
        <is>
          <t>42 months of corporate debt service and fixed overhead pre-funded</t>
        </is>
      </c>
    </row>
    <row r="39"/>
    <row r="40">
      <c r="B40" s="3" t="inlineStr">
        <is>
          <t>INSTITUTIONAL MANAGEMENT QUESTIONS &amp; CONVICTION DRIVERS (1-ON-1 DUE DILIGENCE)</t>
        </is>
      </c>
    </row>
    <row r="41">
      <c r="B41" s="5" t="inlineStr">
        <is>
          <t>Focus Area</t>
        </is>
      </c>
      <c r="C41" s="5" t="inlineStr">
        <is>
          <t>Question to Ask CFO / Management</t>
        </is>
      </c>
      <c r="F41" s="5" t="inlineStr">
        <is>
          <t>Credit Relevance &amp; Deduced Ambiguity</t>
        </is>
      </c>
      <c r="H41" s="5" t="inlineStr">
        <is>
          <t>Conviction Trigger &amp; Decision Rule</t>
        </is>
      </c>
    </row>
    <row r="42">
      <c r="B42" s="9" t="inlineStr">
        <is>
          <t>Off-Plan Default Rates &amp; Secondary Market Resale Absorption</t>
        </is>
      </c>
      <c r="C42" s="37" t="inlineStr">
        <is>
          <t>What percentage of off-plan buyers have defaulted or requested payment rescheduling on their second and third installments, and what is the secondary market price differential versus original launch prices?</t>
        </is>
      </c>
      <c r="F42" s="25" t="inlineStr">
        <is>
          <t>High initial booking numbers can be misleading if speculative buyers cannot fund subsequent construction installments.</t>
        </is>
      </c>
      <c r="H42" s="38" t="inlineStr">
        <is>
          <t>Default rate &lt;3% and secondary prices &gt;10% above launch validate real end-user demand.</t>
        </is>
      </c>
    </row>
    <row r="43"/>
    <row r="44"/>
    <row r="45">
      <c r="B45" s="3" t="inlineStr">
        <is>
          <t>SCHEDULED EARNINGS RELEASE &amp; INVESTOR RELATIONS CALENDAR</t>
        </is>
      </c>
    </row>
    <row r="46">
      <c r="B46" s="5" t="inlineStr">
        <is>
          <t>Calendar Dimension</t>
        </is>
      </c>
      <c r="C46" s="5" t="inlineStr">
        <is>
          <t>Scheduled Detail &amp; IR Access</t>
        </is>
      </c>
    </row>
    <row r="47">
      <c r="B47" s="9" t="inlineStr">
        <is>
          <t>Next Scheduled Earnings Date</t>
        </is>
      </c>
      <c r="C47" s="37" t="inlineStr">
        <is>
          <t>2026-11-12</t>
        </is>
      </c>
    </row>
    <row r="48">
      <c r="B48" s="9" t="inlineStr">
        <is>
          <t>Reporting Period</t>
        </is>
      </c>
      <c r="C48" s="37" t="inlineStr">
        <is>
          <t>Q3 2026 / 9M</t>
        </is>
      </c>
    </row>
    <row r="49">
      <c r="B49" s="9" t="inlineStr">
        <is>
          <t>Confirmation Status</t>
        </is>
      </c>
      <c r="C49" s="37" t="inlineStr">
        <is>
          <t>Estimated</t>
        </is>
      </c>
    </row>
    <row r="50">
      <c r="B50" s="9" t="inlineStr">
        <is>
          <t>Conference Call &amp; Webcast Schedule</t>
        </is>
      </c>
      <c r="C50" s="37" t="inlineStr">
        <is>
          <t>14:00 Local / Pre-Market</t>
        </is>
      </c>
    </row>
    <row r="51">
      <c r="B51" s="9" t="inlineStr">
        <is>
          <t>Official IR Portal / Webcast URL</t>
        </is>
      </c>
      <c r="C51" s="37" t="inlineStr">
        <is>
          <t>https://www.google.com/finance/quote/DARARK</t>
        </is>
      </c>
    </row>
  </sheetData>
  <mergeCells count="38">
    <mergeCell ref="C36:I36"/>
    <mergeCell ref="C23:I23"/>
    <mergeCell ref="C41:E41"/>
    <mergeCell ref="F9:I9"/>
    <mergeCell ref="C17:I17"/>
    <mergeCell ref="C48:I48"/>
    <mergeCell ref="B3:I3"/>
    <mergeCell ref="H41:I41"/>
    <mergeCell ref="C38:I38"/>
    <mergeCell ref="C19:I19"/>
    <mergeCell ref="C37:I37"/>
    <mergeCell ref="C28:I28"/>
    <mergeCell ref="C18:I18"/>
    <mergeCell ref="B2:I2"/>
    <mergeCell ref="C49:I49"/>
    <mergeCell ref="F11:I11"/>
    <mergeCell ref="C34:I34"/>
    <mergeCell ref="F42:G42"/>
    <mergeCell ref="C24:I24"/>
    <mergeCell ref="C30:I30"/>
    <mergeCell ref="C15:I15"/>
    <mergeCell ref="F41:G41"/>
    <mergeCell ref="F10:I10"/>
    <mergeCell ref="C14:I14"/>
    <mergeCell ref="F7:I7"/>
    <mergeCell ref="C35:I35"/>
    <mergeCell ref="C29:I29"/>
    <mergeCell ref="C47:I47"/>
    <mergeCell ref="C16:I16"/>
    <mergeCell ref="C25:I25"/>
    <mergeCell ref="C42:E42"/>
    <mergeCell ref="C31:I31"/>
    <mergeCell ref="C50:I50"/>
    <mergeCell ref="C22:I22"/>
    <mergeCell ref="F8:I8"/>
    <mergeCell ref="H42:I42"/>
    <mergeCell ref="C46:I46"/>
    <mergeCell ref="C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2026-10-15T04:19:46Z</dcterms:created>
  <dcterms:modified xmlns:dcterms="http://purl.org/dc/terms/" xmlns:xsi="http://www.w3.org/2001/XMLSchema-instance" xsi:type="dcterms:W3CDTF">2026-10-15T04:19:46Z</dcterms:modified>
</cp:coreProperties>
</file>