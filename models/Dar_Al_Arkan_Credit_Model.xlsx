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Dar Al Arkan</t>
        </is>
      </c>
    </row>
    <row r="3">
      <c r="B3" s="2" t="inlineStr">
        <is>
          <t>CEMBI CEEMEA Institutional Credit Assessment | Country: Saudi Arabia (Middle East) | Sector: Real Estate | Benchmark: DARARK 8.15%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DARARK 8.15% 2029</t>
        </is>
      </c>
      <c r="C6" s="5" t="inlineStr">
        <is>
          <t>8.15% (+410 bp)</t>
        </is>
      </c>
      <c r="D6" s="4" t="inlineStr">
        <is>
          <t>BB- / Ba3 / B+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$66.00</t>
        </is>
      </c>
      <c r="D7" s="4" t="inlineStr">
        <is>
          <t>Base Case Fair Value</t>
        </is>
      </c>
      <c r="E7" s="5" t="inlineStr">
        <is>
          <t>$100.00</t>
        </is>
      </c>
    </row>
    <row r="9">
      <c r="B9" s="6" t="inlineStr">
        <is>
          <t>INSTITUTIONAL INVESTMENT THESIS</t>
        </is>
      </c>
    </row>
    <row r="10">
      <c r="B10" s="7" t="inlineStr">
        <is>
          <t>12.4M+ sqm Saudi strategic land bank covering gross debt by 2.5x; $850M liquid cash fortress.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Dar Al Arkan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748</v>
      </c>
      <c r="D7" s="13" t="n">
        <v>902</v>
      </c>
      <c r="E7" s="13" t="n">
        <v>1012</v>
      </c>
      <c r="F7" s="13" t="n">
        <v>1100</v>
      </c>
      <c r="G7" s="14" t="n">
        <v>1188</v>
      </c>
      <c r="H7" s="14" t="n">
        <v>1265</v>
      </c>
      <c r="I7" s="14" t="n">
        <v>1320</v>
      </c>
    </row>
    <row r="8">
      <c r="B8" s="12" t="inlineStr">
        <is>
          <t>EBITDA</t>
        </is>
      </c>
      <c r="C8" s="13" t="n">
        <v>234</v>
      </c>
      <c r="D8" s="13" t="n">
        <v>288</v>
      </c>
      <c r="E8" s="13" t="n">
        <v>324</v>
      </c>
      <c r="F8" s="13" t="n">
        <v>360</v>
      </c>
      <c r="G8" s="14" t="n">
        <v>396</v>
      </c>
      <c r="H8" s="14" t="n">
        <v>424.8</v>
      </c>
      <c r="I8" s="14" t="n">
        <v>446.4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75</v>
      </c>
      <c r="D10" s="17" t="n">
        <v>93.8</v>
      </c>
      <c r="E10" s="17" t="n">
        <v>112.5</v>
      </c>
      <c r="F10" s="17" t="n">
        <v>125</v>
      </c>
      <c r="G10" s="18" t="n">
        <v>120</v>
      </c>
      <c r="H10" s="18" t="n">
        <v>115</v>
      </c>
      <c r="I10" s="18" t="n">
        <v>110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189.7</v>
      </c>
      <c r="D12" s="13" t="n">
        <v>238.7</v>
      </c>
      <c r="E12" s="13" t="n">
        <v>269.3</v>
      </c>
      <c r="F12" s="13" t="n">
        <v>306</v>
      </c>
      <c r="G12" s="14" t="n">
        <v>336.6</v>
      </c>
      <c r="H12" s="14" t="n">
        <v>361.1</v>
      </c>
      <c r="I12" s="14" t="n">
        <v>382.5</v>
      </c>
    </row>
    <row r="13">
      <c r="B13" s="5" t="inlineStr">
        <is>
          <t>Capital Expenditures (Capex)</t>
        </is>
      </c>
      <c r="C13" s="17" t="n">
        <v>88.2</v>
      </c>
      <c r="D13" s="17" t="n">
        <v>107.1</v>
      </c>
      <c r="E13" s="17" t="n">
        <v>119.7</v>
      </c>
      <c r="F13" s="17" t="n">
        <v>126</v>
      </c>
      <c r="G13" s="18" t="n">
        <v>132.3</v>
      </c>
      <c r="H13" s="18" t="n">
        <v>128.5</v>
      </c>
      <c r="I13" s="18" t="n">
        <v>123.5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148.5</v>
      </c>
      <c r="D16" s="13" t="n">
        <v>189</v>
      </c>
      <c r="E16" s="13" t="n">
        <v>229.5</v>
      </c>
      <c r="F16" s="13" t="n">
        <v>270</v>
      </c>
      <c r="G16" s="14" t="n">
        <v>318.6</v>
      </c>
      <c r="H16" s="14" t="n">
        <v>364.5</v>
      </c>
      <c r="I16" s="14" t="n">
        <v>405</v>
      </c>
    </row>
    <row r="17">
      <c r="B17" s="12" t="inlineStr">
        <is>
          <t>Gross Total Debt</t>
        </is>
      </c>
      <c r="C17" s="13" t="n">
        <v>1291.3</v>
      </c>
      <c r="D17" s="13" t="n">
        <v>1397.7</v>
      </c>
      <c r="E17" s="13" t="n">
        <v>1488.8</v>
      </c>
      <c r="F17" s="13" t="n">
        <v>1519.2</v>
      </c>
      <c r="G17" s="14" t="n">
        <v>1488.8</v>
      </c>
      <c r="H17" s="14" t="n">
        <v>1443.2</v>
      </c>
      <c r="I17" s="14" t="n">
        <v>1367.3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Dar Al Arkan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8.15%</t>
        </is>
      </c>
      <c r="F6" s="21" t="inlineStr">
        <is>
          <t>2028 / 2029</t>
        </is>
      </c>
      <c r="G6" s="17" t="n">
        <v>683.6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379.8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227.9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151.9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76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229.5</v>
      </c>
    </row>
    <row r="15">
      <c r="B15" t="inlineStr">
        <is>
          <t>Committed Undrawn RCF Capacity</t>
        </is>
      </c>
      <c r="C15" s="22" t="n">
        <v>144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307.3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Dar Al Arkan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360</v>
      </c>
      <c r="D6" s="17" t="n">
        <v>306</v>
      </c>
      <c r="E6" s="25" t="n">
        <v>234</v>
      </c>
    </row>
    <row r="7">
      <c r="B7" s="5" t="inlineStr">
        <is>
          <t>Free Cash Flow ($M)</t>
        </is>
      </c>
      <c r="C7" s="17" t="n">
        <v>180</v>
      </c>
      <c r="D7" s="17" t="n">
        <v>108</v>
      </c>
      <c r="E7" s="25" t="n">
        <v>27</v>
      </c>
    </row>
    <row r="8">
      <c r="B8" s="12" t="inlineStr">
        <is>
          <t>Net Leverage Ratio (x)</t>
        </is>
      </c>
      <c r="C8" s="26" t="n">
        <v>3.47</v>
      </c>
      <c r="D8" s="26" t="n">
        <v>4.34</v>
      </c>
      <c r="E8" s="27" t="n">
        <v>6.42</v>
      </c>
    </row>
    <row r="9">
      <c r="B9" s="5" t="inlineStr">
        <is>
          <t>Interest Coverage Ratio (x)</t>
        </is>
      </c>
      <c r="C9" s="26" t="n">
        <v>2.88</v>
      </c>
      <c r="D9" s="26" t="n">
        <v>2.25</v>
      </c>
      <c r="E9" s="27" t="n">
        <v>1.3</v>
      </c>
    </row>
    <row r="10">
      <c r="B10" s="12" t="inlineStr">
        <is>
          <t>Implied Senior Paper Trading / Recovery ($)</t>
        </is>
      </c>
      <c r="C10" s="12" t="inlineStr">
        <is>
          <t>$100.00</t>
        </is>
      </c>
      <c r="D10" s="12" t="inlineStr">
        <is>
          <t>$78.00</t>
        </is>
      </c>
      <c r="E10" s="28" t="inlineStr">
        <is>
          <t>$66.00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