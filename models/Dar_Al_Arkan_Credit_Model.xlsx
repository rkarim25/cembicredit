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Net leverage preserved within rating tolerance via presales escrow funding.</t>
      </text>
    </comment>
    <comment ref="D8" authorId="0" shapeId="0">
      <text>
        <t>CEMBI Credit Desk Leverage Commentary (2022A):
Deleveraging begins as cash collections build up in regulated escrow accounts.</t>
      </text>
    </comment>
    <comment ref="E8" authorId="0" shapeId="0">
      <text>
        <t>CEMBI Credit Desk Leverage Commentary (2023A):
Net debt contracts; leverage comfortably below bond covenant thresholds.</t>
      </text>
    </comment>
    <comment ref="F8" authorId="0" shapeId="0">
      <text>
        <t>CEMBI Credit Desk Leverage Commentary (2024A):
Conservative leverage profile providing substantial headroom under all debt incurrence tests.</t>
      </text>
    </comment>
    <comment ref="G8" authorId="0" shapeId="0">
      <text>
        <t>CEMBI Credit Desk Leverage Commentary (2025E):
Net leverage continues downward trajectory toward conservative investment-grade parameters.</t>
      </text>
    </comment>
    <comment ref="H8" authorId="0" shapeId="0">
      <text>
        <t>CEMBI Credit Desk Leverage Commentary (2026E):
Substantial net debt reduction providing full coverage for near-term debt maturities.</t>
      </text>
    </comment>
    <comment ref="I8" authorId="0" shapeId="0">
      <text>
        <t>CEMBI Credit Desk Leverage Commentary (2027E):
Minimal net leverage with net cash position achievable under base-case handover pacing.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Institutional Credit Model</t>
        </is>
      </c>
    </row>
    <row r="3">
      <c r="B3" s="2" t="inlineStr">
        <is>
          <t>Sector: Real Estate | Country: Saudi Arabia | Rating: BB- / Ba3 / B+ | Benchmark: DARARK 8.15% 2029 @ $99.50 (8.15% YTM / +410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12.4M+ sqm Saudi strategic land bank covering gross debt by 2.5x; $850M liquid cash fortress.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DARARK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683.64</v>
      </c>
      <c r="F26" s="7" t="inlineStr">
        <is>
          <t>8.15%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DARARK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455.76</v>
      </c>
      <c r="F27" s="7" t="inlineStr">
        <is>
          <t>7.40%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379.8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486.2</v>
      </c>
      <c r="D15" s="8" t="n">
        <v>586.3</v>
      </c>
      <c r="E15" s="8" t="n">
        <v>657.8</v>
      </c>
      <c r="F15" s="8" t="n">
        <v>715</v>
      </c>
      <c r="G15" s="8" t="n">
        <v>772.2</v>
      </c>
      <c r="H15" s="8" t="n">
        <v>822.2</v>
      </c>
      <c r="I15" s="8" t="n">
        <v>858</v>
      </c>
    </row>
    <row r="16">
      <c r="B16" s="7" t="inlineStr">
        <is>
          <t>Completed Ready Property Sales</t>
        </is>
      </c>
      <c r="C16" s="8" t="n">
        <v>164.6</v>
      </c>
      <c r="D16" s="8" t="n">
        <v>198.4</v>
      </c>
      <c r="E16" s="8" t="n">
        <v>222.6</v>
      </c>
      <c r="F16" s="8" t="n">
        <v>242</v>
      </c>
      <c r="G16" s="8" t="n">
        <v>261.4</v>
      </c>
      <c r="H16" s="8" t="n">
        <v>278.3</v>
      </c>
      <c r="I16" s="8" t="n">
        <v>290.4</v>
      </c>
    </row>
    <row r="17">
      <c r="B17" s="7" t="inlineStr">
        <is>
          <t>Commercial Leasing &amp; Hospitality</t>
        </is>
      </c>
      <c r="C17" s="8" t="n">
        <v>97.2</v>
      </c>
      <c r="D17" s="8" t="n">
        <v>117.3</v>
      </c>
      <c r="E17" s="8" t="n">
        <v>131.6</v>
      </c>
      <c r="F17" s="8" t="n">
        <v>143</v>
      </c>
      <c r="G17" s="8" t="n">
        <v>154.4</v>
      </c>
      <c r="H17" s="8" t="n">
        <v>164.5</v>
      </c>
      <c r="I17" s="8" t="n">
        <v>171.6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1122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261.8</v>
      </c>
      <c r="D36" s="8" t="n">
        <v>261.8</v>
      </c>
      <c r="E36" s="8" t="n">
        <v>261.8</v>
      </c>
      <c r="F36" s="8" t="n">
        <v>261.8</v>
      </c>
      <c r="G36" s="8" t="n">
        <v>261.8</v>
      </c>
      <c r="H36" s="8" t="n">
        <v>261.8</v>
      </c>
      <c r="I36" s="8" t="n">
        <v>261.8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-88.2</v>
      </c>
      <c r="D16" s="8" t="n">
        <v>-107.1</v>
      </c>
      <c r="E16" s="8" t="n">
        <v>-119.7</v>
      </c>
      <c r="F16" s="8" t="n">
        <v>-126</v>
      </c>
      <c r="G16" s="8" t="n">
        <v>-132.3</v>
      </c>
      <c r="H16" s="8" t="n">
        <v>-128.5</v>
      </c>
      <c r="I16" s="8" t="n">
        <v>-123.5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148.5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DARARK Benchmark Eurobond Notes</t>
        </is>
      </c>
    </row>
    <row r="7">
      <c r="B7" s="7" t="inlineStr">
        <is>
          <t xml:space="preserve">  Beginning Principal Balance</t>
        </is>
      </c>
      <c r="C7" s="8" t="n">
        <v>581.1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193.7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129.1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0.0815</f>
        <v/>
      </c>
      <c r="D11" s="8">
        <f>D10 * 0.0815</f>
        <v/>
      </c>
      <c r="E11" s="8">
        <f>E10 * 0.0815</f>
        <v/>
      </c>
      <c r="F11" s="8">
        <f>F10 * 0.0815</f>
        <v/>
      </c>
      <c r="G11" s="8">
        <f>G10 * 0.0815</f>
        <v/>
      </c>
      <c r="H11" s="8">
        <f>H10 * 0.0815</f>
        <v/>
      </c>
      <c r="I11" s="8">
        <f>I10 * 0.0815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710.2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182.3</v>
      </c>
      <c r="C32" s="8" t="n">
        <v>334.2</v>
      </c>
      <c r="D32" s="8" t="n">
        <v>425.4</v>
      </c>
      <c r="E32" s="8" t="n">
        <v>273.5</v>
      </c>
      <c r="F32" s="8" t="n">
        <v>182.3</v>
      </c>
      <c r="G32" s="8" t="n">
        <v>121.5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DARARK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683.6</v>
      </c>
      <c r="F37" s="26" t="inlineStr">
        <is>
          <t>8.150%</t>
        </is>
      </c>
      <c r="G37" s="27" t="n">
        <v>99.5</v>
      </c>
      <c r="H37" s="28" t="n">
        <v>8.15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DARARK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455.8</v>
      </c>
      <c r="F38" s="26" t="inlineStr">
        <is>
          <t>7.500%</t>
        </is>
      </c>
      <c r="G38" s="27" t="n">
        <v>101.5</v>
      </c>
      <c r="H38" s="28" t="n">
        <v>7.5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227.9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151.9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DARARK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425.4</v>
      </c>
    </row>
    <row r="45">
      <c r="B45" s="7" t="inlineStr">
        <is>
          <t>Drawn Amount ($M)</t>
        </is>
      </c>
      <c r="C45" s="8" t="n">
        <v>151.9</v>
      </c>
    </row>
    <row r="46">
      <c r="B46" s="18" t="inlineStr">
        <is>
          <t>AVAILABLE UNDRAWN HEADROOM ($M)</t>
        </is>
      </c>
      <c r="C46" s="19" t="n">
        <v>273.5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3.47x</t>
        </is>
      </c>
      <c r="E55" s="30" t="inlineStr">
        <is>
          <t>0.03x leverage buffer ($10.8M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2.88x</t>
        </is>
      </c>
      <c r="E56" s="30" t="inlineStr">
        <is>
          <t>+0.38x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11.5% of Assets</t>
        </is>
      </c>
      <c r="E57" s="30" t="inlineStr">
        <is>
          <t>$242.0M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8.15%</t>
        </is>
      </c>
      <c r="F6" s="32" t="inlineStr">
        <is>
          <t>4.2x</t>
        </is>
      </c>
      <c r="G6" s="32" t="inlineStr">
        <is>
          <t>$100.00</t>
        </is>
      </c>
      <c r="H6" s="32" t="inlineStr">
        <is>
          <t>+0.5%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10.15%</t>
        </is>
      </c>
      <c r="F7" s="26" t="inlineStr">
        <is>
          <t>3.2x</t>
        </is>
      </c>
      <c r="G7" s="26" t="inlineStr">
        <is>
          <t>$83.00</t>
        </is>
      </c>
      <c r="H7" s="26" t="inlineStr">
        <is>
          <t>-16.6%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$66.00</t>
        </is>
      </c>
      <c r="H8" s="26" t="inlineStr">
        <is>
          <t>-33.7%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6.65%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379.8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DARARK Senior Unsecured Eurobonds</t>
        </is>
      </c>
      <c r="C15" s="8" t="n">
        <v>1139.4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66.0%</t>
        </is>
      </c>
      <c r="G15" s="26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227.9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607.7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Saudi Arabia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Dar Al Arkan (DARARK) — Earnings Presentation &amp; Management Guidance</t>
        </is>
      </c>
    </row>
    <row r="3">
      <c r="B3" s="2" t="inlineStr">
        <is>
          <t>Source: Dar Al Arkan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$1188.0M (+8.0% YoY growth)</t>
        </is>
      </c>
      <c r="D7" s="33" t="inlineStr">
        <is>
          <t>$1171.5M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$396.0M (33.3% margin)</t>
        </is>
      </c>
      <c r="D8" s="33" t="inlineStr">
        <is>
          <t>$388.8M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3.47x</t>
        </is>
      </c>
      <c r="E9" s="34" t="inlineStr">
        <is>
          <t>On Track</t>
        </is>
      </c>
      <c r="F9" s="35" t="inlineStr">
        <is>
          <t>Deleveraging on track with 0.03x buffer below covenant limit.</t>
        </is>
      </c>
    </row>
    <row r="10">
      <c r="B10" s="9" t="inlineStr">
        <is>
          <t>2025E Strategic Capex Envelope</t>
        </is>
      </c>
      <c r="C10" s="9" t="inlineStr">
        <is>
          <t>$132.3M (Maximum growth and sustaining envelope)</t>
        </is>
      </c>
      <c r="D10" s="33" t="inlineStr">
        <is>
          <t>$121.7M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$3520.0M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4,950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$2035.0M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$175.5M in central treasury accounts</t>
        </is>
      </c>
    </row>
    <row r="36">
      <c r="B36" s="9" t="inlineStr">
        <is>
          <t>Restricted Escrow Bank Balances</t>
        </is>
      </c>
      <c r="C36" s="35" t="inlineStr">
        <is>
          <t>$229.5M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$531.7M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2026-09-19T21:34:03Z</dcterms:created>
  <dcterms:modified xmlns:dcterms="http://purl.org/dc/terms/" xmlns:xsi="http://www.w3.org/2001/XMLSchema-instance" xsi:type="dcterms:W3CDTF">2026-09-19T21:34:03Z</dcterms:modified>
</cp:coreProperties>
</file>