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(+$9.6M)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(+$11.8M)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(+$13.2M)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(+$14.7M)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(+$16.2M)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(+$17.3M)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(+$18.2M)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(+$9.6M)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(+$11.8M)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(+$13.2M)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(+$14.7M)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(+$16.2M)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(+$17.3M)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(+$18.2M)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(ROMGAZ) — Institutional Credit Model</t>
        </is>
      </c>
    </row>
    <row r="3">
      <c r="B3" s="2" t="inlineStr">
        <is>
          <t>Sector: Energy | Country: Romania | Rating: BBB- | Benchmark: ROMGAZ 5.375% 2029 @ $98.50 (5.75% YTM / +170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Romania's largest natural gas producer; partner in Black Sea Neptun Deep offshore development.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ROMGAZ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617.4</v>
      </c>
      <c r="F26" s="7" t="inlineStr">
        <is>
          <t>5.75%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ROMGAZ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411.6</v>
      </c>
      <c r="F27" s="7" t="inlineStr">
        <is>
          <t>5.00%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343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742.6</v>
      </c>
      <c r="D16" s="8" t="n">
        <v>895.4</v>
      </c>
      <c r="E16" s="8" t="n">
        <v>1004.6</v>
      </c>
      <c r="F16" s="8" t="n">
        <v>1092</v>
      </c>
      <c r="G16" s="8" t="n">
        <v>1179.4</v>
      </c>
      <c r="H16" s="8" t="n">
        <v>1255.8</v>
      </c>
      <c r="I16" s="8" t="n">
        <v>1310.4</v>
      </c>
    </row>
    <row r="17">
      <c r="B17" s="7" t="inlineStr">
        <is>
          <t>Downstream Refining &amp; Fuel Marketing</t>
        </is>
      </c>
      <c r="C17" s="8" t="n">
        <v>471.2</v>
      </c>
      <c r="D17" s="8" t="n">
        <v>568.3</v>
      </c>
      <c r="E17" s="8" t="n">
        <v>637.6</v>
      </c>
      <c r="F17" s="8" t="n">
        <v>693</v>
      </c>
      <c r="G17" s="8" t="n">
        <v>748.4</v>
      </c>
      <c r="H17" s="8" t="n">
        <v>797</v>
      </c>
      <c r="I17" s="8" t="n">
        <v>831.6</v>
      </c>
    </row>
    <row r="18">
      <c r="B18" s="7" t="inlineStr">
        <is>
          <t>Petrochemicals &amp; Gas Processing</t>
        </is>
      </c>
      <c r="C18" s="8" t="n">
        <v>214.2</v>
      </c>
      <c r="D18" s="8" t="n">
        <v>258.3</v>
      </c>
      <c r="E18" s="8" t="n">
        <v>289.8</v>
      </c>
      <c r="F18" s="8" t="n">
        <v>315</v>
      </c>
      <c r="G18" s="8" t="n">
        <v>340.2</v>
      </c>
      <c r="H18" s="8" t="n">
        <v>362.2</v>
      </c>
      <c r="I18" s="8" t="n">
        <v>378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9.6</v>
      </c>
      <c r="D35" s="23" t="n">
        <v>11.8</v>
      </c>
      <c r="E35" s="23" t="n">
        <v>13.2</v>
      </c>
      <c r="F35" s="23" t="n">
        <v>14.7</v>
      </c>
      <c r="G35" s="23" t="n">
        <v>16.2</v>
      </c>
      <c r="H35" s="23" t="n">
        <v>17.3</v>
      </c>
      <c r="I35" s="23" t="n">
        <v>18.2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(+$9.6M)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(+$11.8M)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(+$13.2M)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(+$14.7M)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(+$16.2M)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(+$17.3M)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(+$18.2M)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2142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499.8</v>
      </c>
      <c r="D36" s="8" t="n">
        <v>499.8</v>
      </c>
      <c r="E36" s="8" t="n">
        <v>499.8</v>
      </c>
      <c r="F36" s="8" t="n">
        <v>499.8</v>
      </c>
      <c r="G36" s="8" t="n">
        <v>499.8</v>
      </c>
      <c r="H36" s="8" t="n">
        <v>499.8</v>
      </c>
      <c r="I36" s="8" t="n">
        <v>499.8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-272.3</v>
      </c>
      <c r="D16" s="8" t="n">
        <v>-476.3</v>
      </c>
      <c r="E16" s="8" t="n">
        <v>-535.8</v>
      </c>
      <c r="F16" s="8" t="n">
        <v>-507.1</v>
      </c>
      <c r="G16" s="8" t="n">
        <v>-460.8</v>
      </c>
      <c r="H16" s="8" t="n">
        <v>-494.4</v>
      </c>
      <c r="I16" s="8" t="n">
        <v>-519.5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404.3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62.6</v>
      </c>
      <c r="D32" s="8" t="n">
        <v>124.3</v>
      </c>
      <c r="E32" s="8" t="n">
        <v>140.1</v>
      </c>
      <c r="F32" s="8" t="n">
        <v>94.2</v>
      </c>
      <c r="G32" s="8" t="n">
        <v>100.6</v>
      </c>
      <c r="H32" s="8" t="n">
        <v>105.9</v>
      </c>
      <c r="I32" s="8" t="n">
        <v>109.6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ROMGAZ Benchmark Eurobond Notes</t>
        </is>
      </c>
    </row>
    <row r="7">
      <c r="B7" s="7" t="inlineStr">
        <is>
          <t xml:space="preserve">  Beginning Principal Balance</t>
        </is>
      </c>
      <c r="C7" s="8" t="n">
        <v>524.8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174.9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116.6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0.0575</f>
        <v/>
      </c>
      <c r="D11" s="8">
        <f>D10 * 0.0575</f>
        <v/>
      </c>
      <c r="E11" s="8">
        <f>E10 * 0.0575</f>
        <v/>
      </c>
      <c r="F11" s="8">
        <f>F10 * 0.0575</f>
        <v/>
      </c>
      <c r="G11" s="8">
        <f>G10 * 0.0575</f>
        <v/>
      </c>
      <c r="H11" s="8">
        <f>H10 * 0.0575</f>
        <v/>
      </c>
      <c r="I11" s="8">
        <f>I10 * 0.0575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641.4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164.6</v>
      </c>
      <c r="C32" s="8" t="n">
        <v>301.8</v>
      </c>
      <c r="D32" s="8" t="n">
        <v>384.2</v>
      </c>
      <c r="E32" s="8" t="n">
        <v>247</v>
      </c>
      <c r="F32" s="8" t="n">
        <v>164.6</v>
      </c>
      <c r="G32" s="8" t="n">
        <v>109.8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ROMGAZ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617.4</v>
      </c>
      <c r="F37" s="29" t="inlineStr">
        <is>
          <t>5.750%</t>
        </is>
      </c>
      <c r="G37" s="30" t="n">
        <v>98.5</v>
      </c>
      <c r="H37" s="31" t="n">
        <v>5.75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ROMGAZ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411.6</v>
      </c>
      <c r="F38" s="29" t="inlineStr">
        <is>
          <t>5.100%</t>
        </is>
      </c>
      <c r="G38" s="30" t="n">
        <v>100.5</v>
      </c>
      <c r="H38" s="31" t="n">
        <v>5.1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205.8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137.2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ROMGAZ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384.2</v>
      </c>
    </row>
    <row r="45">
      <c r="B45" s="7" t="inlineStr">
        <is>
          <t>Drawn Amount ($M)</t>
        </is>
      </c>
      <c r="C45" s="8" t="n">
        <v>137.2</v>
      </c>
    </row>
    <row r="46">
      <c r="B46" s="18" t="inlineStr">
        <is>
          <t>AVAILABLE UNDRAWN HEADROOM ($M)</t>
        </is>
      </c>
      <c r="C46" s="19" t="n">
        <v>247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0.65x</t>
        </is>
      </c>
      <c r="E55" s="32" t="inlineStr">
        <is>
          <t>3.10x leverage buffer ($3038.0M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12.00x</t>
        </is>
      </c>
      <c r="E56" s="32" t="inlineStr">
        <is>
          <t>+9.50x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5.4% of Assets</t>
        </is>
      </c>
      <c r="E57" s="32" t="inlineStr">
        <is>
          <t>$462.0M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5.75%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+2.5%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7.75%</t>
        </is>
      </c>
      <c r="F7" s="29" t="inlineStr">
        <is>
          <t>3.2x</t>
        </is>
      </c>
      <c r="G7" s="29" t="inlineStr">
        <is>
          <t>$91.50</t>
        </is>
      </c>
      <c r="H7" s="29" t="inlineStr">
        <is>
          <t>-7.1%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$82.00</t>
        </is>
      </c>
      <c r="H8" s="29" t="inlineStr">
        <is>
          <t>-16.8%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4.25%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343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ROMGAZ Senior Unsecured Eurobonds</t>
        </is>
      </c>
      <c r="C15" s="8" t="n">
        <v>1029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82.0%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205.8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548.8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Romania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(ROMGAZ) — Earnings Presentation &amp; Management Guidance</t>
        </is>
      </c>
    </row>
    <row r="3">
      <c r="B3" s="2" t="inlineStr">
        <is>
          <t>Source: S.N.G.N. Romgaz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$2268.0M (+8.0% YoY growth)</t>
        </is>
      </c>
      <c r="D7" s="35" t="inlineStr">
        <is>
          <t>$2236.5M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$2268.0M (+8.0% YoY growth). With current run-rate at $2236.5M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$1078.0M (47.5% margin)</t>
        </is>
      </c>
      <c r="D8" s="35" t="inlineStr">
        <is>
          <t>$1058.4M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$1078.0M (47.5%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0.65x</t>
        </is>
      </c>
      <c r="E9" s="32" t="inlineStr">
        <is>
          <t>Ahead of Target</t>
        </is>
      </c>
      <c r="F9" s="37" t="inlineStr">
        <is>
          <t>Deleveraging on track with 3.10x buffer below covenant limit.
[QUESTION TO CFO TO VERIFY]: You previously committed to a Net Leverage ceiling of &lt; 3.25x Net Debt / EBITDA. Current actual leverage stands at 0.65x.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$360.2M (Maximum growth and sustaining envelope)</t>
        </is>
      </c>
      <c r="D10" s="35" t="inlineStr">
        <is>
          <t>$331.4M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$360.2M (Maximum growth and sustaining envelope). Current commitments stand at $331.4M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$343.0M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$735.0M in liquid bank deposits</t>
        </is>
      </c>
    </row>
    <row r="35">
      <c r="B35" s="9" t="inlineStr">
        <is>
          <t>Undrawn Committed Credit Lines</t>
        </is>
      </c>
      <c r="C35" s="37" t="inlineStr">
        <is>
          <t>$480.2M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https://www.google.com/finance/quote/ROMGAZ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2026-10-23T04:16:44Z</dcterms:created>
  <dcterms:modified xmlns:dcterms="http://purl.org/dc/terms/" xmlns:xsi="http://www.w3.org/2001/XMLSchema-instance" xsi:type="dcterms:W3CDTF">2026-10-23T04:16:44Z</dcterms:modified>
</cp:coreProperties>
</file>