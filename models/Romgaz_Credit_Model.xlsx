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S.N.G.N. Romgaz</t>
        </is>
      </c>
    </row>
    <row r="3">
      <c r="B3" s="2" t="inlineStr">
        <is>
          <t>CEMBI CEEMEA Institutional Credit Assessment | Country: Romania (CEE) | Sector: Energy | Benchmark: ROMGAZ 5.375%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ROMGAZ 5.375% 2029</t>
        </is>
      </c>
      <c r="C6" s="5" t="inlineStr">
        <is>
          <t>5.75% (+170 bp)</t>
        </is>
      </c>
      <c r="D6" s="4" t="inlineStr">
        <is>
          <t>BBB-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$82.00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Romania's largest natural gas producer; partner in Black Sea Neptun Deep offshore development.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S.N.G.N. Romgaz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1428</v>
      </c>
      <c r="D7" s="13" t="n">
        <v>1722</v>
      </c>
      <c r="E7" s="13" t="n">
        <v>1932</v>
      </c>
      <c r="F7" s="13" t="n">
        <v>2100</v>
      </c>
      <c r="G7" s="14" t="n">
        <v>2268</v>
      </c>
      <c r="H7" s="14" t="n">
        <v>2415</v>
      </c>
      <c r="I7" s="14" t="n">
        <v>2520</v>
      </c>
    </row>
    <row r="8">
      <c r="B8" s="12" t="inlineStr">
        <is>
          <t>EBITDA</t>
        </is>
      </c>
      <c r="C8" s="13" t="n">
        <v>637</v>
      </c>
      <c r="D8" s="13" t="n">
        <v>784</v>
      </c>
      <c r="E8" s="13" t="n">
        <v>882</v>
      </c>
      <c r="F8" s="13" t="n">
        <v>980</v>
      </c>
      <c r="G8" s="14" t="n">
        <v>1078</v>
      </c>
      <c r="H8" s="14" t="n">
        <v>1156.4</v>
      </c>
      <c r="I8" s="14" t="n">
        <v>1215.2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49</v>
      </c>
      <c r="D10" s="17" t="n">
        <v>61.2</v>
      </c>
      <c r="E10" s="17" t="n">
        <v>73.5</v>
      </c>
      <c r="F10" s="17" t="n">
        <v>81.7</v>
      </c>
      <c r="G10" s="18" t="n">
        <v>78.40000000000001</v>
      </c>
      <c r="H10" s="18" t="n">
        <v>75.09999999999999</v>
      </c>
      <c r="I10" s="18" t="n">
        <v>71.90000000000001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516.5</v>
      </c>
      <c r="D12" s="13" t="n">
        <v>649.7</v>
      </c>
      <c r="E12" s="13" t="n">
        <v>733</v>
      </c>
      <c r="F12" s="13" t="n">
        <v>833</v>
      </c>
      <c r="G12" s="14" t="n">
        <v>916.3</v>
      </c>
      <c r="H12" s="14" t="n">
        <v>982.9</v>
      </c>
      <c r="I12" s="14" t="n">
        <v>1041.2</v>
      </c>
    </row>
    <row r="13">
      <c r="B13" s="5" t="inlineStr">
        <is>
          <t>Capital Expenditures (Capex)</t>
        </is>
      </c>
      <c r="C13" s="17" t="n">
        <v>240.1</v>
      </c>
      <c r="D13" s="17" t="n">
        <v>291.6</v>
      </c>
      <c r="E13" s="17" t="n">
        <v>325.8</v>
      </c>
      <c r="F13" s="17" t="n">
        <v>343</v>
      </c>
      <c r="G13" s="18" t="n">
        <v>360.2</v>
      </c>
      <c r="H13" s="18" t="n">
        <v>349.9</v>
      </c>
      <c r="I13" s="18" t="n">
        <v>336.1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404.3</v>
      </c>
      <c r="D16" s="13" t="n">
        <v>514.5</v>
      </c>
      <c r="E16" s="13" t="n">
        <v>624.8</v>
      </c>
      <c r="F16" s="13" t="n">
        <v>735</v>
      </c>
      <c r="G16" s="14" t="n">
        <v>867.3</v>
      </c>
      <c r="H16" s="14" t="n">
        <v>992.3</v>
      </c>
      <c r="I16" s="14" t="n">
        <v>1102.5</v>
      </c>
    </row>
    <row r="17">
      <c r="B17" s="12" t="inlineStr">
        <is>
          <t>Gross Total Debt</t>
        </is>
      </c>
      <c r="C17" s="13" t="n">
        <v>1166.2</v>
      </c>
      <c r="D17" s="13" t="n">
        <v>1262.2</v>
      </c>
      <c r="E17" s="13" t="n">
        <v>1344.6</v>
      </c>
      <c r="F17" s="13" t="n">
        <v>1372</v>
      </c>
      <c r="G17" s="14" t="n">
        <v>1344.6</v>
      </c>
      <c r="H17" s="14" t="n">
        <v>1303.4</v>
      </c>
      <c r="I17" s="14" t="n">
        <v>1234.8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S.N.G.N. Romgaz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5.75%</t>
        </is>
      </c>
      <c r="F6" s="21" t="inlineStr">
        <is>
          <t>2028 / 2029</t>
        </is>
      </c>
      <c r="G6" s="17" t="n">
        <v>617.4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343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205.8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137.2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68.59999999999999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624.8</v>
      </c>
    </row>
    <row r="15">
      <c r="B15" t="inlineStr">
        <is>
          <t>Committed Undrawn RCF Capacity</t>
        </is>
      </c>
      <c r="C15" s="22" t="n">
        <v>392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246.3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S.N.G.N. Romgaz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980</v>
      </c>
      <c r="D6" s="17" t="n">
        <v>833</v>
      </c>
      <c r="E6" s="25" t="n">
        <v>637</v>
      </c>
    </row>
    <row r="7">
      <c r="B7" s="5" t="inlineStr">
        <is>
          <t>Free Cash Flow ($M)</t>
        </is>
      </c>
      <c r="C7" s="17" t="n">
        <v>490</v>
      </c>
      <c r="D7" s="17" t="n">
        <v>294</v>
      </c>
      <c r="E7" s="25" t="n">
        <v>73.5</v>
      </c>
    </row>
    <row r="8">
      <c r="B8" s="12" t="inlineStr">
        <is>
          <t>Net Leverage Ratio (x)</t>
        </is>
      </c>
      <c r="C8" s="26" t="n">
        <v>0.65</v>
      </c>
      <c r="D8" s="26" t="n">
        <v>0.8100000000000001</v>
      </c>
      <c r="E8" s="27" t="n">
        <v>1.2</v>
      </c>
    </row>
    <row r="9">
      <c r="B9" s="5" t="inlineStr">
        <is>
          <t>Interest Coverage Ratio (x)</t>
        </is>
      </c>
      <c r="C9" s="26" t="n">
        <v>12</v>
      </c>
      <c r="D9" s="26" t="n">
        <v>9.359999999999999</v>
      </c>
      <c r="E9" s="27" t="n">
        <v>5.4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$94.00</t>
        </is>
      </c>
      <c r="E10" s="28" t="inlineStr">
        <is>
          <t>$82.00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2026-09-19T18:23:36Z</dcterms:modified>
</cp:coreProperties>
</file>