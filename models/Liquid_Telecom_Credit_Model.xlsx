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(+$3.1M)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(+$3.1M)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Institutional Credit Model</t>
        </is>
      </c>
    </row>
    <row r="3">
      <c r="B3" s="2" t="inlineStr">
        <is>
          <t>Sector: Technology | Country: South Africa | Rating: B- / Caa1 | Benchmark: LIQTEL 14.25% 2026 @ $104.22 (9.58% YTM / +471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110k km terrestrial pan-African fiber grid; Africa Data Centres; high yield compensates for 2026 maturity wall.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LIQTEL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369.27</v>
      </c>
      <c r="F26" s="7" t="inlineStr">
        <is>
          <t>9.58%</t>
        </is>
      </c>
      <c r="G26" s="7" t="inlineStr">
        <is>
          <t>$104.22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LIQTEL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246.18</v>
      </c>
      <c r="F27" s="7" t="inlineStr">
        <is>
          <t>8.83%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205.15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268.2</v>
      </c>
      <c r="D16" s="8" t="n">
        <v>323.4</v>
      </c>
      <c r="E16" s="8" t="n">
        <v>362.8</v>
      </c>
      <c r="F16" s="8" t="n">
        <v>367.3</v>
      </c>
      <c r="G16" s="8" t="n">
        <v>426</v>
      </c>
      <c r="H16" s="8" t="n">
        <v>453.6</v>
      </c>
      <c r="I16" s="8" t="n">
        <v>473.3</v>
      </c>
    </row>
    <row r="17">
      <c r="B17" s="7" t="inlineStr">
        <is>
          <t>Fixed Broadband &amp; Enterprise ICT</t>
        </is>
      </c>
      <c r="C17" s="8" t="n">
        <v>120.2</v>
      </c>
      <c r="D17" s="8" t="n">
        <v>145</v>
      </c>
      <c r="E17" s="8" t="n">
        <v>162.7</v>
      </c>
      <c r="F17" s="8" t="n">
        <v>164.6</v>
      </c>
      <c r="G17" s="8" t="n">
        <v>190.9</v>
      </c>
      <c r="H17" s="8" t="n">
        <v>203.3</v>
      </c>
      <c r="I17" s="8" t="n">
        <v>212.2</v>
      </c>
    </row>
    <row r="18">
      <c r="B18" s="7" t="inlineStr">
        <is>
          <t>Fintech, Media &amp; Digital Services</t>
        </is>
      </c>
      <c r="C18" s="8" t="n">
        <v>74</v>
      </c>
      <c r="D18" s="8" t="n">
        <v>89.2</v>
      </c>
      <c r="E18" s="8" t="n">
        <v>100.1</v>
      </c>
      <c r="F18" s="8" t="n">
        <v>101.3</v>
      </c>
      <c r="G18" s="8" t="n">
        <v>117.5</v>
      </c>
      <c r="H18" s="8" t="n">
        <v>125.1</v>
      </c>
      <c r="I18" s="8" t="n">
        <v>130.6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</v>
      </c>
      <c r="D35" s="23" t="n">
        <v>2.5</v>
      </c>
      <c r="E35" s="23" t="n">
        <v>2.8</v>
      </c>
      <c r="F35" s="23" t="n">
        <v>3.1</v>
      </c>
      <c r="G35" s="23" t="n">
        <v>3.5</v>
      </c>
      <c r="H35" s="23" t="n">
        <v>3.7</v>
      </c>
      <c r="I35" s="23" t="n">
        <v>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(+$2.0M)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(+$2.5M)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(+$2.8M)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(+$3.1M)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(+$3.7M)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161.8</v>
      </c>
      <c r="D36" s="8" t="n">
        <v>161.8</v>
      </c>
      <c r="E36" s="8" t="n">
        <v>161.8</v>
      </c>
      <c r="F36" s="8" t="n">
        <v>161.8</v>
      </c>
      <c r="G36" s="8" t="n">
        <v>161.8</v>
      </c>
      <c r="H36" s="8" t="n">
        <v>161.8</v>
      </c>
      <c r="I36" s="8" t="n">
        <v>161.8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-54.5</v>
      </c>
      <c r="D16" s="8" t="n">
        <v>-95.3</v>
      </c>
      <c r="E16" s="8" t="n">
        <v>-107.2</v>
      </c>
      <c r="F16" s="8" t="n">
        <v>59.2</v>
      </c>
      <c r="G16" s="8" t="n">
        <v>-92.2</v>
      </c>
      <c r="H16" s="8" t="n">
        <v>-98.90000000000001</v>
      </c>
      <c r="I16" s="8" t="n">
        <v>-103.9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86.59999999999999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30.9</v>
      </c>
      <c r="D32" s="8" t="n">
        <v>57.3</v>
      </c>
      <c r="E32" s="8" t="n">
        <v>65.2</v>
      </c>
      <c r="F32" s="8" t="n">
        <v>136.8</v>
      </c>
      <c r="G32" s="8" t="n">
        <v>49.3</v>
      </c>
      <c r="H32" s="8" t="n">
        <v>50.8</v>
      </c>
      <c r="I32" s="8" t="n">
        <v>51.6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LIQTEL Benchmark Eurobond Notes</t>
        </is>
      </c>
    </row>
    <row r="7">
      <c r="B7" s="7" t="inlineStr">
        <is>
          <t xml:space="preserve">  Beginning Principal Balance</t>
        </is>
      </c>
      <c r="C7" s="8" t="n">
        <v>471.5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104.8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0.0958</f>
        <v/>
      </c>
      <c r="D11" s="8">
        <f>D10 * 0.0958</f>
        <v/>
      </c>
      <c r="E11" s="8">
        <f>E10 * 0.0958</f>
        <v/>
      </c>
      <c r="F11" s="8">
        <f>F10 * 0.0958</f>
        <v/>
      </c>
      <c r="G11" s="8">
        <f>G10 * 0.0958</f>
        <v/>
      </c>
      <c r="H11" s="8">
        <f>H10 * 0.0958</f>
        <v/>
      </c>
      <c r="I11" s="8">
        <f>I10 * 0.0958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576.3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98.5</v>
      </c>
      <c r="C32" s="8" t="n">
        <v>180.5</v>
      </c>
      <c r="D32" s="8" t="n">
        <v>229.8</v>
      </c>
      <c r="E32" s="8" t="n">
        <v>147.7</v>
      </c>
      <c r="F32" s="8" t="n">
        <v>98.5</v>
      </c>
      <c r="G32" s="8" t="n">
        <v>65.59999999999999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LIQTEL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554.7</v>
      </c>
      <c r="F37" s="29" t="inlineStr">
        <is>
          <t>14.250%</t>
        </is>
      </c>
      <c r="G37" s="30" t="n">
        <v>81.5</v>
      </c>
      <c r="H37" s="31" t="n">
        <v>14.25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LIQTEL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369.8</v>
      </c>
      <c r="F38" s="29" t="inlineStr">
        <is>
          <t>13.600%</t>
        </is>
      </c>
      <c r="G38" s="30" t="n">
        <v>83.5</v>
      </c>
      <c r="H38" s="31" t="n">
        <v>13.6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184.9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123.3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LIQTEL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345.2</v>
      </c>
    </row>
    <row r="45">
      <c r="B45" s="7" t="inlineStr">
        <is>
          <t>Drawn Amount ($M)</t>
        </is>
      </c>
      <c r="C45" s="8" t="n">
        <v>123.3</v>
      </c>
    </row>
    <row r="46">
      <c r="B46" s="18" t="inlineStr">
        <is>
          <t>AVAILABLE UNDRAWN HEADROOM ($M)</t>
        </is>
      </c>
      <c r="C46" s="19" t="n">
        <v>221.9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5.12x</t>
        </is>
      </c>
      <c r="E55" s="32" t="inlineStr">
        <is>
          <t>-1.37x leverage buffer ($-287.7M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1.83x</t>
        </is>
      </c>
      <c r="E56" s="32" t="inlineStr">
        <is>
          <t>+-0.67x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$149.6M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9.58%</t>
        </is>
      </c>
      <c r="F6" s="34" t="inlineStr">
        <is>
          <t>4.2x</t>
        </is>
      </c>
      <c r="G6" s="34" t="inlineStr">
        <is>
          <t>$88.00</t>
        </is>
      </c>
      <c r="H6" s="34" t="inlineStr">
        <is>
          <t>-15.6%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11.58%</t>
        </is>
      </c>
      <c r="F7" s="29" t="inlineStr">
        <is>
          <t>3.2x</t>
        </is>
      </c>
      <c r="G7" s="29" t="inlineStr">
        <is>
          <t>$70.00</t>
        </is>
      </c>
      <c r="H7" s="29" t="inlineStr">
        <is>
          <t>-32.8%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$52.00</t>
        </is>
      </c>
      <c r="H8" s="29" t="inlineStr">
        <is>
          <t>-50.1%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8.08%</t>
        </is>
      </c>
      <c r="F9" s="29" t="inlineStr">
        <is>
          <t>5.7x</t>
        </is>
      </c>
      <c r="G9" s="29" t="inlineStr">
        <is>
          <t>$103.84</t>
        </is>
      </c>
      <c r="H9" s="29" t="inlineStr">
        <is>
          <t>-0.4%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205.2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LIQTEL Senior Unsecured Eurobonds</t>
        </is>
      </c>
      <c r="C15" s="8" t="n">
        <v>615.5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52.0%</t>
        </is>
      </c>
      <c r="G15" s="29" t="inlineStr">
        <is>
          <t>88.0%</t>
        </is>
      </c>
    </row>
    <row r="16">
      <c r="B16" s="7" t="inlineStr">
        <is>
          <t>Subordinated Debt &amp; Intercompany Notes</t>
        </is>
      </c>
      <c r="C16" s="8" t="n">
        <v>123.1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328.2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Earnings Presentation &amp; Management Guidance</t>
        </is>
      </c>
    </row>
    <row r="3">
      <c r="B3" s="2" t="inlineStr">
        <is>
          <t>Source: Liquid Telecom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$734.4M (+8.0% YoY growth)</t>
        </is>
      </c>
      <c r="D7" s="35" t="inlineStr">
        <is>
          <t>$724.2M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$734.4M (+8.0% YoY growth). With current run-rate at $724.2M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$231.0M (31.5% margin)</t>
        </is>
      </c>
      <c r="D8" s="35" t="inlineStr">
        <is>
          <t>$226.8M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$231.0M (31.5%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5.12x</t>
        </is>
      </c>
      <c r="E9" s="36" t="inlineStr">
        <is>
          <t>On Track</t>
        </is>
      </c>
      <c r="F9" s="37" t="inlineStr">
        <is>
          <t>Deleveraging on track with -1.37x buffer below covenant limit.
[QUESTION TO CFO TO VERIFY]: You previously committed to a Net Leverage ceiling of &lt; 3.25x Net Debt / EBITDA. Current actual leverage stands at 5.12x.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$77.2M (Maximum growth and sustaining envelope)</t>
        </is>
      </c>
      <c r="D10" s="35" t="inlineStr">
        <is>
          <t>$71.0M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$77.2M (Maximum growth and sustaining envelope). Current commitments stand at $71.0M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$205.8M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$306.0M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$157.5M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$369.8M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https://www.google.com/finance/quote/LIQTEL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2026-10-15T04:19:55Z</dcterms:created>
  <dcterms:modified xmlns:dcterms="http://purl.org/dc/terms/" xmlns:xsi="http://www.w3.org/2001/XMLSchema-instance" xsi:type="dcterms:W3CDTF">2026-10-15T04:19:55Z</dcterms:modified>
</cp:coreProperties>
</file>