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Majid Al Futtaim (MAF)</t>
        </is>
      </c>
    </row>
    <row r="3">
      <c r="B3" s="2" t="inlineStr">
        <is>
          <t>CEMBI CEEMEA Institutional Credit Assessment | Country: UAE (GCC) | Sector: Consumer | Benchmark: MAF 5.00%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MAF 5.00% 2029</t>
        </is>
      </c>
      <c r="C6" s="5" t="inlineStr">
        <is>
          <t>5.65% (+160 bp)</t>
        </is>
      </c>
      <c r="D6" s="4" t="inlineStr">
        <is>
          <t>BBB / BBB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$76.00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Premier shopping mall developer (Mall of the Emirates) and Carrefour franchise operator across MENA.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Majid Al Futtaim (MAF)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6664</v>
      </c>
      <c r="D7" s="13" t="n">
        <v>8036</v>
      </c>
      <c r="E7" s="13" t="n">
        <v>9016</v>
      </c>
      <c r="F7" s="13" t="n">
        <v>9800</v>
      </c>
      <c r="G7" s="14" t="n">
        <v>10584</v>
      </c>
      <c r="H7" s="14" t="n">
        <v>11270</v>
      </c>
      <c r="I7" s="14" t="n">
        <v>11760</v>
      </c>
    </row>
    <row r="8">
      <c r="B8" s="12" t="inlineStr">
        <is>
          <t>EBITDA</t>
        </is>
      </c>
      <c r="C8" s="13" t="n">
        <v>942.5</v>
      </c>
      <c r="D8" s="13" t="n">
        <v>1160</v>
      </c>
      <c r="E8" s="13" t="n">
        <v>1305</v>
      </c>
      <c r="F8" s="13" t="n">
        <v>1450</v>
      </c>
      <c r="G8" s="14" t="n">
        <v>1595</v>
      </c>
      <c r="H8" s="14" t="n">
        <v>1711</v>
      </c>
      <c r="I8" s="14" t="n">
        <v>1798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193.3</v>
      </c>
      <c r="D10" s="17" t="n">
        <v>241.7</v>
      </c>
      <c r="E10" s="17" t="n">
        <v>290</v>
      </c>
      <c r="F10" s="17" t="n">
        <v>322.2</v>
      </c>
      <c r="G10" s="18" t="n">
        <v>309.3</v>
      </c>
      <c r="H10" s="18" t="n">
        <v>296.4</v>
      </c>
      <c r="I10" s="18" t="n">
        <v>283.6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764.1</v>
      </c>
      <c r="D12" s="13" t="n">
        <v>961.4</v>
      </c>
      <c r="E12" s="13" t="n">
        <v>1084.6</v>
      </c>
      <c r="F12" s="13" t="n">
        <v>1232.5</v>
      </c>
      <c r="G12" s="14" t="n">
        <v>1355.8</v>
      </c>
      <c r="H12" s="14" t="n">
        <v>1454.3</v>
      </c>
      <c r="I12" s="14" t="n">
        <v>1540.6</v>
      </c>
    </row>
    <row r="13">
      <c r="B13" s="5" t="inlineStr">
        <is>
          <t>Capital Expenditures (Capex)</t>
        </is>
      </c>
      <c r="C13" s="17" t="n">
        <v>355.2</v>
      </c>
      <c r="D13" s="17" t="n">
        <v>431.4</v>
      </c>
      <c r="E13" s="17" t="n">
        <v>482.1</v>
      </c>
      <c r="F13" s="17" t="n">
        <v>507.5</v>
      </c>
      <c r="G13" s="18" t="n">
        <v>532.9</v>
      </c>
      <c r="H13" s="18" t="n">
        <v>517.6</v>
      </c>
      <c r="I13" s="18" t="n">
        <v>497.3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598.1</v>
      </c>
      <c r="D16" s="13" t="n">
        <v>761.2</v>
      </c>
      <c r="E16" s="13" t="n">
        <v>924.4</v>
      </c>
      <c r="F16" s="13" t="n">
        <v>1087.5</v>
      </c>
      <c r="G16" s="14" t="n">
        <v>1283.2</v>
      </c>
      <c r="H16" s="14" t="n">
        <v>1468.1</v>
      </c>
      <c r="I16" s="14" t="n">
        <v>1631.2</v>
      </c>
    </row>
    <row r="17">
      <c r="B17" s="12" t="inlineStr">
        <is>
          <t>Gross Total Debt</t>
        </is>
      </c>
      <c r="C17" s="13" t="n">
        <v>4437</v>
      </c>
      <c r="D17" s="13" t="n">
        <v>4802.4</v>
      </c>
      <c r="E17" s="13" t="n">
        <v>5115.6</v>
      </c>
      <c r="F17" s="13" t="n">
        <v>5220</v>
      </c>
      <c r="G17" s="14" t="n">
        <v>5115.6</v>
      </c>
      <c r="H17" s="14" t="n">
        <v>4959</v>
      </c>
      <c r="I17" s="14" t="n">
        <v>4698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Majid Al Futtaim (MAF)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5.65%</t>
        </is>
      </c>
      <c r="F6" s="21" t="inlineStr">
        <is>
          <t>2028 / 2029</t>
        </is>
      </c>
      <c r="G6" s="17" t="n">
        <v>2349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1305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783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522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261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924.4</v>
      </c>
    </row>
    <row r="15">
      <c r="B15" t="inlineStr">
        <is>
          <t>Committed Undrawn RCF Capacity</t>
        </is>
      </c>
      <c r="C15" s="22" t="n">
        <v>580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948.6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Majid Al Futtaim (MAF)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1450</v>
      </c>
      <c r="D6" s="17" t="n">
        <v>1232.5</v>
      </c>
      <c r="E6" s="25" t="n">
        <v>942.5</v>
      </c>
    </row>
    <row r="7">
      <c r="B7" s="5" t="inlineStr">
        <is>
          <t>Free Cash Flow ($M)</t>
        </is>
      </c>
      <c r="C7" s="17" t="n">
        <v>725</v>
      </c>
      <c r="D7" s="17" t="n">
        <v>435</v>
      </c>
      <c r="E7" s="25" t="n">
        <v>108.8</v>
      </c>
    </row>
    <row r="8">
      <c r="B8" s="12" t="inlineStr">
        <is>
          <t>Net Leverage Ratio (x)</t>
        </is>
      </c>
      <c r="C8" s="26" t="n">
        <v>2.85</v>
      </c>
      <c r="D8" s="26" t="n">
        <v>3.56</v>
      </c>
      <c r="E8" s="27" t="n">
        <v>5.27</v>
      </c>
    </row>
    <row r="9">
      <c r="B9" s="5" t="inlineStr">
        <is>
          <t>Interest Coverage Ratio (x)</t>
        </is>
      </c>
      <c r="C9" s="26" t="n">
        <v>4.5</v>
      </c>
      <c r="D9" s="26" t="n">
        <v>3.51</v>
      </c>
      <c r="E9" s="27" t="n">
        <v>2.02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$88.00</t>
        </is>
      </c>
      <c r="E10" s="28" t="inlineStr">
        <is>
          <t>$76.00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