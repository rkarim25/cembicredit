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(+$14.1M)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(+$17.4M)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(+$19.6M)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(+$21.7M)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(+$23.9M)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(+$25.7M)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(+$27.0M)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(+$14.1M)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(+$17.4M)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(+$19.6M)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(+$21.7M)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(+$23.9M)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(+$25.7M)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(+$27.0M)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Majid Al Futtaim (MAF) (MAF) — Institutional Credit Model</t>
        </is>
      </c>
    </row>
    <row r="3">
      <c r="B3" s="2" t="inlineStr">
        <is>
          <t>Sector: Consumer | Country: UAE | Rating: BBB / BBB | Benchmark: MAF 5.00% 2029 @ $98.00 (5.65% YTM / +160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Premier shopping mall developer (Mall of the Emirates) and Carrefour franchise operator across MENA.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MAF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2349</v>
      </c>
      <c r="F26" s="7" t="inlineStr">
        <is>
          <t>5.65%</t>
        </is>
      </c>
      <c r="G26" s="7" t="inlineStr">
        <is>
          <t>$98.00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MAF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1566</v>
      </c>
      <c r="F27" s="7" t="inlineStr">
        <is>
          <t>4.90%</t>
        </is>
      </c>
      <c r="G27" s="7" t="inlineStr">
        <is>
          <t>$100.50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1305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Majid Al Futtaim (MAF)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Consolidated Sales Volume (k Tonnes)</t>
        </is>
      </c>
      <c r="C6" s="13" t="n">
        <v>480</v>
      </c>
      <c r="D6" s="13" t="n">
        <v>520</v>
      </c>
      <c r="E6" s="13" t="n">
        <v>565</v>
      </c>
      <c r="F6" s="13" t="n">
        <v>615</v>
      </c>
      <c r="G6" s="13" t="n">
        <v>665</v>
      </c>
      <c r="H6" s="13" t="n">
        <v>715</v>
      </c>
      <c r="I6" s="13" t="n">
        <v>765</v>
      </c>
    </row>
    <row r="7">
      <c r="B7" s="7" t="inlineStr">
        <is>
          <t>Like-for-Like (LFL) Sales Growth (%)</t>
        </is>
      </c>
      <c r="C7" s="14" t="n">
        <v>8.5</v>
      </c>
      <c r="D7" s="14" t="n">
        <v>14.2</v>
      </c>
      <c r="E7" s="14" t="n">
        <v>11.8</v>
      </c>
      <c r="F7" s="14" t="n">
        <v>8.4</v>
      </c>
      <c r="G7" s="14" t="n">
        <v>7.5</v>
      </c>
      <c r="H7" s="14" t="n">
        <v>7</v>
      </c>
      <c r="I7" s="14" t="n">
        <v>6.5</v>
      </c>
    </row>
    <row r="8">
      <c r="B8" s="7" t="inlineStr">
        <is>
          <t>Average Unit Realized Price ($/unit)</t>
        </is>
      </c>
      <c r="C8" s="14" t="n">
        <v>18.5</v>
      </c>
      <c r="D8" s="14" t="n">
        <v>21</v>
      </c>
      <c r="E8" s="14" t="n">
        <v>22.5</v>
      </c>
      <c r="F8" s="14" t="n">
        <v>23.8</v>
      </c>
      <c r="G8" s="14" t="n">
        <v>24.5</v>
      </c>
      <c r="H8" s="14" t="n">
        <v>25.2</v>
      </c>
      <c r="I8" s="14" t="n">
        <v>25.8</v>
      </c>
    </row>
    <row r="9">
      <c r="B9" s="7" t="inlineStr">
        <is>
          <t>Retail Leasable Area (GLA) (k sqm)</t>
        </is>
      </c>
      <c r="C9" s="13" t="n">
        <v>850</v>
      </c>
      <c r="D9" s="13" t="n">
        <v>920</v>
      </c>
      <c r="E9" s="13" t="n">
        <v>990</v>
      </c>
      <c r="F9" s="13" t="n">
        <v>1060</v>
      </c>
      <c r="G9" s="13" t="n">
        <v>1130</v>
      </c>
      <c r="H9" s="13" t="n">
        <v>1200</v>
      </c>
      <c r="I9" s="13" t="n">
        <v>1270</v>
      </c>
    </row>
    <row r="10">
      <c r="B10" s="7" t="inlineStr">
        <is>
          <t>Customer Footfall (Million)</t>
        </is>
      </c>
      <c r="C10" s="13" t="n">
        <v>145</v>
      </c>
      <c r="D10" s="13" t="n">
        <v>162</v>
      </c>
      <c r="E10" s="13" t="n">
        <v>178</v>
      </c>
      <c r="F10" s="13" t="n">
        <v>194</v>
      </c>
      <c r="G10" s="13" t="n">
        <v>210</v>
      </c>
      <c r="H10" s="13" t="n">
        <v>225</v>
      </c>
      <c r="I10" s="13" t="n">
        <v>240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Branded Packaged Consumer Products</t>
        </is>
      </c>
      <c r="C15" s="8" t="n">
        <v>3665.2</v>
      </c>
      <c r="D15" s="8" t="n">
        <v>4419.8</v>
      </c>
      <c r="E15" s="8" t="n">
        <v>4958.8</v>
      </c>
      <c r="F15" s="8" t="n">
        <v>5390</v>
      </c>
      <c r="G15" s="8" t="n">
        <v>5821.2</v>
      </c>
      <c r="H15" s="8" t="n">
        <v>6198.5</v>
      </c>
      <c r="I15" s="8" t="n">
        <v>6468</v>
      </c>
    </row>
    <row r="16">
      <c r="B16" s="7" t="inlineStr">
        <is>
          <t>Retail Shopping Malls &amp; Commercial Real Estate</t>
        </is>
      </c>
      <c r="C16" s="8" t="n">
        <v>1865.9</v>
      </c>
      <c r="D16" s="8" t="n">
        <v>2250.1</v>
      </c>
      <c r="E16" s="8" t="n">
        <v>2524.5</v>
      </c>
      <c r="F16" s="8" t="n">
        <v>2744</v>
      </c>
      <c r="G16" s="8" t="n">
        <v>2963.5</v>
      </c>
      <c r="H16" s="8" t="n">
        <v>3155.6</v>
      </c>
      <c r="I16" s="8" t="n">
        <v>3292.8</v>
      </c>
    </row>
    <row r="17">
      <c r="B17" s="7" t="inlineStr">
        <is>
          <t>Wholesale Distribution &amp; Franchises</t>
        </is>
      </c>
      <c r="C17" s="8" t="n">
        <v>1132.9</v>
      </c>
      <c r="D17" s="8" t="n">
        <v>1366.1</v>
      </c>
      <c r="E17" s="8" t="n">
        <v>1532.7</v>
      </c>
      <c r="F17" s="8" t="n">
        <v>1666</v>
      </c>
      <c r="G17" s="8" t="n">
        <v>1799.3</v>
      </c>
      <c r="H17" s="8" t="n">
        <v>1915.9</v>
      </c>
      <c r="I17" s="8" t="n">
        <v>1999.2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Majid Al Futtaim (MAF)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Branded Packaged Consumer Products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Retail Shopping Malls &amp; Commercial Real Estate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Wholesale Distribution &amp; Franchises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14.1</v>
      </c>
      <c r="D35" s="24" t="n">
        <v>17.4</v>
      </c>
      <c r="E35" s="24" t="n">
        <v>19.6</v>
      </c>
      <c r="F35" s="24" t="n">
        <v>21.7</v>
      </c>
      <c r="G35" s="24" t="n">
        <v>23.9</v>
      </c>
      <c r="H35" s="24" t="n">
        <v>25.7</v>
      </c>
      <c r="I35" s="24" t="n">
        <v>27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(+$14.1M)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(+$17.4M)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(+$19.6M)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(+$21.7M)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(+$23.9M)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(+$25.7M)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(+$27.0M)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Majid Al Futtaim (MAF)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9996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2332.4</v>
      </c>
      <c r="D36" s="8" t="n">
        <v>2332.4</v>
      </c>
      <c r="E36" s="8" t="n">
        <v>2332.4</v>
      </c>
      <c r="F36" s="8" t="n">
        <v>2332.4</v>
      </c>
      <c r="G36" s="8" t="n">
        <v>2332.4</v>
      </c>
      <c r="H36" s="8" t="n">
        <v>2332.4</v>
      </c>
      <c r="I36" s="8" t="n">
        <v>2332.4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Majid Al Futtaim (MAF)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-313.4</v>
      </c>
      <c r="D16" s="8" t="n">
        <v>-548.1</v>
      </c>
      <c r="E16" s="8" t="n">
        <v>-616.6</v>
      </c>
      <c r="F16" s="8" t="n">
        <v>-583.6</v>
      </c>
      <c r="G16" s="8" t="n">
        <v>-530.3</v>
      </c>
      <c r="H16" s="8" t="n">
        <v>-568.9</v>
      </c>
      <c r="I16" s="8" t="n">
        <v>-597.8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598.1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231.3</v>
      </c>
      <c r="D32" s="8" t="n">
        <v>450.1</v>
      </c>
      <c r="E32" s="8" t="n">
        <v>508</v>
      </c>
      <c r="F32" s="8" t="n">
        <v>348.8</v>
      </c>
      <c r="G32" s="8" t="n">
        <v>372.1</v>
      </c>
      <c r="H32" s="8" t="n">
        <v>391.9</v>
      </c>
      <c r="I32" s="8" t="n">
        <v>405.7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Majid Al Futtaim (MAF)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MAF Benchmark Eurobond Notes</t>
        </is>
      </c>
    </row>
    <row r="7">
      <c r="B7" s="7" t="inlineStr">
        <is>
          <t xml:space="preserve">  Beginning Principal Balance</t>
        </is>
      </c>
      <c r="C7" s="8" t="n">
        <v>1996.7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665.5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443.7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0.0565</f>
        <v/>
      </c>
      <c r="D11" s="8">
        <f>D10 * 0.0565</f>
        <v/>
      </c>
      <c r="E11" s="8">
        <f>E10 * 0.0565</f>
        <v/>
      </c>
      <c r="F11" s="8">
        <f>F10 * 0.0565</f>
        <v/>
      </c>
      <c r="G11" s="8">
        <f>G10 * 0.0565</f>
        <v/>
      </c>
      <c r="H11" s="8">
        <f>H10 * 0.0565</f>
        <v/>
      </c>
      <c r="I11" s="8">
        <f>I10 * 0.0565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2440.4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626.4</v>
      </c>
      <c r="C32" s="8" t="n">
        <v>1148.4</v>
      </c>
      <c r="D32" s="8" t="n">
        <v>1461.6</v>
      </c>
      <c r="E32" s="8" t="n">
        <v>939.6</v>
      </c>
      <c r="F32" s="8" t="n">
        <v>626.4</v>
      </c>
      <c r="G32" s="8" t="n">
        <v>417.6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MAF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2349</v>
      </c>
      <c r="F37" s="30" t="inlineStr">
        <is>
          <t>5.650%</t>
        </is>
      </c>
      <c r="G37" s="31" t="n">
        <v>98</v>
      </c>
      <c r="H37" s="32" t="n">
        <v>5.65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MAF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1566</v>
      </c>
      <c r="F38" s="30" t="inlineStr">
        <is>
          <t>5.000%</t>
        </is>
      </c>
      <c r="G38" s="31" t="n">
        <v>100</v>
      </c>
      <c r="H38" s="32" t="n">
        <v>5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783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522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MAF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1461.6</v>
      </c>
    </row>
    <row r="45">
      <c r="B45" s="7" t="inlineStr">
        <is>
          <t>Drawn Amount ($M)</t>
        </is>
      </c>
      <c r="C45" s="8" t="n">
        <v>522</v>
      </c>
    </row>
    <row r="46">
      <c r="B46" s="19" t="inlineStr">
        <is>
          <t>AVAILABLE UNDRAWN HEADROOM ($M)</t>
        </is>
      </c>
      <c r="C46" s="20" t="n">
        <v>939.6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2.85x</t>
        </is>
      </c>
      <c r="E55" s="33" t="inlineStr">
        <is>
          <t>0.90x leverage buffer ($1305.0M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4.50x</t>
        </is>
      </c>
      <c r="E56" s="33" t="inlineStr">
        <is>
          <t>+2.00x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4.4% of Assets</t>
        </is>
      </c>
      <c r="E57" s="33" t="inlineStr">
        <is>
          <t>$2156.0M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Majid Al Futtaim (MAF)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Majid Al Futtaim (MAF)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5.65%</t>
        </is>
      </c>
      <c r="F6" s="35" t="inlineStr">
        <is>
          <t>4.2x</t>
        </is>
      </c>
      <c r="G6" s="35" t="inlineStr">
        <is>
          <t>$101.00</t>
        </is>
      </c>
      <c r="H6" s="35" t="inlineStr">
        <is>
          <t>+3.1%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7.65%</t>
        </is>
      </c>
      <c r="F7" s="30" t="inlineStr">
        <is>
          <t>3.2x</t>
        </is>
      </c>
      <c r="G7" s="30" t="inlineStr">
        <is>
          <t>$88.50</t>
        </is>
      </c>
      <c r="H7" s="30" t="inlineStr">
        <is>
          <t>-9.7%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$76.00</t>
        </is>
      </c>
      <c r="H8" s="30" t="inlineStr">
        <is>
          <t>-22.4%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4.15%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+7.1%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1305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MAF Senior Unsecured Eurobonds</t>
        </is>
      </c>
      <c r="C15" s="8" t="n">
        <v>3915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76.0%</t>
        </is>
      </c>
      <c r="G15" s="30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783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2088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English Law / DIFC / NY Jurisdiction.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Majid Al Futtaim (MAF) (MAF) — Earnings Presentation &amp; Management Guidance</t>
        </is>
      </c>
    </row>
    <row r="3">
      <c r="B3" s="2" t="inlineStr">
        <is>
          <t>Source: Majid Al Futtaim (MAF) FY2024 &amp; Recent Quarterly Earnings Presentation &amp; Global Investor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$10584.0M (+8.0% YoY growth)</t>
        </is>
      </c>
      <c r="D7" s="36" t="inlineStr">
        <is>
          <t>$10437.0M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$10584.0M (+8.0% YoY growth). With current run-rate at $10437.0M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$1595.0M (15.1% margin)</t>
        </is>
      </c>
      <c r="D8" s="36" t="inlineStr">
        <is>
          <t>$1566.0M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$1595.0M (15.1%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2.85x</t>
        </is>
      </c>
      <c r="E9" s="33" t="inlineStr">
        <is>
          <t>Ahead of Target</t>
        </is>
      </c>
      <c r="F9" s="38" t="inlineStr">
        <is>
          <t>Deleveraging on track with 0.90x buffer below covenant limit.
[QUESTION TO CFO TO VERIFY]: You previously committed to a Net Leverage ceiling of &lt; 3.25x Net Debt / EBITDA. Current actual leverage stands at 2.85x.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$532.9M (Maximum growth and sustaining envelope)</t>
        </is>
      </c>
      <c r="D10" s="36" t="inlineStr">
        <is>
          <t>$490.3M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$532.9M (Maximum growth and sustaining envelope). Current commitments stand at $490.3M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Initiatives</t>
        </is>
      </c>
      <c r="C15" s="38" t="inlineStr">
        <is>
          <t>Fleet Expansion, Production Automation, Logistics Optimization &amp; Energy Efficiency</t>
        </is>
      </c>
    </row>
    <row r="16">
      <c r="B16" s="9" t="inlineStr">
        <is>
          <t>Multi Year Capex Envelope</t>
        </is>
      </c>
      <c r="C16" s="38" t="inlineStr">
        <is>
          <t>$1268.8M capital expenditure program</t>
        </is>
      </c>
    </row>
    <row r="17">
      <c r="B17" s="9" t="inlineStr">
        <is>
          <t>Capacity Additions</t>
        </is>
      </c>
      <c r="C17" s="38" t="inlineStr">
        <is>
          <t>Expanding operational capacity by 15% to support export market penetration</t>
        </is>
      </c>
    </row>
    <row r="18"/>
    <row r="19">
      <c r="B19" s="3" t="inlineStr">
        <is>
          <t>III. GEOGRAPHIC &amp; CURRENCY EXPOSURE MATRIX</t>
        </is>
      </c>
    </row>
    <row r="20">
      <c r="B20" s="5" t="inlineStr">
        <is>
          <t>Exposure Category</t>
        </is>
      </c>
      <c r="C20" s="5" t="inlineStr">
        <is>
          <t>Contractual / Balance Sheet Profile</t>
        </is>
      </c>
    </row>
    <row r="21">
      <c r="B21" s="9" t="inlineStr">
        <is>
          <t>Hard Currency Revenue Share</t>
        </is>
      </c>
      <c r="C21" s="38" t="inlineStr">
        <is>
          <t>68.0% of revenue collected in USD, EUR or pegged currencies</t>
        </is>
      </c>
    </row>
    <row r="22">
      <c r="B22" s="9" t="inlineStr">
        <is>
          <t>Natural Cost Hedging</t>
        </is>
      </c>
      <c r="C22" s="38" t="inlineStr">
        <is>
          <t>Local manufacturing cost structure provides substantial operational cushion during FX devaluations</t>
        </is>
      </c>
    </row>
    <row r="23"/>
    <row r="24">
      <c r="B24" s="3" t="inlineStr">
        <is>
          <t>IV. CONTRACT BACKLOG &amp; COMMERCIAL MOAT</t>
        </is>
      </c>
    </row>
    <row r="25">
      <c r="B25" s="5" t="inlineStr">
        <is>
          <t>Dimension</t>
        </is>
      </c>
      <c r="C25" s="5" t="inlineStr">
        <is>
          <t>Commercial / Asset Metrics</t>
        </is>
      </c>
    </row>
    <row r="26">
      <c r="B26" s="9" t="inlineStr">
        <is>
          <t>Commercial Order Backlog</t>
        </is>
      </c>
      <c r="C26" s="38" t="inlineStr">
        <is>
          <t>$6370.0M in confirmed industrial delivery contracts</t>
        </is>
      </c>
    </row>
    <row r="27">
      <c r="B27" s="9" t="inlineStr">
        <is>
          <t>Market Share Leadership</t>
        </is>
      </c>
      <c r="C27" s="38" t="inlineStr">
        <is>
          <t>Top 2 market position in core operating markets in UAE</t>
        </is>
      </c>
    </row>
    <row r="28"/>
    <row r="29">
      <c r="B29" s="3" t="inlineStr">
        <is>
          <t>V. LIQUIDITY WATERFALL &amp; HEADROOM</t>
        </is>
      </c>
    </row>
    <row r="30">
      <c r="B30" s="5" t="inlineStr">
        <is>
          <t>Liquidity Component</t>
        </is>
      </c>
      <c r="C30" s="5" t="inlineStr">
        <is>
          <t>Available Buffer / Runway</t>
        </is>
      </c>
    </row>
    <row r="31">
      <c r="B31" s="9" t="inlineStr">
        <is>
          <t>Cash And Equivalents</t>
        </is>
      </c>
      <c r="C31" s="38" t="inlineStr">
        <is>
          <t>$1087.5M</t>
        </is>
      </c>
    </row>
    <row r="32">
      <c r="B32" s="9" t="inlineStr">
        <is>
          <t>Undrawn Committed Bank Rcfs</t>
        </is>
      </c>
      <c r="C32" s="38" t="inlineStr">
        <is>
          <t>$1827.0M in multi-currency revolving credit facilities</t>
        </is>
      </c>
    </row>
    <row r="33">
      <c r="B33" s="9" t="inlineStr">
        <is>
          <t>Liquidity Runway</t>
        </is>
      </c>
      <c r="C33" s="38" t="inlineStr">
        <is>
          <t>Over 28 months of scheduled debt amortizations pre-funded</t>
        </is>
      </c>
    </row>
    <row r="34"/>
    <row r="35">
      <c r="B35" s="3" t="inlineStr">
        <is>
          <t>INSTITUTIONAL MANAGEMENT QUESTIONS &amp; CONVICTION DRIVERS (1-ON-1 DUE DILIGENCE)</t>
        </is>
      </c>
    </row>
    <row r="36">
      <c r="B36" s="5" t="inlineStr">
        <is>
          <t>Focus Area</t>
        </is>
      </c>
      <c r="C36" s="5" t="inlineStr">
        <is>
          <t>Question to Ask CFO / Management</t>
        </is>
      </c>
      <c r="F36" s="5" t="inlineStr">
        <is>
          <t>Credit Relevance &amp; Deduced Ambiguity</t>
        </is>
      </c>
      <c r="H36" s="5" t="inlineStr">
        <is>
          <t>Conviction Trigger &amp; Decision Rule</t>
        </is>
      </c>
    </row>
    <row r="37">
      <c r="B37" s="9" t="inlineStr">
        <is>
          <t>Supply Chain Finance / Reverse Factoring Classification</t>
        </is>
      </c>
      <c r="C37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37" s="26" t="inlineStr">
        <is>
          <t>Reverse factoring can conceal significant short-term debt inside working capital, distorting calculated net leverage by 0.5x to 1.0x.</t>
        </is>
      </c>
      <c r="H37" s="39" t="inlineStr">
        <is>
          <t>Transparent disclosure and low reliance (&lt;10% of trade payables) confirms true balance sheet leverage.</t>
        </is>
      </c>
    </row>
    <row r="38">
      <c r="B38" s="9" t="inlineStr">
        <is>
          <t>RCF Availability, Covenant Headroom &amp; Material Adverse Change Clauses</t>
        </is>
      </c>
      <c r="C38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38" s="26" t="inlineStr">
        <is>
          <t>Committed bank lines provide vital liquidity during capital market volatility. Tight covenant headroom creates refinancing cliffs.</t>
        </is>
      </c>
      <c r="H38" s="39" t="inlineStr">
        <is>
          <t>Covenant headroom &gt;25% and maturity beyond 24 months eliminates liquidity squeeze risk.</t>
        </is>
      </c>
    </row>
    <row r="39"/>
    <row r="40"/>
    <row r="41">
      <c r="B41" s="3" t="inlineStr">
        <is>
          <t>SCHEDULED EARNINGS RELEASE &amp; INVESTOR RELATIONS CALENDAR</t>
        </is>
      </c>
    </row>
    <row r="42">
      <c r="B42" s="5" t="inlineStr">
        <is>
          <t>Calendar Dimension</t>
        </is>
      </c>
      <c r="C42" s="5" t="inlineStr">
        <is>
          <t>Scheduled Detail &amp; IR Access</t>
        </is>
      </c>
    </row>
    <row r="43">
      <c r="B43" s="9" t="inlineStr">
        <is>
          <t>Next Scheduled Earnings Date</t>
        </is>
      </c>
      <c r="C43" s="38" t="inlineStr">
        <is>
          <t>2026-11-12</t>
        </is>
      </c>
    </row>
    <row r="44">
      <c r="B44" s="9" t="inlineStr">
        <is>
          <t>Reporting Period</t>
        </is>
      </c>
      <c r="C44" s="38" t="inlineStr">
        <is>
          <t>Q3 2026 / 9M</t>
        </is>
      </c>
    </row>
    <row r="45">
      <c r="B45" s="9" t="inlineStr">
        <is>
          <t>Confirmation Status</t>
        </is>
      </c>
      <c r="C45" s="38" t="inlineStr">
        <is>
          <t>Estimated</t>
        </is>
      </c>
    </row>
    <row r="46">
      <c r="B46" s="9" t="inlineStr">
        <is>
          <t>Conference Call &amp; Webcast Schedule</t>
        </is>
      </c>
      <c r="C46" s="38" t="inlineStr">
        <is>
          <t>14:00 Local / Pre-Market</t>
        </is>
      </c>
    </row>
    <row r="47">
      <c r="B47" s="9" t="inlineStr">
        <is>
          <t>Official IR Portal / Webcast URL</t>
        </is>
      </c>
      <c r="C47" s="38" t="inlineStr">
        <is>
          <t>https://www.google.com/finance/quote/MAF</t>
        </is>
      </c>
    </row>
  </sheetData>
  <mergeCells count="36">
    <mergeCell ref="H38:I38"/>
    <mergeCell ref="F9:I9"/>
    <mergeCell ref="C17:I17"/>
    <mergeCell ref="B3:I3"/>
    <mergeCell ref="C32:I32"/>
    <mergeCell ref="C36:E36"/>
    <mergeCell ref="B2:I2"/>
    <mergeCell ref="F11:I11"/>
    <mergeCell ref="F36:G36"/>
    <mergeCell ref="C30:I30"/>
    <mergeCell ref="H36:I36"/>
    <mergeCell ref="C42:I42"/>
    <mergeCell ref="C15:I15"/>
    <mergeCell ref="C33:I33"/>
    <mergeCell ref="F10:I10"/>
    <mergeCell ref="C38:E38"/>
    <mergeCell ref="C14:I14"/>
    <mergeCell ref="C45:I45"/>
    <mergeCell ref="C37:E37"/>
    <mergeCell ref="F7:I7"/>
    <mergeCell ref="C26:I26"/>
    <mergeCell ref="F38:G38"/>
    <mergeCell ref="C20:I20"/>
    <mergeCell ref="H37:I37"/>
    <mergeCell ref="C47:I47"/>
    <mergeCell ref="C16:I16"/>
    <mergeCell ref="C25:I25"/>
    <mergeCell ref="C31:I31"/>
    <mergeCell ref="F37:G37"/>
    <mergeCell ref="C44:I44"/>
    <mergeCell ref="C22:I22"/>
    <mergeCell ref="F8:I8"/>
    <mergeCell ref="C21:I21"/>
    <mergeCell ref="C43:I43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2026-10-25T05:17:12Z</dcterms:created>
  <dcterms:modified xmlns:dcterms="http://purl.org/dc/terms/" xmlns:xsi="http://www.w3.org/2001/XMLSchema-instance" xsi:type="dcterms:W3CDTF">2026-10-25T05:17:12Z</dcterms:modified>
</cp:coreProperties>
</file>