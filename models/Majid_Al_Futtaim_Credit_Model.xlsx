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(MAF) — Institutional Credit Model</t>
        </is>
      </c>
    </row>
    <row r="3">
      <c r="B3" s="2" t="inlineStr">
        <is>
          <t>Sector: Consumer | Country: UAE | Rating: BBB / BBB | Benchmark: MAF 5.00% 2029 @ $98.00 (5.65% YTM / +160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Premier shopping mall developer (Mall of the Emirates) and Carrefour franchise operator across MENA.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MAF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2349</v>
      </c>
      <c r="F26" s="7" t="inlineStr">
        <is>
          <t>5.65%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MAF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1566</v>
      </c>
      <c r="F27" s="7" t="inlineStr">
        <is>
          <t>4.90%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1305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3665.2</v>
      </c>
      <c r="D15" s="8" t="n">
        <v>4419.8</v>
      </c>
      <c r="E15" s="8" t="n">
        <v>4958.8</v>
      </c>
      <c r="F15" s="8" t="n">
        <v>5390</v>
      </c>
      <c r="G15" s="8" t="n">
        <v>5821.2</v>
      </c>
      <c r="H15" s="8" t="n">
        <v>6198.5</v>
      </c>
      <c r="I15" s="8" t="n">
        <v>6468</v>
      </c>
    </row>
    <row r="16">
      <c r="B16" s="7" t="inlineStr">
        <is>
          <t>Retail Shopping Malls &amp; Commercial Real Estate</t>
        </is>
      </c>
      <c r="C16" s="8" t="n">
        <v>1865.9</v>
      </c>
      <c r="D16" s="8" t="n">
        <v>2250.1</v>
      </c>
      <c r="E16" s="8" t="n">
        <v>2524.5</v>
      </c>
      <c r="F16" s="8" t="n">
        <v>2744</v>
      </c>
      <c r="G16" s="8" t="n">
        <v>2963.5</v>
      </c>
      <c r="H16" s="8" t="n">
        <v>3155.6</v>
      </c>
      <c r="I16" s="8" t="n">
        <v>3292.8</v>
      </c>
    </row>
    <row r="17">
      <c r="B17" s="7" t="inlineStr">
        <is>
          <t>Wholesale Distribution &amp; Franchises</t>
        </is>
      </c>
      <c r="C17" s="8" t="n">
        <v>1132.9</v>
      </c>
      <c r="D17" s="8" t="n">
        <v>1366.1</v>
      </c>
      <c r="E17" s="8" t="n">
        <v>1532.7</v>
      </c>
      <c r="F17" s="8" t="n">
        <v>1666</v>
      </c>
      <c r="G17" s="8" t="n">
        <v>1799.3</v>
      </c>
      <c r="H17" s="8" t="n">
        <v>1915.9</v>
      </c>
      <c r="I17" s="8" t="n">
        <v>1999.2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9996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2332.4</v>
      </c>
      <c r="D36" s="8" t="n">
        <v>2332.4</v>
      </c>
      <c r="E36" s="8" t="n">
        <v>2332.4</v>
      </c>
      <c r="F36" s="8" t="n">
        <v>2332.4</v>
      </c>
      <c r="G36" s="8" t="n">
        <v>2332.4</v>
      </c>
      <c r="H36" s="8" t="n">
        <v>2332.4</v>
      </c>
      <c r="I36" s="8" t="n">
        <v>2332.4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-355.2</v>
      </c>
      <c r="D16" s="8" t="n">
        <v>-431.4</v>
      </c>
      <c r="E16" s="8" t="n">
        <v>-482.1</v>
      </c>
      <c r="F16" s="8" t="n">
        <v>-507.5</v>
      </c>
      <c r="G16" s="8" t="n">
        <v>-532.9</v>
      </c>
      <c r="H16" s="8" t="n">
        <v>-517.6</v>
      </c>
      <c r="I16" s="8" t="n">
        <v>-497.3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598.1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MAF Benchmark Eurobond Notes</t>
        </is>
      </c>
    </row>
    <row r="7">
      <c r="B7" s="7" t="inlineStr">
        <is>
          <t xml:space="preserve">  Beginning Principal Balance</t>
        </is>
      </c>
      <c r="C7" s="8" t="n">
        <v>1996.7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665.5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443.7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0.0565</f>
        <v/>
      </c>
      <c r="D11" s="8">
        <f>D10 * 0.0565</f>
        <v/>
      </c>
      <c r="E11" s="8">
        <f>E10 * 0.0565</f>
        <v/>
      </c>
      <c r="F11" s="8">
        <f>F10 * 0.0565</f>
        <v/>
      </c>
      <c r="G11" s="8">
        <f>G10 * 0.0565</f>
        <v/>
      </c>
      <c r="H11" s="8">
        <f>H10 * 0.0565</f>
        <v/>
      </c>
      <c r="I11" s="8">
        <f>I10 * 0.0565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2440.4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626.4</v>
      </c>
      <c r="C32" s="8" t="n">
        <v>1148.4</v>
      </c>
      <c r="D32" s="8" t="n">
        <v>1461.6</v>
      </c>
      <c r="E32" s="8" t="n">
        <v>939.6</v>
      </c>
      <c r="F32" s="8" t="n">
        <v>626.4</v>
      </c>
      <c r="G32" s="8" t="n">
        <v>417.6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5.65%</t>
        </is>
      </c>
      <c r="F6" s="27" t="inlineStr">
        <is>
          <t>4.2x</t>
        </is>
      </c>
      <c r="G6" s="27" t="inlineStr">
        <is>
          <t>$101.00</t>
        </is>
      </c>
      <c r="H6" s="27" t="inlineStr">
        <is>
          <t>+3.1%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7.65%</t>
        </is>
      </c>
      <c r="F7" s="28" t="inlineStr">
        <is>
          <t>3.2x</t>
        </is>
      </c>
      <c r="G7" s="28" t="inlineStr">
        <is>
          <t>$88.50</t>
        </is>
      </c>
      <c r="H7" s="28" t="inlineStr">
        <is>
          <t>-9.7%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$76.00</t>
        </is>
      </c>
      <c r="H8" s="28" t="inlineStr">
        <is>
          <t>-22.4%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4.15%</t>
        </is>
      </c>
      <c r="F9" s="28" t="inlineStr">
        <is>
          <t>5.7x</t>
        </is>
      </c>
      <c r="G9" s="28" t="inlineStr">
        <is>
          <t>$105.00</t>
        </is>
      </c>
      <c r="H9" s="28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1305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MAF Senior Unsecured Eurobonds</t>
        </is>
      </c>
      <c r="C15" s="8" t="n">
        <v>3915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76.0%</t>
        </is>
      </c>
      <c r="G15" s="28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783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2088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2026-09-19T21:03:39Z</dcterms:created>
  <dcterms:modified xmlns:dcterms="http://purl.org/dc/terms/" xmlns:xsi="http://www.w3.org/2001/XMLSchema-instance" xsi:type="dcterms:W3CDTF">2026-09-19T21:03:39Z</dcterms:modified>
</cp:coreProperties>
</file>