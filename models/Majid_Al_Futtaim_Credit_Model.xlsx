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(+$17.4M)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(+$19.6M)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(+$21.7M)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(+$23.9M)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(+$25.7M)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(+$27.0M)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(+$17.4M)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(+$19.6M)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(+$21.7M)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(+$23.9M)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(+$25.7M)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(+$27.0M)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Institutional Credit Model</t>
        </is>
      </c>
    </row>
    <row r="3">
      <c r="B3" s="2" t="inlineStr">
        <is>
          <t>Sector: Consumer | Country: UAE | Rating: BBB / BBB | Benchmark: MAF 5.00% 2029 @ $98.00 (5.65% YTM / +160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Premier shopping mall developer (Mall of the Emirates) and Carrefour franchise operator across MENA.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MAF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2349</v>
      </c>
      <c r="F26" s="7" t="inlineStr">
        <is>
          <t>5.65%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MAF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1566</v>
      </c>
      <c r="F27" s="7" t="inlineStr">
        <is>
          <t>4.90%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1305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3665.2</v>
      </c>
      <c r="D15" s="8" t="n">
        <v>4419.8</v>
      </c>
      <c r="E15" s="8" t="n">
        <v>4958.8</v>
      </c>
      <c r="F15" s="8" t="n">
        <v>5390</v>
      </c>
      <c r="G15" s="8" t="n">
        <v>5821.2</v>
      </c>
      <c r="H15" s="8" t="n">
        <v>6198.5</v>
      </c>
      <c r="I15" s="8" t="n">
        <v>6468</v>
      </c>
    </row>
    <row r="16">
      <c r="B16" s="7" t="inlineStr">
        <is>
          <t>Retail Shopping Malls &amp; Commercial Real Estate</t>
        </is>
      </c>
      <c r="C16" s="8" t="n">
        <v>1865.9</v>
      </c>
      <c r="D16" s="8" t="n">
        <v>2250.1</v>
      </c>
      <c r="E16" s="8" t="n">
        <v>2524.5</v>
      </c>
      <c r="F16" s="8" t="n">
        <v>2744</v>
      </c>
      <c r="G16" s="8" t="n">
        <v>2963.5</v>
      </c>
      <c r="H16" s="8" t="n">
        <v>3155.6</v>
      </c>
      <c r="I16" s="8" t="n">
        <v>3292.8</v>
      </c>
    </row>
    <row r="17">
      <c r="B17" s="7" t="inlineStr">
        <is>
          <t>Wholesale Distribution &amp; Franchises</t>
        </is>
      </c>
      <c r="C17" s="8" t="n">
        <v>1132.9</v>
      </c>
      <c r="D17" s="8" t="n">
        <v>1366.1</v>
      </c>
      <c r="E17" s="8" t="n">
        <v>1532.7</v>
      </c>
      <c r="F17" s="8" t="n">
        <v>1666</v>
      </c>
      <c r="G17" s="8" t="n">
        <v>1799.3</v>
      </c>
      <c r="H17" s="8" t="n">
        <v>1915.9</v>
      </c>
      <c r="I17" s="8" t="n">
        <v>1999.2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14.1</v>
      </c>
      <c r="D35" s="24" t="n">
        <v>17.4</v>
      </c>
      <c r="E35" s="24" t="n">
        <v>19.6</v>
      </c>
      <c r="F35" s="24" t="n">
        <v>21.7</v>
      </c>
      <c r="G35" s="24" t="n">
        <v>23.9</v>
      </c>
      <c r="H35" s="24" t="n">
        <v>25.7</v>
      </c>
      <c r="I35" s="24" t="n">
        <v>27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(+$17.4M)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(+$19.6M)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(+$21.7M)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(+$23.9M)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(+$25.7M)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(+$27.0M)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9996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2332.4</v>
      </c>
      <c r="D36" s="8" t="n">
        <v>2332.4</v>
      </c>
      <c r="E36" s="8" t="n">
        <v>2332.4</v>
      </c>
      <c r="F36" s="8" t="n">
        <v>2332.4</v>
      </c>
      <c r="G36" s="8" t="n">
        <v>2332.4</v>
      </c>
      <c r="H36" s="8" t="n">
        <v>2332.4</v>
      </c>
      <c r="I36" s="8" t="n">
        <v>2332.4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-313.4</v>
      </c>
      <c r="D16" s="8" t="n">
        <v>-548.1</v>
      </c>
      <c r="E16" s="8" t="n">
        <v>-616.6</v>
      </c>
      <c r="F16" s="8" t="n">
        <v>-583.6</v>
      </c>
      <c r="G16" s="8" t="n">
        <v>-530.3</v>
      </c>
      <c r="H16" s="8" t="n">
        <v>-568.9</v>
      </c>
      <c r="I16" s="8" t="n">
        <v>-597.8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598.1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231.3</v>
      </c>
      <c r="D32" s="8" t="n">
        <v>450.1</v>
      </c>
      <c r="E32" s="8" t="n">
        <v>508</v>
      </c>
      <c r="F32" s="8" t="n">
        <v>348.8</v>
      </c>
      <c r="G32" s="8" t="n">
        <v>372.1</v>
      </c>
      <c r="H32" s="8" t="n">
        <v>391.9</v>
      </c>
      <c r="I32" s="8" t="n">
        <v>405.7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MAF Benchmark Eurobond Notes</t>
        </is>
      </c>
    </row>
    <row r="7">
      <c r="B7" s="7" t="inlineStr">
        <is>
          <t xml:space="preserve">  Beginning Principal Balance</t>
        </is>
      </c>
      <c r="C7" s="8" t="n">
        <v>1996.7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665.5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443.7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0.0565</f>
        <v/>
      </c>
      <c r="D11" s="8">
        <f>D10 * 0.0565</f>
        <v/>
      </c>
      <c r="E11" s="8">
        <f>E10 * 0.0565</f>
        <v/>
      </c>
      <c r="F11" s="8">
        <f>F10 * 0.0565</f>
        <v/>
      </c>
      <c r="G11" s="8">
        <f>G10 * 0.0565</f>
        <v/>
      </c>
      <c r="H11" s="8">
        <f>H10 * 0.0565</f>
        <v/>
      </c>
      <c r="I11" s="8">
        <f>I10 * 0.0565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2440.4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626.4</v>
      </c>
      <c r="C32" s="8" t="n">
        <v>1148.4</v>
      </c>
      <c r="D32" s="8" t="n">
        <v>1461.6</v>
      </c>
      <c r="E32" s="8" t="n">
        <v>939.6</v>
      </c>
      <c r="F32" s="8" t="n">
        <v>626.4</v>
      </c>
      <c r="G32" s="8" t="n">
        <v>417.6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MAF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2349</v>
      </c>
      <c r="F37" s="30" t="inlineStr">
        <is>
          <t>5.650%</t>
        </is>
      </c>
      <c r="G37" s="31" t="n">
        <v>98</v>
      </c>
      <c r="H37" s="32" t="n">
        <v>5.65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MAF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1566</v>
      </c>
      <c r="F38" s="30" t="inlineStr">
        <is>
          <t>5.000%</t>
        </is>
      </c>
      <c r="G38" s="31" t="n">
        <v>100</v>
      </c>
      <c r="H38" s="32" t="n">
        <v>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783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522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MAF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1461.6</v>
      </c>
    </row>
    <row r="45">
      <c r="B45" s="7" t="inlineStr">
        <is>
          <t>Drawn Amount ($M)</t>
        </is>
      </c>
      <c r="C45" s="8" t="n">
        <v>522</v>
      </c>
    </row>
    <row r="46">
      <c r="B46" s="19" t="inlineStr">
        <is>
          <t>AVAILABLE UNDRAWN HEADROOM ($M)</t>
        </is>
      </c>
      <c r="C46" s="20" t="n">
        <v>939.6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2.85x</t>
        </is>
      </c>
      <c r="E55" s="33" t="inlineStr">
        <is>
          <t>0.90x leverage buffer ($1305.0M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4.50x</t>
        </is>
      </c>
      <c r="E56" s="33" t="inlineStr">
        <is>
          <t>+2.00x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4.4% of Assets</t>
        </is>
      </c>
      <c r="E57" s="33" t="inlineStr">
        <is>
          <t>$2156.0M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5.65%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+3.1%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7.65%</t>
        </is>
      </c>
      <c r="F7" s="30" t="inlineStr">
        <is>
          <t>3.2x</t>
        </is>
      </c>
      <c r="G7" s="30" t="inlineStr">
        <is>
          <t>$88.50</t>
        </is>
      </c>
      <c r="H7" s="30" t="inlineStr">
        <is>
          <t>-9.7%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$76.00</t>
        </is>
      </c>
      <c r="H8" s="30" t="inlineStr">
        <is>
          <t>-22.4%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1305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MAF Senior Unsecured Eurobonds</t>
        </is>
      </c>
      <c r="C15" s="8" t="n">
        <v>3915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76.0%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783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2088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Majid Al Futtaim (MAF) (MAF) — Earnings Presentation &amp; Management Guidance</t>
        </is>
      </c>
    </row>
    <row r="3">
      <c r="B3" s="2" t="inlineStr">
        <is>
          <t>Source: Majid Al Futtaim (MAF)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$10584.0M (+8.0% YoY growth)</t>
        </is>
      </c>
      <c r="D7" s="36" t="inlineStr">
        <is>
          <t>$10437.0M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$10584.0M (+8.0% YoY growth). With current run-rate at $10437.0M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$1595.0M (15.1% margin)</t>
        </is>
      </c>
      <c r="D8" s="36" t="inlineStr">
        <is>
          <t>$1566.0M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$1595.0M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2.85x</t>
        </is>
      </c>
      <c r="E9" s="33" t="inlineStr">
        <is>
          <t>Ahead of Target</t>
        </is>
      </c>
      <c r="F9" s="38" t="inlineStr">
        <is>
          <t>Deleveraging on track with 0.90x buffer below covenant limit.
[QUESTION TO CFO TO VERIFY]: You previously committed to a Net Leverage ceiling of &lt; 3.25x Net Debt / EBITDA. Current actual leverage stands at 2.85x.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$532.9M (Maximum growth and sustaining envelope)</t>
        </is>
      </c>
      <c r="D10" s="36" t="inlineStr">
        <is>
          <t>$490.3M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$532.9M (Maximum growth and sustaining envelope). Current commitments stand at $490.3M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$1268.8M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$6370.0M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UAE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$1087.5M</t>
        </is>
      </c>
    </row>
    <row r="32">
      <c r="B32" s="9" t="inlineStr">
        <is>
          <t>Undrawn Committed Bank Rcfs</t>
        </is>
      </c>
      <c r="C32" s="38" t="inlineStr">
        <is>
          <t>$1827.0M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https://www.google.com/finance/quote/MAF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2026-10-08T04:22:44Z</dcterms:created>
  <dcterms:modified xmlns:dcterms="http://purl.org/dc/terms/" xmlns:xsi="http://www.w3.org/2001/XMLSchema-instance" xsi:type="dcterms:W3CDTF">2026-10-08T04:22:44Z</dcterms:modified>
</cp:coreProperties>
</file>