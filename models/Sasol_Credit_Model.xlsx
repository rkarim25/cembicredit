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(+$27.8M)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(+$34.2M)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(+$38.5M)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(+$42.7M)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(+$47.0M)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(+$50.4M)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(+$53.0M)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(+$27.8M)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(+$34.2M)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(+$38.5M)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(+$42.7M)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(+$47.0M)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(+$50.4M)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(+$53.0M)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(SOLSJ) — Institutional Credit Model</t>
        </is>
      </c>
    </row>
    <row r="3">
      <c r="B3" s="2" t="inlineStr">
        <is>
          <t>Sector: Energy | Country: South Africa | Rating: BB+ / Ba1 | Benchmark: SOLSJ 7.85% 2029 @ $98.40 (7.85% YTM / +365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Secunda coal-to-liquids synthetic fuels monopoly; global specialty chemicals cash flow; crossover rating tier.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SOLSJ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3578.175</v>
      </c>
      <c r="F26" s="7" t="inlineStr">
        <is>
          <t>7.85%</t>
        </is>
      </c>
      <c r="G26" s="7" t="inlineStr">
        <is>
          <t>$98.40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SOLSJ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2385.45</v>
      </c>
      <c r="F27" s="7" t="inlineStr">
        <is>
          <t>7.10%</t>
        </is>
      </c>
      <c r="G27" s="7" t="inlineStr">
        <is>
          <t>$100.90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1987.875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6500</v>
      </c>
      <c r="D16" s="8" t="n">
        <v>8736</v>
      </c>
      <c r="E16" s="8" t="n">
        <v>8008</v>
      </c>
      <c r="F16" s="8" t="n">
        <v>7644</v>
      </c>
      <c r="G16" s="8" t="n">
        <v>7904</v>
      </c>
      <c r="H16" s="8" t="n">
        <v>8268</v>
      </c>
      <c r="I16" s="8" t="n">
        <v>8632</v>
      </c>
    </row>
    <row r="17">
      <c r="B17" s="7" t="inlineStr">
        <is>
          <t>Downstream Refining &amp; Fuel Marketing</t>
        </is>
      </c>
      <c r="C17" s="8" t="n">
        <v>4125</v>
      </c>
      <c r="D17" s="8" t="n">
        <v>5544</v>
      </c>
      <c r="E17" s="8" t="n">
        <v>5082</v>
      </c>
      <c r="F17" s="8" t="n">
        <v>4851</v>
      </c>
      <c r="G17" s="8" t="n">
        <v>5016</v>
      </c>
      <c r="H17" s="8" t="n">
        <v>5247</v>
      </c>
      <c r="I17" s="8" t="n">
        <v>5478</v>
      </c>
    </row>
    <row r="18">
      <c r="B18" s="7" t="inlineStr">
        <is>
          <t>Petrochemicals &amp; Gas Processing</t>
        </is>
      </c>
      <c r="C18" s="8" t="n">
        <v>1875</v>
      </c>
      <c r="D18" s="8" t="n">
        <v>2520</v>
      </c>
      <c r="E18" s="8" t="n">
        <v>2310</v>
      </c>
      <c r="F18" s="8" t="n">
        <v>2205</v>
      </c>
      <c r="G18" s="8" t="n">
        <v>2280</v>
      </c>
      <c r="H18" s="8" t="n">
        <v>2385</v>
      </c>
      <c r="I18" s="8" t="n">
        <v>2490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27.8</v>
      </c>
      <c r="D35" s="23" t="n">
        <v>34.2</v>
      </c>
      <c r="E35" s="23" t="n">
        <v>38.5</v>
      </c>
      <c r="F35" s="23" t="n">
        <v>42.7</v>
      </c>
      <c r="G35" s="23" t="n">
        <v>47</v>
      </c>
      <c r="H35" s="23" t="n">
        <v>50.4</v>
      </c>
      <c r="I35" s="23" t="n">
        <v>53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(+$27.8M)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(+$34.2M)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(+$38.5M)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(+$42.7M)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(+$47.0M)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(+$50.4M)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(+$53.0M)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18750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4375</v>
      </c>
      <c r="D36" s="8" t="n">
        <v>4375</v>
      </c>
      <c r="E36" s="8" t="n">
        <v>4375</v>
      </c>
      <c r="F36" s="8" t="n">
        <v>4375</v>
      </c>
      <c r="G36" s="8" t="n">
        <v>4375</v>
      </c>
      <c r="H36" s="8" t="n">
        <v>4375</v>
      </c>
      <c r="I36" s="8" t="n">
        <v>4375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-1150</v>
      </c>
      <c r="D16" s="8" t="n">
        <v>-1450</v>
      </c>
      <c r="E16" s="8" t="n">
        <v>-1780</v>
      </c>
      <c r="F16" s="8" t="n">
        <v>-1890</v>
      </c>
      <c r="G16" s="8" t="n">
        <v>-1650</v>
      </c>
      <c r="H16" s="8" t="n">
        <v>-1520</v>
      </c>
      <c r="I16" s="8" t="n">
        <v>-1450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1175.6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49</v>
      </c>
      <c r="D32" s="8" t="n">
        <v>83.40000000000001</v>
      </c>
      <c r="E32" s="8" t="n">
        <v>58.6</v>
      </c>
      <c r="F32" s="8" t="n">
        <v>130.7</v>
      </c>
      <c r="G32" s="8" t="n">
        <v>50.3</v>
      </c>
      <c r="H32" s="8" t="n">
        <v>6</v>
      </c>
      <c r="I32" s="8" t="n">
        <v>-30.6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SOLSJ Benchmark Eurobond Notes</t>
        </is>
      </c>
    </row>
    <row r="7">
      <c r="B7" s="7" t="inlineStr">
        <is>
          <t xml:space="preserve">  Beginning Principal Balance</t>
        </is>
      </c>
      <c r="C7" s="8" t="n">
        <v>3041.5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1013.8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675.9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0.0785</f>
        <v/>
      </c>
      <c r="D11" s="8">
        <f>D10 * 0.0785</f>
        <v/>
      </c>
      <c r="E11" s="8">
        <f>E10 * 0.0785</f>
        <v/>
      </c>
      <c r="F11" s="8">
        <f>F10 * 0.0785</f>
        <v/>
      </c>
      <c r="G11" s="8">
        <f>G10 * 0.0785</f>
        <v/>
      </c>
      <c r="H11" s="8">
        <f>H10 * 0.0785</f>
        <v/>
      </c>
      <c r="I11" s="8">
        <f>I10 * 0.0785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3717.3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954.2</v>
      </c>
      <c r="C32" s="8" t="n">
        <v>1749.3</v>
      </c>
      <c r="D32" s="8" t="n">
        <v>2226.4</v>
      </c>
      <c r="E32" s="8" t="n">
        <v>1431.3</v>
      </c>
      <c r="F32" s="8" t="n">
        <v>954.2</v>
      </c>
      <c r="G32" s="8" t="n">
        <v>636.1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SOLSJ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3578.2</v>
      </c>
      <c r="F37" s="29" t="inlineStr">
        <is>
          <t>7.850%</t>
        </is>
      </c>
      <c r="G37" s="30" t="n">
        <v>98.40000000000001</v>
      </c>
      <c r="H37" s="31" t="n">
        <v>7.85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SOLSJ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2385.4</v>
      </c>
      <c r="F38" s="29" t="inlineStr">
        <is>
          <t>7.200%</t>
        </is>
      </c>
      <c r="G38" s="30" t="n">
        <v>100.4</v>
      </c>
      <c r="H38" s="31" t="n">
        <v>7.199999999999999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1192.7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795.2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SOLSJ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2226.4</v>
      </c>
    </row>
    <row r="45">
      <c r="B45" s="7" t="inlineStr">
        <is>
          <t>Drawn Amount ($M)</t>
        </is>
      </c>
      <c r="C45" s="8" t="n">
        <v>795.2</v>
      </c>
    </row>
    <row r="46">
      <c r="B46" s="18" t="inlineStr">
        <is>
          <t>AVAILABLE UNDRAWN HEADROOM ($M)</t>
        </is>
      </c>
      <c r="C46" s="19" t="n">
        <v>1431.2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2.04x</t>
        </is>
      </c>
      <c r="E55" s="32" t="inlineStr">
        <is>
          <t>1.71x leverage buffer ($4873.5M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5.18x</t>
        </is>
      </c>
      <c r="E56" s="32" t="inlineStr">
        <is>
          <t>+2.68x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4.7% of Assets</t>
        </is>
      </c>
      <c r="E57" s="32" t="inlineStr">
        <is>
          <t>$3124.0M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7.85%</t>
        </is>
      </c>
      <c r="F6" s="34" t="inlineStr">
        <is>
          <t>4.2x</t>
        </is>
      </c>
      <c r="G6" s="34" t="inlineStr">
        <is>
          <t>$99.00</t>
        </is>
      </c>
      <c r="H6" s="34" t="inlineStr">
        <is>
          <t>+0.6%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9.85%</t>
        </is>
      </c>
      <c r="F7" s="29" t="inlineStr">
        <is>
          <t>3.2x</t>
        </is>
      </c>
      <c r="G7" s="29" t="inlineStr">
        <is>
          <t>$81.50</t>
        </is>
      </c>
      <c r="H7" s="29" t="inlineStr">
        <is>
          <t>-17.2%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$64.00</t>
        </is>
      </c>
      <c r="H8" s="29" t="inlineStr">
        <is>
          <t>-35.0%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6.35%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+6.7%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1987.9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SOLSJ Senior Unsecured Eurobonds</t>
        </is>
      </c>
      <c r="C15" s="8" t="n">
        <v>5963.6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64.0%</t>
        </is>
      </c>
      <c r="G15" s="29" t="inlineStr">
        <is>
          <t>99.0%</t>
        </is>
      </c>
    </row>
    <row r="16">
      <c r="B16" s="7" t="inlineStr">
        <is>
          <t>Subordinated Debt &amp; Intercompany Notes</t>
        </is>
      </c>
      <c r="C16" s="8" t="n">
        <v>1192.7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3180.6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7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Sasol Ltd (SOLSJ) — Earnings Presentation &amp; Management Guidance</t>
        </is>
      </c>
    </row>
    <row r="3">
      <c r="B3" s="2" t="inlineStr">
        <is>
          <t>Source: Sasol Ltd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$15336.0M (+8.0% YoY growth)</t>
        </is>
      </c>
      <c r="D7" s="35" t="inlineStr">
        <is>
          <t>$15123.0M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$15336.0M (+8.0% YoY growth). With current run-rate at $15123.0M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$3135.0M (20.4% margin)</t>
        </is>
      </c>
      <c r="D8" s="35" t="inlineStr">
        <is>
          <t>$3078.0M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$3135.0M (20.4%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2.04x</t>
        </is>
      </c>
      <c r="E9" s="32" t="inlineStr">
        <is>
          <t>Ahead of Target</t>
        </is>
      </c>
      <c r="F9" s="37" t="inlineStr">
        <is>
          <t>Deleveraging on track with 1.71x buffer below covenant limit.
[QUESTION TO CFO TO VERIFY]: You previously committed to a Net Leverage ceiling of &lt; 3.25x Net Debt / EBITDA. Current actual leverage stands at 2.04x.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$1047.4M (Maximum growth and sustaining envelope)</t>
        </is>
      </c>
      <c r="D10" s="35" t="inlineStr">
        <is>
          <t>$963.6M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$1047.4M (Maximum growth and sustaining envelope). Current commitments stand at $963.6M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$997.5M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$2137.5M in liquid bank deposits</t>
        </is>
      </c>
    </row>
    <row r="35">
      <c r="B35" s="9" t="inlineStr">
        <is>
          <t>Undrawn Committed Credit Lines</t>
        </is>
      </c>
      <c r="C35" s="37" t="inlineStr">
        <is>
          <t>$2783.0M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https://www.google.com/finance/quote/SOLSJ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2026-10-27T05:17:01Z</dcterms:created>
  <dcterms:modified xmlns:dcterms="http://purl.org/dc/terms/" xmlns:xsi="http://www.w3.org/2001/XMLSchema-instance" xsi:type="dcterms:W3CDTF">2026-10-27T05:17:01Z</dcterms:modified>
</cp:coreProperties>
</file>