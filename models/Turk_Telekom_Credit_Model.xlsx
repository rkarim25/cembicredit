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(+$13.2M)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(+$22.3M)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(+$23.9M)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(+$13.2M)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(+$22.3M)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(+$23.9M)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Institutional Credit Model</t>
        </is>
      </c>
    </row>
    <row r="3">
      <c r="B3" s="2" t="inlineStr">
        <is>
          <t>Sector: Technology | Country: Turkey | Rating: BB / BB- | Benchmark: TTKOM 6.875% 2025 @ $99.80 (7.15% YTM / +310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Fixed-line telecom monopoly with nationwide fiber backbone; successful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TTKOM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1336.5</v>
      </c>
      <c r="F26" s="7" t="inlineStr">
        <is>
          <t>7.15%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TTKOM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891</v>
      </c>
      <c r="F27" s="7" t="inlineStr">
        <is>
          <t>6.40%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1419.8</v>
      </c>
      <c r="D16" s="8" t="n">
        <v>1712.2</v>
      </c>
      <c r="E16" s="8" t="n">
        <v>1921</v>
      </c>
      <c r="F16" s="8" t="n">
        <v>2088</v>
      </c>
      <c r="G16" s="8" t="n">
        <v>2255</v>
      </c>
      <c r="H16" s="8" t="n">
        <v>2401.2</v>
      </c>
      <c r="I16" s="8" t="n">
        <v>2505.6</v>
      </c>
    </row>
    <row r="17">
      <c r="B17" s="7" t="inlineStr">
        <is>
          <t>Fixed Broadband &amp; Enterprise ICT</t>
        </is>
      </c>
      <c r="C17" s="8" t="n">
        <v>636.5</v>
      </c>
      <c r="D17" s="8" t="n">
        <v>767.5</v>
      </c>
      <c r="E17" s="8" t="n">
        <v>861.1</v>
      </c>
      <c r="F17" s="8" t="n">
        <v>936</v>
      </c>
      <c r="G17" s="8" t="n">
        <v>1010.9</v>
      </c>
      <c r="H17" s="8" t="n">
        <v>1076.4</v>
      </c>
      <c r="I17" s="8" t="n">
        <v>1123.2</v>
      </c>
    </row>
    <row r="18">
      <c r="B18" s="7" t="inlineStr">
        <is>
          <t>Fintech, Media &amp; Digital Services</t>
        </is>
      </c>
      <c r="C18" s="8" t="n">
        <v>391.7</v>
      </c>
      <c r="D18" s="8" t="n">
        <v>472.3</v>
      </c>
      <c r="E18" s="8" t="n">
        <v>529.9</v>
      </c>
      <c r="F18" s="8" t="n">
        <v>576</v>
      </c>
      <c r="G18" s="8" t="n">
        <v>622.1</v>
      </c>
      <c r="H18" s="8" t="n">
        <v>662.4</v>
      </c>
      <c r="I18" s="8" t="n">
        <v>691.2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13.2</v>
      </c>
      <c r="D35" s="23" t="n">
        <v>59.4</v>
      </c>
      <c r="E35" s="23" t="n">
        <v>66.8</v>
      </c>
      <c r="F35" s="23" t="n">
        <v>74.2</v>
      </c>
      <c r="G35" s="23" t="n">
        <v>22.3</v>
      </c>
      <c r="H35" s="23" t="n">
        <v>23.9</v>
      </c>
      <c r="I35" s="23" t="n">
        <v>25.1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(+$13.2M)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(+$59.4M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(+$66.8M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(+$74.2M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(+$22.3M)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(+$23.9M)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3672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856.8</v>
      </c>
      <c r="D36" s="8" t="n">
        <v>856.8</v>
      </c>
      <c r="E36" s="8" t="n">
        <v>856.8</v>
      </c>
      <c r="F36" s="8" t="n">
        <v>856.8</v>
      </c>
      <c r="G36" s="8" t="n">
        <v>856.8</v>
      </c>
      <c r="H36" s="8" t="n">
        <v>856.8</v>
      </c>
      <c r="I36" s="8" t="n">
        <v>856.8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-350.1</v>
      </c>
      <c r="D16" s="8" t="n">
        <v>-612.4</v>
      </c>
      <c r="E16" s="8" t="n">
        <v>-688.9</v>
      </c>
      <c r="F16" s="8" t="n">
        <v>-652</v>
      </c>
      <c r="G16" s="8" t="n">
        <v>-592.5</v>
      </c>
      <c r="H16" s="8" t="n">
        <v>-635.6</v>
      </c>
      <c r="I16" s="8" t="n">
        <v>-667.9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556.9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134.9</v>
      </c>
      <c r="D32" s="8" t="n">
        <v>267.4</v>
      </c>
      <c r="E32" s="8" t="n">
        <v>302.4</v>
      </c>
      <c r="F32" s="8" t="n">
        <v>204</v>
      </c>
      <c r="G32" s="8" t="n">
        <v>215.9</v>
      </c>
      <c r="H32" s="8" t="n">
        <v>226.1</v>
      </c>
      <c r="I32" s="8" t="n">
        <v>232.9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TTKOM Benchmark Eurobond Notes</t>
        </is>
      </c>
    </row>
    <row r="7">
      <c r="B7" s="7" t="inlineStr">
        <is>
          <t xml:space="preserve">  Beginning Principal Balance</t>
        </is>
      </c>
      <c r="C7" s="8" t="n">
        <v>1136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378.7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252.5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0.0715</f>
        <v/>
      </c>
      <c r="D11" s="8">
        <f>D10 * 0.0715</f>
        <v/>
      </c>
      <c r="E11" s="8">
        <f>E10 * 0.0715</f>
        <v/>
      </c>
      <c r="F11" s="8">
        <f>F10 * 0.0715</f>
        <v/>
      </c>
      <c r="G11" s="8">
        <f>G10 * 0.0715</f>
        <v/>
      </c>
      <c r="H11" s="8">
        <f>H10 * 0.0715</f>
        <v/>
      </c>
      <c r="I11" s="8">
        <f>I10 * 0.0715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1388.5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356.4</v>
      </c>
      <c r="C32" s="8" t="n">
        <v>653.4</v>
      </c>
      <c r="D32" s="8" t="n">
        <v>831.6</v>
      </c>
      <c r="E32" s="8" t="n">
        <v>534.6</v>
      </c>
      <c r="F32" s="8" t="n">
        <v>356.4</v>
      </c>
      <c r="G32" s="8" t="n">
        <v>237.6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TTKOM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1336.5</v>
      </c>
      <c r="F37" s="29" t="inlineStr">
        <is>
          <t>7.150%</t>
        </is>
      </c>
      <c r="G37" s="30" t="n">
        <v>99.8</v>
      </c>
      <c r="H37" s="31" t="n">
        <v>7.15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TTKOM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891</v>
      </c>
      <c r="F38" s="29" t="inlineStr">
        <is>
          <t>6.500%</t>
        </is>
      </c>
      <c r="G38" s="30" t="n">
        <v>101.5</v>
      </c>
      <c r="H38" s="31" t="n">
        <v>6.5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445.5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297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TTKOM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831.6</v>
      </c>
    </row>
    <row r="45">
      <c r="B45" s="7" t="inlineStr">
        <is>
          <t>Drawn Amount ($M)</t>
        </is>
      </c>
      <c r="C45" s="8" t="n">
        <v>297</v>
      </c>
    </row>
    <row r="46">
      <c r="B46" s="18" t="inlineStr">
        <is>
          <t>AVAILABLE UNDRAWN HEADROOM ($M)</t>
        </is>
      </c>
      <c r="C46" s="19" t="n">
        <v>534.6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($3105.0M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5.10x</t>
        </is>
      </c>
      <c r="E56" s="32" t="inlineStr">
        <is>
          <t>+2.60x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6.9% of Assets</t>
        </is>
      </c>
      <c r="E57" s="32" t="inlineStr">
        <is>
          <t>$792.0M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7.15%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9.15%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-12.1%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TTKOM Senior Unsecured Eurobonds</t>
        </is>
      </c>
      <c r="C15" s="8" t="n">
        <v>2227.5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445.5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1188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Earnings Presentation &amp; Management Guidance</t>
        </is>
      </c>
    </row>
    <row r="3">
      <c r="B3" s="2" t="inlineStr">
        <is>
          <t>Source: Türk Telekom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$3888.0M (+8.0% YoY growth)</t>
        </is>
      </c>
      <c r="D7" s="35" t="inlineStr">
        <is>
          <t>$3834.0M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$3888.0M (+8.0% YoY growth). With current run-rate at $3834.0M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$1485.0M (38.2% margin)</t>
        </is>
      </c>
      <c r="D8" s="35" t="inlineStr">
        <is>
          <t>$1458.0M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$1485.0M (38.2%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$496.1M (Maximum growth and sustaining envelope)</t>
        </is>
      </c>
      <c r="D10" s="35" t="inlineStr">
        <is>
          <t>$456.4M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$496.1M (Maximum growth and sustaining envelope). Current commitments stand at $456.4M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$1323.0M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$1620.0M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$1012.5M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$891.0M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2026-11-10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18:00 Istanbul</t>
        </is>
      </c>
    </row>
    <row r="49">
      <c r="B49" s="9" t="inlineStr">
        <is>
          <t>Official IR Portal / Webcast URL</t>
        </is>
      </c>
      <c r="C49" s="37" t="inlineStr">
        <is>
          <t>https://www.turktelekominvestorrelations.com.tr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2026-10-23T04:16:49Z</dcterms:created>
  <dcterms:modified xmlns:dcterms="http://purl.org/dc/terms/" xmlns:xsi="http://www.w3.org/2001/XMLSchema-instance" xsi:type="dcterms:W3CDTF">2026-10-23T04:16:49Z</dcterms:modified>
</cp:coreProperties>
</file>