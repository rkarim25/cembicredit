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$-6.8M after capex, interest, working capital, and tax.</t>
      </text>
    </comment>
    <comment ref="D34" authorId="0" shapeId="0">
      <text>
        <t>CEMBI Credit Desk FCF Bridge (2022A):
Formula: EBITDA - Capex - Cash Interest - ΔNWC - Tax
FCF generation of $-31.4M after capex, interest, working capital, and tax.</t>
      </text>
    </comment>
    <comment ref="E34" authorId="0" shapeId="0">
      <text>
        <t>CEMBI Credit Desk FCF Bridge (2023A):
Formula: EBITDA - Capex - Cash Interest - ΔNWC - Tax
FCF generation of $-33.6M after capex, interest, working capital, and tax.</t>
      </text>
    </comment>
    <comment ref="F34" authorId="0" shapeId="0">
      <text>
        <t>CEMBI Credit Desk FCF Bridge (2024A):
Formula: EBITDA - Capex - Cash Interest - ΔNWC - Tax
FCF generation of $-65.5M after capex, interest, working capital, and tax.</t>
      </text>
    </comment>
    <comment ref="G34" authorId="0" shapeId="0">
      <text>
        <t>CEMBI Credit Desk FCF Bridge (2025E):
Formula: EBITDA - Capex - Cash Interest - ΔNWC - Tax
FCF generation of $-49.4M after capex, interest, working capital, and tax.</t>
      </text>
    </comment>
    <comment ref="H34" authorId="0" shapeId="0">
      <text>
        <t>CEMBI Credit Desk FCF Bridge (2026E):
Formula: EBITDA - Capex - Cash Interest - ΔNWC - Tax
FCF generation of $-97.0M after capex, interest, working capital, and tax.</t>
      </text>
    </comment>
    <comment ref="I34" authorId="0" shapeId="0">
      <text>
        <t>CEMBI Credit Desk FCF Bridge (2027E):
Formula: EBITDA - Capex - Cash Interest - ΔNWC - Tax
FCF generation of $-189.2M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(AVIASG) — Institutional Credit Model</t>
        </is>
      </c>
    </row>
    <row r="3">
      <c r="B3" s="2" t="inlineStr">
        <is>
          <t>Sector: Transportation | Country: Ireland | Rating: BB- (S&amp;P) / BB (Fitch) | Benchmark: AVIASG 9.750% 2029 (US00217AAB26 / XS2815876920) @ $87.00 (16.00% YTM / +1120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AVIASG notes benefit from deep asset backing in unencumbered commercial aircraft and CFM56/LEAP engines held for sale (€190-230M valuation cushion with only €50M attached debt). Non-ACMI MRO and ground handling operations generate €150M+ annual run-rate EBITDA-L, providing standalone enterprise value floor above senior note par.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AVIASG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764.73</v>
      </c>
      <c r="F26" s="7" t="inlineStr">
        <is>
          <t>16.00%</t>
        </is>
      </c>
      <c r="G26" s="7" t="inlineStr">
        <is>
          <t>$87.00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AVIASG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509.82</v>
      </c>
      <c r="F27" s="7" t="inlineStr">
        <is>
          <t>15.25%</t>
        </is>
      </c>
      <c r="G27" s="7" t="inlineStr">
        <is>
          <t>$89.50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424.85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659.7</v>
      </c>
      <c r="D14" s="8" t="n">
        <v>1204.3</v>
      </c>
      <c r="E14" s="8" t="n">
        <v>1470.8</v>
      </c>
      <c r="F14" s="8" t="n">
        <v>1367.1</v>
      </c>
      <c r="G14" s="8" t="n">
        <v>650</v>
      </c>
      <c r="H14" s="8" t="n">
        <v>650</v>
      </c>
      <c r="I14" s="8" t="n">
        <v>650</v>
      </c>
    </row>
    <row r="15">
      <c r="B15" s="7" t="inlineStr">
        <is>
          <t>Secondary Value-Added Services</t>
        </is>
      </c>
      <c r="C15" s="8" t="n">
        <v>233.4</v>
      </c>
      <c r="D15" s="8" t="n">
        <v>426.1</v>
      </c>
      <c r="E15" s="8" t="n">
        <v>520.4</v>
      </c>
      <c r="F15" s="8" t="n">
        <v>483.8</v>
      </c>
      <c r="G15" s="8" t="n">
        <v>230</v>
      </c>
      <c r="H15" s="8" t="n">
        <v>230</v>
      </c>
      <c r="I15" s="8" t="n">
        <v>230</v>
      </c>
    </row>
    <row r="16">
      <c r="B16" s="7" t="inlineStr">
        <is>
          <t>Ancillary &amp; Export Trading</t>
        </is>
      </c>
      <c r="C16" s="8" t="n">
        <v>121.8</v>
      </c>
      <c r="D16" s="8" t="n">
        <v>222.3</v>
      </c>
      <c r="E16" s="8" t="n">
        <v>271.5</v>
      </c>
      <c r="F16" s="8" t="n">
        <v>252.4</v>
      </c>
      <c r="G16" s="8" t="n">
        <v>120</v>
      </c>
      <c r="H16" s="8" t="n">
        <v>120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Cognitive Credit derived EBITDA versus company-reported (adjusted) EBITDA; difference = company adjustments.</t>
        </is>
      </c>
    </row>
    <row r="46">
      <c r="B46" s="26" t="inlineStr">
        <is>
          <t>[2025E] Cognitive Credit derived EBITDA versus company-reported (adjusted) EBITDA; difference = company adjustments.</t>
        </is>
      </c>
    </row>
    <row r="47">
      <c r="B47" s="26" t="inlineStr">
        <is>
          <t>[2026E] Cognitive Credit derived EBITDA versus company-reported (adjusted) EBITDA; difference = company adjustments.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1522.3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355.2</v>
      </c>
      <c r="D36" s="8" t="n">
        <v>355.2</v>
      </c>
      <c r="E36" s="8" t="n">
        <v>355.2</v>
      </c>
      <c r="F36" s="8" t="n">
        <v>355.2</v>
      </c>
      <c r="G36" s="8" t="n">
        <v>355.2</v>
      </c>
      <c r="H36" s="8" t="n">
        <v>355.2</v>
      </c>
      <c r="I36" s="8" t="n">
        <v>355.2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70.3</v>
      </c>
      <c r="D16" s="8" t="n">
        <v>159.1</v>
      </c>
      <c r="E16" s="8" t="n">
        <v>213.8</v>
      </c>
      <c r="F16" s="8" t="n">
        <v>240.3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216.7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53.4</v>
      </c>
      <c r="D32" s="8" t="n">
        <v>123.1</v>
      </c>
      <c r="E32" s="8" t="n">
        <v>201.3</v>
      </c>
      <c r="F32" s="8" t="n">
        <v>265.7</v>
      </c>
      <c r="G32" s="8" t="n">
        <v>442</v>
      </c>
      <c r="H32" s="8" t="n">
        <v>607</v>
      </c>
      <c r="I32" s="8" t="n">
        <v>726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0" customWidth="1" min="3" max="3"/>
    <col width="36" customWidth="1" min="4" max="4"/>
    <col width="32" customWidth="1" min="5" max="5"/>
    <col width="59" customWidth="1" min="6" max="6"/>
    <col width="15" customWidth="1" min="7" max="7"/>
    <col width="14" customWidth="1" min="8" max="8"/>
    <col width="3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AVIASG Benchmark Eurobond Notes</t>
        </is>
      </c>
    </row>
    <row r="7">
      <c r="B7" s="7" t="inlineStr">
        <is>
          <t xml:space="preserve">  Beginning Principal Balance</t>
        </is>
      </c>
      <c r="C7" s="8" t="n">
        <v>215.9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0.1600</f>
        <v/>
      </c>
      <c r="D11" s="8">
        <f>D10 * 0.1600</f>
        <v/>
      </c>
      <c r="E11" s="8">
        <f>E10 * 0.1600</f>
        <v/>
      </c>
      <c r="F11" s="8">
        <f>F10 * 0.1600</f>
        <v/>
      </c>
      <c r="G11" s="8">
        <f>G10 * 0.1600</f>
        <v/>
      </c>
      <c r="H11" s="8">
        <f>H10 * 0.1600</f>
        <v/>
      </c>
      <c r="I11" s="8">
        <f>I10 * 0.1600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203.9</v>
      </c>
      <c r="C32" s="8" t="n">
        <v>373.9</v>
      </c>
      <c r="D32" s="8" t="n">
        <v>475.8</v>
      </c>
      <c r="E32" s="8" t="n">
        <v>305.9</v>
      </c>
      <c r="F32" s="8" t="n">
        <v>203.9</v>
      </c>
      <c r="G32" s="8" t="n">
        <v>136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ACMI Leases</t>
        </is>
      </c>
      <c r="C37" s="7" t="inlineStr">
        <is>
          <t>Aircraft Operating Leases</t>
        </is>
      </c>
      <c r="D37" s="29" t="inlineStr">
        <is>
          <t>EUR</t>
        </is>
      </c>
      <c r="E37" s="21" t="n">
        <v>0</v>
      </c>
      <c r="F37" s="30" t="inlineStr">
        <is>
          <t>Lease Payments (~€10M/mo as of July)</t>
        </is>
      </c>
      <c r="G37" s="31" t="n">
        <v>100</v>
      </c>
      <c r="H37" s="32" t="n">
        <v>7.5</v>
      </c>
      <c r="I37" s="7" t="inlineStr">
        <is>
          <t>Operating Lease / Asset Backed</t>
        </is>
      </c>
      <c r="J37" s="17" t="inlineStr"/>
    </row>
    <row r="38">
      <c r="B38" s="9" t="inlineStr">
        <is>
          <t>Other Leases</t>
        </is>
      </c>
      <c r="C38" s="7" t="inlineStr">
        <is>
          <t>Operating &amp; Finance Leases</t>
        </is>
      </c>
      <c r="D38" s="29" t="inlineStr">
        <is>
          <t>EUR</t>
        </is>
      </c>
      <c r="E38" s="21" t="n">
        <v>0</v>
      </c>
      <c r="F38" s="30" t="inlineStr">
        <is>
          <t>Lease Rate</t>
        </is>
      </c>
      <c r="G38" s="31" t="n">
        <v>100</v>
      </c>
      <c r="H38" s="32" t="n">
        <v>7</v>
      </c>
      <c r="I38" s="7" t="inlineStr">
        <is>
          <t>Operating Lease</t>
        </is>
      </c>
      <c r="J38" s="17" t="inlineStr"/>
    </row>
    <row r="39">
      <c r="B39" s="9" t="inlineStr">
        <is>
          <t>AVIASG 9.75% 2029 Senior Notes</t>
        </is>
      </c>
      <c r="C39" s="7" t="inlineStr">
        <is>
          <t>Senior Unsecured Eurobond</t>
        </is>
      </c>
      <c r="D39" s="29" t="inlineStr">
        <is>
          <t>USD (EUR 262M eq.)</t>
        </is>
      </c>
      <c r="E39" s="21" t="n">
        <v>0</v>
      </c>
      <c r="F39" s="30" t="inlineStr">
        <is>
          <t>9.750%</t>
        </is>
      </c>
      <c r="G39" s="31" t="n">
        <v>87</v>
      </c>
      <c r="H39" s="32" t="n">
        <v>16</v>
      </c>
      <c r="I39" s="7" t="inlineStr">
        <is>
          <t>Senior Unsecured</t>
        </is>
      </c>
      <c r="J39" s="17" t="inlineStr"/>
    </row>
    <row r="40">
      <c r="B40" s="9" t="inlineStr">
        <is>
          <t>Aircraft Equipment Financing</t>
        </is>
      </c>
      <c r="C40" s="7" t="inlineStr">
        <is>
          <t>Secured Asset Financing</t>
        </is>
      </c>
      <c r="D40" s="29" t="inlineStr">
        <is>
          <t>EUR</t>
        </is>
      </c>
      <c r="E40" s="21" t="n">
        <v>0</v>
      </c>
      <c r="F40" s="30" t="inlineStr">
        <is>
          <t>Commercial Secured Rate</t>
        </is>
      </c>
      <c r="G40" s="31" t="n">
        <v>100</v>
      </c>
      <c r="H40" s="32" t="n">
        <v>6.5</v>
      </c>
      <c r="I40" s="7" t="inlineStr">
        <is>
          <t>Senior Secured</t>
        </is>
      </c>
      <c r="J40" s="17" t="inlineStr"/>
    </row>
    <row r="41">
      <c r="B41" s="9" t="inlineStr">
        <is>
          <t>Real-Estate Financing</t>
        </is>
      </c>
      <c r="C41" s="7" t="inlineStr">
        <is>
          <t>Mortgage / Facility Loan</t>
        </is>
      </c>
      <c r="D41" s="29" t="inlineStr">
        <is>
          <t>EUR</t>
        </is>
      </c>
      <c r="E41" s="21" t="n">
        <v>0</v>
      </c>
      <c r="F41" s="30" t="inlineStr">
        <is>
          <t>Mortgage Rate</t>
        </is>
      </c>
      <c r="G41" s="31" t="n">
        <v>100</v>
      </c>
      <c r="H41" s="32" t="n">
        <v>6</v>
      </c>
      <c r="I41" s="7" t="inlineStr">
        <is>
          <t>Senior Secured</t>
        </is>
      </c>
      <c r="J41" s="17" t="inlineStr"/>
    </row>
    <row r="42">
      <c r="B42" s="9" t="inlineStr">
        <is>
          <t>Revolving Credit Facility (RCF)</t>
        </is>
      </c>
      <c r="C42" s="7" t="inlineStr">
        <is>
          <t>Bank Credit Line</t>
        </is>
      </c>
      <c r="D42" s="29" t="inlineStr">
        <is>
          <t>EUR</t>
        </is>
      </c>
      <c r="E42" s="21" t="n">
        <v>0</v>
      </c>
      <c r="F42" s="30" t="inlineStr">
        <is>
          <t>EURIBOR + Margin</t>
        </is>
      </c>
      <c r="G42" s="31" t="n">
        <v>100</v>
      </c>
      <c r="H42" s="32" t="n">
        <v>6.8</v>
      </c>
      <c r="I42" s="7" t="inlineStr">
        <is>
          <t>Senior Secured Bank Debt</t>
        </is>
      </c>
      <c r="J42" s="17" t="inlineStr"/>
    </row>
    <row r="43">
      <c r="B43" s="9" t="inlineStr">
        <is>
          <t>M&amp;A Financing</t>
        </is>
      </c>
      <c r="C43" s="7" t="inlineStr">
        <is>
          <t>Acquisition Term Loan</t>
        </is>
      </c>
      <c r="D43" s="29" t="inlineStr">
        <is>
          <t>EUR</t>
        </is>
      </c>
      <c r="E43" s="21" t="n">
        <v>0</v>
      </c>
      <c r="F43" s="30" t="inlineStr">
        <is>
          <t>Term Loan Rate</t>
        </is>
      </c>
      <c r="G43" s="31" t="n">
        <v>100</v>
      </c>
      <c r="H43" s="32" t="n">
        <v>7</v>
      </c>
      <c r="I43" s="7" t="inlineStr">
        <is>
          <t>Senior Debt</t>
        </is>
      </c>
      <c r="J43" s="17" t="inlineStr"/>
    </row>
    <row r="44">
      <c r="B44" s="9" t="inlineStr">
        <is>
          <t>Other Borrowings</t>
        </is>
      </c>
      <c r="C44" s="7" t="inlineStr">
        <is>
          <t>Bilateral Bank Lines</t>
        </is>
      </c>
      <c r="D44" s="29" t="inlineStr">
        <is>
          <t>EUR</t>
        </is>
      </c>
      <c r="E44" s="21" t="n">
        <v>0</v>
      </c>
      <c r="F44" s="30" t="inlineStr">
        <is>
          <t>Various</t>
        </is>
      </c>
      <c r="G44" s="31" t="n">
        <v>100</v>
      </c>
      <c r="H44" s="32" t="n">
        <v>7</v>
      </c>
      <c r="I44" s="7" t="inlineStr">
        <is>
          <t>General Debt</t>
        </is>
      </c>
      <c r="J44" s="17" t="inlineStr"/>
    </row>
    <row r="45"/>
    <row r="46">
      <c r="B46" s="3" t="inlineStr">
        <is>
          <t>VI. REVOLVING CREDIT FACILITY (RCF) &amp; BANK LIQUIDITY RUNWAY</t>
        </is>
      </c>
    </row>
    <row r="47">
      <c r="B47" s="7" t="inlineStr">
        <is>
          <t>Facility Designation</t>
        </is>
      </c>
      <c r="C47" s="7" t="inlineStr">
        <is>
          <t>Bilateral Revolving &amp; Bridge Credit Facilities</t>
        </is>
      </c>
    </row>
    <row r="48">
      <c r="B48" s="9" t="inlineStr">
        <is>
          <t>Total Committed Capacity ($M)</t>
        </is>
      </c>
      <c r="C48" s="21" t="n">
        <v>120</v>
      </c>
    </row>
    <row r="49">
      <c r="B49" s="7" t="inlineStr">
        <is>
          <t>Drawn Amount ($M)</t>
        </is>
      </c>
      <c r="C49" s="8" t="n">
        <v>40</v>
      </c>
    </row>
    <row r="50">
      <c r="B50" s="19" t="inlineStr">
        <is>
          <t>AVAILABLE UNDRAWN HEADROOM ($M)</t>
        </is>
      </c>
      <c r="C50" s="20" t="n">
        <v>80</v>
      </c>
    </row>
    <row r="51">
      <c r="B51" s="7" t="inlineStr">
        <is>
          <t>Drawn Borrowing Margin</t>
        </is>
      </c>
      <c r="C51" s="7" t="inlineStr">
        <is>
          <t>Euribor + 350 bps</t>
        </is>
      </c>
    </row>
    <row r="52">
      <c r="B52" s="7" t="inlineStr">
        <is>
          <t>Undrawn Commitment Fee</t>
        </is>
      </c>
      <c r="C52" s="7" t="inlineStr">
        <is>
          <t>122.5 bps</t>
        </is>
      </c>
    </row>
    <row r="53">
      <c r="B53" s="7" t="inlineStr">
        <is>
          <t>Maturity Date &amp; Extension Options</t>
        </is>
      </c>
      <c r="C53" s="7" t="inlineStr">
        <is>
          <t>2027-12-31</t>
        </is>
      </c>
    </row>
    <row r="54">
      <c r="B54" s="7" t="inlineStr">
        <is>
          <t>Syndicate Lenders / Arrangers</t>
        </is>
      </c>
      <c r="C54" s="7" t="inlineStr">
        <is>
          <t>European Commercial &amp; Aviation Lending Banks</t>
        </is>
      </c>
    </row>
    <row r="55">
      <c r="B55" s="7" t="inlineStr">
        <is>
          <t>RCF Maintenance Covenants</t>
        </is>
      </c>
      <c r="C55" s="7" t="inlineStr">
        <is>
          <t>Tested semi-annually: Max Net Leverage 3.75x, Min Fixed Charge Coverage 2.0x</t>
        </is>
      </c>
    </row>
    <row r="56"/>
    <row r="57">
      <c r="B57" s="3" t="inlineStr">
        <is>
          <t>VII. BOND COVENANT ANALYSIS &amp; HEADROOM SCORECARD</t>
        </is>
      </c>
    </row>
    <row r="58">
      <c r="B58" s="5" t="inlineStr">
        <is>
          <t>Covenant Test / Negative Pledge Dimension</t>
        </is>
      </c>
      <c r="C58" s="5" t="inlineStr">
        <is>
          <t>Governing Threshold / Limit</t>
        </is>
      </c>
      <c r="D58" s="5" t="inlineStr">
        <is>
          <t>Actual Current / Reported Metric</t>
        </is>
      </c>
      <c r="E58" s="5" t="inlineStr">
        <is>
          <t>Headroom / Compliance Status</t>
        </is>
      </c>
      <c r="F58" s="5" t="inlineStr">
        <is>
          <t>Covenant Terms / Description</t>
        </is>
      </c>
    </row>
    <row r="59">
      <c r="B59" s="9" t="inlineStr">
        <is>
          <t>Debt Incurrence Net Leverage</t>
        </is>
      </c>
      <c r="C59" s="29" t="inlineStr">
        <is>
          <t>3.75x</t>
        </is>
      </c>
      <c r="D59" s="25" t="inlineStr">
        <is>
          <t>2.50x</t>
        </is>
      </c>
      <c r="E59" s="33" t="inlineStr">
        <is>
          <t>Compliant</t>
        </is>
      </c>
      <c r="F59" s="17" t="inlineStr">
        <is>
          <t>Incurrence covenant for additional senior debt issuance</t>
        </is>
      </c>
    </row>
    <row r="60">
      <c r="B60" s="9" t="inlineStr">
        <is>
          <t>Fixed Charge Coverage Ratio</t>
        </is>
      </c>
      <c r="C60" s="29" t="inlineStr">
        <is>
          <t>min 2.00x</t>
        </is>
      </c>
      <c r="D60" s="25" t="inlineStr">
        <is>
          <t>3.10x</t>
        </is>
      </c>
      <c r="E60" s="33" t="inlineStr">
        <is>
          <t>Compliant</t>
        </is>
      </c>
      <c r="F60" s="17" t="inlineStr">
        <is>
          <t>Maintenance / incurrence gateway test</t>
        </is>
      </c>
    </row>
    <row r="61">
      <c r="B61" s="9" t="inlineStr">
        <is>
          <t>Permitted Secured Debt Basket</t>
        </is>
      </c>
      <c r="C61" s="29" t="inlineStr">
        <is>
          <t>20.0% Total Assets</t>
        </is>
      </c>
      <c r="D61" s="25" t="inlineStr">
        <is>
          <t>8.5% Total Assets</t>
        </is>
      </c>
      <c r="E61" s="33" t="inlineStr">
        <is>
          <t>Compliant</t>
        </is>
      </c>
      <c r="F61" s="17" t="inlineStr">
        <is>
          <t>Permitted collateral carve-out limit</t>
        </is>
      </c>
    </row>
    <row r="62">
      <c r="B62" s="9" t="inlineStr">
        <is>
          <t>Change of Control Put Option</t>
        </is>
      </c>
      <c r="C62" s="29" t="inlineStr">
        <is>
          <t>101.00% Redemption</t>
        </is>
      </c>
      <c r="D62" s="25" t="inlineStr">
        <is>
          <t>N/A (Inactive)</t>
        </is>
      </c>
      <c r="E62" s="33" t="inlineStr">
        <is>
          <t>Compliant</t>
        </is>
      </c>
      <c r="F62" s="17" t="inlineStr">
        <is>
          <t>101.00% Put Option upon Change of Control plus Rating Downgrade trigger.</t>
        </is>
      </c>
    </row>
    <row r="63">
      <c r="B63" s="9" t="inlineStr">
        <is>
          <t>Restricted Payments / Dividend Basket</t>
        </is>
      </c>
      <c r="C63" s="29" t="inlineStr">
        <is>
          <t>Builder Basket</t>
        </is>
      </c>
      <c r="D63" s="25" t="inlineStr">
        <is>
          <t>Within Capacity</t>
        </is>
      </c>
      <c r="E63" s="33" t="inlineStr">
        <is>
          <t>Compliant</t>
        </is>
      </c>
      <c r="F63" s="17" t="inlineStr">
        <is>
          <t>Gated by 2.25x Net Leverage test with 50% CNI builder basket.</t>
        </is>
      </c>
    </row>
    <row r="64">
      <c r="B64" s="9" t="inlineStr">
        <is>
          <t>Cross-Default &amp; Cross-Acceleration</t>
        </is>
      </c>
      <c r="C64" s="29" t="inlineStr">
        <is>
          <t>€25.0M cross-acceleration threshold.</t>
        </is>
      </c>
      <c r="D64" s="25" t="inlineStr">
        <is>
          <t>Zero Defaults</t>
        </is>
      </c>
      <c r="E64" s="33" t="inlineStr">
        <is>
          <t>Compliant</t>
        </is>
      </c>
      <c r="F64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F64:I64"/>
    <mergeCell ref="C49:F49"/>
    <mergeCell ref="F61:I61"/>
    <mergeCell ref="B2:I2"/>
    <mergeCell ref="F63:I63"/>
    <mergeCell ref="F62:I62"/>
    <mergeCell ref="C54:F54"/>
    <mergeCell ref="F59:I59"/>
    <mergeCell ref="C51:F51"/>
    <mergeCell ref="C47:F47"/>
    <mergeCell ref="C55:F55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16.00%</t>
        </is>
      </c>
      <c r="F6" s="35" t="inlineStr">
        <is>
          <t>5.0x</t>
        </is>
      </c>
      <c r="G6" s="35" t="inlineStr">
        <is>
          <t>$88.00</t>
        </is>
      </c>
      <c r="H6" s="35" t="inlineStr">
        <is>
          <t>+1.1%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18.00%</t>
        </is>
      </c>
      <c r="F7" s="30" t="inlineStr">
        <is>
          <t>4.0x</t>
        </is>
      </c>
      <c r="G7" s="30" t="inlineStr">
        <is>
          <t>$75.00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14.50%</t>
        </is>
      </c>
      <c r="F9" s="30" t="inlineStr">
        <is>
          <t>6.5x</t>
        </is>
      </c>
      <c r="G9" s="30" t="inlineStr">
        <is>
          <t>$103.84</t>
        </is>
      </c>
      <c r="H9" s="30" t="inlineStr">
        <is>
          <t>+19.4%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424.9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AVIASG Senior Unsecured Eurobonds</t>
        </is>
      </c>
      <c r="C15" s="8" t="n">
        <v>1274.6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254.9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679.8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Irish Examinership &amp; English Law Scheme of Arrangement.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8" customWidth="1" min="3" max="3"/>
    <col width="64" customWidth="1" min="4" max="4"/>
    <col width="19" customWidth="1" min="5" max="5"/>
    <col width="243" customWidth="1" min="6" max="6"/>
    <col width="14" customWidth="1" min="7" max="7"/>
    <col width="13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(AVIASG)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ACMI Fleet Redelivery Target</t>
        </is>
      </c>
      <c r="C7" s="9" t="inlineStr">
        <is>
          <t>~95 aircraft by YE2026 (from 142 at YE25)</t>
        </is>
      </c>
      <c r="D7" s="36" t="inlineStr">
        <is>
          <t>107 aircraft in July 2026 (8 redeliveries scheduled in 3Q26)</t>
        </is>
      </c>
      <c r="E7" s="37" t="inlineStr">
        <is>
          <t>On Track</t>
        </is>
      </c>
      <c r="F7" s="38" t="inlineStr">
        <is>
          <t>Lease redeliveries and selective disposals progressing per plan; monthly lease expense dropped from €18M to €10M.
[QUESTION TO CFO TO VERIFY]: Are lessors accepting scheduled 3Q26 redeliveries without disputed maintenance return penalties?</t>
        </is>
      </c>
    </row>
    <row r="8">
      <c r="B8" s="9" t="inlineStr">
        <is>
          <t>FY2026 Asset Disposal Proceeds</t>
        </is>
      </c>
      <c r="C8" s="9" t="inlineStr">
        <is>
          <t>€80M+ total gross proceeds in 2026</t>
        </is>
      </c>
      <c r="D8" s="36" t="inlineStr">
        <is>
          <t>€48M collected through August 2026 + €32M signed backlog</t>
        </is>
      </c>
      <c r="E8" s="33" t="inlineStr">
        <is>
          <t>Ahead of Target</t>
        </is>
      </c>
      <c r="F8" s="38" t="inlineStr">
        <is>
          <t>Strong secondary engine and narrowbody airframe demand driving rapid execution without deep discounts.
[QUESTION TO CFO TO VERIFY]: What is the timeline for closing the remaining €32M contracted asset sales backlog?</t>
        </is>
      </c>
    </row>
    <row r="9">
      <c r="B9" s="9" t="inlineStr">
        <is>
          <t>Non-ACMI Segment EBITDA-L</t>
        </is>
      </c>
      <c r="C9" s="9" t="inlineStr">
        <is>
          <t>€130M - €150M FY2026 run-rate</t>
        </is>
      </c>
      <c r="D9" s="36" t="inlineStr">
        <is>
          <t>€75M achieved in 1H26</t>
        </is>
      </c>
      <c r="E9" s="37" t="inlineStr">
        <is>
          <t>On Track</t>
        </is>
      </c>
      <c r="F9" s="38" t="inlineStr">
        <is>
          <t>Exceptional organic MRO and ground handling volumes providing resilient high-margin cash flow.
[QUESTION TO CFO TO VERIFY]: How sustainable is the 1H26 €75M non-ACMI performance into 2H26 and 2027?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>
        <is>
          <t>ACMI Redelivery Penalty &amp; End-of-Lease Cash Compensation</t>
        </is>
      </c>
      <c r="C25" s="38" t="inlineStr">
        <is>
          <t>Can management quantify the total cash compensation, redelivery checks, and end-of-lease maintenance reserves required for the remaining 12 aircraft redeliveries scheduled before YE26?</t>
        </is>
      </c>
      <c r="F25" s="26" t="inlineStr">
        <is>
          <t>Under standard ACMI lease agreements, returning early or off-lease aircraft often triggers significant redelivery maintenance overhaul payments that could offset monthly lease savings in the near term.</t>
        </is>
      </c>
      <c r="H25" s="39" t="inlineStr">
        <is>
          <t>If redelivery cash drag exceeds €15M in 2H26, FCF inflection will be delayed into mid-2027.</t>
        </is>
      </c>
    </row>
    <row r="26">
      <c r="B26" s="9" t="inlineStr">
        <is>
          <t>Bridge Loan Refinancing &amp; Aircraft Sale-and-Leaseback Execution</t>
        </is>
      </c>
      <c r="C26" s="38" t="inlineStr">
        <is>
          <t>What is the exact maturity, lender syndicate, and refinancing timeline for the €40M aircraft acquisition bridge loan incurred in 1H26?</t>
        </is>
      </c>
      <c r="F26" s="26" t="inlineStr">
        <is>
          <t>Management noted the aircraft may be sold and leased back; failure to execute SLB in a choppy market would leave short-term bank debt maturing against holding cash.</t>
        </is>
      </c>
      <c r="H26" s="39" t="inlineStr">
        <is>
          <t>Successful SLB completion restores €40M liquidity and removes near-term refinancing overhang.</t>
        </is>
      </c>
    </row>
    <row r="27">
      <c r="B27" s="9" t="inlineStr">
        <is>
          <t>Winter Seasonality Cash Drain vs. Summer Working Capital Inflows</t>
        </is>
      </c>
      <c r="C27" s="38" t="inlineStr">
        <is>
          <t>What is the projected trough liquidity level expected in 1Q27 given typical European aviation winter seasonality?</t>
        </is>
      </c>
      <c r="F27" s="26" t="inlineStr">
        <is>
          <t>Aviation ACMI experiences working capital release in summer and severe cash drain between November and March. August cash of €168M must absorb this seasonal trough.</t>
        </is>
      </c>
      <c r="H27" s="39" t="inlineStr">
        <is>
          <t>Maintaining unrestricted liquidity above €120M through March 2027 confirms comfortable survival without emergency debt incurrence.</t>
        </is>
      </c>
    </row>
    <row r="28">
      <c r="B28" s="9" t="inlineStr">
        <is>
          <t>Exit Timing for Narrowbody ACMI Exposure</t>
        </is>
      </c>
      <c r="C28" s="38" t="inlineStr">
        <is>
          <t>Over what time horizon does ASG plan to complete its total strategic exit from the European narrow-body passenger ACMI market?</t>
        </is>
      </c>
      <c r="F28" s="26" t="inlineStr">
        <is>
          <t>Narrowbody passenger ACMI is where overcapacity and customer airline fleet rightsizing are most acute.</t>
        </is>
      </c>
      <c r="H28" s="39" t="inlineStr">
        <is>
          <t>Transition toward cargo, widebody ACMI, and MRO significantly reduces beta to European budget airline schedules.</t>
        </is>
      </c>
    </row>
    <row r="29">
      <c r="B29" s="9" t="inlineStr">
        <is>
          <t>Secondary Valuation Discounts on Aging Fleet Disposals</t>
        </is>
      </c>
      <c r="C29" s="38" t="inlineStr">
        <is>
          <t>What haircut to internal book values is management experiencing on the €190-230M portfolio of 28 aircraft and 13 engines held for sale?</t>
        </is>
      </c>
      <c r="F29" s="26" t="inlineStr">
        <is>
          <t>Given the relatively advanced age profile of ASG older airframes, realizable cash upon sale could lag internal appraised values if secondary demand softens.</t>
        </is>
      </c>
      <c r="H29" s="39" t="inlineStr">
        <is>
          <t>Net asset recoveries exceeding €140M cash ensure complete coverage of bond maturities.</t>
        </is>
      </c>
    </row>
    <row r="30"/>
    <row r="31"/>
    <row r="32">
      <c r="B32" s="3" t="inlineStr">
        <is>
          <t>SCHEDULED EARNINGS RELEASE &amp; INVESTOR RELATIONS CALENDAR</t>
        </is>
      </c>
    </row>
    <row r="33">
      <c r="B33" s="5" t="inlineStr">
        <is>
          <t>Calendar Dimension</t>
        </is>
      </c>
      <c r="C33" s="5" t="inlineStr">
        <is>
          <t>Scheduled Detail &amp; IR Access</t>
        </is>
      </c>
    </row>
    <row r="34">
      <c r="B34" s="9" t="inlineStr">
        <is>
          <t>Next Scheduled Earnings Date</t>
        </is>
      </c>
      <c r="C34" s="38" t="inlineStr">
        <is>
          <t>2026-11-12</t>
        </is>
      </c>
    </row>
    <row r="35">
      <c r="B35" s="9" t="inlineStr">
        <is>
          <t>Reporting Period</t>
        </is>
      </c>
      <c r="C35" s="38" t="inlineStr">
        <is>
          <t>Q3 2026 / 9M</t>
        </is>
      </c>
    </row>
    <row r="36">
      <c r="B36" s="9" t="inlineStr">
        <is>
          <t>Confirmation Status</t>
        </is>
      </c>
      <c r="C36" s="38" t="inlineStr">
        <is>
          <t>Estimated</t>
        </is>
      </c>
    </row>
    <row r="37">
      <c r="B37" s="9" t="inlineStr">
        <is>
          <t>Conference Call &amp; Webcast Schedule</t>
        </is>
      </c>
      <c r="C37" s="38" t="inlineStr">
        <is>
          <t>14:00 Local / Pre-Market</t>
        </is>
      </c>
    </row>
    <row r="38">
      <c r="B38" s="9" t="inlineStr">
        <is>
          <t>Official IR Portal / Webcast URL</t>
        </is>
      </c>
      <c r="C38" s="38" t="inlineStr">
        <is>
          <t>https://www.google.com/finance/quote/AVIASG</t>
        </is>
      </c>
    </row>
  </sheetData>
  <mergeCells count="33">
    <mergeCell ref="C36:I36"/>
    <mergeCell ref="F9:I9"/>
    <mergeCell ref="F29:G29"/>
    <mergeCell ref="H29:I29"/>
    <mergeCell ref="F25:G25"/>
    <mergeCell ref="B3:I3"/>
    <mergeCell ref="C38:I38"/>
    <mergeCell ref="C37:I37"/>
    <mergeCell ref="H25:I25"/>
    <mergeCell ref="F24:G24"/>
    <mergeCell ref="C18:I18"/>
    <mergeCell ref="C27:E27"/>
    <mergeCell ref="B2:I2"/>
    <mergeCell ref="C34:I34"/>
    <mergeCell ref="C15:I15"/>
    <mergeCell ref="F26:G26"/>
    <mergeCell ref="C33:I33"/>
    <mergeCell ref="C28:E28"/>
    <mergeCell ref="F7:I7"/>
    <mergeCell ref="C35:I35"/>
    <mergeCell ref="F28:G28"/>
    <mergeCell ref="H28:I28"/>
    <mergeCell ref="F27:G27"/>
    <mergeCell ref="H27:I27"/>
    <mergeCell ref="C24:E24"/>
    <mergeCell ref="F8:I8"/>
    <mergeCell ref="H24:I24"/>
    <mergeCell ref="C21:I21"/>
    <mergeCell ref="C12:I12"/>
    <mergeCell ref="C26:E26"/>
    <mergeCell ref="C29:E29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2026-10-25T05:16:57Z</dcterms:created>
  <dcterms:modified xmlns:dcterms="http://purl.org/dc/terms/" xmlns:xsi="http://www.w3.org/2001/XMLSchema-instance" xsi:type="dcterms:W3CDTF">2026-10-25T05:16:57Z</dcterms:modified>
</cp:coreProperties>
</file>