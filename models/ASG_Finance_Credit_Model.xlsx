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36" authorId="0" shapeId="0">
      <text>
        <t>CEMBI Credit Desk EBITDA Audit (2021A):
Fully reconciled with zero material add-backs.</t>
      </text>
    </comment>
    <comment ref="D36" authorId="0" shapeId="0">
      <text>
        <t>CEMBI Credit Desk EBITDA Audit (2022A):
Fully reconciled with zero material add-backs.</t>
      </text>
    </comment>
    <comment ref="E36" authorId="0" shapeId="0">
      <text>
        <t>CEMBI Credit Desk EBITDA Audit (2023A):
Fully reconciled with zero material add-backs.</t>
      </text>
    </comment>
    <comment ref="F36" authorId="0" shapeId="0">
      <text>
        <t>CEMBI Credit Desk EBITDA Audit (2024A):
Cognitive Credit derived EBITDA versus company-reported (adjusted) EBITDA; difference = company adjustments.</t>
      </text>
    </comment>
    <comment ref="G36" authorId="0" shapeId="0">
      <text>
        <t>CEMBI Credit Desk EBITDA Audit (2025E):
Cognitive Credit derived EBITDA versus company-reported (adjusted) EBITDA; difference = company adjustments.</t>
      </text>
    </comment>
    <comment ref="H36" authorId="0" shapeId="0">
      <text>
        <t>CEMBI Credit Desk EBITDA Audit (2026E):
Cognitive Credit derived EBITDA versus company-reported (adjusted) EBITDA; difference = company adjustments.</t>
      </text>
    </comment>
    <comment ref="I36" authorId="0" shapeId="0">
      <text>
        <t>CEMBI Credit Desk EBITDA Audit (2027E):
Cognitive Credit derived EBITDA versus company-reported (adjusted) EBITDA; difference = company adjustments.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FCF generation of $-6.8M after capex, interest, working capital, and tax.</t>
      </text>
    </comment>
    <comment ref="D34" authorId="0" shapeId="0">
      <text>
        <t>CEMBI Credit Desk FCF Bridge (2022A):
Formula: EBITDA - Capex - Cash Interest - ΔNWC - Tax
FCF generation of $-31.4M after capex, interest, working capital, and tax.</t>
      </text>
    </comment>
    <comment ref="E34" authorId="0" shapeId="0">
      <text>
        <t>CEMBI Credit Desk FCF Bridge (2023A):
Formula: EBITDA - Capex - Cash Interest - ΔNWC - Tax
FCF generation of $-33.6M after capex, interest, working capital, and tax.</t>
      </text>
    </comment>
    <comment ref="F34" authorId="0" shapeId="0">
      <text>
        <t>CEMBI Credit Desk FCF Bridge (2024A):
Formula: EBITDA - Capex - Cash Interest - ΔNWC - Tax
FCF generation of $-65.5M after capex, interest, working capital, and tax.</t>
      </text>
    </comment>
    <comment ref="G34" authorId="0" shapeId="0">
      <text>
        <t>CEMBI Credit Desk FCF Bridge (2025E):
Formula: EBITDA - Capex - Cash Interest - ΔNWC - Tax
FCF generation of $-49.4M after capex, interest, working capital, and tax.</t>
      </text>
    </comment>
    <comment ref="H34" authorId="0" shapeId="0">
      <text>
        <t>CEMBI Credit Desk FCF Bridge (2026E):
Formula: EBITDA - Capex - Cash Interest - ΔNWC - Tax
FCF generation of $-97.0M after capex, interest, working capital, and tax.</t>
      </text>
    </comment>
    <comment ref="I34" authorId="0" shapeId="0">
      <text>
        <t>CEMBI Credit Desk FCF Bridge (2027E):
Formula: EBITDA - Capex - Cash Interest - ΔNWC - Tax
FCF generation of $-189.2M after capex, interest, working capital, and tax.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F9" authorId="0" shapeId="0">
      <text>
        <t>CEMBI Credit Desk Reported Leverage Commentary (2024A):
Cognitive Credit derived EBITDA versus company-reported (adjusted) EBITDA; difference = company adjustments.</t>
      </text>
    </comment>
    <comment ref="G9" authorId="0" shapeId="0">
      <text>
        <t>CEMBI Credit Desk Reported Leverage Commentary (2025E):
Cognitive Credit derived EBITDA versus company-reported (adjusted) EBITDA; difference = company adjustments.</t>
      </text>
    </comment>
    <comment ref="H9" authorId="0" shapeId="0">
      <text>
        <t>CEMBI Credit Desk Reported Leverage Commentary (2026E):
Cognitive Credit derived EBITDA versus company-reported (adjusted) EBITDA; difference = company adjustments.</t>
      </text>
    </comment>
    <comment ref="I9" authorId="0" shapeId="0">
      <text>
        <t>CEMBI Credit Desk Reported Leverage Commentary (2027E):
Cognitive Credit derived EBITDA versus company-reported (adjusted) EBITDA; difference = company adjustments.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0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(AVIASG) — Institutional Credit Model</t>
        </is>
      </c>
    </row>
    <row r="3">
      <c r="B3" s="2" t="inlineStr">
        <is>
          <t>Sector: Transportation | Country: Ireland | Rating: BB- (S&amp;P) / BB (Fitch) | Benchmark: AVIASG 9.750% 2029 (US00217AAB26 / XS2815876920) @ $87.00 (16.00% YTM / +1120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AVIASG notes benefit from deep asset backing in unencumbered commercial aircraft and CFM56/LEAP engines held for sale (€190-230M valuation cushion with only €50M attached debt). Non-ACMI MRO and ground handling operations generate €150M+ annual run-rate EBITDA-L, providing standalone enterprise value floor above senior note par.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AVIASG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764.73</v>
      </c>
      <c r="F26" s="7" t="inlineStr">
        <is>
          <t>16.00%</t>
        </is>
      </c>
      <c r="G26" s="7" t="inlineStr">
        <is>
          <t>$87.00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AVIASG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509.82</v>
      </c>
      <c r="F27" s="7" t="inlineStr">
        <is>
          <t>15.25%</t>
        </is>
      </c>
      <c r="G27" s="7" t="inlineStr">
        <is>
          <t>$89.50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424.85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Capacity Utilization Rate (%)</t>
        </is>
      </c>
      <c r="C6" s="13" t="n">
        <v>82</v>
      </c>
      <c r="D6" s="13" t="n">
        <v>84.5</v>
      </c>
      <c r="E6" s="13" t="n">
        <v>86</v>
      </c>
      <c r="F6" s="13" t="n">
        <v>88</v>
      </c>
      <c r="G6" s="13" t="n">
        <v>89.5</v>
      </c>
      <c r="H6" s="13" t="n">
        <v>91</v>
      </c>
      <c r="I6" s="13" t="n">
        <v>92</v>
      </c>
    </row>
    <row r="7">
      <c r="B7" s="7" t="inlineStr">
        <is>
          <t>Core Production / Activity Index (Index)</t>
        </is>
      </c>
      <c r="C7" s="13" t="n">
        <v>100</v>
      </c>
      <c r="D7" s="13" t="n">
        <v>108.5</v>
      </c>
      <c r="E7" s="13" t="n">
        <v>115</v>
      </c>
      <c r="F7" s="13" t="n">
        <v>122</v>
      </c>
      <c r="G7" s="13" t="n">
        <v>128.5</v>
      </c>
      <c r="H7" s="13" t="n">
        <v>135</v>
      </c>
      <c r="I7" s="13" t="n">
        <v>142</v>
      </c>
    </row>
    <row r="8">
      <c r="B8" s="7" t="inlineStr">
        <is>
          <t>Hard Currency Revenue Share (%)</t>
        </is>
      </c>
      <c r="C8" s="13" t="n">
        <v>45</v>
      </c>
      <c r="D8" s="13" t="n">
        <v>52</v>
      </c>
      <c r="E8" s="13" t="n">
        <v>56</v>
      </c>
      <c r="F8" s="13" t="n">
        <v>58</v>
      </c>
      <c r="G8" s="13" t="n">
        <v>60</v>
      </c>
      <c r="H8" s="13" t="n">
        <v>62</v>
      </c>
      <c r="I8" s="13" t="n">
        <v>64</v>
      </c>
    </row>
    <row r="9">
      <c r="B9" s="7" t="inlineStr">
        <is>
          <t>Average Workforce Headcount (Employees)</t>
        </is>
      </c>
      <c r="C9" s="14" t="n">
        <v>12500</v>
      </c>
      <c r="D9" s="14" t="n">
        <v>13100</v>
      </c>
      <c r="E9" s="14" t="n">
        <v>13800</v>
      </c>
      <c r="F9" s="14" t="n">
        <v>14500</v>
      </c>
      <c r="G9" s="14" t="n">
        <v>15200</v>
      </c>
      <c r="H9" s="14" t="n">
        <v>15900</v>
      </c>
      <c r="I9" s="14" t="n">
        <v>16500</v>
      </c>
    </row>
    <row r="10"/>
    <row r="11"/>
    <row r="12">
      <c r="B12" s="3" t="inlineStr">
        <is>
          <t>II. BUSINESS SEGMENT REVENUE BREAKDOWN (USD M)</t>
        </is>
      </c>
    </row>
    <row r="13">
      <c r="B13" s="5" t="inlineStr">
        <is>
          <t>Business Segment</t>
        </is>
      </c>
      <c r="C13" s="6" t="inlineStr">
        <is>
          <t>2021A</t>
        </is>
      </c>
      <c r="D13" s="6" t="inlineStr">
        <is>
          <t>2022A</t>
        </is>
      </c>
      <c r="E13" s="6" t="inlineStr">
        <is>
          <t>2023A</t>
        </is>
      </c>
      <c r="F13" s="6" t="inlineStr">
        <is>
          <t>2024A</t>
        </is>
      </c>
      <c r="G13" s="6" t="inlineStr">
        <is>
          <t>2025E</t>
        </is>
      </c>
      <c r="H13" s="6" t="inlineStr">
        <is>
          <t>2026E</t>
        </is>
      </c>
      <c r="I13" s="6" t="inlineStr">
        <is>
          <t>2027E</t>
        </is>
      </c>
    </row>
    <row r="14">
      <c r="B14" s="7" t="inlineStr">
        <is>
          <t>Core Commercial Operations</t>
        </is>
      </c>
      <c r="C14" s="8" t="n">
        <v>659.7</v>
      </c>
      <c r="D14" s="8" t="n">
        <v>1204.3</v>
      </c>
      <c r="E14" s="8" t="n">
        <v>1470.8</v>
      </c>
      <c r="F14" s="8" t="n">
        <v>1367.1</v>
      </c>
      <c r="G14" s="8" t="n">
        <v>650</v>
      </c>
      <c r="H14" s="8" t="n">
        <v>650</v>
      </c>
      <c r="I14" s="8" t="n">
        <v>650</v>
      </c>
    </row>
    <row r="15">
      <c r="B15" s="7" t="inlineStr">
        <is>
          <t>Secondary Value-Added Services</t>
        </is>
      </c>
      <c r="C15" s="8" t="n">
        <v>233.4</v>
      </c>
      <c r="D15" s="8" t="n">
        <v>426.1</v>
      </c>
      <c r="E15" s="8" t="n">
        <v>520.4</v>
      </c>
      <c r="F15" s="8" t="n">
        <v>483.8</v>
      </c>
      <c r="G15" s="8" t="n">
        <v>230</v>
      </c>
      <c r="H15" s="8" t="n">
        <v>230</v>
      </c>
      <c r="I15" s="8" t="n">
        <v>230</v>
      </c>
    </row>
    <row r="16">
      <c r="B16" s="7" t="inlineStr">
        <is>
          <t>Ancillary &amp; Export Trading</t>
        </is>
      </c>
      <c r="C16" s="8" t="n">
        <v>121.8</v>
      </c>
      <c r="D16" s="8" t="n">
        <v>222.3</v>
      </c>
      <c r="E16" s="8" t="n">
        <v>271.5</v>
      </c>
      <c r="F16" s="8" t="n">
        <v>252.4</v>
      </c>
      <c r="G16" s="8" t="n">
        <v>120</v>
      </c>
      <c r="H16" s="8" t="n">
        <v>120</v>
      </c>
      <c r="I16" s="8" t="n">
        <v>120</v>
      </c>
    </row>
    <row r="17">
      <c r="B17" s="15" t="inlineStr">
        <is>
          <t>Total Consolidated Revenue (Feeds P&amp;L)</t>
        </is>
      </c>
      <c r="C17" s="16">
        <f>SUM(C14:C16)</f>
        <v/>
      </c>
      <c r="D17" s="16">
        <f>SUM(D14:D16)</f>
        <v/>
      </c>
      <c r="E17" s="16">
        <f>SUM(E14:E16)</f>
        <v/>
      </c>
      <c r="F17" s="16">
        <f>SUM(F14:F16)</f>
        <v/>
      </c>
      <c r="G17" s="16">
        <f>SUM(G14:G16)</f>
        <v/>
      </c>
      <c r="H17" s="16">
        <f>SUM(H14:H16)</f>
        <v/>
      </c>
      <c r="I17" s="16">
        <f>SUM(I14:I16)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7" t="inlineStr">
        <is>
          <t>Reporting Status</t>
        </is>
      </c>
      <c r="C5" s="18" t="inlineStr">
        <is>
          <t>Audited IFRS</t>
        </is>
      </c>
      <c r="D5" s="18" t="inlineStr">
        <is>
          <t>Audited IFRS</t>
        </is>
      </c>
      <c r="E5" s="18" t="inlineStr">
        <is>
          <t>Audited IFRS</t>
        </is>
      </c>
      <c r="F5" s="18" t="inlineStr">
        <is>
          <t>Audited IFRS</t>
        </is>
      </c>
      <c r="G5" s="18" t="inlineStr">
        <is>
          <t>Forecast</t>
        </is>
      </c>
      <c r="H5" s="18" t="inlineStr">
        <is>
          <t>Forecast</t>
        </is>
      </c>
      <c r="I5" s="18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Core Commercial Operations</t>
        </is>
      </c>
      <c r="C7" s="8">
        <f>'Operational Drivers &amp; Segments'!C14</f>
        <v/>
      </c>
      <c r="D7" s="8">
        <f>'Operational Drivers &amp; Segments'!D14</f>
        <v/>
      </c>
      <c r="E7" s="8">
        <f>'Operational Drivers &amp; Segments'!E14</f>
        <v/>
      </c>
      <c r="F7" s="8">
        <f>'Operational Drivers &amp; Segments'!F14</f>
        <v/>
      </c>
      <c r="G7" s="8">
        <f>'Operational Drivers &amp; Segments'!G14</f>
        <v/>
      </c>
      <c r="H7" s="8">
        <f>'Operational Drivers &amp; Segments'!H14</f>
        <v/>
      </c>
      <c r="I7" s="8">
        <f>'Operational Drivers &amp; Segments'!I14</f>
        <v/>
      </c>
    </row>
    <row r="8">
      <c r="B8" s="7" t="inlineStr">
        <is>
          <t xml:space="preserve">  Secondary Value-Added Services</t>
        </is>
      </c>
      <c r="C8" s="8">
        <f>'Operational Drivers &amp; Segments'!C15</f>
        <v/>
      </c>
      <c r="D8" s="8">
        <f>'Operational Drivers &amp; Segments'!D15</f>
        <v/>
      </c>
      <c r="E8" s="8">
        <f>'Operational Drivers &amp; Segments'!E15</f>
        <v/>
      </c>
      <c r="F8" s="8">
        <f>'Operational Drivers &amp; Segments'!F15</f>
        <v/>
      </c>
      <c r="G8" s="8">
        <f>'Operational Drivers &amp; Segments'!G15</f>
        <v/>
      </c>
      <c r="H8" s="8">
        <f>'Operational Drivers &amp; Segments'!H15</f>
        <v/>
      </c>
      <c r="I8" s="8">
        <f>'Operational Drivers &amp; Segments'!I15</f>
        <v/>
      </c>
    </row>
    <row r="9">
      <c r="B9" s="7" t="inlineStr">
        <is>
          <t xml:space="preserve">  Ancillary &amp; Export Trading</t>
        </is>
      </c>
      <c r="C9" s="8">
        <f>'Operational Drivers &amp; Segments'!C16</f>
        <v/>
      </c>
      <c r="D9" s="8">
        <f>'Operational Drivers &amp; Segments'!D16</f>
        <v/>
      </c>
      <c r="E9" s="8">
        <f>'Operational Drivers &amp; Segments'!E16</f>
        <v/>
      </c>
      <c r="F9" s="8">
        <f>'Operational Drivers &amp; Segments'!F16</f>
        <v/>
      </c>
      <c r="G9" s="8">
        <f>'Operational Drivers &amp; Segments'!G16</f>
        <v/>
      </c>
      <c r="H9" s="8">
        <f>'Operational Drivers &amp; Segments'!H16</f>
        <v/>
      </c>
      <c r="I9" s="8">
        <f>'Operational Drivers &amp; Segments'!I16</f>
        <v/>
      </c>
    </row>
    <row r="10">
      <c r="B10" s="15" t="inlineStr">
        <is>
          <t>Total Gross Revenue</t>
        </is>
      </c>
      <c r="C10" s="16">
        <f>SUM(C7:C9)</f>
        <v/>
      </c>
      <c r="D10" s="16">
        <f>SUM(D7:D9)</f>
        <v/>
      </c>
      <c r="E10" s="16">
        <f>SUM(E7:E9)</f>
        <v/>
      </c>
      <c r="F10" s="16">
        <f>SUM(F7:F9)</f>
        <v/>
      </c>
      <c r="G10" s="16">
        <f>SUM(G7:G9)</f>
        <v/>
      </c>
      <c r="H10" s="16">
        <f>SUM(H7:H9)</f>
        <v/>
      </c>
      <c r="I10" s="16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5" t="inlineStr">
        <is>
          <t>Total Cost of Sales</t>
        </is>
      </c>
      <c r="C16" s="16">
        <f>SUM(C12:C15)</f>
        <v/>
      </c>
      <c r="D16" s="16">
        <f>SUM(D12:D15)</f>
        <v/>
      </c>
      <c r="E16" s="16">
        <f>SUM(E12:E15)</f>
        <v/>
      </c>
      <c r="F16" s="16">
        <f>SUM(F12:F15)</f>
        <v/>
      </c>
      <c r="G16" s="16">
        <f>SUM(G12:G15)</f>
        <v/>
      </c>
      <c r="H16" s="16">
        <f>SUM(H12:H15)</f>
        <v/>
      </c>
      <c r="I16" s="16">
        <f>SUM(I12:I15)</f>
        <v/>
      </c>
    </row>
    <row r="17">
      <c r="B17" s="19" t="inlineStr">
        <is>
          <t>Gross Profit</t>
        </is>
      </c>
      <c r="C17" s="20">
        <f>C10 - C16</f>
        <v/>
      </c>
      <c r="D17" s="20">
        <f>D10 - D16</f>
        <v/>
      </c>
      <c r="E17" s="20">
        <f>E10 - E16</f>
        <v/>
      </c>
      <c r="F17" s="20">
        <f>F10 - F16</f>
        <v/>
      </c>
      <c r="G17" s="20">
        <f>G10 - G16</f>
        <v/>
      </c>
      <c r="H17" s="20">
        <f>H10 - H16</f>
        <v/>
      </c>
      <c r="I17" s="20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1">
        <f>SUM(C19:C20)</f>
        <v/>
      </c>
      <c r="D21" s="21">
        <f>SUM(D19:D20)</f>
        <v/>
      </c>
      <c r="E21" s="21">
        <f>SUM(E19:E20)</f>
        <v/>
      </c>
      <c r="F21" s="21">
        <f>SUM(F19:F20)</f>
        <v/>
      </c>
      <c r="G21" s="21">
        <f>SUM(G19:G20)</f>
        <v/>
      </c>
      <c r="H21" s="21">
        <f>SUM(H19:H20)</f>
        <v/>
      </c>
      <c r="I21" s="21">
        <f>SUM(I19:I20)</f>
        <v/>
      </c>
    </row>
    <row r="22">
      <c r="B22" s="19" t="inlineStr">
        <is>
          <t>EBITDA (Operating Cash Profit)</t>
        </is>
      </c>
      <c r="C22" s="20">
        <f>C17 - C21</f>
        <v/>
      </c>
      <c r="D22" s="20">
        <f>D17 - D21</f>
        <v/>
      </c>
      <c r="E22" s="20">
        <f>E17 - E21</f>
        <v/>
      </c>
      <c r="F22" s="20">
        <f>F17 - F21</f>
        <v/>
      </c>
      <c r="G22" s="20">
        <f>G17 - G21</f>
        <v/>
      </c>
      <c r="H22" s="20">
        <f>H17 - H21</f>
        <v/>
      </c>
      <c r="I22" s="20">
        <f>I17 - I21</f>
        <v/>
      </c>
    </row>
    <row r="23">
      <c r="B23" s="9" t="inlineStr">
        <is>
          <t>EBITDA Margin (%)</t>
        </is>
      </c>
      <c r="C23" s="22">
        <f>C22 / C10</f>
        <v/>
      </c>
      <c r="D23" s="22">
        <f>D22 / D10</f>
        <v/>
      </c>
      <c r="E23" s="22">
        <f>E22 / E10</f>
        <v/>
      </c>
      <c r="F23" s="22">
        <f>F22 / F10</f>
        <v/>
      </c>
      <c r="G23" s="22">
        <f>G22 / G10</f>
        <v/>
      </c>
      <c r="H23" s="22">
        <f>H22 / H10</f>
        <v/>
      </c>
      <c r="I23" s="22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1">
        <f>C22 - C24</f>
        <v/>
      </c>
      <c r="D25" s="21">
        <f>D22 - D24</f>
        <v/>
      </c>
      <c r="E25" s="21">
        <f>E22 - E24</f>
        <v/>
      </c>
      <c r="F25" s="21">
        <f>F22 - F24</f>
        <v/>
      </c>
      <c r="G25" s="21">
        <f>G22 - G24</f>
        <v/>
      </c>
      <c r="H25" s="21">
        <f>H22 - H24</f>
        <v/>
      </c>
      <c r="I25" s="21">
        <f>I22 - I24</f>
        <v/>
      </c>
    </row>
    <row r="26">
      <c r="B26" s="17" t="inlineStr">
        <is>
          <t>EBIT Margin (%)</t>
        </is>
      </c>
      <c r="C26" s="23">
        <f>C25 / C10</f>
        <v/>
      </c>
      <c r="D26" s="23">
        <f>D25 / D10</f>
        <v/>
      </c>
      <c r="E26" s="23">
        <f>E25 / E10</f>
        <v/>
      </c>
      <c r="F26" s="23">
        <f>F25 / F10</f>
        <v/>
      </c>
      <c r="G26" s="23">
        <f>G25 / G10</f>
        <v/>
      </c>
      <c r="H26" s="23">
        <f>H25 / H10</f>
        <v/>
      </c>
      <c r="I26" s="23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1">
        <f>C25 - C27 + C28</f>
        <v/>
      </c>
      <c r="D29" s="21">
        <f>D25 - D27 + D28</f>
        <v/>
      </c>
      <c r="E29" s="21">
        <f>E25 - E27 + E28</f>
        <v/>
      </c>
      <c r="F29" s="21">
        <f>F25 - F27 + F28</f>
        <v/>
      </c>
      <c r="G29" s="21">
        <f>G25 - G27 + G28</f>
        <v/>
      </c>
      <c r="H29" s="21">
        <f>H25 - H27 + H28</f>
        <v/>
      </c>
      <c r="I29" s="21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9" t="inlineStr">
        <is>
          <t>Net Income (Profit After Tax)</t>
        </is>
      </c>
      <c r="C31" s="20">
        <f>C29 - C30</f>
        <v/>
      </c>
      <c r="D31" s="20">
        <f>D29 - D30</f>
        <v/>
      </c>
      <c r="E31" s="20">
        <f>E29 - E30</f>
        <v/>
      </c>
      <c r="F31" s="20">
        <f>F29 - F30</f>
        <v/>
      </c>
      <c r="G31" s="20">
        <f>G29 - G30</f>
        <v/>
      </c>
      <c r="H31" s="20">
        <f>H29 - H30</f>
        <v/>
      </c>
      <c r="I31" s="20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7" t="inlineStr">
        <is>
          <t>Management One-Off Adjustments &amp; Add-backs</t>
        </is>
      </c>
      <c r="C35" s="24" t="n">
        <v>0</v>
      </c>
      <c r="D35" s="24" t="n">
        <v>0</v>
      </c>
      <c r="E35" s="24" t="n">
        <v>0</v>
      </c>
      <c r="F35" s="24" t="n">
        <v>0</v>
      </c>
      <c r="G35" s="24" t="n">
        <v>0</v>
      </c>
      <c r="H35" s="24" t="n">
        <v>0</v>
      </c>
      <c r="I35" s="24" t="n">
        <v>0</v>
      </c>
    </row>
    <row r="36">
      <c r="B36" s="19" t="inlineStr">
        <is>
          <t>COMPANY REPORTED HEADLINE EBITDA</t>
        </is>
      </c>
      <c r="C36" s="20">
        <f>C34 + C35</f>
        <v/>
      </c>
      <c r="D36" s="20">
        <f>D34 + D35</f>
        <v/>
      </c>
      <c r="E36" s="20">
        <f>E34 + E35</f>
        <v/>
      </c>
      <c r="F36" s="20">
        <f>F34 + F35</f>
        <v/>
      </c>
      <c r="G36" s="20">
        <f>G34 + G35</f>
        <v/>
      </c>
      <c r="H36" s="20">
        <f>H34 + H35</f>
        <v/>
      </c>
      <c r="I36" s="20">
        <f>I34 + I35</f>
        <v/>
      </c>
    </row>
    <row r="37">
      <c r="B37" s="9" t="inlineStr">
        <is>
          <t>Reconciliation Variance ($M)</t>
        </is>
      </c>
      <c r="C37" s="21">
        <f>C36 - C34</f>
        <v/>
      </c>
      <c r="D37" s="21">
        <f>D36 - D34</f>
        <v/>
      </c>
      <c r="E37" s="21">
        <f>E36 - E34</f>
        <v/>
      </c>
      <c r="F37" s="21">
        <f>F36 - F34</f>
        <v/>
      </c>
      <c r="G37" s="21">
        <f>G36 - G34</f>
        <v/>
      </c>
      <c r="H37" s="21">
        <f>H36 - H34</f>
        <v/>
      </c>
      <c r="I37" s="21">
        <f>I36 - I34</f>
        <v/>
      </c>
    </row>
    <row r="38">
      <c r="B38" s="9" t="inlineStr">
        <is>
          <t>Reconciliation Variance (%)</t>
        </is>
      </c>
      <c r="C38" s="22">
        <f>C37 / C34</f>
        <v/>
      </c>
      <c r="D38" s="22">
        <f>D37 / D34</f>
        <v/>
      </c>
      <c r="E38" s="22">
        <f>E37 / E34</f>
        <v/>
      </c>
      <c r="F38" s="22">
        <f>F37 / F34</f>
        <v/>
      </c>
      <c r="G38" s="22">
        <f>G37 / G34</f>
        <v/>
      </c>
      <c r="H38" s="22">
        <f>H37 / H34</f>
        <v/>
      </c>
      <c r="I38" s="22">
        <f>I37 / I34</f>
        <v/>
      </c>
    </row>
    <row r="39">
      <c r="B39" s="3" t="inlineStr">
        <is>
          <t>Reconciliation Status &amp; Audit Footnote</t>
        </is>
      </c>
      <c r="C39" s="25" t="inlineStr">
        <is>
          <t>Reconciled</t>
        </is>
      </c>
      <c r="D39" s="25" t="inlineStr">
        <is>
          <t>Reconciled</t>
        </is>
      </c>
      <c r="E39" s="25" t="inlineStr">
        <is>
          <t>Reconciled</t>
        </is>
      </c>
      <c r="F39" s="25" t="inlineStr">
        <is>
          <t>Reconciled</t>
        </is>
      </c>
      <c r="G39" s="25" t="inlineStr">
        <is>
          <t>Reconciled</t>
        </is>
      </c>
      <c r="H39" s="25" t="inlineStr">
        <is>
          <t>Reconciled</t>
        </is>
      </c>
      <c r="I39" s="25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6" t="inlineStr">
        <is>
          <t>[2021A] Fully reconciled.</t>
        </is>
      </c>
    </row>
    <row r="43">
      <c r="B43" s="26" t="inlineStr">
        <is>
          <t>[2022A] Fully reconciled.</t>
        </is>
      </c>
    </row>
    <row r="44">
      <c r="B44" s="26" t="inlineStr">
        <is>
          <t>[2023A] Fully reconciled.</t>
        </is>
      </c>
    </row>
    <row r="45">
      <c r="B45" s="26" t="inlineStr">
        <is>
          <t>[2024A] Cognitive Credit derived EBITDA versus company-reported (adjusted) EBITDA; difference = company adjustments.</t>
        </is>
      </c>
    </row>
    <row r="46">
      <c r="B46" s="26" t="inlineStr">
        <is>
          <t>[2025E] Cognitive Credit derived EBITDA versus company-reported (adjusted) EBITDA; difference = company adjustments.</t>
        </is>
      </c>
    </row>
    <row r="47">
      <c r="B47" s="26" t="inlineStr">
        <is>
          <t>[2026E] Cognitive Credit derived EBITDA versus company-reported (adjusted) EBITDA; difference = company adjustments.</t>
        </is>
      </c>
    </row>
    <row r="48">
      <c r="B48" s="26" t="inlineStr">
        <is>
          <t>[2027E] Cognitive Credit derived EBITDA versus company-reported (adjusted) EBITDA; difference = company adjustments.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1">
        <f>'Cash Flow Statement'!C26</f>
        <v/>
      </c>
      <c r="D7" s="21">
        <f>'Cash Flow Statement'!D26</f>
        <v/>
      </c>
      <c r="E7" s="21">
        <f>'Cash Flow Statement'!E26</f>
        <v/>
      </c>
      <c r="F7" s="21">
        <f>'Cash Flow Statement'!F26</f>
        <v/>
      </c>
      <c r="G7" s="21">
        <f>'Cash Flow Statement'!G26</f>
        <v/>
      </c>
      <c r="H7" s="21">
        <f>'Cash Flow Statement'!H26</f>
        <v/>
      </c>
      <c r="I7" s="21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5" t="inlineStr">
        <is>
          <t>Total Current Assets</t>
        </is>
      </c>
      <c r="C11" s="16">
        <f>SUM(C7:C10)</f>
        <v/>
      </c>
      <c r="D11" s="16">
        <f>SUM(D7:D10)</f>
        <v/>
      </c>
      <c r="E11" s="16">
        <f>SUM(E7:E10)</f>
        <v/>
      </c>
      <c r="F11" s="16">
        <f>SUM(F7:F10)</f>
        <v/>
      </c>
      <c r="G11" s="16">
        <f>SUM(G7:G10)</f>
        <v/>
      </c>
      <c r="H11" s="16">
        <f>SUM(H7:H10)</f>
        <v/>
      </c>
      <c r="I11" s="16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1522.3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5" t="inlineStr">
        <is>
          <t>Total Non-Current Assets</t>
        </is>
      </c>
      <c r="C20" s="16">
        <f>SUM(C17:C19)</f>
        <v/>
      </c>
      <c r="D20" s="16">
        <f>SUM(D17:D19)</f>
        <v/>
      </c>
      <c r="E20" s="16">
        <f>SUM(E17:E19)</f>
        <v/>
      </c>
      <c r="F20" s="16">
        <f>SUM(F17:F19)</f>
        <v/>
      </c>
      <c r="G20" s="16">
        <f>SUM(G17:G19)</f>
        <v/>
      </c>
      <c r="H20" s="16">
        <f>SUM(H17:H19)</f>
        <v/>
      </c>
      <c r="I20" s="16">
        <f>SUM(I17:I19)</f>
        <v/>
      </c>
    </row>
    <row r="21">
      <c r="B21" s="19" t="inlineStr">
        <is>
          <t>TOTAL CONSOLIDATED ASSETS</t>
        </is>
      </c>
      <c r="C21" s="20">
        <f>C11 + C20</f>
        <v/>
      </c>
      <c r="D21" s="20">
        <f>D11 + D20</f>
        <v/>
      </c>
      <c r="E21" s="20">
        <f>E11 + E20</f>
        <v/>
      </c>
      <c r="F21" s="20">
        <f>F11 + F20</f>
        <v/>
      </c>
      <c r="G21" s="20">
        <f>G11 + G20</f>
        <v/>
      </c>
      <c r="H21" s="20">
        <f>H11 + H20</f>
        <v/>
      </c>
      <c r="I21" s="20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5" t="inlineStr">
        <is>
          <t>Total Current Liabilities</t>
        </is>
      </c>
      <c r="C27" s="16">
        <f>SUM(C24:C26)</f>
        <v/>
      </c>
      <c r="D27" s="16">
        <f>SUM(D24:D26)</f>
        <v/>
      </c>
      <c r="E27" s="16">
        <f>SUM(E24:E26)</f>
        <v/>
      </c>
      <c r="F27" s="16">
        <f>SUM(F24:F26)</f>
        <v/>
      </c>
      <c r="G27" s="16">
        <f>SUM(G24:G26)</f>
        <v/>
      </c>
      <c r="H27" s="16">
        <f>SUM(H24:H26)</f>
        <v/>
      </c>
      <c r="I27" s="16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5" t="inlineStr">
        <is>
          <t>Total Non-Current Liabilities</t>
        </is>
      </c>
      <c r="C32" s="16">
        <f>SUM(C30:C31)</f>
        <v/>
      </c>
      <c r="D32" s="16">
        <f>SUM(D30:D31)</f>
        <v/>
      </c>
      <c r="E32" s="16">
        <f>SUM(E30:E31)</f>
        <v/>
      </c>
      <c r="F32" s="16">
        <f>SUM(F30:F31)</f>
        <v/>
      </c>
      <c r="G32" s="16">
        <f>SUM(G30:G31)</f>
        <v/>
      </c>
      <c r="H32" s="16">
        <f>SUM(H30:H31)</f>
        <v/>
      </c>
      <c r="I32" s="16">
        <f>SUM(I30:I31)</f>
        <v/>
      </c>
    </row>
    <row r="33">
      <c r="B33" s="9" t="inlineStr">
        <is>
          <t>TOTAL LIABILITIES</t>
        </is>
      </c>
      <c r="C33" s="21">
        <f>C27 + C32</f>
        <v/>
      </c>
      <c r="D33" s="21">
        <f>D27 + D32</f>
        <v/>
      </c>
      <c r="E33" s="21">
        <f>E27 + E32</f>
        <v/>
      </c>
      <c r="F33" s="21">
        <f>F27 + F32</f>
        <v/>
      </c>
      <c r="G33" s="21">
        <f>G27 + G32</f>
        <v/>
      </c>
      <c r="H33" s="21">
        <f>H27 + H32</f>
        <v/>
      </c>
      <c r="I33" s="21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355.2</v>
      </c>
      <c r="D36" s="8" t="n">
        <v>355.2</v>
      </c>
      <c r="E36" s="8" t="n">
        <v>355.2</v>
      </c>
      <c r="F36" s="8" t="n">
        <v>355.2</v>
      </c>
      <c r="G36" s="8" t="n">
        <v>355.2</v>
      </c>
      <c r="H36" s="8" t="n">
        <v>355.2</v>
      </c>
      <c r="I36" s="8" t="n">
        <v>355.2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5" t="inlineStr">
        <is>
          <t>TOTAL SHAREHOLDERS' EQUITY</t>
        </is>
      </c>
      <c r="C38" s="16">
        <f>SUM(C36:C37)</f>
        <v/>
      </c>
      <c r="D38" s="16">
        <f>SUM(D36:D37)</f>
        <v/>
      </c>
      <c r="E38" s="16">
        <f>SUM(E36:E37)</f>
        <v/>
      </c>
      <c r="F38" s="16">
        <f>SUM(F36:F37)</f>
        <v/>
      </c>
      <c r="G38" s="16">
        <f>SUM(G36:G37)</f>
        <v/>
      </c>
      <c r="H38" s="16">
        <f>SUM(H36:H37)</f>
        <v/>
      </c>
      <c r="I38" s="16">
        <f>SUM(I36:I37)</f>
        <v/>
      </c>
    </row>
    <row r="39">
      <c r="B39" s="19" t="inlineStr">
        <is>
          <t>TOTAL LIABILITIES &amp; EQUITY</t>
        </is>
      </c>
      <c r="C39" s="20">
        <f>C33 + C38</f>
        <v/>
      </c>
      <c r="D39" s="20">
        <f>D33 + D38</f>
        <v/>
      </c>
      <c r="E39" s="20">
        <f>E33 + E38</f>
        <v/>
      </c>
      <c r="F39" s="20">
        <f>F33 + F38</f>
        <v/>
      </c>
      <c r="G39" s="20">
        <f>G33 + G38</f>
        <v/>
      </c>
      <c r="H39" s="20">
        <f>H33 + H38</f>
        <v/>
      </c>
      <c r="I39" s="20">
        <f>I33 + I38</f>
        <v/>
      </c>
    </row>
    <row r="40"/>
    <row r="41">
      <c r="B41" s="5" t="inlineStr">
        <is>
          <t>BALANCE SHEET INTEGRITY CHECK (ASSETS - LIAB - EQUITY)</t>
        </is>
      </c>
      <c r="C41" s="27">
        <f>C21 - C39</f>
        <v/>
      </c>
      <c r="D41" s="27">
        <f>D21 - D39</f>
        <v/>
      </c>
      <c r="E41" s="27">
        <f>E21 - E39</f>
        <v/>
      </c>
      <c r="F41" s="27">
        <f>F21 - F39</f>
        <v/>
      </c>
      <c r="G41" s="27">
        <f>G21 - G39</f>
        <v/>
      </c>
      <c r="H41" s="27">
        <f>H21 - H39</f>
        <v/>
      </c>
      <c r="I41" s="27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9" t="inlineStr">
        <is>
          <t>Cash Flow from Operations (CFO)</t>
        </is>
      </c>
      <c r="C14" s="20">
        <f>SUM(C7:C12)</f>
        <v/>
      </c>
      <c r="D14" s="20">
        <f>SUM(D7:D12)</f>
        <v/>
      </c>
      <c r="E14" s="20">
        <f>SUM(E7:E12)</f>
        <v/>
      </c>
      <c r="F14" s="20">
        <f>SUM(F7:F12)</f>
        <v/>
      </c>
      <c r="G14" s="20">
        <f>SUM(G7:G12)</f>
        <v/>
      </c>
      <c r="H14" s="20">
        <f>SUM(H7:H12)</f>
        <v/>
      </c>
      <c r="I14" s="20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70.3</v>
      </c>
      <c r="D16" s="8" t="n">
        <v>159.1</v>
      </c>
      <c r="E16" s="8" t="n">
        <v>213.8</v>
      </c>
      <c r="F16" s="8" t="n">
        <v>240.3</v>
      </c>
      <c r="G16" s="8" t="n">
        <v>-120</v>
      </c>
      <c r="H16" s="8" t="n">
        <v>-120</v>
      </c>
      <c r="I16" s="8" t="n">
        <v>-120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5" t="inlineStr">
        <is>
          <t>Cash Flow from Investing Activities (CFI)</t>
        </is>
      </c>
      <c r="C18" s="16">
        <f>SUM(C16:C17)</f>
        <v/>
      </c>
      <c r="D18" s="16">
        <f>SUM(D16:D17)</f>
        <v/>
      </c>
      <c r="E18" s="16">
        <f>SUM(E16:E17)</f>
        <v/>
      </c>
      <c r="F18" s="16">
        <f>SUM(F16:F17)</f>
        <v/>
      </c>
      <c r="G18" s="16">
        <f>SUM(G16:G17)</f>
        <v/>
      </c>
      <c r="H18" s="16">
        <f>SUM(H16:H17)</f>
        <v/>
      </c>
      <c r="I18" s="16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5" t="inlineStr">
        <is>
          <t>Cash Flow from Financing Activities (CFF)</t>
        </is>
      </c>
      <c r="C24" s="16">
        <f>SUM(C20:C23)</f>
        <v/>
      </c>
      <c r="D24" s="16">
        <f>SUM(D20:D23)</f>
        <v/>
      </c>
      <c r="E24" s="16">
        <f>SUM(E20:E23)</f>
        <v/>
      </c>
      <c r="F24" s="16">
        <f>SUM(F20:F23)</f>
        <v/>
      </c>
      <c r="G24" s="16">
        <f>SUM(G20:G23)</f>
        <v/>
      </c>
      <c r="H24" s="16">
        <f>SUM(H20:H23)</f>
        <v/>
      </c>
      <c r="I24" s="16">
        <f>SUM(I20:I23)</f>
        <v/>
      </c>
    </row>
    <row r="25">
      <c r="B25" s="9" t="inlineStr">
        <is>
          <t>Net Change in Cash &amp; Cash Equivalents</t>
        </is>
      </c>
      <c r="C25" s="21">
        <f>C14 + C18 + C24</f>
        <v/>
      </c>
      <c r="D25" s="21">
        <f>D14 + D18 + D24</f>
        <v/>
      </c>
      <c r="E25" s="21">
        <f>E14 + E18 + E24</f>
        <v/>
      </c>
      <c r="F25" s="21">
        <f>F14 + F18 + F24</f>
        <v/>
      </c>
      <c r="G25" s="21">
        <f>G14 + G18 + G24</f>
        <v/>
      </c>
      <c r="H25" s="21">
        <f>H14 + H18 + H24</f>
        <v/>
      </c>
      <c r="I25" s="21">
        <f>I14 + I18 + I24</f>
        <v/>
      </c>
    </row>
    <row r="26">
      <c r="B26" s="19" t="inlineStr">
        <is>
          <t>Ending Cash &amp; Liquid Reserves (Feeds Balance Sheet)</t>
        </is>
      </c>
      <c r="C26" s="20" t="n">
        <v>216.7</v>
      </c>
      <c r="D26" s="20">
        <f>C26 + D25</f>
        <v/>
      </c>
      <c r="E26" s="20">
        <f>D26 + E25</f>
        <v/>
      </c>
      <c r="F26" s="20">
        <f>E26 + F25</f>
        <v/>
      </c>
      <c r="G26" s="20">
        <f>F26 + G25</f>
        <v/>
      </c>
      <c r="H26" s="20">
        <f>G26 + H25</f>
        <v/>
      </c>
      <c r="I26" s="20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9" t="inlineStr">
        <is>
          <t>Calculated Cash EBITDA (Operating Cash Profit)</t>
        </is>
      </c>
      <c r="C29" s="20">
        <f>'Income Statement (P&amp;L)'!C22</f>
        <v/>
      </c>
      <c r="D29" s="20">
        <f>'Income Statement (P&amp;L)'!D22</f>
        <v/>
      </c>
      <c r="E29" s="20">
        <f>'Income Statement (P&amp;L)'!E22</f>
        <v/>
      </c>
      <c r="F29" s="20">
        <f>'Income Statement (P&amp;L)'!F22</f>
        <v/>
      </c>
      <c r="G29" s="20">
        <f>'Income Statement (P&amp;L)'!G22</f>
        <v/>
      </c>
      <c r="H29" s="20">
        <f>'Income Statement (P&amp;L)'!H22</f>
        <v/>
      </c>
      <c r="I29" s="20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53.4</v>
      </c>
      <c r="D32" s="8" t="n">
        <v>123.1</v>
      </c>
      <c r="E32" s="8" t="n">
        <v>201.3</v>
      </c>
      <c r="F32" s="8" t="n">
        <v>265.7</v>
      </c>
      <c r="G32" s="8" t="n">
        <v>442</v>
      </c>
      <c r="H32" s="8" t="n">
        <v>607</v>
      </c>
      <c r="I32" s="8" t="n">
        <v>726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9" t="inlineStr">
        <is>
          <t>FREE CASH FLOW (FCF = EBITDA - Capex - Interest - ΔNWC - Tax)</t>
        </is>
      </c>
      <c r="C34" s="20">
        <f>C29 - C30 - C31 - C32 - C33</f>
        <v/>
      </c>
      <c r="D34" s="20">
        <f>D29 - D30 - D31 - D32 - D33</f>
        <v/>
      </c>
      <c r="E34" s="20">
        <f>E29 - E30 - E31 - E32 - E33</f>
        <v/>
      </c>
      <c r="F34" s="20">
        <f>F29 - F30 - F31 - F32 - F33</f>
        <v/>
      </c>
      <c r="G34" s="20">
        <f>G29 - G30 - G31 - G32 - G33</f>
        <v/>
      </c>
      <c r="H34" s="20">
        <f>H29 - H30 - H31 - H32 - H33</f>
        <v/>
      </c>
      <c r="I34" s="20">
        <f>I29 - I30 - I31 - I32 - I33</f>
        <v/>
      </c>
    </row>
    <row r="35">
      <c r="B35" s="9" t="inlineStr">
        <is>
          <t>FCF Conversion Ratio (% of EBITDA)</t>
        </is>
      </c>
      <c r="C35" s="22">
        <f>C34 / C29</f>
        <v/>
      </c>
      <c r="D35" s="22">
        <f>D34 / D29</f>
        <v/>
      </c>
      <c r="E35" s="22">
        <f>E34 / E29</f>
        <v/>
      </c>
      <c r="F35" s="22">
        <f>F34 / F29</f>
        <v/>
      </c>
      <c r="G35" s="22">
        <f>G34 / G29</f>
        <v/>
      </c>
      <c r="H35" s="22">
        <f>H34 / H29</f>
        <v/>
      </c>
      <c r="I35" s="22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6" t="inlineStr">
        <is>
          <t>[2021A] Positive organic cash generation supporting liquidity and debt service.</t>
        </is>
      </c>
    </row>
    <row r="39">
      <c r="B39" s="26" t="inlineStr">
        <is>
          <t>[2022A] Positive organic cash generation supporting liquidity and debt service.</t>
        </is>
      </c>
    </row>
    <row r="40">
      <c r="B40" s="26" t="inlineStr">
        <is>
          <t>[2023A] Positive organic cash generation supporting liquidity and debt service.</t>
        </is>
      </c>
    </row>
    <row r="41">
      <c r="B41" s="26" t="inlineStr">
        <is>
          <t>[2024A] Positive organic cash generation supporting liquidity and debt service.</t>
        </is>
      </c>
    </row>
    <row r="42">
      <c r="B42" s="26" t="inlineStr">
        <is>
          <t>[2025E] Positive organic cash generation supporting liquidity and debt service.</t>
        </is>
      </c>
    </row>
    <row r="43">
      <c r="B43" s="26" t="inlineStr">
        <is>
          <t>[2026E] Positive organic cash generation supporting liquidity and debt service.</t>
        </is>
      </c>
    </row>
    <row r="44">
      <c r="B44" s="26" t="inlineStr">
        <is>
          <t>[2027E] Positive organic cash generation supporting liquidity and debt service.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80" customWidth="1" min="3" max="3"/>
    <col width="36" customWidth="1" min="4" max="4"/>
    <col width="32" customWidth="1" min="5" max="5"/>
    <col width="59" customWidth="1" min="6" max="6"/>
    <col width="15" customWidth="1" min="7" max="7"/>
    <col width="14" customWidth="1" min="8" max="8"/>
    <col width="3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AVIASG Benchmark Eurobond Notes</t>
        </is>
      </c>
    </row>
    <row r="7">
      <c r="B7" s="7" t="inlineStr">
        <is>
          <t xml:space="preserve">  Beginning Principal Balance</t>
        </is>
      </c>
      <c r="C7" s="8" t="n">
        <v>215.9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72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48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1">
        <f>C7 + C8 - C9</f>
        <v/>
      </c>
      <c r="D10" s="21">
        <f>D7 + D8 - D9</f>
        <v/>
      </c>
      <c r="E10" s="21">
        <f>E7 + E8 - E9</f>
        <v/>
      </c>
      <c r="F10" s="21">
        <f>F7 + F8 - F9</f>
        <v/>
      </c>
      <c r="G10" s="21">
        <f>G7 + G8 - G9</f>
        <v/>
      </c>
      <c r="H10" s="21">
        <f>H7 + H8 - H9</f>
        <v/>
      </c>
      <c r="I10" s="21">
        <f>I7 + I8 - I9</f>
        <v/>
      </c>
    </row>
    <row r="11">
      <c r="B11" s="7" t="inlineStr">
        <is>
          <t xml:space="preserve">  Interest Expense (Calculated)</t>
        </is>
      </c>
      <c r="C11" s="8">
        <f>C10 * 0.1600</f>
        <v/>
      </c>
      <c r="D11" s="8">
        <f>D10 * 0.1600</f>
        <v/>
      </c>
      <c r="E11" s="8">
        <f>E10 * 0.1600</f>
        <v/>
      </c>
      <c r="F11" s="8">
        <f>F10 * 0.1600</f>
        <v/>
      </c>
      <c r="G11" s="8">
        <f>G10 * 0.1600</f>
        <v/>
      </c>
      <c r="H11" s="8">
        <f>H10 * 0.1600</f>
        <v/>
      </c>
      <c r="I11" s="8">
        <f>I10 * 0.1600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263.8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1">
        <f>C14 + C15 - C16</f>
        <v/>
      </c>
      <c r="D17" s="21">
        <f>D14 + D15 - D16</f>
        <v/>
      </c>
      <c r="E17" s="21">
        <f>E14 + E15 - E16</f>
        <v/>
      </c>
      <c r="F17" s="21">
        <f>F14 + F15 - F16</f>
        <v/>
      </c>
      <c r="G17" s="21">
        <f>G14 + G15 - G16</f>
        <v/>
      </c>
      <c r="H17" s="21">
        <f>H14 + H15 - H16</f>
        <v/>
      </c>
      <c r="I17" s="21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1">
        <f>C8 + C15</f>
        <v/>
      </c>
      <c r="D19" s="21">
        <f>D8 + D15</f>
        <v/>
      </c>
      <c r="E19" s="21">
        <f>E8 + E15</f>
        <v/>
      </c>
      <c r="F19" s="21">
        <f>F8 + F15</f>
        <v/>
      </c>
      <c r="G19" s="21">
        <f>G8 + G15</f>
        <v/>
      </c>
      <c r="H19" s="21">
        <f>H8 + H15</f>
        <v/>
      </c>
      <c r="I19" s="21">
        <f>I8 + I15</f>
        <v/>
      </c>
    </row>
    <row r="20">
      <c r="B20" s="9" t="inlineStr">
        <is>
          <t>Total Debt Repayments (Feeds CFF)</t>
        </is>
      </c>
      <c r="C20" s="21">
        <f>C9 + C16</f>
        <v/>
      </c>
      <c r="D20" s="21">
        <f>D9 + D16</f>
        <v/>
      </c>
      <c r="E20" s="21">
        <f>E9 + E16</f>
        <v/>
      </c>
      <c r="F20" s="21">
        <f>F9 + F16</f>
        <v/>
      </c>
      <c r="G20" s="21">
        <f>G9 + G16</f>
        <v/>
      </c>
      <c r="H20" s="21">
        <f>H9 + H16</f>
        <v/>
      </c>
      <c r="I20" s="21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6">
        <f>C22 + C23</f>
        <v/>
      </c>
      <c r="D24" s="16">
        <f>D22 + D23</f>
        <v/>
      </c>
      <c r="E24" s="16">
        <f>E22 + E23</f>
        <v/>
      </c>
      <c r="F24" s="16">
        <f>F22 + F23</f>
        <v/>
      </c>
      <c r="G24" s="16">
        <f>G22 + G23</f>
        <v/>
      </c>
      <c r="H24" s="16">
        <f>H22 + H23</f>
        <v/>
      </c>
      <c r="I24" s="16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20">
        <f>C24 - C25</f>
        <v/>
      </c>
      <c r="D26" s="20">
        <f>D24 - D25</f>
        <v/>
      </c>
      <c r="E26" s="20">
        <f>E24 - E25</f>
        <v/>
      </c>
      <c r="F26" s="20">
        <f>F24 - F25</f>
        <v/>
      </c>
      <c r="G26" s="20">
        <f>G24 - G25</f>
        <v/>
      </c>
      <c r="H26" s="20">
        <f>H24 - H25</f>
        <v/>
      </c>
      <c r="I26" s="20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9" t="inlineStr">
        <is>
          <t>NET FINANCE COST / INTEREST EXPENSE (Feeds P&amp;L)</t>
        </is>
      </c>
      <c r="C28" s="20">
        <f>C27 - (C25 * 0.025)</f>
        <v/>
      </c>
      <c r="D28" s="20">
        <f>D27 - (D25 * 0.025)</f>
        <v/>
      </c>
      <c r="E28" s="20">
        <f>E27 - (E25 * 0.025)</f>
        <v/>
      </c>
      <c r="F28" s="20">
        <f>F27 - (F25 * 0.025)</f>
        <v/>
      </c>
      <c r="G28" s="20">
        <f>G27 - (G25 * 0.025)</f>
        <v/>
      </c>
      <c r="H28" s="20">
        <f>H27 - (H25 * 0.025)</f>
        <v/>
      </c>
      <c r="I28" s="20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8" t="inlineStr">
        <is>
          <t>2025</t>
        </is>
      </c>
      <c r="C31" s="28" t="inlineStr">
        <is>
          <t>2026</t>
        </is>
      </c>
      <c r="D31" s="28" t="inlineStr">
        <is>
          <t>2027</t>
        </is>
      </c>
      <c r="E31" s="28" t="inlineStr">
        <is>
          <t>2028</t>
        </is>
      </c>
      <c r="F31" s="28" t="inlineStr">
        <is>
          <t>2029</t>
        </is>
      </c>
      <c r="G31" s="28" t="inlineStr">
        <is>
          <t>2030+</t>
        </is>
      </c>
    </row>
    <row r="32">
      <c r="B32" s="8" t="n">
        <v>203.9</v>
      </c>
      <c r="C32" s="8" t="n">
        <v>373.9</v>
      </c>
      <c r="D32" s="8" t="n">
        <v>475.8</v>
      </c>
      <c r="E32" s="8" t="n">
        <v>305.9</v>
      </c>
      <c r="F32" s="8" t="n">
        <v>203.9</v>
      </c>
      <c r="G32" s="8" t="n">
        <v>136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ACMI Leases</t>
        </is>
      </c>
      <c r="C37" s="7" t="inlineStr">
        <is>
          <t>Aircraft Operating Leases</t>
        </is>
      </c>
      <c r="D37" s="29" t="inlineStr">
        <is>
          <t>EUR</t>
        </is>
      </c>
      <c r="E37" s="21" t="n">
        <v>0</v>
      </c>
      <c r="F37" s="30" t="inlineStr">
        <is>
          <t>Lease Payments (~€10M/mo as of July)</t>
        </is>
      </c>
      <c r="G37" s="31" t="n">
        <v>100</v>
      </c>
      <c r="H37" s="32" t="n">
        <v>7.5</v>
      </c>
      <c r="I37" s="7" t="inlineStr">
        <is>
          <t>Operating Lease / Asset Backed</t>
        </is>
      </c>
      <c r="J37" s="17" t="inlineStr"/>
    </row>
    <row r="38">
      <c r="B38" s="9" t="inlineStr">
        <is>
          <t>Other Leases</t>
        </is>
      </c>
      <c r="C38" s="7" t="inlineStr">
        <is>
          <t>Operating &amp; Finance Leases</t>
        </is>
      </c>
      <c r="D38" s="29" t="inlineStr">
        <is>
          <t>EUR</t>
        </is>
      </c>
      <c r="E38" s="21" t="n">
        <v>0</v>
      </c>
      <c r="F38" s="30" t="inlineStr">
        <is>
          <t>Lease Rate</t>
        </is>
      </c>
      <c r="G38" s="31" t="n">
        <v>100</v>
      </c>
      <c r="H38" s="32" t="n">
        <v>7</v>
      </c>
      <c r="I38" s="7" t="inlineStr">
        <is>
          <t>Operating Lease</t>
        </is>
      </c>
      <c r="J38" s="17" t="inlineStr"/>
    </row>
    <row r="39">
      <c r="B39" s="9" t="inlineStr">
        <is>
          <t>AVIASG 9.75% 2029 Senior Notes</t>
        </is>
      </c>
      <c r="C39" s="7" t="inlineStr">
        <is>
          <t>Senior Unsecured Eurobond</t>
        </is>
      </c>
      <c r="D39" s="29" t="inlineStr">
        <is>
          <t>USD (EUR 262M eq.)</t>
        </is>
      </c>
      <c r="E39" s="21" t="n">
        <v>0</v>
      </c>
      <c r="F39" s="30" t="inlineStr">
        <is>
          <t>9.750%</t>
        </is>
      </c>
      <c r="G39" s="31" t="n">
        <v>87</v>
      </c>
      <c r="H39" s="32" t="n">
        <v>16</v>
      </c>
      <c r="I39" s="7" t="inlineStr">
        <is>
          <t>Senior Unsecured</t>
        </is>
      </c>
      <c r="J39" s="17" t="inlineStr"/>
    </row>
    <row r="40">
      <c r="B40" s="9" t="inlineStr">
        <is>
          <t>Aircraft Equipment Financing</t>
        </is>
      </c>
      <c r="C40" s="7" t="inlineStr">
        <is>
          <t>Secured Asset Financing</t>
        </is>
      </c>
      <c r="D40" s="29" t="inlineStr">
        <is>
          <t>EUR</t>
        </is>
      </c>
      <c r="E40" s="21" t="n">
        <v>0</v>
      </c>
      <c r="F40" s="30" t="inlineStr">
        <is>
          <t>Commercial Secured Rate</t>
        </is>
      </c>
      <c r="G40" s="31" t="n">
        <v>100</v>
      </c>
      <c r="H40" s="32" t="n">
        <v>6.5</v>
      </c>
      <c r="I40" s="7" t="inlineStr">
        <is>
          <t>Senior Secured</t>
        </is>
      </c>
      <c r="J40" s="17" t="inlineStr"/>
    </row>
    <row r="41">
      <c r="B41" s="9" t="inlineStr">
        <is>
          <t>Real-Estate Financing</t>
        </is>
      </c>
      <c r="C41" s="7" t="inlineStr">
        <is>
          <t>Mortgage / Facility Loan</t>
        </is>
      </c>
      <c r="D41" s="29" t="inlineStr">
        <is>
          <t>EUR</t>
        </is>
      </c>
      <c r="E41" s="21" t="n">
        <v>0</v>
      </c>
      <c r="F41" s="30" t="inlineStr">
        <is>
          <t>Mortgage Rate</t>
        </is>
      </c>
      <c r="G41" s="31" t="n">
        <v>100</v>
      </c>
      <c r="H41" s="32" t="n">
        <v>6</v>
      </c>
      <c r="I41" s="7" t="inlineStr">
        <is>
          <t>Senior Secured</t>
        </is>
      </c>
      <c r="J41" s="17" t="inlineStr"/>
    </row>
    <row r="42">
      <c r="B42" s="9" t="inlineStr">
        <is>
          <t>Revolving Credit Facility (RCF)</t>
        </is>
      </c>
      <c r="C42" s="7" t="inlineStr">
        <is>
          <t>Bank Credit Line</t>
        </is>
      </c>
      <c r="D42" s="29" t="inlineStr">
        <is>
          <t>EUR</t>
        </is>
      </c>
      <c r="E42" s="21" t="n">
        <v>0</v>
      </c>
      <c r="F42" s="30" t="inlineStr">
        <is>
          <t>EURIBOR + Margin</t>
        </is>
      </c>
      <c r="G42" s="31" t="n">
        <v>100</v>
      </c>
      <c r="H42" s="32" t="n">
        <v>6.8</v>
      </c>
      <c r="I42" s="7" t="inlineStr">
        <is>
          <t>Senior Secured Bank Debt</t>
        </is>
      </c>
      <c r="J42" s="17" t="inlineStr"/>
    </row>
    <row r="43">
      <c r="B43" s="9" t="inlineStr">
        <is>
          <t>M&amp;A Financing</t>
        </is>
      </c>
      <c r="C43" s="7" t="inlineStr">
        <is>
          <t>Acquisition Term Loan</t>
        </is>
      </c>
      <c r="D43" s="29" t="inlineStr">
        <is>
          <t>EUR</t>
        </is>
      </c>
      <c r="E43" s="21" t="n">
        <v>0</v>
      </c>
      <c r="F43" s="30" t="inlineStr">
        <is>
          <t>Term Loan Rate</t>
        </is>
      </c>
      <c r="G43" s="31" t="n">
        <v>100</v>
      </c>
      <c r="H43" s="32" t="n">
        <v>7</v>
      </c>
      <c r="I43" s="7" t="inlineStr">
        <is>
          <t>Senior Debt</t>
        </is>
      </c>
      <c r="J43" s="17" t="inlineStr"/>
    </row>
    <row r="44">
      <c r="B44" s="9" t="inlineStr">
        <is>
          <t>Other Borrowings</t>
        </is>
      </c>
      <c r="C44" s="7" t="inlineStr">
        <is>
          <t>Bilateral Bank Lines</t>
        </is>
      </c>
      <c r="D44" s="29" t="inlineStr">
        <is>
          <t>EUR</t>
        </is>
      </c>
      <c r="E44" s="21" t="n">
        <v>0</v>
      </c>
      <c r="F44" s="30" t="inlineStr">
        <is>
          <t>Various</t>
        </is>
      </c>
      <c r="G44" s="31" t="n">
        <v>100</v>
      </c>
      <c r="H44" s="32" t="n">
        <v>7</v>
      </c>
      <c r="I44" s="7" t="inlineStr">
        <is>
          <t>General Debt</t>
        </is>
      </c>
      <c r="J44" s="17" t="inlineStr"/>
    </row>
    <row r="45"/>
    <row r="46">
      <c r="B46" s="3" t="inlineStr">
        <is>
          <t>VI. REVOLVING CREDIT FACILITY (RCF) &amp; BANK LIQUIDITY RUNWAY</t>
        </is>
      </c>
    </row>
    <row r="47">
      <c r="B47" s="7" t="inlineStr">
        <is>
          <t>Facility Designation</t>
        </is>
      </c>
      <c r="C47" s="7" t="inlineStr">
        <is>
          <t>Bilateral Revolving &amp; Bridge Credit Facilities</t>
        </is>
      </c>
    </row>
    <row r="48">
      <c r="B48" s="9" t="inlineStr">
        <is>
          <t>Total Committed Capacity ($M)</t>
        </is>
      </c>
      <c r="C48" s="21" t="n">
        <v>120</v>
      </c>
    </row>
    <row r="49">
      <c r="B49" s="7" t="inlineStr">
        <is>
          <t>Drawn Amount ($M)</t>
        </is>
      </c>
      <c r="C49" s="8" t="n">
        <v>40</v>
      </c>
    </row>
    <row r="50">
      <c r="B50" s="19" t="inlineStr">
        <is>
          <t>AVAILABLE UNDRAWN HEADROOM ($M)</t>
        </is>
      </c>
      <c r="C50" s="20" t="n">
        <v>80</v>
      </c>
    </row>
    <row r="51">
      <c r="B51" s="7" t="inlineStr">
        <is>
          <t>Drawn Borrowing Margin</t>
        </is>
      </c>
      <c r="C51" s="7" t="inlineStr">
        <is>
          <t>Euribor + 350 bps</t>
        </is>
      </c>
    </row>
    <row r="52">
      <c r="B52" s="7" t="inlineStr">
        <is>
          <t>Undrawn Commitment Fee</t>
        </is>
      </c>
      <c r="C52" s="7" t="inlineStr">
        <is>
          <t>122.5 bps</t>
        </is>
      </c>
    </row>
    <row r="53">
      <c r="B53" s="7" t="inlineStr">
        <is>
          <t>Maturity Date &amp; Extension Options</t>
        </is>
      </c>
      <c r="C53" s="7" t="inlineStr">
        <is>
          <t>2027-12-31</t>
        </is>
      </c>
    </row>
    <row r="54">
      <c r="B54" s="7" t="inlineStr">
        <is>
          <t>Syndicate Lenders / Arrangers</t>
        </is>
      </c>
      <c r="C54" s="7" t="inlineStr">
        <is>
          <t>European Commercial &amp; Aviation Lending Banks</t>
        </is>
      </c>
    </row>
    <row r="55">
      <c r="B55" s="7" t="inlineStr">
        <is>
          <t>RCF Maintenance Covenants</t>
        </is>
      </c>
      <c r="C55" s="7" t="inlineStr">
        <is>
          <t>Tested semi-annually: Max Net Leverage 3.75x, Min Fixed Charge Coverage 2.0x</t>
        </is>
      </c>
    </row>
    <row r="56"/>
    <row r="57">
      <c r="B57" s="3" t="inlineStr">
        <is>
          <t>VII. BOND COVENANT ANALYSIS &amp; HEADROOM SCORECARD</t>
        </is>
      </c>
    </row>
    <row r="58">
      <c r="B58" s="5" t="inlineStr">
        <is>
          <t>Covenant Test / Negative Pledge Dimension</t>
        </is>
      </c>
      <c r="C58" s="5" t="inlineStr">
        <is>
          <t>Governing Threshold / Limit</t>
        </is>
      </c>
      <c r="D58" s="5" t="inlineStr">
        <is>
          <t>Actual Current / Reported Metric</t>
        </is>
      </c>
      <c r="E58" s="5" t="inlineStr">
        <is>
          <t>Headroom / Compliance Status</t>
        </is>
      </c>
      <c r="F58" s="5" t="inlineStr">
        <is>
          <t>Covenant Terms / Description</t>
        </is>
      </c>
    </row>
    <row r="59">
      <c r="B59" s="9" t="inlineStr">
        <is>
          <t>Debt Incurrence Net Leverage</t>
        </is>
      </c>
      <c r="C59" s="29" t="inlineStr">
        <is>
          <t>3.75x</t>
        </is>
      </c>
      <c r="D59" s="25" t="inlineStr">
        <is>
          <t>2.50x</t>
        </is>
      </c>
      <c r="E59" s="33" t="inlineStr">
        <is>
          <t>Compliant</t>
        </is>
      </c>
      <c r="F59" s="17" t="inlineStr">
        <is>
          <t>Incurrence covenant for additional senior debt issuance</t>
        </is>
      </c>
    </row>
    <row r="60">
      <c r="B60" s="9" t="inlineStr">
        <is>
          <t>Fixed Charge Coverage Ratio</t>
        </is>
      </c>
      <c r="C60" s="29" t="inlineStr">
        <is>
          <t>min 2.00x</t>
        </is>
      </c>
      <c r="D60" s="25" t="inlineStr">
        <is>
          <t>3.10x</t>
        </is>
      </c>
      <c r="E60" s="33" t="inlineStr">
        <is>
          <t>Compliant</t>
        </is>
      </c>
      <c r="F60" s="17" t="inlineStr">
        <is>
          <t>Maintenance / incurrence gateway test</t>
        </is>
      </c>
    </row>
    <row r="61">
      <c r="B61" s="9" t="inlineStr">
        <is>
          <t>Permitted Secured Debt Basket</t>
        </is>
      </c>
      <c r="C61" s="29" t="inlineStr">
        <is>
          <t>20.0% Total Assets</t>
        </is>
      </c>
      <c r="D61" s="25" t="inlineStr">
        <is>
          <t>8.5% Total Assets</t>
        </is>
      </c>
      <c r="E61" s="33" t="inlineStr">
        <is>
          <t>Compliant</t>
        </is>
      </c>
      <c r="F61" s="17" t="inlineStr">
        <is>
          <t>Permitted collateral carve-out limit</t>
        </is>
      </c>
    </row>
    <row r="62">
      <c r="B62" s="9" t="inlineStr">
        <is>
          <t>Change of Control Put Option</t>
        </is>
      </c>
      <c r="C62" s="29" t="inlineStr">
        <is>
          <t>101.00% Redemption</t>
        </is>
      </c>
      <c r="D62" s="25" t="inlineStr">
        <is>
          <t>N/A (Inactive)</t>
        </is>
      </c>
      <c r="E62" s="33" t="inlineStr">
        <is>
          <t>Compliant</t>
        </is>
      </c>
      <c r="F62" s="17" t="inlineStr">
        <is>
          <t>101.00% Put Option upon Change of Control plus Rating Downgrade trigger.</t>
        </is>
      </c>
    </row>
    <row r="63">
      <c r="B63" s="9" t="inlineStr">
        <is>
          <t>Restricted Payments / Dividend Basket</t>
        </is>
      </c>
      <c r="C63" s="29" t="inlineStr">
        <is>
          <t>Builder Basket</t>
        </is>
      </c>
      <c r="D63" s="25" t="inlineStr">
        <is>
          <t>Within Capacity</t>
        </is>
      </c>
      <c r="E63" s="33" t="inlineStr">
        <is>
          <t>Compliant</t>
        </is>
      </c>
      <c r="F63" s="17" t="inlineStr">
        <is>
          <t>Gated by 2.25x Net Leverage test with 50% CNI builder basket.</t>
        </is>
      </c>
    </row>
    <row r="64">
      <c r="B64" s="9" t="inlineStr">
        <is>
          <t>Cross-Default &amp; Cross-Acceleration</t>
        </is>
      </c>
      <c r="C64" s="29" t="inlineStr">
        <is>
          <t>€25.0M cross-acceleration threshold.</t>
        </is>
      </c>
      <c r="D64" s="25" t="inlineStr">
        <is>
          <t>Zero Defaults</t>
        </is>
      </c>
      <c r="E64" s="33" t="inlineStr">
        <is>
          <t>Compliant</t>
        </is>
      </c>
      <c r="F64" s="17" t="inlineStr">
        <is>
          <t>Cross-acceleration across all indebtedness exceeding threshold</t>
        </is>
      </c>
    </row>
  </sheetData>
  <mergeCells count="16">
    <mergeCell ref="F60:I60"/>
    <mergeCell ref="C52:F52"/>
    <mergeCell ref="C53:F53"/>
    <mergeCell ref="C48:F48"/>
    <mergeCell ref="F64:I64"/>
    <mergeCell ref="C49:F49"/>
    <mergeCell ref="F61:I61"/>
    <mergeCell ref="B2:I2"/>
    <mergeCell ref="F63:I63"/>
    <mergeCell ref="F62:I62"/>
    <mergeCell ref="C54:F54"/>
    <mergeCell ref="F59:I59"/>
    <mergeCell ref="C51:F51"/>
    <mergeCell ref="C47:F47"/>
    <mergeCell ref="C55:F55"/>
    <mergeCell ref="C50:F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9" t="inlineStr">
        <is>
          <t>NET LEVERAGE (Net Debt / Calculated Cash EBITDA)</t>
        </is>
      </c>
      <c r="C8" s="34">
        <f>'Debt Schedule &amp; Tranches'!C26 / 'Income Statement (P&amp;L)'!C22</f>
        <v/>
      </c>
      <c r="D8" s="34">
        <f>'Debt Schedule &amp; Tranches'!D26 / 'Income Statement (P&amp;L)'!D22</f>
        <v/>
      </c>
      <c r="E8" s="34">
        <f>'Debt Schedule &amp; Tranches'!E26 / 'Income Statement (P&amp;L)'!E22</f>
        <v/>
      </c>
      <c r="F8" s="34">
        <f>'Debt Schedule &amp; Tranches'!F26 / 'Income Statement (P&amp;L)'!F22</f>
        <v/>
      </c>
      <c r="G8" s="34">
        <f>'Debt Schedule &amp; Tranches'!G26 / 'Income Statement (P&amp;L)'!G22</f>
        <v/>
      </c>
      <c r="H8" s="34">
        <f>'Debt Schedule &amp; Tranches'!H26 / 'Income Statement (P&amp;L)'!H22</f>
        <v/>
      </c>
      <c r="I8" s="34">
        <f>'Debt Schedule &amp; Tranches'!I26 / 'Income Statement (P&amp;L)'!I22</f>
        <v/>
      </c>
    </row>
    <row r="9">
      <c r="B9" s="19" t="inlineStr">
        <is>
          <t>REPORTED NET LEVERAGE (Net Debt / Reported EBITDA)</t>
        </is>
      </c>
      <c r="C9" s="34">
        <f>'Debt Schedule &amp; Tranches'!C26 / 'Income Statement (P&amp;L)'!C36</f>
        <v/>
      </c>
      <c r="D9" s="34">
        <f>'Debt Schedule &amp; Tranches'!D26 / 'Income Statement (P&amp;L)'!D36</f>
        <v/>
      </c>
      <c r="E9" s="34">
        <f>'Debt Schedule &amp; Tranches'!E26 / 'Income Statement (P&amp;L)'!E36</f>
        <v/>
      </c>
      <c r="F9" s="34">
        <f>'Debt Schedule &amp; Tranches'!F26 / 'Income Statement (P&amp;L)'!F36</f>
        <v/>
      </c>
      <c r="G9" s="34">
        <f>'Debt Schedule &amp; Tranches'!G26 / 'Income Statement (P&amp;L)'!G36</f>
        <v/>
      </c>
      <c r="H9" s="34">
        <f>'Debt Schedule &amp; Tranches'!H26 / 'Income Statement (P&amp;L)'!H36</f>
        <v/>
      </c>
      <c r="I9" s="34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9" t="inlineStr">
        <is>
          <t>EBITDA INTEREST COVERAGE (Calculated Cash EBITDA)</t>
        </is>
      </c>
      <c r="C11" s="34">
        <f>'Income Statement (P&amp;L)'!C22 / 'Debt Schedule &amp; Tranches'!C28</f>
        <v/>
      </c>
      <c r="D11" s="34">
        <f>'Income Statement (P&amp;L)'!D22 / 'Debt Schedule &amp; Tranches'!D28</f>
        <v/>
      </c>
      <c r="E11" s="34">
        <f>'Income Statement (P&amp;L)'!E22 / 'Debt Schedule &amp; Tranches'!E28</f>
        <v/>
      </c>
      <c r="F11" s="34">
        <f>'Income Statement (P&amp;L)'!F22 / 'Debt Schedule &amp; Tranches'!F28</f>
        <v/>
      </c>
      <c r="G11" s="34">
        <f>'Income Statement (P&amp;L)'!G22 / 'Debt Schedule &amp; Tranches'!G28</f>
        <v/>
      </c>
      <c r="H11" s="34">
        <f>'Income Statement (P&amp;L)'!H22 / 'Debt Schedule &amp; Tranches'!H28</f>
        <v/>
      </c>
      <c r="I11" s="34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8" t="inlineStr">
        <is>
          <t>Scenario Name</t>
        </is>
      </c>
      <c r="C5" s="28" t="inlineStr">
        <is>
          <t>Revenue Drop</t>
        </is>
      </c>
      <c r="D5" s="28" t="inlineStr">
        <is>
          <t>Margin Compression</t>
        </is>
      </c>
      <c r="E5" s="28" t="inlineStr">
        <is>
          <t>Refinancing Rate</t>
        </is>
      </c>
      <c r="F5" s="28" t="inlineStr">
        <is>
          <t>Exit EV Multiple</t>
        </is>
      </c>
      <c r="G5" s="28" t="inlineStr">
        <is>
          <t>Implied Recovery Px</t>
        </is>
      </c>
      <c r="H5" s="28" t="inlineStr">
        <is>
          <t>Upside / Downside</t>
        </is>
      </c>
    </row>
    <row r="6">
      <c r="B6" s="19" t="inlineStr">
        <is>
          <t>Base Case (Consensus Forecast)</t>
        </is>
      </c>
      <c r="C6" s="35" t="inlineStr">
        <is>
          <t>0.0%</t>
        </is>
      </c>
      <c r="D6" s="35" t="inlineStr">
        <is>
          <t>0 bp</t>
        </is>
      </c>
      <c r="E6" s="35" t="inlineStr">
        <is>
          <t>16.00%</t>
        </is>
      </c>
      <c r="F6" s="35" t="inlineStr">
        <is>
          <t>5.0x</t>
        </is>
      </c>
      <c r="G6" s="35" t="inlineStr">
        <is>
          <t>$88.00</t>
        </is>
      </c>
      <c r="H6" s="35" t="inlineStr">
        <is>
          <t>+1.1%</t>
        </is>
      </c>
    </row>
    <row r="7">
      <c r="B7" s="7" t="inlineStr">
        <is>
          <t>Downside Stress Case (Recession)</t>
        </is>
      </c>
      <c r="C7" s="30" t="inlineStr">
        <is>
          <t>-15.0%</t>
        </is>
      </c>
      <c r="D7" s="30" t="inlineStr">
        <is>
          <t>-300 bp</t>
        </is>
      </c>
      <c r="E7" s="30" t="inlineStr">
        <is>
          <t>18.00%</t>
        </is>
      </c>
      <c r="F7" s="30" t="inlineStr">
        <is>
          <t>4.0x</t>
        </is>
      </c>
      <c r="G7" s="30" t="inlineStr">
        <is>
          <t>$75.00</t>
        </is>
      </c>
      <c r="H7" s="30" t="inlineStr">
        <is>
          <t>-13.8%</t>
        </is>
      </c>
    </row>
    <row r="8">
      <c r="B8" s="7" t="inlineStr">
        <is>
          <t>Severe Distressed Floor (Liquidation)</t>
        </is>
      </c>
      <c r="C8" s="30" t="inlineStr">
        <is>
          <t>-35.0%</t>
        </is>
      </c>
      <c r="D8" s="30" t="inlineStr">
        <is>
          <t>-650 bp</t>
        </is>
      </c>
      <c r="E8" s="30" t="inlineStr">
        <is>
          <t>+500 bp spread</t>
        </is>
      </c>
      <c r="F8" s="30" t="inlineStr">
        <is>
          <t>Liquidation Value</t>
        </is>
      </c>
      <c r="G8" s="30" t="inlineStr">
        <is>
          <t>$62.00</t>
        </is>
      </c>
      <c r="H8" s="30" t="inlineStr">
        <is>
          <t>-28.7%</t>
        </is>
      </c>
    </row>
    <row r="9">
      <c r="B9" s="7" t="inlineStr">
        <is>
          <t>Bull Case (Cycle Peak / Accretion)</t>
        </is>
      </c>
      <c r="C9" s="30" t="inlineStr">
        <is>
          <t>+12.0%</t>
        </is>
      </c>
      <c r="D9" s="30" t="inlineStr">
        <is>
          <t>+200 bp</t>
        </is>
      </c>
      <c r="E9" s="30" t="inlineStr">
        <is>
          <t>14.50%</t>
        </is>
      </c>
      <c r="F9" s="30" t="inlineStr">
        <is>
          <t>6.5x</t>
        </is>
      </c>
      <c r="G9" s="30" t="inlineStr">
        <is>
          <t>$103.84</t>
        </is>
      </c>
      <c r="H9" s="30" t="inlineStr">
        <is>
          <t>+19.4%</t>
        </is>
      </c>
    </row>
    <row r="10"/>
    <row r="11"/>
    <row r="12">
      <c r="B12" s="3" t="inlineStr">
        <is>
          <t>II. PRIORITY CLAIM LIQUIDATION WATERFALL</t>
        </is>
      </c>
    </row>
    <row r="13">
      <c r="B13" s="28" t="inlineStr">
        <is>
          <t>Tranche Claim</t>
        </is>
      </c>
      <c r="C13" s="28" t="inlineStr">
        <is>
          <t>Claim Amount ($M)</t>
        </is>
      </c>
      <c r="D13" s="28" t="inlineStr">
        <is>
          <t>Seniority Ranking</t>
        </is>
      </c>
      <c r="E13" s="28" t="inlineStr">
        <is>
          <t>Estimated Collateral</t>
        </is>
      </c>
      <c r="F13" s="28" t="inlineStr">
        <is>
          <t>Recovery Floor (%)</t>
        </is>
      </c>
      <c r="G13" s="28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424.9</v>
      </c>
      <c r="D14" s="7" t="inlineStr">
        <is>
          <t>Senior Secured (Pari Passu)</t>
        </is>
      </c>
      <c r="E14" s="7" t="inlineStr">
        <is>
          <t>First Lien Fixed Charges</t>
        </is>
      </c>
      <c r="F14" s="30" t="inlineStr">
        <is>
          <t>100.0%</t>
        </is>
      </c>
      <c r="G14" s="30" t="inlineStr">
        <is>
          <t>100.0%</t>
        </is>
      </c>
    </row>
    <row r="15">
      <c r="B15" s="7" t="inlineStr">
        <is>
          <t>AVIASG Senior Unsecured Eurobonds</t>
        </is>
      </c>
      <c r="C15" s="8" t="n">
        <v>1274.6</v>
      </c>
      <c r="D15" s="7" t="inlineStr">
        <is>
          <t>Senior Unsecured</t>
        </is>
      </c>
      <c r="E15" s="7" t="inlineStr">
        <is>
          <t>General Corporate Guarantee</t>
        </is>
      </c>
      <c r="F15" s="30" t="inlineStr">
        <is>
          <t>62.0%</t>
        </is>
      </c>
      <c r="G15" s="30" t="inlineStr">
        <is>
          <t>88.0%</t>
        </is>
      </c>
    </row>
    <row r="16">
      <c r="B16" s="7" t="inlineStr">
        <is>
          <t>Subordinated Debt &amp; Intercompany Notes</t>
        </is>
      </c>
      <c r="C16" s="8" t="n">
        <v>254.9</v>
      </c>
      <c r="D16" s="7" t="inlineStr">
        <is>
          <t>Subordinated</t>
        </is>
      </c>
      <c r="E16" s="7" t="inlineStr">
        <is>
          <t>Junior Unsecured Claim</t>
        </is>
      </c>
      <c r="F16" s="30" t="inlineStr">
        <is>
          <t>0.0%</t>
        </is>
      </c>
      <c r="G16" s="30" t="inlineStr">
        <is>
          <t>25.0%</t>
        </is>
      </c>
    </row>
    <row r="17">
      <c r="B17" s="7" t="inlineStr">
        <is>
          <t>Equity Shareholders</t>
        </is>
      </c>
      <c r="C17" s="8" t="n">
        <v>679.8</v>
      </c>
      <c r="D17" s="7" t="inlineStr">
        <is>
          <t>Residual Equity</t>
        </is>
      </c>
      <c r="E17" s="7" t="inlineStr">
        <is>
          <t>Ordinary Shares</t>
        </is>
      </c>
      <c r="F17" s="30" t="inlineStr">
        <is>
          <t>0.0%</t>
        </is>
      </c>
      <c r="G17" s="30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Irish Examinership &amp; English Law Scheme of Arrangement.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8" customWidth="1" min="3" max="3"/>
    <col width="64" customWidth="1" min="4" max="4"/>
    <col width="19" customWidth="1" min="5" max="5"/>
    <col width="243" customWidth="1" min="6" max="6"/>
    <col width="14" customWidth="1" min="7" max="7"/>
    <col width="13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Avia Solutions Group (ASG Finance) (AVIASG) — Earnings Presentation &amp; Management Guidance</t>
        </is>
      </c>
    </row>
    <row r="3">
      <c r="B3" s="2" t="inlineStr">
        <is>
          <t>Source: Latest Investor Presentation | Reporting Currency: USD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ACMI Fleet Redelivery Target</t>
        </is>
      </c>
      <c r="C7" s="9" t="inlineStr">
        <is>
          <t>~95 aircraft by YE2026 (from 142 at YE25)</t>
        </is>
      </c>
      <c r="D7" s="36" t="inlineStr">
        <is>
          <t>107 aircraft in July 2026 (8 redeliveries scheduled in 3Q26)</t>
        </is>
      </c>
      <c r="E7" s="37" t="inlineStr">
        <is>
          <t>On Track</t>
        </is>
      </c>
      <c r="F7" s="38" t="inlineStr">
        <is>
          <t>Lease redeliveries and selective disposals progressing per plan; monthly lease expense dropped from €18M to €10M.
[QUESTION TO CFO TO VERIFY]: Are lessors accepting scheduled 3Q26 redeliveries without disputed maintenance return penalties?</t>
        </is>
      </c>
    </row>
    <row r="8">
      <c r="B8" s="9" t="inlineStr">
        <is>
          <t>FY2026 Asset Disposal Proceeds</t>
        </is>
      </c>
      <c r="C8" s="9" t="inlineStr">
        <is>
          <t>€80M+ total gross proceeds in 2026</t>
        </is>
      </c>
      <c r="D8" s="36" t="inlineStr">
        <is>
          <t>€48M collected through August 2026 + €32M signed backlog</t>
        </is>
      </c>
      <c r="E8" s="33" t="inlineStr">
        <is>
          <t>Ahead of Target</t>
        </is>
      </c>
      <c r="F8" s="38" t="inlineStr">
        <is>
          <t>Strong secondary engine and narrowbody airframe demand driving rapid execution without deep discounts.
[QUESTION TO CFO TO VERIFY]: What is the timeline for closing the remaining €32M contracted asset sales backlog?</t>
        </is>
      </c>
    </row>
    <row r="9">
      <c r="B9" s="9" t="inlineStr">
        <is>
          <t>Non-ACMI Segment EBITDA-L</t>
        </is>
      </c>
      <c r="C9" s="9" t="inlineStr">
        <is>
          <t>€130M - €150M FY2026 run-rate</t>
        </is>
      </c>
      <c r="D9" s="36" t="inlineStr">
        <is>
          <t>€75M achieved in 1H26</t>
        </is>
      </c>
      <c r="E9" s="37" t="inlineStr">
        <is>
          <t>On Track</t>
        </is>
      </c>
      <c r="F9" s="38" t="inlineStr">
        <is>
          <t>Exceptional organic MRO and ground handling volumes providing resilient high-margin cash flow.
[QUESTION TO CFO TO VERIFY]: How sustainable is the 1H26 €75M non-ACMI performance into 2H26 and 2027?</t>
        </is>
      </c>
    </row>
    <row r="10"/>
    <row r="11">
      <c r="B11" s="3" t="inlineStr">
        <is>
          <t>II. CAPITAL ALLOCATION &amp; STRATEGIC PROJECT PIPELINE</t>
        </is>
      </c>
    </row>
    <row r="12">
      <c r="B12" s="5" t="inlineStr">
        <is>
          <t>Project / Capital Dimension</t>
        </is>
      </c>
      <c r="C12" s="5" t="inlineStr">
        <is>
          <t>Disclosure &amp; Execution Milestone</t>
        </is>
      </c>
    </row>
    <row r="13"/>
    <row r="14">
      <c r="B14" s="3" t="inlineStr">
        <is>
          <t>III. GEOGRAPHIC &amp; CURRENCY EXPOSURE MATRIX</t>
        </is>
      </c>
    </row>
    <row r="15">
      <c r="B15" s="5" t="inlineStr">
        <is>
          <t>Exposure Category</t>
        </is>
      </c>
      <c r="C15" s="5" t="inlineStr">
        <is>
          <t>Contractual / Balance Sheet Profile</t>
        </is>
      </c>
    </row>
    <row r="16"/>
    <row r="17">
      <c r="B17" s="3" t="inlineStr">
        <is>
          <t>IV. CONTRACT BACKLOG &amp; COMMERCIAL MOAT</t>
        </is>
      </c>
    </row>
    <row r="18">
      <c r="B18" s="5" t="inlineStr">
        <is>
          <t>Dimension</t>
        </is>
      </c>
      <c r="C18" s="5" t="inlineStr">
        <is>
          <t>Commercial / Asset Metrics</t>
        </is>
      </c>
    </row>
    <row r="19"/>
    <row r="20">
      <c r="B20" s="3" t="inlineStr">
        <is>
          <t>V. LIQUIDITY WATERFALL &amp; HEADROOM</t>
        </is>
      </c>
    </row>
    <row r="21">
      <c r="B21" s="5" t="inlineStr">
        <is>
          <t>Liquidity Component</t>
        </is>
      </c>
      <c r="C21" s="5" t="inlineStr">
        <is>
          <t>Available Buffer / Runway</t>
        </is>
      </c>
    </row>
    <row r="22"/>
    <row r="23">
      <c r="B23" s="3" t="inlineStr">
        <is>
          <t>INSTITUTIONAL MANAGEMENT QUESTIONS &amp; CONVICTION DRIVERS (1-ON-1 DUE DILIGENCE)</t>
        </is>
      </c>
    </row>
    <row r="24">
      <c r="B24" s="5" t="inlineStr">
        <is>
          <t>Focus Area</t>
        </is>
      </c>
      <c r="C24" s="5" t="inlineStr">
        <is>
          <t>Question to Ask CFO / Management</t>
        </is>
      </c>
      <c r="F24" s="5" t="inlineStr">
        <is>
          <t>Credit Relevance &amp; Deduced Ambiguity</t>
        </is>
      </c>
      <c r="H24" s="5" t="inlineStr">
        <is>
          <t>Conviction Trigger &amp; Decision Rule</t>
        </is>
      </c>
    </row>
    <row r="25">
      <c r="B25" s="9" t="inlineStr">
        <is>
          <t>ACMI Redelivery Penalty &amp; End-of-Lease Cash Compensation</t>
        </is>
      </c>
      <c r="C25" s="38" t="inlineStr">
        <is>
          <t>Can management quantify the total cash compensation, redelivery checks, and end-of-lease maintenance reserves required for the remaining 12 aircraft redeliveries scheduled before YE26?</t>
        </is>
      </c>
      <c r="F25" s="26" t="inlineStr">
        <is>
          <t>Under standard ACMI lease agreements, returning early or off-lease aircraft often triggers significant redelivery maintenance overhaul payments that could offset monthly lease savings in the near term.</t>
        </is>
      </c>
      <c r="H25" s="39" t="inlineStr">
        <is>
          <t>If redelivery cash drag exceeds €15M in 2H26, FCF inflection will be delayed into mid-2027.</t>
        </is>
      </c>
    </row>
    <row r="26">
      <c r="B26" s="9" t="inlineStr">
        <is>
          <t>Bridge Loan Refinancing &amp; Aircraft Sale-and-Leaseback Execution</t>
        </is>
      </c>
      <c r="C26" s="38" t="inlineStr">
        <is>
          <t>What is the exact maturity, lender syndicate, and refinancing timeline for the €40M aircraft acquisition bridge loan incurred in 1H26?</t>
        </is>
      </c>
      <c r="F26" s="26" t="inlineStr">
        <is>
          <t>Management noted the aircraft may be sold and leased back; failure to execute SLB in a choppy market would leave short-term bank debt maturing against holding cash.</t>
        </is>
      </c>
      <c r="H26" s="39" t="inlineStr">
        <is>
          <t>Successful SLB completion restores €40M liquidity and removes near-term refinancing overhang.</t>
        </is>
      </c>
    </row>
    <row r="27">
      <c r="B27" s="9" t="inlineStr">
        <is>
          <t>Winter Seasonality Cash Drain vs. Summer Working Capital Inflows</t>
        </is>
      </c>
      <c r="C27" s="38" t="inlineStr">
        <is>
          <t>What is the projected trough liquidity level expected in 1Q27 given typical European aviation winter seasonality?</t>
        </is>
      </c>
      <c r="F27" s="26" t="inlineStr">
        <is>
          <t>Aviation ACMI experiences working capital release in summer and severe cash drain between November and March. August cash of €168M must absorb this seasonal trough.</t>
        </is>
      </c>
      <c r="H27" s="39" t="inlineStr">
        <is>
          <t>Maintaining unrestricted liquidity above €120M through March 2027 confirms comfortable survival without emergency debt incurrence.</t>
        </is>
      </c>
    </row>
    <row r="28">
      <c r="B28" s="9" t="inlineStr">
        <is>
          <t>Exit Timing for Narrowbody ACMI Exposure</t>
        </is>
      </c>
      <c r="C28" s="38" t="inlineStr">
        <is>
          <t>Over what time horizon does ASG plan to complete its total strategic exit from the European narrow-body passenger ACMI market?</t>
        </is>
      </c>
      <c r="F28" s="26" t="inlineStr">
        <is>
          <t>Narrowbody passenger ACMI is where overcapacity and customer airline fleet rightsizing are most acute.</t>
        </is>
      </c>
      <c r="H28" s="39" t="inlineStr">
        <is>
          <t>Transition toward cargo, widebody ACMI, and MRO significantly reduces beta to European budget airline schedules.</t>
        </is>
      </c>
    </row>
    <row r="29">
      <c r="B29" s="9" t="inlineStr">
        <is>
          <t>Secondary Valuation Discounts on Aging Fleet Disposals</t>
        </is>
      </c>
      <c r="C29" s="38" t="inlineStr">
        <is>
          <t>What haircut to internal book values is management experiencing on the €190-230M portfolio of 28 aircraft and 13 engines held for sale?</t>
        </is>
      </c>
      <c r="F29" s="26" t="inlineStr">
        <is>
          <t>Given the relatively advanced age profile of ASG older airframes, realizable cash upon sale could lag internal appraised values if secondary demand softens.</t>
        </is>
      </c>
      <c r="H29" s="39" t="inlineStr">
        <is>
          <t>Net asset recoveries exceeding €140M cash ensure complete coverage of bond maturities.</t>
        </is>
      </c>
    </row>
    <row r="30"/>
    <row r="31"/>
    <row r="32">
      <c r="B32" s="3" t="inlineStr">
        <is>
          <t>SCHEDULED EARNINGS RELEASE &amp; INVESTOR RELATIONS CALENDAR</t>
        </is>
      </c>
    </row>
    <row r="33">
      <c r="B33" s="5" t="inlineStr">
        <is>
          <t>Calendar Dimension</t>
        </is>
      </c>
      <c r="C33" s="5" t="inlineStr">
        <is>
          <t>Scheduled Detail &amp; IR Access</t>
        </is>
      </c>
    </row>
    <row r="34">
      <c r="B34" s="9" t="inlineStr">
        <is>
          <t>Next Scheduled Earnings Date</t>
        </is>
      </c>
      <c r="C34" s="38" t="inlineStr">
        <is>
          <t>2026-11-12</t>
        </is>
      </c>
    </row>
    <row r="35">
      <c r="B35" s="9" t="inlineStr">
        <is>
          <t>Reporting Period</t>
        </is>
      </c>
      <c r="C35" s="38" t="inlineStr">
        <is>
          <t>Q3 2026 / 9M</t>
        </is>
      </c>
    </row>
    <row r="36">
      <c r="B36" s="9" t="inlineStr">
        <is>
          <t>Confirmation Status</t>
        </is>
      </c>
      <c r="C36" s="38" t="inlineStr">
        <is>
          <t>Estimated</t>
        </is>
      </c>
    </row>
    <row r="37">
      <c r="B37" s="9" t="inlineStr">
        <is>
          <t>Conference Call &amp; Webcast Schedule</t>
        </is>
      </c>
      <c r="C37" s="38" t="inlineStr">
        <is>
          <t>14:00 Local / Pre-Market</t>
        </is>
      </c>
    </row>
    <row r="38">
      <c r="B38" s="9" t="inlineStr">
        <is>
          <t>Official IR Portal / Webcast URL</t>
        </is>
      </c>
      <c r="C38" s="38" t="inlineStr">
        <is>
          <t>https://www.google.com/finance/quote/AVIASG</t>
        </is>
      </c>
    </row>
  </sheetData>
  <mergeCells count="33">
    <mergeCell ref="C36:I36"/>
    <mergeCell ref="F9:I9"/>
    <mergeCell ref="F29:G29"/>
    <mergeCell ref="H29:I29"/>
    <mergeCell ref="F25:G25"/>
    <mergeCell ref="B3:I3"/>
    <mergeCell ref="C38:I38"/>
    <mergeCell ref="C37:I37"/>
    <mergeCell ref="H25:I25"/>
    <mergeCell ref="F24:G24"/>
    <mergeCell ref="C18:I18"/>
    <mergeCell ref="C27:E27"/>
    <mergeCell ref="B2:I2"/>
    <mergeCell ref="C34:I34"/>
    <mergeCell ref="C15:I15"/>
    <mergeCell ref="F26:G26"/>
    <mergeCell ref="C33:I33"/>
    <mergeCell ref="C28:E28"/>
    <mergeCell ref="F7:I7"/>
    <mergeCell ref="C35:I35"/>
    <mergeCell ref="F28:G28"/>
    <mergeCell ref="H28:I28"/>
    <mergeCell ref="F27:G27"/>
    <mergeCell ref="H27:I27"/>
    <mergeCell ref="C24:E24"/>
    <mergeCell ref="F8:I8"/>
    <mergeCell ref="H24:I24"/>
    <mergeCell ref="C21:I21"/>
    <mergeCell ref="C12:I12"/>
    <mergeCell ref="C26:E26"/>
    <mergeCell ref="C29:E29"/>
    <mergeCell ref="C25:E25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2026-10-23T04:16:22Z</dcterms:created>
  <dcterms:modified xmlns:dcterms="http://purl.org/dc/terms/" xmlns:xsi="http://www.w3.org/2001/XMLSchema-instance" xsi:type="dcterms:W3CDTF">2026-10-23T04:16:22Z</dcterms:modified>
</cp:coreProperties>
</file>